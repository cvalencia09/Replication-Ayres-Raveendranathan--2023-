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Section_6.3\"/>
    </mc:Choice>
  </mc:AlternateContent>
  <xr:revisionPtr revIDLastSave="0" documentId="13_ncr:1_{00195C4B-9B64-47F3-8DDA-707415A2398D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_figure_14" sheetId="5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3" i="2" l="1"/>
  <c r="B3" i="55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B36" i="55"/>
  <c r="B37" i="55"/>
  <c r="B38" i="55"/>
  <c r="B39" i="55"/>
  <c r="B40" i="55"/>
  <c r="B41" i="55"/>
  <c r="B42" i="55"/>
  <c r="B2" i="55"/>
  <c r="AK3" i="2"/>
  <c r="AK2" i="2"/>
  <c r="AK4" i="2" s="1"/>
  <c r="AK5" i="2" s="1"/>
  <c r="AK6" i="2" s="1"/>
  <c r="AK7" i="2" s="1"/>
  <c r="AK8" i="2" s="1"/>
  <c r="AK9" i="2" s="1"/>
  <c r="AK10" i="2" s="1"/>
  <c r="AK11" i="2" s="1"/>
  <c r="AK12" i="2" s="1"/>
  <c r="AK13" i="2" s="1"/>
  <c r="AK14" i="2" s="1"/>
  <c r="AK15" i="2" s="1"/>
  <c r="AK16" i="2" s="1"/>
  <c r="AK17" i="2" s="1"/>
  <c r="AK18" i="2" s="1"/>
  <c r="AK19" i="2" s="1"/>
  <c r="AK20" i="2" s="1"/>
  <c r="AK21" i="2" s="1"/>
  <c r="AK22" i="2" s="1"/>
  <c r="AK23" i="2" s="1"/>
  <c r="AK24" i="2" s="1"/>
  <c r="AK25" i="2" s="1"/>
  <c r="AK26" i="2" s="1"/>
  <c r="AK27" i="2" s="1"/>
  <c r="AK28" i="2" s="1"/>
  <c r="AK29" i="2" s="1"/>
  <c r="AK30" i="2" s="1"/>
  <c r="AK31" i="2" s="1"/>
  <c r="AK32" i="2" s="1"/>
  <c r="AK33" i="2" s="1"/>
  <c r="AK34" i="2" s="1"/>
  <c r="AK35" i="2" s="1"/>
  <c r="AK36" i="2" s="1"/>
  <c r="AK37" i="2" s="1"/>
  <c r="AK38" i="2" s="1"/>
  <c r="AK39" i="2" s="1"/>
  <c r="AK40" i="2" s="1"/>
  <c r="AK41" i="2" s="1"/>
  <c r="AK42" i="2" s="1"/>
  <c r="AK43" i="2" s="1"/>
  <c r="AK44" i="2" s="1"/>
  <c r="AK45" i="2" s="1"/>
  <c r="AK46" i="2" s="1"/>
  <c r="AK47" i="2" s="1"/>
  <c r="J42" i="55"/>
  <c r="AA42" i="11" l="1"/>
  <c r="AA41" i="1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L42" i="2" l="1"/>
  <c r="K42" i="55" s="1"/>
  <c r="AL41" i="2"/>
  <c r="K41" i="55" s="1"/>
  <c r="AL40" i="2"/>
  <c r="K40" i="55" s="1"/>
  <c r="AL39" i="2"/>
  <c r="K39" i="55" s="1"/>
  <c r="AL38" i="2"/>
  <c r="K38" i="55" s="1"/>
  <c r="AL37" i="2"/>
  <c r="K37" i="55" s="1"/>
  <c r="AL36" i="2"/>
  <c r="K36" i="55" s="1"/>
  <c r="AL35" i="2"/>
  <c r="K35" i="55" s="1"/>
  <c r="AL34" i="2"/>
  <c r="K34" i="55" s="1"/>
  <c r="AL33" i="2"/>
  <c r="K33" i="55" s="1"/>
  <c r="AL32" i="2"/>
  <c r="K32" i="55" s="1"/>
  <c r="AL31" i="2"/>
  <c r="K31" i="55" s="1"/>
  <c r="AL30" i="2"/>
  <c r="K30" i="55" s="1"/>
  <c r="AL29" i="2"/>
  <c r="K29" i="55" s="1"/>
  <c r="AL28" i="2"/>
  <c r="K28" i="55" s="1"/>
  <c r="AL27" i="2"/>
  <c r="K27" i="55" s="1"/>
  <c r="AL26" i="2"/>
  <c r="K26" i="55" s="1"/>
  <c r="AL25" i="2"/>
  <c r="K25" i="55" s="1"/>
  <c r="AL24" i="2"/>
  <c r="K24" i="55" s="1"/>
  <c r="AL23" i="2"/>
  <c r="K23" i="55" s="1"/>
  <c r="AL22" i="2"/>
  <c r="K22" i="55" s="1"/>
  <c r="AL21" i="2"/>
  <c r="K21" i="55" s="1"/>
  <c r="AL20" i="2"/>
  <c r="K20" i="55" s="1"/>
  <c r="AL19" i="2"/>
  <c r="K19" i="55" s="1"/>
  <c r="AL18" i="2"/>
  <c r="K18" i="55" s="1"/>
  <c r="AL17" i="2"/>
  <c r="K17" i="55" s="1"/>
  <c r="AL16" i="2"/>
  <c r="K16" i="55" s="1"/>
  <c r="AL15" i="2"/>
  <c r="K15" i="55" s="1"/>
  <c r="AL14" i="2"/>
  <c r="K14" i="55" s="1"/>
  <c r="AL13" i="2"/>
  <c r="K13" i="55" s="1"/>
  <c r="AL12" i="2"/>
  <c r="K12" i="55" s="1"/>
  <c r="AL11" i="2"/>
  <c r="K11" i="55" s="1"/>
  <c r="AL10" i="2"/>
  <c r="K10" i="55" s="1"/>
  <c r="AL9" i="2"/>
  <c r="K9" i="55" s="1"/>
  <c r="AL8" i="2"/>
  <c r="K8" i="55" s="1"/>
  <c r="AL7" i="2"/>
  <c r="K7" i="55" s="1"/>
  <c r="AL6" i="2"/>
  <c r="K6" i="55" s="1"/>
  <c r="AL5" i="2"/>
  <c r="K5" i="55" s="1"/>
  <c r="AL4" i="2"/>
  <c r="K4" i="55" s="1"/>
  <c r="AL3" i="2"/>
  <c r="K3" i="55" s="1"/>
  <c r="AL2" i="2"/>
  <c r="K2" i="55" s="1"/>
  <c r="IJ14" i="18"/>
  <c r="II14" i="18" s="1"/>
  <c r="IJ15" i="18"/>
  <c r="II15" i="18" s="1"/>
  <c r="IJ16" i="18"/>
  <c r="AM10" i="2" s="1"/>
  <c r="IJ17" i="18"/>
  <c r="AM11" i="2" s="1"/>
  <c r="IJ18" i="18"/>
  <c r="AM12" i="2" s="1"/>
  <c r="IJ19" i="18"/>
  <c r="AM13" i="2" s="1"/>
  <c r="IJ20" i="18"/>
  <c r="AM14" i="2" s="1"/>
  <c r="IJ21" i="18"/>
  <c r="II21" i="18" s="1"/>
  <c r="IJ22" i="18"/>
  <c r="II22" i="18" s="1"/>
  <c r="IJ23" i="18"/>
  <c r="II23" i="18" s="1"/>
  <c r="IJ24" i="18"/>
  <c r="AM18" i="2" s="1"/>
  <c r="IJ25" i="18"/>
  <c r="AM19" i="2" s="1"/>
  <c r="IJ26" i="18"/>
  <c r="AM20" i="2" s="1"/>
  <c r="IJ27" i="18"/>
  <c r="AM21" i="2" s="1"/>
  <c r="IJ28" i="18"/>
  <c r="AM22" i="2" s="1"/>
  <c r="IJ29" i="18"/>
  <c r="II29" i="18" s="1"/>
  <c r="IJ30" i="18"/>
  <c r="II30" i="18" s="1"/>
  <c r="IJ31" i="18"/>
  <c r="II31" i="18" s="1"/>
  <c r="IJ32" i="18"/>
  <c r="AM26" i="2" s="1"/>
  <c r="IJ33" i="18"/>
  <c r="AM27" i="2" s="1"/>
  <c r="IJ34" i="18"/>
  <c r="AM28" i="2" s="1"/>
  <c r="IJ35" i="18"/>
  <c r="AM29" i="2" s="1"/>
  <c r="IJ36" i="18"/>
  <c r="AM30" i="2" s="1"/>
  <c r="IJ37" i="18"/>
  <c r="II37" i="18" s="1"/>
  <c r="IJ38" i="18"/>
  <c r="II38" i="18" s="1"/>
  <c r="IJ39" i="18"/>
  <c r="II39" i="18" s="1"/>
  <c r="IJ40" i="18"/>
  <c r="AM34" i="2" s="1"/>
  <c r="IJ41" i="18"/>
  <c r="AM35" i="2" s="1"/>
  <c r="IJ42" i="18"/>
  <c r="AM36" i="2" s="1"/>
  <c r="IJ43" i="18"/>
  <c r="AM37" i="2" s="1"/>
  <c r="IJ44" i="18"/>
  <c r="AM38" i="2" s="1"/>
  <c r="IJ45" i="18"/>
  <c r="II45" i="18" s="1"/>
  <c r="IJ46" i="18"/>
  <c r="II46" i="18" s="1"/>
  <c r="IJ47" i="18"/>
  <c r="II47" i="18" s="1"/>
  <c r="IJ48" i="18"/>
  <c r="AM42" i="2" s="1"/>
  <c r="IJ49" i="18"/>
  <c r="AM43" i="2" s="1"/>
  <c r="IJ50" i="18"/>
  <c r="AM44" i="2" s="1"/>
  <c r="IJ51" i="18"/>
  <c r="AM45" i="2" s="1"/>
  <c r="IJ52" i="18"/>
  <c r="AM46" i="2" s="1"/>
  <c r="IJ53" i="18"/>
  <c r="AM47" i="2" s="1"/>
  <c r="IJ54" i="18"/>
  <c r="IJ55" i="18"/>
  <c r="IJ56" i="18"/>
  <c r="IJ57" i="18"/>
  <c r="IJ58" i="18"/>
  <c r="IJ59" i="18"/>
  <c r="IJ60" i="18"/>
  <c r="IJ61" i="18"/>
  <c r="IJ62" i="18"/>
  <c r="IJ63" i="18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6" i="18"/>
  <c r="A5" i="18" s="1"/>
  <c r="A4" i="18" s="1"/>
  <c r="A3" i="18" s="1"/>
  <c r="A2" i="18" s="1"/>
  <c r="A7" i="18"/>
  <c r="E42" i="55"/>
  <c r="S42" i="11"/>
  <c r="I42" i="55" s="1"/>
  <c r="K42" i="11"/>
  <c r="D42" i="55" s="1"/>
  <c r="J42" i="11"/>
  <c r="H42" i="55" s="1"/>
  <c r="D42" i="11"/>
  <c r="R42" i="11"/>
  <c r="C42" i="55" s="1"/>
  <c r="A3" i="55"/>
  <c r="A4" i="55" s="1"/>
  <c r="A5" i="55" s="1"/>
  <c r="A6" i="55" s="1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A36" i="55" s="1"/>
  <c r="A37" i="55" s="1"/>
  <c r="A38" i="55" s="1"/>
  <c r="A39" i="55" s="1"/>
  <c r="A40" i="55" s="1"/>
  <c r="A41" i="55" s="1"/>
  <c r="A42" i="55" s="1"/>
  <c r="IJ13" i="18" l="1"/>
  <c r="K6" i="18"/>
  <c r="S6" i="18"/>
  <c r="AQ6" i="18"/>
  <c r="CE6" i="18"/>
  <c r="G6" i="18"/>
  <c r="O6" i="18"/>
  <c r="W6" i="18"/>
  <c r="BK6" i="18"/>
  <c r="C6" i="18"/>
  <c r="II43" i="18"/>
  <c r="II35" i="18"/>
  <c r="II27" i="18"/>
  <c r="II19" i="18"/>
  <c r="AM15" i="2"/>
  <c r="AM23" i="2"/>
  <c r="AM31" i="2"/>
  <c r="AM39" i="2"/>
  <c r="II42" i="18"/>
  <c r="II34" i="18"/>
  <c r="II26" i="18"/>
  <c r="II18" i="18"/>
  <c r="AM8" i="2"/>
  <c r="AM16" i="2"/>
  <c r="AM24" i="2"/>
  <c r="AM32" i="2"/>
  <c r="AM40" i="2"/>
  <c r="II41" i="18"/>
  <c r="II33" i="18"/>
  <c r="II25" i="18"/>
  <c r="II17" i="18"/>
  <c r="AM9" i="2"/>
  <c r="AM17" i="2"/>
  <c r="AM25" i="2"/>
  <c r="AM33" i="2"/>
  <c r="AM41" i="2"/>
  <c r="II40" i="18"/>
  <c r="II32" i="18"/>
  <c r="II24" i="18"/>
  <c r="II16" i="18"/>
  <c r="II44" i="18"/>
  <c r="II36" i="18"/>
  <c r="II28" i="18"/>
  <c r="II20" i="18"/>
  <c r="BK5" i="18" l="1"/>
  <c r="CE5" i="18"/>
  <c r="W5" i="18"/>
  <c r="AQ5" i="18"/>
  <c r="S5" i="18"/>
  <c r="K5" i="18"/>
  <c r="O5" i="18"/>
  <c r="IJ12" i="18"/>
  <c r="C5" i="18"/>
  <c r="G5" i="18"/>
  <c r="II13" i="18"/>
  <c r="AM7" i="2"/>
  <c r="W4" i="18" l="1"/>
  <c r="W3" i="18" s="1"/>
  <c r="W2" i="18" s="1"/>
  <c r="K4" i="18"/>
  <c r="K3" i="18" s="1"/>
  <c r="K2" i="18" s="1"/>
  <c r="AQ4" i="18"/>
  <c r="AQ3" i="18" s="1"/>
  <c r="AQ2" i="18" s="1"/>
  <c r="G4" i="18"/>
  <c r="G3" i="18" s="1"/>
  <c r="G2" i="18" s="1"/>
  <c r="IJ11" i="18"/>
  <c r="C4" i="18"/>
  <c r="S4" i="18"/>
  <c r="S3" i="18" s="1"/>
  <c r="S2" i="18" s="1"/>
  <c r="AM6" i="2"/>
  <c r="II12" i="18"/>
  <c r="O4" i="18"/>
  <c r="O3" i="18" s="1"/>
  <c r="O2" i="18" s="1"/>
  <c r="CE4" i="18"/>
  <c r="CE3" i="18" s="1"/>
  <c r="CE2" i="18" s="1"/>
  <c r="BK4" i="18"/>
  <c r="BK3" i="18" s="1"/>
  <c r="BK2" i="18" s="1"/>
  <c r="IJ10" i="18" l="1"/>
  <c r="C3" i="18"/>
  <c r="AM5" i="2"/>
  <c r="II11" i="18"/>
  <c r="IJ9" i="18" l="1"/>
  <c r="C2" i="18"/>
  <c r="IJ8" i="18" s="1"/>
  <c r="AM4" i="2"/>
  <c r="II10" i="18"/>
  <c r="E41" i="55"/>
  <c r="E40" i="55"/>
  <c r="E39" i="55"/>
  <c r="E38" i="55"/>
  <c r="E37" i="55"/>
  <c r="E36" i="55"/>
  <c r="E35" i="55"/>
  <c r="E34" i="55"/>
  <c r="E33" i="55"/>
  <c r="E32" i="55"/>
  <c r="E31" i="55"/>
  <c r="E30" i="55"/>
  <c r="E29" i="55"/>
  <c r="E28" i="55"/>
  <c r="E27" i="55"/>
  <c r="E26" i="55"/>
  <c r="E25" i="55"/>
  <c r="E24" i="55"/>
  <c r="E23" i="55"/>
  <c r="E22" i="55"/>
  <c r="E21" i="55"/>
  <c r="E20" i="55"/>
  <c r="E19" i="55"/>
  <c r="E18" i="55"/>
  <c r="E17" i="55"/>
  <c r="E16" i="55"/>
  <c r="E15" i="55"/>
  <c r="E14" i="55"/>
  <c r="E13" i="55"/>
  <c r="E12" i="55"/>
  <c r="E11" i="55"/>
  <c r="E10" i="55"/>
  <c r="E9" i="55"/>
  <c r="E8" i="55"/>
  <c r="E7" i="55"/>
  <c r="E6" i="55"/>
  <c r="E5" i="55"/>
  <c r="E4" i="55"/>
  <c r="E2" i="55"/>
  <c r="E3" i="55" l="1"/>
  <c r="AM3" i="2"/>
  <c r="II9" i="18"/>
  <c r="II8" i="18"/>
  <c r="G4" i="55" s="1"/>
  <c r="AM2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F3" i="55" l="1"/>
  <c r="G3" i="55"/>
  <c r="F39" i="55"/>
  <c r="F34" i="55"/>
  <c r="F24" i="55"/>
  <c r="F29" i="55"/>
  <c r="F42" i="55"/>
  <c r="F32" i="55"/>
  <c r="F25" i="55"/>
  <c r="F28" i="55"/>
  <c r="F33" i="55"/>
  <c r="F37" i="55"/>
  <c r="F36" i="55"/>
  <c r="F27" i="55"/>
  <c r="F31" i="55"/>
  <c r="F26" i="55"/>
  <c r="F30" i="55"/>
  <c r="F35" i="55"/>
  <c r="F38" i="55"/>
  <c r="F41" i="55"/>
  <c r="F40" i="55"/>
  <c r="F23" i="55"/>
  <c r="F6" i="55"/>
  <c r="F22" i="55"/>
  <c r="F21" i="55"/>
  <c r="F20" i="55"/>
  <c r="F19" i="55"/>
  <c r="F18" i="55"/>
  <c r="F14" i="55"/>
  <c r="F11" i="55"/>
  <c r="F17" i="55"/>
  <c r="F12" i="55"/>
  <c r="F15" i="55"/>
  <c r="F4" i="55"/>
  <c r="F5" i="55"/>
  <c r="F7" i="55"/>
  <c r="F13" i="55"/>
  <c r="F8" i="55"/>
  <c r="F10" i="55"/>
  <c r="F9" i="55"/>
  <c r="F2" i="55"/>
  <c r="F16" i="55"/>
  <c r="G23" i="55"/>
  <c r="G37" i="55"/>
  <c r="G35" i="55"/>
  <c r="G31" i="55"/>
  <c r="G34" i="55"/>
  <c r="G39" i="55"/>
  <c r="G42" i="55"/>
  <c r="G40" i="55"/>
  <c r="G33" i="55"/>
  <c r="G27" i="55"/>
  <c r="G32" i="55"/>
  <c r="G36" i="55"/>
  <c r="G25" i="55"/>
  <c r="G24" i="55"/>
  <c r="G41" i="55"/>
  <c r="G19" i="55"/>
  <c r="G14" i="55"/>
  <c r="G9" i="55"/>
  <c r="G12" i="55"/>
  <c r="G7" i="55"/>
  <c r="G30" i="55"/>
  <c r="G8" i="55"/>
  <c r="G22" i="55"/>
  <c r="G2" i="55"/>
  <c r="G28" i="55"/>
  <c r="G38" i="55"/>
  <c r="G20" i="55"/>
  <c r="G15" i="55"/>
  <c r="G26" i="55"/>
  <c r="G21" i="55"/>
  <c r="G11" i="55"/>
  <c r="G29" i="55"/>
  <c r="G17" i="55"/>
  <c r="G13" i="55"/>
  <c r="G16" i="55"/>
  <c r="G10" i="55"/>
  <c r="G18" i="55"/>
  <c r="G6" i="55"/>
  <c r="G5" i="55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P2" i="11"/>
  <c r="K41" i="11"/>
  <c r="D41" i="55" s="1"/>
  <c r="K40" i="11"/>
  <c r="D40" i="55" s="1"/>
  <c r="K39" i="11"/>
  <c r="D39" i="55" s="1"/>
  <c r="K38" i="11"/>
  <c r="D38" i="55" s="1"/>
  <c r="K37" i="11"/>
  <c r="D37" i="55" s="1"/>
  <c r="K36" i="11"/>
  <c r="D36" i="55" s="1"/>
  <c r="K35" i="11"/>
  <c r="D35" i="55" s="1"/>
  <c r="K34" i="11"/>
  <c r="D34" i="55" s="1"/>
  <c r="K33" i="11"/>
  <c r="D33" i="55" s="1"/>
  <c r="K32" i="11"/>
  <c r="D32" i="55" s="1"/>
  <c r="K31" i="11"/>
  <c r="D31" i="55" s="1"/>
  <c r="K30" i="11"/>
  <c r="D30" i="55" s="1"/>
  <c r="K29" i="11"/>
  <c r="D29" i="55" s="1"/>
  <c r="K28" i="11"/>
  <c r="D28" i="55" s="1"/>
  <c r="K27" i="11"/>
  <c r="D27" i="55" s="1"/>
  <c r="K26" i="11"/>
  <c r="D26" i="55" s="1"/>
  <c r="K25" i="11"/>
  <c r="D25" i="55" s="1"/>
  <c r="K24" i="11"/>
  <c r="D24" i="55" s="1"/>
  <c r="K23" i="11"/>
  <c r="D23" i="55" s="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C3" i="11"/>
  <c r="J3" i="55" s="1"/>
  <c r="D3" i="11"/>
  <c r="E3" i="11"/>
  <c r="F3" i="11"/>
  <c r="G3" i="11"/>
  <c r="H3" i="11"/>
  <c r="B4" i="11"/>
  <c r="C4" i="11"/>
  <c r="J4" i="55" s="1"/>
  <c r="D4" i="11"/>
  <c r="E4" i="11"/>
  <c r="F4" i="11"/>
  <c r="G4" i="11"/>
  <c r="H4" i="11"/>
  <c r="B5" i="11"/>
  <c r="C5" i="11"/>
  <c r="J5" i="55" s="1"/>
  <c r="D5" i="11"/>
  <c r="E5" i="11"/>
  <c r="F5" i="11"/>
  <c r="G5" i="11"/>
  <c r="H5" i="11"/>
  <c r="B6" i="11"/>
  <c r="C6" i="11"/>
  <c r="J6" i="55" s="1"/>
  <c r="D6" i="11"/>
  <c r="E6" i="11"/>
  <c r="F6" i="11"/>
  <c r="G6" i="11"/>
  <c r="H6" i="11"/>
  <c r="B7" i="11"/>
  <c r="C7" i="11"/>
  <c r="J7" i="55" s="1"/>
  <c r="D7" i="11"/>
  <c r="E7" i="11"/>
  <c r="F7" i="11"/>
  <c r="G7" i="11"/>
  <c r="H7" i="11"/>
  <c r="B8" i="11"/>
  <c r="C8" i="11"/>
  <c r="J8" i="55" s="1"/>
  <c r="D8" i="11"/>
  <c r="E8" i="11"/>
  <c r="F8" i="11"/>
  <c r="G8" i="11"/>
  <c r="H8" i="11"/>
  <c r="B9" i="11"/>
  <c r="C9" i="11"/>
  <c r="J9" i="55" s="1"/>
  <c r="D9" i="11"/>
  <c r="E9" i="11"/>
  <c r="F9" i="11"/>
  <c r="G9" i="11"/>
  <c r="H9" i="11"/>
  <c r="B10" i="11"/>
  <c r="C10" i="11"/>
  <c r="J10" i="55" s="1"/>
  <c r="D10" i="11"/>
  <c r="E10" i="11"/>
  <c r="F10" i="11"/>
  <c r="G10" i="11"/>
  <c r="H10" i="11"/>
  <c r="B11" i="11"/>
  <c r="C11" i="11"/>
  <c r="J11" i="55" s="1"/>
  <c r="D11" i="11"/>
  <c r="E11" i="11"/>
  <c r="F11" i="11"/>
  <c r="G11" i="11"/>
  <c r="H11" i="11"/>
  <c r="B12" i="11"/>
  <c r="C12" i="11"/>
  <c r="J12" i="55" s="1"/>
  <c r="D12" i="11"/>
  <c r="E12" i="11"/>
  <c r="F12" i="11"/>
  <c r="G12" i="11"/>
  <c r="H12" i="11"/>
  <c r="B13" i="11"/>
  <c r="C13" i="11"/>
  <c r="J13" i="55" s="1"/>
  <c r="D13" i="11"/>
  <c r="E13" i="11"/>
  <c r="F13" i="11"/>
  <c r="G13" i="11"/>
  <c r="H13" i="11"/>
  <c r="B14" i="11"/>
  <c r="C14" i="11"/>
  <c r="J14" i="55" s="1"/>
  <c r="D14" i="11"/>
  <c r="E14" i="11"/>
  <c r="F14" i="11"/>
  <c r="G14" i="11"/>
  <c r="H14" i="11"/>
  <c r="B15" i="11"/>
  <c r="C15" i="11"/>
  <c r="J15" i="55" s="1"/>
  <c r="D15" i="11"/>
  <c r="E15" i="11"/>
  <c r="F15" i="11"/>
  <c r="G15" i="11"/>
  <c r="H15" i="11"/>
  <c r="B16" i="11"/>
  <c r="C16" i="11"/>
  <c r="J16" i="55" s="1"/>
  <c r="D16" i="11"/>
  <c r="E16" i="11"/>
  <c r="F16" i="11"/>
  <c r="G16" i="11"/>
  <c r="H16" i="11"/>
  <c r="B17" i="11"/>
  <c r="C17" i="11"/>
  <c r="J17" i="55" s="1"/>
  <c r="D17" i="11"/>
  <c r="E17" i="11"/>
  <c r="F17" i="11"/>
  <c r="G17" i="11"/>
  <c r="H17" i="11"/>
  <c r="B18" i="11"/>
  <c r="C18" i="11"/>
  <c r="J18" i="55" s="1"/>
  <c r="D18" i="11"/>
  <c r="E18" i="11"/>
  <c r="F18" i="11"/>
  <c r="G18" i="11"/>
  <c r="H18" i="11"/>
  <c r="B19" i="11"/>
  <c r="C19" i="11"/>
  <c r="J19" i="55" s="1"/>
  <c r="D19" i="11"/>
  <c r="E19" i="11"/>
  <c r="F19" i="11"/>
  <c r="G19" i="11"/>
  <c r="H19" i="11"/>
  <c r="B20" i="11"/>
  <c r="C20" i="11"/>
  <c r="J20" i="55" s="1"/>
  <c r="D20" i="11"/>
  <c r="E20" i="11"/>
  <c r="F20" i="11"/>
  <c r="G20" i="11"/>
  <c r="H20" i="11"/>
  <c r="B21" i="11"/>
  <c r="C21" i="11"/>
  <c r="J21" i="55" s="1"/>
  <c r="D21" i="11"/>
  <c r="E21" i="11"/>
  <c r="F21" i="11"/>
  <c r="G21" i="11"/>
  <c r="H21" i="11"/>
  <c r="B22" i="11"/>
  <c r="C22" i="11"/>
  <c r="J22" i="55" s="1"/>
  <c r="D22" i="11"/>
  <c r="E22" i="11"/>
  <c r="F22" i="11"/>
  <c r="G22" i="11"/>
  <c r="H22" i="11"/>
  <c r="B23" i="11"/>
  <c r="C23" i="11"/>
  <c r="J23" i="55" s="1"/>
  <c r="D23" i="11"/>
  <c r="E23" i="11"/>
  <c r="F23" i="11"/>
  <c r="G23" i="11"/>
  <c r="H23" i="11"/>
  <c r="B24" i="11"/>
  <c r="C24" i="11"/>
  <c r="J24" i="55" s="1"/>
  <c r="D24" i="11"/>
  <c r="E24" i="11"/>
  <c r="F24" i="11"/>
  <c r="G24" i="11"/>
  <c r="H24" i="11"/>
  <c r="B25" i="11"/>
  <c r="C25" i="11"/>
  <c r="J25" i="55" s="1"/>
  <c r="D25" i="11"/>
  <c r="E25" i="11"/>
  <c r="F25" i="11"/>
  <c r="G25" i="11"/>
  <c r="H25" i="11"/>
  <c r="B26" i="11"/>
  <c r="C26" i="11"/>
  <c r="J26" i="55" s="1"/>
  <c r="D26" i="11"/>
  <c r="E26" i="11"/>
  <c r="F26" i="11"/>
  <c r="G26" i="11"/>
  <c r="H26" i="11"/>
  <c r="B27" i="11"/>
  <c r="C27" i="11"/>
  <c r="J27" i="55" s="1"/>
  <c r="D27" i="11"/>
  <c r="E27" i="11"/>
  <c r="F27" i="11"/>
  <c r="G27" i="11"/>
  <c r="H27" i="11"/>
  <c r="B28" i="11"/>
  <c r="C28" i="11"/>
  <c r="J28" i="55" s="1"/>
  <c r="D28" i="11"/>
  <c r="E28" i="11"/>
  <c r="F28" i="11"/>
  <c r="G28" i="11"/>
  <c r="H28" i="11"/>
  <c r="B29" i="11"/>
  <c r="C29" i="11"/>
  <c r="J29" i="55" s="1"/>
  <c r="D29" i="11"/>
  <c r="E29" i="11"/>
  <c r="F29" i="11"/>
  <c r="G29" i="11"/>
  <c r="H29" i="11"/>
  <c r="B30" i="11"/>
  <c r="C30" i="11"/>
  <c r="J30" i="55" s="1"/>
  <c r="D30" i="11"/>
  <c r="E30" i="11"/>
  <c r="F30" i="11"/>
  <c r="G30" i="11"/>
  <c r="H30" i="11"/>
  <c r="B31" i="11"/>
  <c r="C31" i="11"/>
  <c r="J31" i="55" s="1"/>
  <c r="D31" i="11"/>
  <c r="E31" i="11"/>
  <c r="F31" i="11"/>
  <c r="G31" i="11"/>
  <c r="H31" i="11"/>
  <c r="B32" i="11"/>
  <c r="C32" i="11"/>
  <c r="J32" i="55" s="1"/>
  <c r="D32" i="11"/>
  <c r="E32" i="11"/>
  <c r="F32" i="11"/>
  <c r="G32" i="11"/>
  <c r="H32" i="11"/>
  <c r="B33" i="11"/>
  <c r="C33" i="11"/>
  <c r="J33" i="55" s="1"/>
  <c r="D33" i="11"/>
  <c r="E33" i="11"/>
  <c r="F33" i="11"/>
  <c r="G33" i="11"/>
  <c r="H33" i="11"/>
  <c r="B34" i="11"/>
  <c r="C34" i="11"/>
  <c r="J34" i="55" s="1"/>
  <c r="D34" i="11"/>
  <c r="E34" i="11"/>
  <c r="F34" i="11"/>
  <c r="G34" i="11"/>
  <c r="H34" i="11"/>
  <c r="B35" i="11"/>
  <c r="C35" i="11"/>
  <c r="J35" i="55" s="1"/>
  <c r="D35" i="11"/>
  <c r="E35" i="11"/>
  <c r="F35" i="11"/>
  <c r="G35" i="11"/>
  <c r="H35" i="11"/>
  <c r="B36" i="11"/>
  <c r="C36" i="11"/>
  <c r="J36" i="55" s="1"/>
  <c r="D36" i="11"/>
  <c r="E36" i="11"/>
  <c r="F36" i="11"/>
  <c r="G36" i="11"/>
  <c r="H36" i="11"/>
  <c r="B37" i="11"/>
  <c r="C37" i="11"/>
  <c r="J37" i="55" s="1"/>
  <c r="D37" i="11"/>
  <c r="E37" i="11"/>
  <c r="F37" i="11"/>
  <c r="G37" i="11"/>
  <c r="H37" i="11"/>
  <c r="B38" i="11"/>
  <c r="C38" i="11"/>
  <c r="J38" i="55" s="1"/>
  <c r="D38" i="11"/>
  <c r="E38" i="11"/>
  <c r="F38" i="11"/>
  <c r="G38" i="11"/>
  <c r="H38" i="11"/>
  <c r="B39" i="11"/>
  <c r="C39" i="11"/>
  <c r="J39" i="55" s="1"/>
  <c r="D39" i="11"/>
  <c r="E39" i="11"/>
  <c r="F39" i="11"/>
  <c r="G39" i="11"/>
  <c r="H39" i="11"/>
  <c r="B40" i="11"/>
  <c r="C40" i="11"/>
  <c r="J40" i="55" s="1"/>
  <c r="D40" i="11"/>
  <c r="E40" i="11"/>
  <c r="F40" i="11"/>
  <c r="G40" i="11"/>
  <c r="H40" i="11"/>
  <c r="B41" i="11"/>
  <c r="C41" i="11"/>
  <c r="J41" i="55" s="1"/>
  <c r="D41" i="11"/>
  <c r="E41" i="11"/>
  <c r="F41" i="11"/>
  <c r="G41" i="11"/>
  <c r="H41" i="11"/>
  <c r="H2" i="11"/>
  <c r="E2" i="11"/>
  <c r="G2" i="11"/>
  <c r="F2" i="11"/>
  <c r="D2" i="11"/>
  <c r="C2" i="11"/>
  <c r="J2" i="55" s="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I23" i="55" s="1"/>
  <c r="S24" i="11"/>
  <c r="I24" i="55" s="1"/>
  <c r="S25" i="11"/>
  <c r="I25" i="55" s="1"/>
  <c r="S26" i="11"/>
  <c r="I26" i="55" s="1"/>
  <c r="S27" i="11"/>
  <c r="I27" i="55" s="1"/>
  <c r="S28" i="11"/>
  <c r="I28" i="55" s="1"/>
  <c r="S29" i="11"/>
  <c r="I29" i="55" s="1"/>
  <c r="S30" i="11"/>
  <c r="I30" i="55" s="1"/>
  <c r="S31" i="11"/>
  <c r="I31" i="55" s="1"/>
  <c r="S32" i="11"/>
  <c r="I32" i="55" s="1"/>
  <c r="S33" i="11"/>
  <c r="I33" i="55" s="1"/>
  <c r="S34" i="11"/>
  <c r="I34" i="55" s="1"/>
  <c r="S35" i="11"/>
  <c r="I35" i="55" s="1"/>
  <c r="S36" i="11"/>
  <c r="I36" i="55" s="1"/>
  <c r="S37" i="11"/>
  <c r="I37" i="55" s="1"/>
  <c r="S38" i="11"/>
  <c r="I38" i="55" s="1"/>
  <c r="S39" i="11"/>
  <c r="I39" i="55" s="1"/>
  <c r="S40" i="11"/>
  <c r="I40" i="55" s="1"/>
  <c r="S41" i="11"/>
  <c r="I41" i="55" s="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H23" i="55" s="1"/>
  <c r="J24" i="11"/>
  <c r="H24" i="55" s="1"/>
  <c r="J25" i="11"/>
  <c r="H25" i="55" s="1"/>
  <c r="J26" i="11"/>
  <c r="H26" i="55" s="1"/>
  <c r="J27" i="11"/>
  <c r="H27" i="55" s="1"/>
  <c r="J28" i="11"/>
  <c r="H28" i="55" s="1"/>
  <c r="J29" i="11"/>
  <c r="H29" i="55" s="1"/>
  <c r="J30" i="11"/>
  <c r="H30" i="55" s="1"/>
  <c r="J31" i="11"/>
  <c r="H31" i="55" s="1"/>
  <c r="J32" i="11"/>
  <c r="H32" i="55" s="1"/>
  <c r="J33" i="11"/>
  <c r="H33" i="55" s="1"/>
  <c r="J34" i="11"/>
  <c r="H34" i="55" s="1"/>
  <c r="J35" i="11"/>
  <c r="H35" i="55" s="1"/>
  <c r="J36" i="11"/>
  <c r="H36" i="55" s="1"/>
  <c r="J37" i="11"/>
  <c r="H37" i="55" s="1"/>
  <c r="J38" i="11"/>
  <c r="H38" i="55" s="1"/>
  <c r="J39" i="11"/>
  <c r="H39" i="55" s="1"/>
  <c r="J40" i="11"/>
  <c r="H40" i="55" s="1"/>
  <c r="J41" i="11"/>
  <c r="H41" i="55" s="1"/>
  <c r="J2" i="11"/>
  <c r="H2" i="55" s="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R2" i="11"/>
  <c r="C2" i="55" s="1"/>
  <c r="R41" i="11"/>
  <c r="C41" i="55" s="1"/>
  <c r="R40" i="11"/>
  <c r="C40" i="55" s="1"/>
  <c r="R39" i="11"/>
  <c r="C39" i="55" s="1"/>
  <c r="R38" i="11"/>
  <c r="C38" i="55" s="1"/>
  <c r="R37" i="11"/>
  <c r="C37" i="55" s="1"/>
  <c r="R36" i="11"/>
  <c r="C36" i="55" s="1"/>
  <c r="R35" i="11"/>
  <c r="C35" i="55" s="1"/>
  <c r="R34" i="11"/>
  <c r="C34" i="55" s="1"/>
  <c r="R33" i="11"/>
  <c r="C33" i="55" s="1"/>
  <c r="R32" i="11"/>
  <c r="C32" i="55" s="1"/>
  <c r="R31" i="11"/>
  <c r="C31" i="55" s="1"/>
  <c r="R30" i="11"/>
  <c r="C30" i="55" s="1"/>
  <c r="R29" i="11"/>
  <c r="C29" i="55" s="1"/>
  <c r="R28" i="11"/>
  <c r="C28" i="55" s="1"/>
  <c r="R27" i="11"/>
  <c r="C27" i="55" s="1"/>
  <c r="R26" i="11"/>
  <c r="C26" i="55" s="1"/>
  <c r="R25" i="11"/>
  <c r="C25" i="55" s="1"/>
  <c r="R24" i="11"/>
  <c r="C24" i="55" s="1"/>
  <c r="R23" i="11"/>
  <c r="C23" i="55" s="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<sst xmlns="http://schemas.openxmlformats.org/spreadsheetml/2006/main" count="321" uniqueCount="301">
  <si>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</si>
  <si>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</si>
  <si>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</si>
  <si>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</si>
  <si>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</si>
  <si>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</si>
  <si>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</si>
  <si>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</si>
  <si>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</si>
  <si>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</si>
  <si>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</si>
  <si>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</si>
  <si>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</si>
  <si>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</si>
  <si>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</si>
  <si>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</si>
  <si>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</si>
  <si>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</si>
  <si>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</si>
  <si>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</si>
  <si>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</si>
  <si>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</si>
  <si>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</si>
  <si>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</si>
  <si>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</si>
  <si>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</si>
  <si>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</si>
  <si>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</si>
  <si>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</si>
  <si>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</si>
  <si>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</si>
  <si>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</si>
  <si>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</si>
  <si>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</si>
  <si>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</si>
  <si>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</si>
  <si>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</si>
  <si>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</si>
  <si>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</si>
  <si>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</si>
  <si>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</si>
  <si>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</si>
  <si>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</si>
  <si>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</si>
  <si>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</si>
  <si>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</si>
  <si>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</si>
  <si>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</si>
  <si>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</si>
  <si>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</si>
  <si>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</si>
  <si>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</si>
  <si>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</si>
  <si>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</si>
  <si>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</si>
  <si>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</si>
  <si>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</si>
  <si>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</si>
  <si>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</si>
  <si>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</si>
  <si>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</si>
  <si>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</si>
  <si>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</si>
  <si>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</si>
  <si>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</si>
  <si>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</si>
  <si>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</si>
  <si>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</si>
  <si>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</si>
  <si>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</si>
  <si>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</si>
  <si>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</si>
  <si>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</si>
  <si>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</si>
  <si>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</si>
  <si>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</si>
  <si>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</si>
  <si>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</si>
  <si>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</si>
  <si>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</si>
  <si>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</si>
  <si>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</si>
  <si>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</si>
  <si>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</si>
  <si>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</si>
  <si>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</si>
  <si>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</si>
  <si>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</si>
  <si>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</si>
  <si>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</si>
  <si>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</si>
  <si>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</si>
  <si>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</si>
  <si>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</si>
  <si>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</si>
  <si>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</si>
  <si>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</si>
  <si>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</si>
  <si>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</si>
  <si>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</si>
  <si>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</si>
  <si>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</si>
  <si>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</si>
  <si>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</si>
  <si>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</si>
  <si>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</si>
  <si>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</si>
  <si>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</si>
  <si>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</si>
  <si>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</si>
  <si>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</si>
  <si>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</si>
  <si>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</si>
  <si>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</si>
  <si>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</si>
  <si>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</si>
  <si>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</si>
  <si>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</si>
  <si>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</si>
  <si>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</si>
  <si>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</si>
  <si>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</si>
  <si>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</si>
  <si>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</si>
  <si>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</si>
  <si>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</si>
  <si>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</si>
  <si>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</si>
  <si>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</si>
  <si>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</si>
  <si>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</si>
  <si>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</si>
  <si>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</si>
  <si>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</si>
  <si>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</si>
  <si>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</si>
  <si>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</si>
  <si>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</si>
  <si>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</si>
  <si>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</si>
  <si>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</si>
  <si>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</si>
  <si>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</si>
  <si>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</si>
  <si>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</si>
  <si>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</si>
  <si>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</si>
  <si>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</si>
  <si>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</si>
  <si>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</si>
  <si>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</si>
  <si>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</si>
  <si>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</si>
  <si>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</si>
  <si>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</si>
  <si>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</si>
  <si>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</si>
  <si>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</si>
  <si>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</si>
  <si>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</si>
  <si>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</si>
  <si>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</si>
  <si>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</si>
  <si>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</si>
  <si>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</si>
  <si>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</si>
  <si>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</si>
  <si>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</si>
  <si>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</si>
  <si>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</si>
  <si>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</si>
  <si>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</si>
  <si>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</si>
  <si>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</si>
  <si>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</si>
  <si>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</si>
  <si>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</si>
  <si>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</si>
  <si>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</si>
  <si>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</si>
  <si>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</si>
  <si>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</si>
  <si>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</si>
  <si>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</si>
  <si>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</si>
  <si>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</si>
  <si>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</si>
  <si>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</si>
  <si>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</si>
  <si>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</si>
  <si>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</si>
  <si>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</si>
  <si>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</si>
  <si>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</si>
  <si>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</si>
  <si>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</si>
  <si>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</si>
  <si>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</si>
  <si>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</si>
  <si>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</si>
  <si>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</si>
  <si>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</si>
  <si>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</si>
  <si>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</si>
  <si>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</si>
  <si>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</si>
  <si>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</si>
  <si>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</si>
  <si>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</si>
  <si>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</si>
  <si>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</si>
  <si>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</si>
  <si>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</si>
  <si>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</si>
  <si>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</si>
  <si>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</si>
  <si>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</si>
  <si>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</si>
  <si>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</si>
  <si>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</si>
  <si>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</si>
  <si>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</si>
  <si>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</si>
  <si>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</si>
  <si>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</si>
  <si>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</si>
  <si>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</si>
  <si>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</si>
  <si>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</si>
  <si>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</si>
  <si>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</si>
  <si>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</si>
  <si>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</si>
  <si>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</si>
  <si>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</si>
  <si>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</si>
  <si>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</si>
  <si>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</si>
  <si>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</si>
  <si>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</si>
  <si>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</si>
  <si>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</si>
  <si>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</si>
  <si>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</si>
  <si>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</si>
  <si>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</si>
  <si>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</si>
  <si>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</si>
  <si>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</si>
  <si>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</si>
  <si>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</si>
  <si>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</si>
  <si>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</si>
  <si>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</si>
  <si>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</si>
  <si>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</si>
  <si>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</si>
  <si>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</si>
  <si>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</si>
  <si>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</si>
  <si>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</si>
  <si>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</si>
  <si>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</si>
  <si>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</si>
  <si>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</si>
  <si>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</si>
  <si>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</si>
  <si>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</si>
  <si>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</si>
  <si>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</si>
  <si>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</si>
  <si>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</si>
  <si>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</si>
  <si>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</si>
  <si>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</si>
  <si>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</si>
  <si>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</si>
  <si>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</si>
  <si>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</si>
  <si>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</si>
  <si>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</si>
  <si>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</si>
  <si>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</si>
  <si>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</si>
  <si>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</si>
  <si>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</si>
  <si>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</si>
  <si>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total firms for normalization</t>
  </si>
  <si>
    <t>shock psi</t>
  </si>
  <si>
    <t>Firm subject to shutdown</t>
  </si>
  <si>
    <t>shock shutdown</t>
  </si>
  <si>
    <t>psi_c</t>
  </si>
  <si>
    <t>collat_binding</t>
  </si>
  <si>
    <t>output shutdown</t>
  </si>
  <si>
    <t>employment shutdown</t>
  </si>
  <si>
    <t>firm debt to output shutdown</t>
  </si>
  <si>
    <t>firm entry shutdown</t>
  </si>
  <si>
    <t>firm exit shutdown</t>
  </si>
  <si>
    <t>consumption shutdown</t>
  </si>
  <si>
    <t>investment shutdown</t>
  </si>
  <si>
    <t>labor productivity shutdown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</si>
</sst>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  <xf numFmtId="0" fontId="3" fillId="2" borderId="0" xfId="0" applyFont="1" applyFill="1"/>
    <xf numFmtId="1" fontId="3" fillId="2" borderId="0" xfId="0" applyNumberFormat="1" applyFont="1" applyFill="1"/>
    <xf numFmtId="2" fontId="3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1"/>
  <sheetViews>
    <sheetView zoomScale="90" zoomScaleNormal="90" workbookViewId="0">
      <pane xSplit="1" ySplit="1" topLeftCell="Z2" activePane="bottomRight" state="frozen"/>
      <selection pane="topRight" activeCell="B1" sqref="B1"/>
      <selection pane="bottomLeft" activeCell="A2" sqref="A2"/>
      <selection pane="bottomRight" activeCell="AR8" sqref="AR8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39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48</v>
      </c>
      <c r="H1" s="1" t="s">
        <v>49</v>
      </c>
      <c r="I1" s="1" t="s">
        <v>54</v>
      </c>
      <c r="J1" s="1" t="s">
        <v>11</v>
      </c>
      <c r="K1" s="1" t="s">
        <v>12</v>
      </c>
      <c r="L1" s="1" t="s">
        <v>10</v>
      </c>
      <c r="M1" s="1" t="s">
        <v>50</v>
      </c>
      <c r="N1" s="1" t="s">
        <v>13</v>
      </c>
      <c r="O1" s="1" t="s">
        <v>16</v>
      </c>
      <c r="P1" s="1" t="s">
        <v>18</v>
      </c>
      <c r="Q1" s="1" t="s">
        <v>5</v>
      </c>
      <c r="R1" s="1" t="s">
        <v>14</v>
      </c>
      <c r="S1" s="1" t="s">
        <v>15</v>
      </c>
      <c r="T1" s="1" t="s">
        <v>22</v>
      </c>
      <c r="U1" s="1" t="s">
        <v>17</v>
      </c>
      <c r="V1" s="1" t="s">
        <v>47</v>
      </c>
      <c r="W1" s="1" t="s">
        <v>21</v>
      </c>
      <c r="X1" s="1" t="s">
        <v>40</v>
      </c>
      <c r="Y1" s="1" t="s">
        <v>6</v>
      </c>
      <c r="Z1" s="1" t="s">
        <v>7</v>
      </c>
      <c r="AA1" s="1" t="s">
        <v>8</v>
      </c>
      <c r="AB1" s="1" t="s">
        <v>19</v>
      </c>
      <c r="AC1" s="1" t="s">
        <v>24</v>
      </c>
      <c r="AD1" s="1" t="s">
        <v>31</v>
      </c>
      <c r="AE1" s="1" t="s">
        <v>53</v>
      </c>
      <c r="AF1" s="1" t="s">
        <v>291</v>
      </c>
      <c r="AG1" s="1" t="s">
        <v>292</v>
      </c>
      <c r="AK1" s="1" t="s">
        <v>289</v>
      </c>
      <c r="AL1" s="1" t="s">
        <v>23</v>
      </c>
      <c r="AM1" s="1" t="s">
        <v>52</v>
      </c>
    </row>
    <row r="2" spans="1:39" x14ac:dyDescent="0.35">
      <c r="A2" s="1">
        <v>0</v>
      </c>
      <c r="B2" s="2">
        <v>1</v>
      </c>
      <c r="C2" s="2">
        <v>0.79263700000000004</v>
      </c>
      <c r="D2" s="2">
        <v>0.40354410000000002</v>
      </c>
      <c r="E2" s="2">
        <v>3.2342999999999998E-3</v>
      </c>
      <c r="F2" s="2">
        <v>1</v>
      </c>
      <c r="G2" s="2">
        <v>0.78018900000000002</v>
      </c>
      <c r="H2" s="2">
        <v>0</v>
      </c>
      <c r="I2" s="2">
        <v>0</v>
      </c>
      <c r="J2" s="2">
        <v>2.5286658000000002</v>
      </c>
      <c r="K2" s="2">
        <v>0.99755099999999997</v>
      </c>
      <c r="L2" s="2">
        <v>-4.5981648000000002</v>
      </c>
      <c r="M2" s="2">
        <v>1.0101000000000001E-2</v>
      </c>
      <c r="N2" s="2">
        <v>2.0018584000000001</v>
      </c>
      <c r="O2" s="2">
        <v>0.55909600000000004</v>
      </c>
      <c r="P2" s="9">
        <v>1.0654E-2</v>
      </c>
      <c r="Q2" s="9">
        <v>0.3604869</v>
      </c>
      <c r="R2" s="2">
        <v>3.0906913999999999</v>
      </c>
      <c r="S2" s="2">
        <v>0.55328379999999999</v>
      </c>
      <c r="T2" s="2">
        <v>-1</v>
      </c>
      <c r="U2" s="2">
        <v>1.0653899999999999E-2</v>
      </c>
      <c r="V2" s="2">
        <v>0</v>
      </c>
      <c r="W2" s="2">
        <v>2.6877955999999998</v>
      </c>
      <c r="X2" s="2">
        <v>0.64611940000000001</v>
      </c>
      <c r="Y2" s="2">
        <v>0</v>
      </c>
      <c r="Z2" s="2">
        <v>0</v>
      </c>
      <c r="AA2" s="2">
        <v>-5.7495697000000003</v>
      </c>
      <c r="AB2" s="2">
        <v>33.1899199</v>
      </c>
      <c r="AC2" s="2">
        <v>3.0906913999999999</v>
      </c>
      <c r="AD2" s="2">
        <v>0.55328379999999999</v>
      </c>
      <c r="AE2" s="2">
        <v>8.7417999999999992E-3</v>
      </c>
      <c r="AF2">
        <v>1</v>
      </c>
      <c r="AG2" s="2">
        <v>0</v>
      </c>
      <c r="AH2" s="2"/>
      <c r="AI2" s="2"/>
      <c r="AJ2" s="2"/>
      <c r="AK2" s="2">
        <f>100*0.02753520570695</f>
        <v>2.7535205706949997</v>
      </c>
      <c r="AL2">
        <f>100*(R2/K2-R$2/K$2)</f>
        <v>0</v>
      </c>
      <c r="AM2">
        <f>SUM(output_transition_firms_age!C9:F9)/output_transition_firms_age!IJ8</f>
        <v>0.11498167756396205</v>
      </c>
    </row>
    <row r="3" spans="1:39" x14ac:dyDescent="0.35">
      <c r="A3" s="1">
        <v>1</v>
      </c>
      <c r="B3" s="2">
        <v>1</v>
      </c>
      <c r="C3" s="2">
        <v>1</v>
      </c>
      <c r="D3" s="2">
        <v>0.40354410000000002</v>
      </c>
      <c r="E3" s="2">
        <v>3.2342999999999998E-3</v>
      </c>
      <c r="F3" s="2">
        <v>1</v>
      </c>
      <c r="G3" s="2">
        <v>0.78018900000000002</v>
      </c>
      <c r="H3" s="2">
        <v>0</v>
      </c>
      <c r="I3" s="2">
        <v>0</v>
      </c>
      <c r="J3" s="2">
        <v>2.4854292999999998</v>
      </c>
      <c r="K3" s="2">
        <v>0.81145590000000001</v>
      </c>
      <c r="L3" s="2">
        <v>-4.5981648000000002</v>
      </c>
      <c r="M3" s="2">
        <v>1.0101000000000001E-2</v>
      </c>
      <c r="N3" s="2">
        <v>2.2741685999999999</v>
      </c>
      <c r="O3" s="2">
        <v>0.7128854</v>
      </c>
      <c r="P3" s="2">
        <v>8.2175000000000008E-3</v>
      </c>
      <c r="Q3" s="2">
        <v>0.3604869</v>
      </c>
      <c r="R3" s="2">
        <v>2.6469765000000001</v>
      </c>
      <c r="S3" s="2">
        <v>0.1615472</v>
      </c>
      <c r="T3" s="2">
        <v>-1</v>
      </c>
      <c r="U3" s="2">
        <v>2.5703899999999998E-2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-5.7495697000000003</v>
      </c>
      <c r="AB3" s="2">
        <v>33.157068799999998</v>
      </c>
      <c r="AC3" s="2">
        <v>2.6492141999999999</v>
      </c>
      <c r="AD3" s="2">
        <v>0.16378490000000001</v>
      </c>
      <c r="AE3" s="5">
        <v>0</v>
      </c>
      <c r="AF3">
        <v>1</v>
      </c>
      <c r="AG3" s="2">
        <v>0</v>
      </c>
      <c r="AH3" s="2"/>
      <c r="AI3" s="2"/>
      <c r="AJ3" s="2" t="e">
        <f>100*SUM(AI3:AI41)/AH3</f>
        <v>#DIV/0!</v>
      </c>
      <c r="AK3" s="2">
        <f>AK2*0.5</f>
        <v>1.3767602853474998</v>
      </c>
      <c r="AL3">
        <f t="shared" ref="AL3:AL42" si="0">100*(R3/K3-R$2/K$2)</f>
        <v>16.372997748906968</v>
      </c>
      <c r="AM3">
        <f>SUM(output_transition_firms_age!C10:F10)/output_transition_firms_age!IJ9</f>
        <v>0.10194662326370768</v>
      </c>
    </row>
    <row r="4" spans="1:39" x14ac:dyDescent="0.35">
      <c r="A4" s="1">
        <v>2</v>
      </c>
      <c r="B4" s="2">
        <v>1</v>
      </c>
      <c r="C4" s="2">
        <v>0.89631850000000002</v>
      </c>
      <c r="D4" s="2">
        <v>0.40354410000000002</v>
      </c>
      <c r="E4" s="2">
        <v>3.2342999999999998E-3</v>
      </c>
      <c r="F4" s="2">
        <v>1</v>
      </c>
      <c r="G4" s="2">
        <v>0.78018900000000002</v>
      </c>
      <c r="H4" s="2">
        <v>0</v>
      </c>
      <c r="I4" s="2">
        <v>0</v>
      </c>
      <c r="J4" s="2">
        <v>2.4815363000000001</v>
      </c>
      <c r="K4" s="2">
        <v>0.89005140000000005</v>
      </c>
      <c r="L4" s="2">
        <v>-4.5429909000000004</v>
      </c>
      <c r="M4" s="2">
        <v>7.9968999999999995E-3</v>
      </c>
      <c r="N4" s="2">
        <v>2.1304797</v>
      </c>
      <c r="O4" s="2">
        <v>0.52086829999999995</v>
      </c>
      <c r="P4" s="2">
        <v>9.7630000000000008E-3</v>
      </c>
      <c r="Q4" s="2">
        <v>0.34300049999999999</v>
      </c>
      <c r="R4" s="2">
        <v>2.8340321999999998</v>
      </c>
      <c r="S4" s="2">
        <v>0.35249589999999997</v>
      </c>
      <c r="T4" s="2">
        <v>-1</v>
      </c>
      <c r="U4" s="2">
        <v>8.5588000000000001E-3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-5.6803184</v>
      </c>
      <c r="AB4" s="2">
        <v>32.780485300000002</v>
      </c>
      <c r="AC4" s="2">
        <v>2.8352879999999998</v>
      </c>
      <c r="AD4" s="2">
        <v>0.3537516</v>
      </c>
      <c r="AE4" s="2">
        <v>0</v>
      </c>
      <c r="AF4">
        <v>1</v>
      </c>
      <c r="AG4" s="2">
        <v>0</v>
      </c>
      <c r="AH4" s="2"/>
      <c r="AI4" s="2"/>
      <c r="AJ4" s="2"/>
      <c r="AK4" s="2">
        <f t="shared" ref="AK4:AK47" si="1">AK3*0.5</f>
        <v>0.68838014267374992</v>
      </c>
      <c r="AL4">
        <f t="shared" si="0"/>
        <v>8.5842865229471155</v>
      </c>
      <c r="AM4">
        <f>SUM(output_transition_firms_age!C11:F11)/output_transition_firms_age!IJ10</f>
        <v>0.101292893309417</v>
      </c>
    </row>
    <row r="5" spans="1:39" x14ac:dyDescent="0.35">
      <c r="A5" s="1">
        <v>3</v>
      </c>
      <c r="B5" s="2">
        <v>1</v>
      </c>
      <c r="C5" s="2">
        <v>0.84447779999999995</v>
      </c>
      <c r="D5" s="2">
        <v>0.40354410000000002</v>
      </c>
      <c r="E5" s="2">
        <v>3.2342999999999998E-3</v>
      </c>
      <c r="F5" s="2">
        <v>1</v>
      </c>
      <c r="G5" s="2">
        <v>0.78018900000000002</v>
      </c>
      <c r="H5" s="2">
        <v>0</v>
      </c>
      <c r="I5" s="2">
        <v>0</v>
      </c>
      <c r="J5" s="2">
        <v>2.4804050000000002</v>
      </c>
      <c r="K5" s="2">
        <v>0.93565989999999999</v>
      </c>
      <c r="L5" s="2">
        <v>-4.6321443999999996</v>
      </c>
      <c r="M5" s="2">
        <v>9.3539000000000001E-3</v>
      </c>
      <c r="N5" s="2">
        <v>2.0573342999999999</v>
      </c>
      <c r="O5" s="2">
        <v>0.52002040000000005</v>
      </c>
      <c r="P5" s="2">
        <v>1.0503200000000001E-2</v>
      </c>
      <c r="Q5" s="2">
        <v>0.34420469999999997</v>
      </c>
      <c r="R5" s="2">
        <v>2.9307232999999999</v>
      </c>
      <c r="S5" s="2">
        <v>0.4503183</v>
      </c>
      <c r="T5" s="2">
        <v>-1</v>
      </c>
      <c r="U5" s="2">
        <v>8.3388000000000004E-3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-5.6289265000000004</v>
      </c>
      <c r="AB5" s="2">
        <v>32.5970795</v>
      </c>
      <c r="AC5" s="2">
        <v>2.9313058999999999</v>
      </c>
      <c r="AD5" s="2">
        <v>0.45090089999999999</v>
      </c>
      <c r="AE5" s="2">
        <v>0</v>
      </c>
      <c r="AF5">
        <v>1</v>
      </c>
      <c r="AG5" s="2">
        <v>0</v>
      </c>
      <c r="AH5" s="2"/>
      <c r="AI5" s="2"/>
      <c r="AJ5" s="2"/>
      <c r="AK5" s="2">
        <f t="shared" si="1"/>
        <v>0.34419007133687496</v>
      </c>
      <c r="AL5">
        <f t="shared" si="0"/>
        <v>3.3973670034777026</v>
      </c>
      <c r="AM5">
        <f>SUM(output_transition_firms_age!C12:F12)/output_transition_firms_age!IJ11</f>
        <v>0.10423268815193282</v>
      </c>
    </row>
    <row r="6" spans="1:39" x14ac:dyDescent="0.35">
      <c r="A6" s="1">
        <v>4</v>
      </c>
      <c r="B6" s="2">
        <v>1</v>
      </c>
      <c r="C6" s="2">
        <v>0.81855739999999999</v>
      </c>
      <c r="D6" s="2">
        <v>0.40354410000000002</v>
      </c>
      <c r="E6" s="2">
        <v>3.2342999999999998E-3</v>
      </c>
      <c r="F6" s="2">
        <v>1</v>
      </c>
      <c r="G6" s="2">
        <v>0.78018900000000002</v>
      </c>
      <c r="H6" s="2">
        <v>0</v>
      </c>
      <c r="I6" s="2">
        <v>0</v>
      </c>
      <c r="J6" s="2">
        <v>2.4808737000000001</v>
      </c>
      <c r="K6" s="2">
        <v>0.96146810000000005</v>
      </c>
      <c r="L6" s="2">
        <v>-4.6952357999999998</v>
      </c>
      <c r="M6" s="2">
        <v>9.8402999999999997E-3</v>
      </c>
      <c r="N6" s="2">
        <v>2.0213516</v>
      </c>
      <c r="O6" s="2">
        <v>0.52051349999999996</v>
      </c>
      <c r="P6" s="2">
        <v>1.1070999999999999E-2</v>
      </c>
      <c r="Q6" s="2">
        <v>0.34636919999999999</v>
      </c>
      <c r="R6" s="2">
        <v>2.9828285999999999</v>
      </c>
      <c r="S6" s="2">
        <v>0.50195489999999998</v>
      </c>
      <c r="T6" s="2">
        <v>-1</v>
      </c>
      <c r="U6" s="2">
        <v>8.6286999999999996E-3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-5.5902932999999999</v>
      </c>
      <c r="AB6" s="2">
        <v>32.511523400000002</v>
      </c>
      <c r="AC6" s="2">
        <v>2.9830443999999998</v>
      </c>
      <c r="AD6" s="2">
        <v>0.50217069999999997</v>
      </c>
      <c r="AE6" s="2">
        <v>0</v>
      </c>
      <c r="AF6">
        <v>1</v>
      </c>
      <c r="AG6" s="2">
        <v>0</v>
      </c>
      <c r="AH6" s="2"/>
      <c r="AI6" s="2"/>
      <c r="AJ6" s="2"/>
      <c r="AK6" s="2">
        <f t="shared" si="1"/>
        <v>0.17209503566843748</v>
      </c>
      <c r="AL6">
        <f t="shared" si="0"/>
        <v>0.4089677456255103</v>
      </c>
      <c r="AM6">
        <f>SUM(output_transition_firms_age!C13:F13)/output_transition_firms_age!IJ12</f>
        <v>0.10882993935807353</v>
      </c>
    </row>
    <row r="7" spans="1:39" x14ac:dyDescent="0.35">
      <c r="A7" s="1">
        <v>5</v>
      </c>
      <c r="B7" s="2">
        <v>1</v>
      </c>
      <c r="C7" s="2">
        <v>0.80559720000000001</v>
      </c>
      <c r="D7" s="2">
        <v>0.40354410000000002</v>
      </c>
      <c r="E7" s="2">
        <v>3.2342999999999998E-3</v>
      </c>
      <c r="F7" s="2">
        <v>1</v>
      </c>
      <c r="G7" s="2">
        <v>0.78018900000000002</v>
      </c>
      <c r="H7" s="2">
        <v>0</v>
      </c>
      <c r="I7" s="2">
        <v>0</v>
      </c>
      <c r="J7" s="2">
        <v>2.4815920999999999</v>
      </c>
      <c r="K7" s="2">
        <v>0.97464660000000003</v>
      </c>
      <c r="L7" s="2">
        <v>-4.7414978999999997</v>
      </c>
      <c r="M7" s="2">
        <v>1.00909E-2</v>
      </c>
      <c r="N7" s="2">
        <v>2.0031297000000001</v>
      </c>
      <c r="O7" s="2">
        <v>0.5349197</v>
      </c>
      <c r="P7" s="2">
        <v>1.10854E-2</v>
      </c>
      <c r="Q7" s="2">
        <v>0.3488115</v>
      </c>
      <c r="R7" s="2">
        <v>3.0087644999999998</v>
      </c>
      <c r="S7" s="2">
        <v>0.52717250000000004</v>
      </c>
      <c r="T7" s="2">
        <v>-1</v>
      </c>
      <c r="U7" s="2">
        <v>9.7970000000000002E-3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-5.5657481000000004</v>
      </c>
      <c r="AB7" s="2">
        <v>32.470488099999997</v>
      </c>
      <c r="AC7" s="2">
        <v>3.0087785999999999</v>
      </c>
      <c r="AD7" s="2">
        <v>0.5271865</v>
      </c>
      <c r="AE7" s="2">
        <v>0</v>
      </c>
      <c r="AF7">
        <v>1</v>
      </c>
      <c r="AG7" s="2">
        <v>0</v>
      </c>
      <c r="AH7" s="2"/>
      <c r="AI7" s="2"/>
      <c r="AJ7" s="2"/>
      <c r="AK7" s="2">
        <f t="shared" si="1"/>
        <v>8.604751783421874E-2</v>
      </c>
      <c r="AL7">
        <f t="shared" si="0"/>
        <v>-1.1247847696307822</v>
      </c>
      <c r="AM7">
        <f>SUM(output_transition_firms_age!C14:F14)/output_transition_firms_age!IJ13</f>
        <v>0.11735236274442953</v>
      </c>
    </row>
    <row r="8" spans="1:39" x14ac:dyDescent="0.35">
      <c r="A8" s="1">
        <v>6</v>
      </c>
      <c r="B8" s="2">
        <v>1</v>
      </c>
      <c r="C8" s="2">
        <v>0.79911710000000002</v>
      </c>
      <c r="D8" s="2">
        <v>0.40354410000000002</v>
      </c>
      <c r="E8" s="2">
        <v>3.2342999999999998E-3</v>
      </c>
      <c r="F8" s="2">
        <v>1</v>
      </c>
      <c r="G8" s="2">
        <v>0.78018900000000002</v>
      </c>
      <c r="H8" s="2">
        <v>0</v>
      </c>
      <c r="I8" s="2">
        <v>0</v>
      </c>
      <c r="J8" s="2">
        <v>2.4828264999999998</v>
      </c>
      <c r="K8" s="2">
        <v>0.98158529999999999</v>
      </c>
      <c r="L8" s="2">
        <v>-4.7660496999999999</v>
      </c>
      <c r="M8" s="2">
        <v>1.02139E-2</v>
      </c>
      <c r="N8" s="2">
        <v>1.9944305</v>
      </c>
      <c r="O8" s="2">
        <v>0.53980989999999995</v>
      </c>
      <c r="P8" s="2">
        <v>1.10925E-2</v>
      </c>
      <c r="Q8" s="2">
        <v>0.35009990000000002</v>
      </c>
      <c r="R8" s="2">
        <v>3.022554</v>
      </c>
      <c r="S8" s="2">
        <v>0.53972750000000003</v>
      </c>
      <c r="T8" s="2">
        <v>-1</v>
      </c>
      <c r="U8" s="2">
        <v>1.01674E-2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-5.5545318999999997</v>
      </c>
      <c r="AB8" s="2">
        <v>32.455032699999997</v>
      </c>
      <c r="AC8" s="2">
        <v>3.0224715999999998</v>
      </c>
      <c r="AD8" s="2">
        <v>0.53964509999999999</v>
      </c>
      <c r="AE8" s="2">
        <v>0</v>
      </c>
      <c r="AF8">
        <v>1</v>
      </c>
      <c r="AG8" s="2">
        <v>0</v>
      </c>
      <c r="AH8" s="2"/>
      <c r="AI8" s="2"/>
      <c r="AJ8" s="2"/>
      <c r="AK8" s="2">
        <f t="shared" si="1"/>
        <v>4.302375891710937E-2</v>
      </c>
      <c r="AL8">
        <f t="shared" si="0"/>
        <v>-1.9021480461195228</v>
      </c>
      <c r="AM8">
        <f>SUM(output_transition_firms_age!C15:F15)/output_transition_firms_age!IJ14</f>
        <v>0.12134766171975579</v>
      </c>
    </row>
    <row r="9" spans="1:39" x14ac:dyDescent="0.35">
      <c r="A9" s="1">
        <v>7</v>
      </c>
      <c r="B9" s="2">
        <v>1</v>
      </c>
      <c r="C9" s="2">
        <v>0.7958771</v>
      </c>
      <c r="D9" s="2">
        <v>0.40354410000000002</v>
      </c>
      <c r="E9" s="2">
        <v>3.2342999999999998E-3</v>
      </c>
      <c r="F9" s="2">
        <v>1</v>
      </c>
      <c r="G9" s="2">
        <v>0.78018900000000002</v>
      </c>
      <c r="H9" s="2">
        <v>0</v>
      </c>
      <c r="I9" s="2">
        <v>0</v>
      </c>
      <c r="J9" s="2">
        <v>2.4838654999999998</v>
      </c>
      <c r="K9" s="2">
        <v>0.98579490000000003</v>
      </c>
      <c r="L9" s="2">
        <v>-4.7820419000000003</v>
      </c>
      <c r="M9" s="2">
        <v>1.02738E-2</v>
      </c>
      <c r="N9" s="2">
        <v>1.9907759</v>
      </c>
      <c r="O9" s="2">
        <v>0.53804240000000003</v>
      </c>
      <c r="P9" s="2">
        <v>1.1096099999999999E-2</v>
      </c>
      <c r="Q9" s="2">
        <v>0.35102509999999998</v>
      </c>
      <c r="R9" s="2">
        <v>3.0310853</v>
      </c>
      <c r="S9" s="2">
        <v>0.54721969999999998</v>
      </c>
      <c r="T9" s="2">
        <v>-1</v>
      </c>
      <c r="U9" s="2">
        <v>9.8858000000000001E-3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-5.5501813000000002</v>
      </c>
      <c r="AB9" s="2">
        <v>32.452349099999999</v>
      </c>
      <c r="AC9" s="2">
        <v>3.0309623000000001</v>
      </c>
      <c r="AD9" s="2">
        <v>0.54709680000000005</v>
      </c>
      <c r="AE9" s="2">
        <v>0</v>
      </c>
      <c r="AF9">
        <v>1</v>
      </c>
      <c r="AG9" s="2">
        <v>0</v>
      </c>
      <c r="AH9" s="2"/>
      <c r="AI9" s="2"/>
      <c r="AJ9" s="2"/>
      <c r="AK9" s="2">
        <f t="shared" si="1"/>
        <v>2.1511879458554685E-2</v>
      </c>
      <c r="AL9">
        <f t="shared" si="0"/>
        <v>-2.3516475123968039</v>
      </c>
      <c r="AM9">
        <f>SUM(output_transition_firms_age!C16:F16)/output_transition_firms_age!IJ15</f>
        <v>0.12342691483245186</v>
      </c>
    </row>
    <row r="10" spans="1:39" x14ac:dyDescent="0.35">
      <c r="A10" s="1">
        <v>8</v>
      </c>
      <c r="B10" s="2">
        <v>1</v>
      </c>
      <c r="C10" s="2">
        <v>0.79425710000000005</v>
      </c>
      <c r="D10" s="2">
        <v>0.40354410000000002</v>
      </c>
      <c r="E10" s="2">
        <v>3.2342999999999998E-3</v>
      </c>
      <c r="F10" s="2">
        <v>1</v>
      </c>
      <c r="G10" s="2">
        <v>0.78018900000000002</v>
      </c>
      <c r="H10" s="2">
        <v>0</v>
      </c>
      <c r="I10" s="2">
        <v>0</v>
      </c>
      <c r="J10" s="2">
        <v>2.4850498999999999</v>
      </c>
      <c r="K10" s="2">
        <v>0.98801700000000003</v>
      </c>
      <c r="L10" s="2">
        <v>-4.7962901999999996</v>
      </c>
      <c r="M10" s="2">
        <v>1.02947E-2</v>
      </c>
      <c r="N10" s="2">
        <v>1.9895111000000001</v>
      </c>
      <c r="O10" s="2">
        <v>0.54328849999999995</v>
      </c>
      <c r="P10" s="2">
        <v>1.1097900000000001E-2</v>
      </c>
      <c r="Q10" s="2">
        <v>0.35223549999999998</v>
      </c>
      <c r="R10" s="2">
        <v>3.0358787</v>
      </c>
      <c r="S10" s="2">
        <v>0.55082880000000001</v>
      </c>
      <c r="T10" s="2">
        <v>-1</v>
      </c>
      <c r="U10" s="2">
        <v>1.02513E-2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-5.5503735000000001</v>
      </c>
      <c r="AB10" s="2">
        <v>32.457068200000002</v>
      </c>
      <c r="AC10" s="2">
        <v>3.0357416000000002</v>
      </c>
      <c r="AD10" s="2">
        <v>0.55069179999999995</v>
      </c>
      <c r="AE10" s="2">
        <v>0</v>
      </c>
      <c r="AF10">
        <v>1</v>
      </c>
      <c r="AG10" s="2">
        <v>0</v>
      </c>
      <c r="AH10" s="2"/>
      <c r="AI10" s="2"/>
      <c r="AJ10" s="2"/>
      <c r="AK10" s="2">
        <f t="shared" si="1"/>
        <v>1.0755939729277342E-2</v>
      </c>
      <c r="AL10">
        <f t="shared" si="0"/>
        <v>-2.5580235156915876</v>
      </c>
      <c r="AM10">
        <f>SUM(output_transition_firms_age!C17:F17)/output_transition_firms_age!IJ16</f>
        <v>0.12408566436613054</v>
      </c>
    </row>
    <row r="11" spans="1:39" x14ac:dyDescent="0.35">
      <c r="A11" s="1">
        <v>9</v>
      </c>
      <c r="B11" s="2">
        <v>1</v>
      </c>
      <c r="C11" s="2">
        <v>0.79344709999999996</v>
      </c>
      <c r="D11" s="2">
        <v>0.40354410000000002</v>
      </c>
      <c r="E11" s="2">
        <v>3.2342999999999998E-3</v>
      </c>
      <c r="F11" s="2">
        <v>1</v>
      </c>
      <c r="G11" s="2">
        <v>0.78018900000000002</v>
      </c>
      <c r="H11" s="2">
        <v>0</v>
      </c>
      <c r="I11" s="2">
        <v>0</v>
      </c>
      <c r="J11" s="2">
        <v>2.4862630999999999</v>
      </c>
      <c r="K11" s="2">
        <v>0.9894366</v>
      </c>
      <c r="L11" s="2">
        <v>-4.8034257</v>
      </c>
      <c r="M11" s="2">
        <v>1.0307E-2</v>
      </c>
      <c r="N11" s="2">
        <v>1.9893331000000001</v>
      </c>
      <c r="O11" s="2">
        <v>0.54471250000000004</v>
      </c>
      <c r="P11" s="2">
        <v>1.1098800000000001E-2</v>
      </c>
      <c r="Q11" s="2">
        <v>0.35308210000000001</v>
      </c>
      <c r="R11" s="2">
        <v>3.0391352999999999</v>
      </c>
      <c r="S11" s="2">
        <v>0.55287220000000004</v>
      </c>
      <c r="T11" s="2">
        <v>-1</v>
      </c>
      <c r="U11" s="2">
        <v>1.0331999999999999E-2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-5.5527150000000001</v>
      </c>
      <c r="AB11" s="2">
        <v>32.465337400000003</v>
      </c>
      <c r="AC11" s="2">
        <v>3.0389963</v>
      </c>
      <c r="AD11" s="2">
        <v>0.55273320000000004</v>
      </c>
      <c r="AE11" s="2">
        <v>0</v>
      </c>
      <c r="AF11">
        <v>1</v>
      </c>
      <c r="AG11" s="2">
        <v>0</v>
      </c>
      <c r="AH11" s="2"/>
      <c r="AI11" s="2"/>
      <c r="AJ11" s="2"/>
      <c r="AK11" s="2">
        <f t="shared" si="1"/>
        <v>5.3779698646386712E-3</v>
      </c>
      <c r="AL11">
        <f t="shared" si="0"/>
        <v>-2.6697439925689181</v>
      </c>
      <c r="AM11">
        <f>SUM(output_transition_firms_age!C18:F18)/output_transition_firms_age!IJ17</f>
        <v>0.1236737261375541</v>
      </c>
    </row>
    <row r="12" spans="1:39" x14ac:dyDescent="0.35">
      <c r="A12" s="1">
        <v>10</v>
      </c>
      <c r="B12" s="2">
        <v>1</v>
      </c>
      <c r="C12" s="2">
        <v>0.79304209999999997</v>
      </c>
      <c r="D12" s="2">
        <v>0.40354410000000002</v>
      </c>
      <c r="E12" s="2">
        <v>3.2342999999999998E-3</v>
      </c>
      <c r="F12" s="2">
        <v>1</v>
      </c>
      <c r="G12" s="2">
        <v>0.78018900000000002</v>
      </c>
      <c r="H12" s="2">
        <v>0</v>
      </c>
      <c r="I12" s="2">
        <v>0</v>
      </c>
      <c r="J12" s="2">
        <v>2.4877452999999998</v>
      </c>
      <c r="K12" s="2">
        <v>0.990425</v>
      </c>
      <c r="L12" s="2">
        <v>-4.807747</v>
      </c>
      <c r="M12" s="2">
        <v>1.0309499999999999E-2</v>
      </c>
      <c r="N12" s="2">
        <v>1.9896948999999999</v>
      </c>
      <c r="O12" s="2">
        <v>0.54560569999999997</v>
      </c>
      <c r="P12" s="2">
        <v>1.1099299999999999E-2</v>
      </c>
      <c r="Q12" s="2">
        <v>0.35384890000000002</v>
      </c>
      <c r="R12" s="2">
        <v>3.0415795000000001</v>
      </c>
      <c r="S12" s="2">
        <v>0.55383420000000005</v>
      </c>
      <c r="T12" s="2">
        <v>-1</v>
      </c>
      <c r="U12" s="2">
        <v>1.03981E-2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-5.5560963000000001</v>
      </c>
      <c r="AB12" s="2">
        <v>32.475461899999999</v>
      </c>
      <c r="AC12" s="2">
        <v>3.0414444999999999</v>
      </c>
      <c r="AD12" s="2">
        <v>0.55369919999999995</v>
      </c>
      <c r="AE12" s="2">
        <v>0</v>
      </c>
      <c r="AF12">
        <v>1</v>
      </c>
      <c r="AG12" s="2">
        <v>0</v>
      </c>
      <c r="AH12" s="2"/>
      <c r="AI12" s="2"/>
      <c r="AJ12" s="2"/>
      <c r="AK12" s="2">
        <f t="shared" si="1"/>
        <v>2.6889849323193356E-3</v>
      </c>
      <c r="AL12">
        <f t="shared" si="0"/>
        <v>-2.7294912019453221</v>
      </c>
      <c r="AM12">
        <f>SUM(output_transition_firms_age!C19:F19)/output_transition_firms_age!IJ18</f>
        <v>0.12324740733401957</v>
      </c>
    </row>
    <row r="13" spans="1:39" x14ac:dyDescent="0.35">
      <c r="A13" s="1">
        <v>11</v>
      </c>
      <c r="B13" s="2">
        <v>1</v>
      </c>
      <c r="C13" s="2">
        <v>0.79283959999999998</v>
      </c>
      <c r="D13" s="2">
        <v>0.40354410000000002</v>
      </c>
      <c r="E13" s="2">
        <v>3.2342999999999998E-3</v>
      </c>
      <c r="F13" s="2">
        <v>1</v>
      </c>
      <c r="G13" s="2">
        <v>0.78018900000000002</v>
      </c>
      <c r="H13" s="2">
        <v>0</v>
      </c>
      <c r="I13" s="2">
        <v>0</v>
      </c>
      <c r="J13" s="2">
        <v>2.4888126000000002</v>
      </c>
      <c r="K13" s="2">
        <v>0.99119650000000004</v>
      </c>
      <c r="L13" s="2">
        <v>-4.8103230999999997</v>
      </c>
      <c r="M13" s="2">
        <v>1.0304600000000001E-2</v>
      </c>
      <c r="N13" s="2">
        <v>1.9903046</v>
      </c>
      <c r="O13" s="2">
        <v>0.5467843</v>
      </c>
      <c r="P13" s="2">
        <v>1.10995E-2</v>
      </c>
      <c r="Q13" s="2">
        <v>0.35455009999999998</v>
      </c>
      <c r="R13" s="2">
        <v>3.0436336000000002</v>
      </c>
      <c r="S13" s="2">
        <v>0.55482100000000001</v>
      </c>
      <c r="T13" s="2">
        <v>-1</v>
      </c>
      <c r="U13" s="2">
        <v>1.04475E-2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-5.5600190999999999</v>
      </c>
      <c r="AB13" s="2">
        <v>32.486319399999999</v>
      </c>
      <c r="AC13" s="2">
        <v>3.0435053000000001</v>
      </c>
      <c r="AD13" s="2">
        <v>0.55469279999999999</v>
      </c>
      <c r="AE13" s="2">
        <v>0</v>
      </c>
      <c r="AF13">
        <v>1</v>
      </c>
      <c r="AG13" s="2">
        <v>0</v>
      </c>
      <c r="AH13" s="2"/>
      <c r="AI13" s="2"/>
      <c r="AJ13" s="2"/>
      <c r="AK13" s="2">
        <f t="shared" si="1"/>
        <v>1.3444924661596678E-3</v>
      </c>
      <c r="AL13">
        <f t="shared" si="0"/>
        <v>-2.761287550078606</v>
      </c>
      <c r="AM13">
        <f>SUM(output_transition_firms_age!C20:F20)/output_transition_firms_age!IJ19</f>
        <v>0.12287395585748438</v>
      </c>
    </row>
    <row r="14" spans="1:39" x14ac:dyDescent="0.35">
      <c r="A14" s="1">
        <v>12</v>
      </c>
      <c r="B14" s="2">
        <v>1</v>
      </c>
      <c r="C14" s="2">
        <v>0.79273830000000001</v>
      </c>
      <c r="D14" s="2">
        <v>0.40354410000000002</v>
      </c>
      <c r="E14" s="2">
        <v>3.2342999999999998E-3</v>
      </c>
      <c r="F14" s="2">
        <v>1</v>
      </c>
      <c r="G14" s="2">
        <v>0.78018900000000002</v>
      </c>
      <c r="H14" s="2">
        <v>0</v>
      </c>
      <c r="I14" s="2">
        <v>0</v>
      </c>
      <c r="J14" s="2">
        <v>2.4901418999999998</v>
      </c>
      <c r="K14" s="2">
        <v>0.9919171</v>
      </c>
      <c r="L14" s="2">
        <v>-4.8106410999999998</v>
      </c>
      <c r="M14" s="2">
        <v>1.03053E-2</v>
      </c>
      <c r="N14" s="2">
        <v>1.9909452000000001</v>
      </c>
      <c r="O14" s="2">
        <v>0.54693080000000005</v>
      </c>
      <c r="P14" s="2">
        <v>1.1099599999999999E-2</v>
      </c>
      <c r="Q14" s="2">
        <v>0.35520210000000002</v>
      </c>
      <c r="R14" s="2">
        <v>3.0455926999999998</v>
      </c>
      <c r="S14" s="2">
        <v>0.55545069999999996</v>
      </c>
      <c r="T14" s="2">
        <v>-1</v>
      </c>
      <c r="U14" s="2">
        <v>1.0470200000000001E-2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-5.5643815999999999</v>
      </c>
      <c r="AB14" s="2">
        <v>32.497972599999997</v>
      </c>
      <c r="AC14" s="2">
        <v>3.0454715000000001</v>
      </c>
      <c r="AD14" s="2">
        <v>0.55532959999999998</v>
      </c>
      <c r="AE14" s="2">
        <v>0</v>
      </c>
      <c r="AF14">
        <v>1</v>
      </c>
      <c r="AG14" s="2">
        <v>0</v>
      </c>
      <c r="AH14" s="2"/>
      <c r="AI14" s="2"/>
      <c r="AJ14" s="2"/>
      <c r="AK14" s="2">
        <f t="shared" si="1"/>
        <v>6.722462330798339E-4</v>
      </c>
      <c r="AL14">
        <f t="shared" si="0"/>
        <v>-2.7868564278519248</v>
      </c>
      <c r="AM14">
        <f>SUM(output_transition_firms_age!C21:F21)/output_transition_firms_age!IJ20</f>
        <v>0.12257410605236095</v>
      </c>
    </row>
    <row r="15" spans="1:39" x14ac:dyDescent="0.35">
      <c r="A15" s="1">
        <v>13</v>
      </c>
      <c r="B15" s="2">
        <v>1</v>
      </c>
      <c r="C15" s="2">
        <v>0.7926877</v>
      </c>
      <c r="D15" s="2">
        <v>0.40354410000000002</v>
      </c>
      <c r="E15" s="2">
        <v>3.2342999999999998E-3</v>
      </c>
      <c r="F15" s="2">
        <v>1</v>
      </c>
      <c r="G15" s="2">
        <v>0.78018900000000002</v>
      </c>
      <c r="H15" s="2">
        <v>0</v>
      </c>
      <c r="I15" s="2">
        <v>0</v>
      </c>
      <c r="J15" s="2">
        <v>2.4913815000000001</v>
      </c>
      <c r="K15" s="2">
        <v>0.99213430000000002</v>
      </c>
      <c r="L15" s="2">
        <v>-4.8099680999999999</v>
      </c>
      <c r="M15" s="2">
        <v>1.0287599999999999E-2</v>
      </c>
      <c r="N15" s="2">
        <v>1.9915588</v>
      </c>
      <c r="O15" s="2">
        <v>0.55147040000000003</v>
      </c>
      <c r="P15" s="2">
        <v>1.1099599999999999E-2</v>
      </c>
      <c r="Q15" s="2">
        <v>0.35583150000000002</v>
      </c>
      <c r="R15" s="2">
        <v>3.0466017999999999</v>
      </c>
      <c r="S15" s="2">
        <v>0.55522039999999995</v>
      </c>
      <c r="T15" s="2">
        <v>-1</v>
      </c>
      <c r="U15" s="2">
        <v>1.0844299999999999E-2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-5.5687253999999999</v>
      </c>
      <c r="AB15" s="2">
        <v>32.509912100000001</v>
      </c>
      <c r="AC15" s="2">
        <v>3.0464875</v>
      </c>
      <c r="AD15" s="2">
        <v>0.55510610000000005</v>
      </c>
      <c r="AE15" s="2">
        <v>0</v>
      </c>
      <c r="AF15">
        <v>1</v>
      </c>
      <c r="AG15" s="2">
        <v>0</v>
      </c>
      <c r="AH15" s="2"/>
      <c r="AI15" s="2"/>
      <c r="AJ15" s="2"/>
      <c r="AK15" s="2">
        <f t="shared" si="1"/>
        <v>3.3612311653991695E-4</v>
      </c>
      <c r="AL15">
        <f t="shared" si="0"/>
        <v>-2.7523644407494885</v>
      </c>
      <c r="AM15">
        <f>SUM(output_transition_firms_age!C22:F22)/output_transition_firms_age!IJ21</f>
        <v>0.12207483632064246</v>
      </c>
    </row>
    <row r="16" spans="1:39" x14ac:dyDescent="0.35">
      <c r="A16" s="1">
        <v>14</v>
      </c>
      <c r="B16" s="2">
        <v>1</v>
      </c>
      <c r="C16" s="2">
        <v>0.79266239999999999</v>
      </c>
      <c r="D16" s="2">
        <v>0.40354410000000002</v>
      </c>
      <c r="E16" s="2">
        <v>3.2342999999999998E-3</v>
      </c>
      <c r="F16" s="2">
        <v>1</v>
      </c>
      <c r="G16" s="2">
        <v>0.78018900000000002</v>
      </c>
      <c r="H16" s="2">
        <v>0</v>
      </c>
      <c r="I16" s="2">
        <v>0</v>
      </c>
      <c r="J16" s="2">
        <v>2.4927003999999999</v>
      </c>
      <c r="K16" s="2">
        <v>0.99245079999999997</v>
      </c>
      <c r="L16" s="2">
        <v>-4.8048717999999999</v>
      </c>
      <c r="M16" s="2">
        <v>1.02843E-2</v>
      </c>
      <c r="N16" s="2">
        <v>1.9922491</v>
      </c>
      <c r="O16" s="2">
        <v>0.55018670000000003</v>
      </c>
      <c r="P16" s="2">
        <v>1.1099700000000001E-2</v>
      </c>
      <c r="Q16" s="2">
        <v>0.35608689999999998</v>
      </c>
      <c r="R16" s="2">
        <v>3.0477544999999999</v>
      </c>
      <c r="S16" s="2">
        <v>0.55505420000000005</v>
      </c>
      <c r="T16" s="2">
        <v>-1</v>
      </c>
      <c r="U16" s="2">
        <v>1.07251E-2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-5.5732048000000001</v>
      </c>
      <c r="AB16" s="2">
        <v>32.521488499999997</v>
      </c>
      <c r="AC16" s="2">
        <v>3.0476478999999999</v>
      </c>
      <c r="AD16" s="2">
        <v>0.55494750000000004</v>
      </c>
      <c r="AE16" s="2">
        <v>0</v>
      </c>
      <c r="AF16">
        <v>1</v>
      </c>
      <c r="AG16" s="2">
        <v>0</v>
      </c>
      <c r="AH16" s="2"/>
      <c r="AI16" s="2"/>
      <c r="AJ16" s="2"/>
      <c r="AK16" s="2">
        <f t="shared" si="1"/>
        <v>1.6806155826995848E-4</v>
      </c>
      <c r="AL16">
        <f t="shared" si="0"/>
        <v>-2.7341463182087189</v>
      </c>
      <c r="AM16">
        <f>SUM(output_transition_firms_age!C23:F23)/output_transition_firms_age!IJ22</f>
        <v>0.12183812415123942</v>
      </c>
    </row>
    <row r="17" spans="1:39" x14ac:dyDescent="0.35">
      <c r="A17" s="1">
        <v>15</v>
      </c>
      <c r="B17" s="2">
        <v>1</v>
      </c>
      <c r="C17" s="2">
        <v>0.79264970000000001</v>
      </c>
      <c r="D17" s="2">
        <v>0.40354410000000002</v>
      </c>
      <c r="E17" s="2">
        <v>3.2342999999999998E-3</v>
      </c>
      <c r="F17" s="2">
        <v>1</v>
      </c>
      <c r="G17" s="2">
        <v>0.78018900000000002</v>
      </c>
      <c r="H17" s="2">
        <v>0</v>
      </c>
      <c r="I17" s="2">
        <v>0</v>
      </c>
      <c r="J17" s="2">
        <v>2.4938823999999999</v>
      </c>
      <c r="K17" s="2">
        <v>0.99292820000000004</v>
      </c>
      <c r="L17" s="2">
        <v>-4.8009918999999996</v>
      </c>
      <c r="M17" s="2">
        <v>1.02807E-2</v>
      </c>
      <c r="N17" s="2">
        <v>1.9929878999999999</v>
      </c>
      <c r="O17" s="2">
        <v>0.54834150000000004</v>
      </c>
      <c r="P17" s="2">
        <v>1.1099700000000001E-2</v>
      </c>
      <c r="Q17" s="2">
        <v>0.35646149999999999</v>
      </c>
      <c r="R17" s="2">
        <v>3.0492002999999999</v>
      </c>
      <c r="S17" s="2">
        <v>0.55531799999999998</v>
      </c>
      <c r="T17" s="2">
        <v>-1</v>
      </c>
      <c r="U17" s="2">
        <v>1.05843E-2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-5.5776310999999996</v>
      </c>
      <c r="AB17" s="2">
        <v>32.532710799999997</v>
      </c>
      <c r="AC17" s="2">
        <v>3.0491019000000001</v>
      </c>
      <c r="AD17" s="2">
        <v>0.55521949999999998</v>
      </c>
      <c r="AE17" s="2">
        <v>0</v>
      </c>
      <c r="AF17">
        <v>1</v>
      </c>
      <c r="AG17" s="2">
        <v>0</v>
      </c>
      <c r="AH17" s="2"/>
      <c r="AI17" s="2"/>
      <c r="AJ17" s="2"/>
      <c r="AK17" s="2">
        <f t="shared" si="1"/>
        <v>8.4030779134979238E-5</v>
      </c>
      <c r="AL17">
        <f t="shared" si="0"/>
        <v>-2.7361873138099568</v>
      </c>
      <c r="AM17">
        <f>SUM(output_transition_firms_age!C24:F24)/output_transition_firms_age!IJ23</f>
        <v>0.12163291157056191</v>
      </c>
    </row>
    <row r="18" spans="1:39" x14ac:dyDescent="0.35">
      <c r="A18" s="1">
        <v>16</v>
      </c>
      <c r="B18" s="2">
        <v>1</v>
      </c>
      <c r="C18" s="2">
        <v>0.7926434</v>
      </c>
      <c r="D18" s="2">
        <v>0.40354410000000002</v>
      </c>
      <c r="E18" s="2">
        <v>3.2342999999999998E-3</v>
      </c>
      <c r="F18" s="2">
        <v>1</v>
      </c>
      <c r="G18" s="2">
        <v>0.78018900000000002</v>
      </c>
      <c r="H18" s="2">
        <v>0</v>
      </c>
      <c r="I18" s="2">
        <v>0</v>
      </c>
      <c r="J18" s="2">
        <v>2.4946929</v>
      </c>
      <c r="K18" s="2">
        <v>0.9933727</v>
      </c>
      <c r="L18" s="2">
        <v>-4.7983843000000004</v>
      </c>
      <c r="M18" s="2">
        <v>1.0274500000000001E-2</v>
      </c>
      <c r="N18" s="2">
        <v>1.9936765999999999</v>
      </c>
      <c r="O18" s="2">
        <v>0.54851510000000003</v>
      </c>
      <c r="P18" s="2">
        <v>1.1099700000000001E-2</v>
      </c>
      <c r="Q18" s="2">
        <v>0.35697689999999999</v>
      </c>
      <c r="R18" s="2">
        <v>3.0505813000000002</v>
      </c>
      <c r="S18" s="2">
        <v>0.55588850000000001</v>
      </c>
      <c r="T18" s="2">
        <v>-1</v>
      </c>
      <c r="U18" s="2">
        <v>1.0629700000000001E-2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-5.5820783</v>
      </c>
      <c r="AB18" s="2">
        <v>32.543973000000001</v>
      </c>
      <c r="AC18" s="2">
        <v>3.0504905</v>
      </c>
      <c r="AD18" s="2">
        <v>0.5557976</v>
      </c>
      <c r="AE18" s="2">
        <v>0</v>
      </c>
      <c r="AF18">
        <v>1</v>
      </c>
      <c r="AG18" s="2">
        <v>0</v>
      </c>
      <c r="AH18" s="2"/>
      <c r="AI18" s="2"/>
      <c r="AJ18" s="2"/>
      <c r="AK18" s="2">
        <f t="shared" si="1"/>
        <v>4.2015389567489619E-5</v>
      </c>
      <c r="AL18">
        <f t="shared" si="0"/>
        <v>-2.7345789246208785</v>
      </c>
      <c r="AM18">
        <f>SUM(output_transition_firms_age!C25:F25)/output_transition_firms_age!IJ24</f>
        <v>0.12144331985996099</v>
      </c>
    </row>
    <row r="19" spans="1:39" x14ac:dyDescent="0.35">
      <c r="A19" s="1">
        <v>17</v>
      </c>
      <c r="B19" s="2">
        <v>1</v>
      </c>
      <c r="C19" s="2">
        <v>0.79264020000000002</v>
      </c>
      <c r="D19" s="2">
        <v>0.40354410000000002</v>
      </c>
      <c r="E19" s="2">
        <v>3.2342999999999998E-3</v>
      </c>
      <c r="F19" s="2">
        <v>1</v>
      </c>
      <c r="G19" s="2">
        <v>0.78018900000000002</v>
      </c>
      <c r="H19" s="2">
        <v>0</v>
      </c>
      <c r="I19" s="2">
        <v>0</v>
      </c>
      <c r="J19" s="2">
        <v>2.4961283000000001</v>
      </c>
      <c r="K19" s="2">
        <v>0.99364969999999997</v>
      </c>
      <c r="L19" s="2">
        <v>-4.7947837</v>
      </c>
      <c r="M19" s="2">
        <v>1.02723E-2</v>
      </c>
      <c r="N19" s="2">
        <v>1.9942698000000001</v>
      </c>
      <c r="O19" s="2">
        <v>0.55011529999999997</v>
      </c>
      <c r="P19" s="2">
        <v>1.1099700000000001E-2</v>
      </c>
      <c r="Q19" s="2">
        <v>0.35744680000000001</v>
      </c>
      <c r="R19" s="2">
        <v>3.0516021000000002</v>
      </c>
      <c r="S19" s="2">
        <v>0.55547380000000002</v>
      </c>
      <c r="T19" s="2">
        <v>-1</v>
      </c>
      <c r="U19" s="2">
        <v>1.07803E-2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-5.5861976000000002</v>
      </c>
      <c r="AB19" s="2">
        <v>32.555638199999997</v>
      </c>
      <c r="AC19" s="2">
        <v>3.0515178999999999</v>
      </c>
      <c r="AD19" s="2">
        <v>0.55538960000000004</v>
      </c>
      <c r="AE19" s="2">
        <v>0</v>
      </c>
      <c r="AF19">
        <v>1</v>
      </c>
      <c r="AG19" s="2">
        <v>0</v>
      </c>
      <c r="AH19" s="2"/>
      <c r="AI19" s="2"/>
      <c r="AJ19" s="2"/>
      <c r="AK19" s="2">
        <f t="shared" si="1"/>
        <v>2.1007694783744809E-5</v>
      </c>
      <c r="AL19">
        <f t="shared" si="0"/>
        <v>-2.7174550350908433</v>
      </c>
      <c r="AM19">
        <f>SUM(output_transition_firms_age!C26:F26)/output_transition_firms_age!IJ25</f>
        <v>0.12108695937420137</v>
      </c>
    </row>
    <row r="20" spans="1:39" x14ac:dyDescent="0.35">
      <c r="A20" s="1">
        <v>18</v>
      </c>
      <c r="B20" s="2">
        <v>1</v>
      </c>
      <c r="C20" s="2">
        <v>0.79263859999999997</v>
      </c>
      <c r="D20" s="2">
        <v>0.40354410000000002</v>
      </c>
      <c r="E20" s="2">
        <v>3.2342999999999998E-3</v>
      </c>
      <c r="F20" s="2">
        <v>1</v>
      </c>
      <c r="G20" s="2">
        <v>0.78018900000000002</v>
      </c>
      <c r="H20" s="2">
        <v>0</v>
      </c>
      <c r="I20" s="2">
        <v>0</v>
      </c>
      <c r="J20" s="2">
        <v>2.4974840999999999</v>
      </c>
      <c r="K20" s="2">
        <v>0.99397080000000004</v>
      </c>
      <c r="L20" s="2">
        <v>-4.7897172000000001</v>
      </c>
      <c r="M20" s="2">
        <v>1.0252000000000001E-2</v>
      </c>
      <c r="N20" s="2">
        <v>1.9948424</v>
      </c>
      <c r="O20" s="2">
        <v>0.55022409999999999</v>
      </c>
      <c r="P20" s="2">
        <v>1.1099700000000001E-2</v>
      </c>
      <c r="Q20" s="2">
        <v>0.35776619999999998</v>
      </c>
      <c r="R20" s="2">
        <v>3.0527888999999999</v>
      </c>
      <c r="S20" s="2">
        <v>0.55530480000000004</v>
      </c>
      <c r="T20" s="2">
        <v>-1</v>
      </c>
      <c r="U20" s="2">
        <v>1.0782399999999999E-2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-5.5901420000000002</v>
      </c>
      <c r="AB20" s="2">
        <v>32.5664376</v>
      </c>
      <c r="AC20" s="2">
        <v>3.052711</v>
      </c>
      <c r="AD20" s="2">
        <v>0.55522689999999997</v>
      </c>
      <c r="AE20" s="2">
        <v>0</v>
      </c>
      <c r="AF20">
        <v>1</v>
      </c>
      <c r="AG20" s="2">
        <v>0</v>
      </c>
      <c r="AH20" s="2"/>
      <c r="AI20" s="2"/>
      <c r="AJ20" s="2"/>
      <c r="AK20" s="2">
        <f t="shared" si="1"/>
        <v>1.0503847391872405E-5</v>
      </c>
      <c r="AL20">
        <f t="shared" si="0"/>
        <v>-2.697266480882865</v>
      </c>
      <c r="AM20">
        <f>SUM(output_transition_firms_age!C27:F27)/output_transition_firms_age!IJ26</f>
        <v>0.12080363592467676</v>
      </c>
    </row>
    <row r="21" spans="1:39" x14ac:dyDescent="0.35">
      <c r="A21" s="1">
        <v>19</v>
      </c>
      <c r="B21" s="2">
        <v>1</v>
      </c>
      <c r="C21" s="2">
        <v>0.79263779999999995</v>
      </c>
      <c r="D21" s="2">
        <v>0.40354410000000002</v>
      </c>
      <c r="E21" s="2">
        <v>3.2342999999999998E-3</v>
      </c>
      <c r="F21" s="2">
        <v>1</v>
      </c>
      <c r="G21" s="2">
        <v>0.78018900000000002</v>
      </c>
      <c r="H21" s="2">
        <v>0</v>
      </c>
      <c r="I21" s="2">
        <v>0</v>
      </c>
      <c r="J21" s="2">
        <v>2.4984625999999999</v>
      </c>
      <c r="K21" s="2">
        <v>0.99429009999999995</v>
      </c>
      <c r="L21" s="2">
        <v>-4.7846015</v>
      </c>
      <c r="M21" s="2">
        <v>1.02475E-2</v>
      </c>
      <c r="N21" s="2">
        <v>1.9954087</v>
      </c>
      <c r="O21" s="2">
        <v>0.55003559999999996</v>
      </c>
      <c r="P21" s="2">
        <v>1.1099700000000001E-2</v>
      </c>
      <c r="Q21" s="2">
        <v>0.3580835</v>
      </c>
      <c r="R21" s="2">
        <v>3.0539044</v>
      </c>
      <c r="S21" s="2">
        <v>0.55544179999999999</v>
      </c>
      <c r="T21" s="2">
        <v>-1</v>
      </c>
      <c r="U21" s="2">
        <v>1.0766400000000001E-2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-5.5942968000000004</v>
      </c>
      <c r="AB21" s="2">
        <v>32.5770178</v>
      </c>
      <c r="AC21" s="2">
        <v>3.0538327999999999</v>
      </c>
      <c r="AD21" s="2">
        <v>0.55537020000000004</v>
      </c>
      <c r="AE21" s="2">
        <v>0</v>
      </c>
      <c r="AF21">
        <v>1</v>
      </c>
      <c r="AG21" s="2">
        <v>0</v>
      </c>
      <c r="AH21" s="2"/>
      <c r="AI21" s="2"/>
      <c r="AJ21" s="2"/>
      <c r="AK21" s="2">
        <f t="shared" si="1"/>
        <v>5.2519236959362024E-6</v>
      </c>
      <c r="AL21">
        <f t="shared" si="0"/>
        <v>-2.6837058651350443</v>
      </c>
      <c r="AM21">
        <f>SUM(output_transition_firms_age!C28:F28)/output_transition_firms_age!IJ27</f>
        <v>0.12066435917368458</v>
      </c>
    </row>
    <row r="22" spans="1:39" x14ac:dyDescent="0.35">
      <c r="A22" s="1">
        <v>20</v>
      </c>
      <c r="B22" s="2">
        <v>1</v>
      </c>
      <c r="C22" s="2">
        <v>0.79263740000000005</v>
      </c>
      <c r="D22" s="2">
        <v>0.40354410000000002</v>
      </c>
      <c r="E22" s="2">
        <v>3.2342999999999998E-3</v>
      </c>
      <c r="F22" s="2">
        <v>1</v>
      </c>
      <c r="G22" s="2">
        <v>0.78018900000000002</v>
      </c>
      <c r="H22" s="2">
        <v>0</v>
      </c>
      <c r="I22" s="2">
        <v>0</v>
      </c>
      <c r="J22" s="2">
        <v>2.4996440999999998</v>
      </c>
      <c r="K22" s="2">
        <v>0.99460669999999995</v>
      </c>
      <c r="L22" s="2">
        <v>-4.7793552000000004</v>
      </c>
      <c r="M22" s="2">
        <v>1.0240900000000001E-2</v>
      </c>
      <c r="N22" s="2">
        <v>1.9959534000000001</v>
      </c>
      <c r="O22" s="2">
        <v>0.5499733</v>
      </c>
      <c r="P22" s="2">
        <v>1.1099700000000001E-2</v>
      </c>
      <c r="Q22" s="2">
        <v>0.35841679999999998</v>
      </c>
      <c r="R22" s="2">
        <v>3.0550033999999999</v>
      </c>
      <c r="S22" s="2">
        <v>0.55535939999999995</v>
      </c>
      <c r="T22" s="2">
        <v>-1</v>
      </c>
      <c r="U22" s="2">
        <v>1.07746E-2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-5.5984597999999997</v>
      </c>
      <c r="AB22" s="2">
        <v>32.587566500000001</v>
      </c>
      <c r="AC22" s="2">
        <v>3.0549379000000001</v>
      </c>
      <c r="AD22" s="2">
        <v>0.55529379999999995</v>
      </c>
      <c r="AE22" s="2">
        <v>0</v>
      </c>
      <c r="AF22">
        <v>1</v>
      </c>
      <c r="AG22" s="2">
        <v>0</v>
      </c>
      <c r="AH22" s="2"/>
      <c r="AI22" s="2"/>
      <c r="AJ22" s="2"/>
      <c r="AK22" s="2">
        <f t="shared" si="1"/>
        <v>2.6259618479681012E-6</v>
      </c>
      <c r="AL22">
        <f t="shared" si="0"/>
        <v>-2.6709790803360001</v>
      </c>
      <c r="AM22">
        <f>SUM(output_transition_firms_age!C29:F29)/output_transition_firms_age!IJ28</f>
        <v>0.12053871973816878</v>
      </c>
    </row>
    <row r="23" spans="1:39" x14ac:dyDescent="0.35">
      <c r="A23" s="1">
        <v>21</v>
      </c>
      <c r="B23" s="2">
        <v>1</v>
      </c>
      <c r="C23" s="2">
        <v>0.79263720000000004</v>
      </c>
      <c r="D23" s="2">
        <v>0.40354410000000002</v>
      </c>
      <c r="E23" s="2">
        <v>3.2342999999999998E-3</v>
      </c>
      <c r="F23" s="2">
        <v>1</v>
      </c>
      <c r="G23" s="2">
        <v>0.78018900000000002</v>
      </c>
      <c r="H23" s="2">
        <v>0</v>
      </c>
      <c r="I23" s="2">
        <v>0</v>
      </c>
      <c r="J23" s="2">
        <v>2.5000835000000001</v>
      </c>
      <c r="K23" s="2">
        <v>0.99491689999999999</v>
      </c>
      <c r="L23" s="2">
        <v>-4.7740857999999999</v>
      </c>
      <c r="M23" s="2">
        <v>1.02352E-2</v>
      </c>
      <c r="N23" s="2">
        <v>1.9964763999999999</v>
      </c>
      <c r="O23" s="2">
        <v>0.54995340000000004</v>
      </c>
      <c r="P23" s="2">
        <v>1.1099700000000001E-2</v>
      </c>
      <c r="Q23" s="2">
        <v>0.35874200000000001</v>
      </c>
      <c r="R23" s="2">
        <v>3.0560679999999998</v>
      </c>
      <c r="S23" s="2">
        <v>0.55598449999999999</v>
      </c>
      <c r="T23" s="2">
        <v>-1</v>
      </c>
      <c r="U23" s="2">
        <v>1.0782399999999999E-2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-5.6025159999999996</v>
      </c>
      <c r="AB23" s="2">
        <v>32.597868300000002</v>
      </c>
      <c r="AC23" s="2">
        <v>3.0560082</v>
      </c>
      <c r="AD23" s="2">
        <v>0.5559248</v>
      </c>
      <c r="AE23" s="2">
        <v>0</v>
      </c>
      <c r="AF23">
        <v>1</v>
      </c>
      <c r="AG23" s="2">
        <v>0</v>
      </c>
      <c r="AH23" s="2"/>
      <c r="AI23" s="2"/>
      <c r="AJ23" s="2"/>
      <c r="AK23" s="2">
        <f t="shared" si="1"/>
        <v>1.3129809239840506E-6</v>
      </c>
      <c r="AL23">
        <f t="shared" si="0"/>
        <v>-2.6597420408615235</v>
      </c>
      <c r="AM23">
        <f>SUM(output_transition_firms_age!C30:F30)/output_transition_firms_age!IJ29</f>
        <v>0.12041077024940557</v>
      </c>
    </row>
    <row r="24" spans="1:39" x14ac:dyDescent="0.35">
      <c r="A24" s="1">
        <v>22</v>
      </c>
      <c r="B24" s="2">
        <v>1</v>
      </c>
      <c r="C24" s="2">
        <v>0.79263709999999998</v>
      </c>
      <c r="D24" s="2">
        <v>0.40354410000000002</v>
      </c>
      <c r="E24" s="2">
        <v>3.2342999999999998E-3</v>
      </c>
      <c r="F24" s="2">
        <v>1</v>
      </c>
      <c r="G24" s="2">
        <v>0.78018900000000002</v>
      </c>
      <c r="H24" s="2">
        <v>0</v>
      </c>
      <c r="I24" s="2">
        <v>0</v>
      </c>
      <c r="J24" s="2">
        <v>2.5021743999999999</v>
      </c>
      <c r="K24" s="2">
        <v>0.99522449999999996</v>
      </c>
      <c r="L24" s="2">
        <v>-4.7680277000000002</v>
      </c>
      <c r="M24" s="2">
        <v>1.0227999999999999E-2</v>
      </c>
      <c r="N24" s="2">
        <v>1.9969798000000001</v>
      </c>
      <c r="O24" s="2">
        <v>0.54996370000000006</v>
      </c>
      <c r="P24" s="2">
        <v>1.1099700000000001E-2</v>
      </c>
      <c r="Q24" s="2">
        <v>0.35905930000000003</v>
      </c>
      <c r="R24" s="2">
        <v>3.0571272999999999</v>
      </c>
      <c r="S24" s="2">
        <v>0.55495300000000003</v>
      </c>
      <c r="T24" s="2">
        <v>-1</v>
      </c>
      <c r="U24" s="2">
        <v>1.0792899999999999E-2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-5.6067346999999996</v>
      </c>
      <c r="AB24" s="2">
        <v>32.608627599999998</v>
      </c>
      <c r="AC24" s="2">
        <v>3.0570732</v>
      </c>
      <c r="AD24" s="2">
        <v>0.55489880000000003</v>
      </c>
      <c r="AE24" s="2">
        <v>0</v>
      </c>
      <c r="AF24">
        <v>1</v>
      </c>
      <c r="AG24" s="2">
        <v>0</v>
      </c>
      <c r="AH24" s="2"/>
      <c r="AI24" s="2"/>
      <c r="AJ24" s="2"/>
      <c r="AK24" s="2">
        <f t="shared" si="1"/>
        <v>6.564904619920253E-7</v>
      </c>
      <c r="AL24">
        <f t="shared" si="0"/>
        <v>-2.6482420506759752</v>
      </c>
      <c r="AM24">
        <f>SUM(output_transition_firms_age!C31:F31)/output_transition_firms_age!IJ30</f>
        <v>0.12028593182216295</v>
      </c>
    </row>
    <row r="25" spans="1:39" x14ac:dyDescent="0.35">
      <c r="A25" s="1">
        <v>23</v>
      </c>
      <c r="B25" s="2">
        <v>1</v>
      </c>
      <c r="C25" s="2">
        <v>0.79263709999999998</v>
      </c>
      <c r="D25" s="2">
        <v>0.40354410000000002</v>
      </c>
      <c r="E25" s="2">
        <v>3.2342999999999998E-3</v>
      </c>
      <c r="F25" s="2">
        <v>1</v>
      </c>
      <c r="G25" s="2">
        <v>0.78018900000000002</v>
      </c>
      <c r="H25" s="2">
        <v>0</v>
      </c>
      <c r="I25" s="2">
        <v>0</v>
      </c>
      <c r="J25" s="2">
        <v>2.5027599999999999</v>
      </c>
      <c r="K25" s="2">
        <v>0.9954809</v>
      </c>
      <c r="L25" s="2">
        <v>-4.7628399999999997</v>
      </c>
      <c r="M25" s="2">
        <v>1.0221600000000001E-2</v>
      </c>
      <c r="N25" s="2">
        <v>1.9974308999999999</v>
      </c>
      <c r="O25" s="2">
        <v>0.55076239999999999</v>
      </c>
      <c r="P25" s="2">
        <v>1.1099700000000001E-2</v>
      </c>
      <c r="Q25" s="2">
        <v>0.35936600000000002</v>
      </c>
      <c r="R25" s="2">
        <v>3.0580734999999999</v>
      </c>
      <c r="S25" s="2">
        <v>0.55531350000000002</v>
      </c>
      <c r="T25" s="2">
        <v>-1</v>
      </c>
      <c r="U25" s="2">
        <v>1.0848500000000001E-2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-5.6106875</v>
      </c>
      <c r="AB25" s="2">
        <v>32.618115500000002</v>
      </c>
      <c r="AC25" s="2">
        <v>3.0580243</v>
      </c>
      <c r="AD25" s="2">
        <v>0.55526439999999999</v>
      </c>
      <c r="AE25" s="2">
        <v>0</v>
      </c>
      <c r="AF25">
        <v>1</v>
      </c>
      <c r="AG25" s="2">
        <v>0</v>
      </c>
      <c r="AH25" s="2"/>
      <c r="AI25" s="2"/>
      <c r="AJ25" s="2"/>
      <c r="AK25" s="2">
        <f t="shared" si="1"/>
        <v>3.2824523099601265E-7</v>
      </c>
      <c r="AL25">
        <f t="shared" si="0"/>
        <v>-2.6323109228059582</v>
      </c>
      <c r="AM25">
        <f>SUM(output_transition_firms_age!C32:F32)/output_transition_firms_age!IJ31</f>
        <v>0.12017268405341504</v>
      </c>
    </row>
    <row r="26" spans="1:39" x14ac:dyDescent="0.35">
      <c r="A26" s="1">
        <v>24</v>
      </c>
      <c r="B26" s="2">
        <v>1</v>
      </c>
      <c r="C26" s="2">
        <v>0.79263709999999998</v>
      </c>
      <c r="D26" s="2">
        <v>0.40354410000000002</v>
      </c>
      <c r="E26" s="2">
        <v>3.2342999999999998E-3</v>
      </c>
      <c r="F26" s="2">
        <v>1</v>
      </c>
      <c r="G26" s="2">
        <v>0.78018900000000002</v>
      </c>
      <c r="H26" s="2">
        <v>0</v>
      </c>
      <c r="I26" s="2">
        <v>0</v>
      </c>
      <c r="J26" s="2">
        <v>2.5035805</v>
      </c>
      <c r="K26" s="2">
        <v>0.99571359999999998</v>
      </c>
      <c r="L26" s="2">
        <v>-4.7563617999999996</v>
      </c>
      <c r="M26" s="2">
        <v>1.02135E-2</v>
      </c>
      <c r="N26" s="2">
        <v>1.9978374000000001</v>
      </c>
      <c r="O26" s="2">
        <v>0.55090790000000001</v>
      </c>
      <c r="P26" s="2">
        <v>1.1099700000000001E-2</v>
      </c>
      <c r="Q26" s="2">
        <v>0.35961729999999997</v>
      </c>
      <c r="R26" s="2">
        <v>3.0589789000000001</v>
      </c>
      <c r="S26" s="2">
        <v>0.55539839999999996</v>
      </c>
      <c r="T26" s="2">
        <v>-1</v>
      </c>
      <c r="U26" s="2">
        <v>1.08869E-2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-5.6147137999999996</v>
      </c>
      <c r="AB26" s="2">
        <v>32.627758300000004</v>
      </c>
      <c r="AC26" s="2">
        <v>3.0589343000000002</v>
      </c>
      <c r="AD26" s="2">
        <v>0.55535380000000001</v>
      </c>
      <c r="AE26" s="2">
        <v>0</v>
      </c>
      <c r="AF26">
        <v>1</v>
      </c>
      <c r="AG26" s="2">
        <v>0</v>
      </c>
      <c r="AH26" s="2"/>
      <c r="AI26" s="2"/>
      <c r="AJ26" s="2"/>
      <c r="AK26" s="2">
        <f t="shared" si="1"/>
        <v>1.6412261549800632E-7</v>
      </c>
      <c r="AL26">
        <f t="shared" si="0"/>
        <v>-2.6131733068964991</v>
      </c>
      <c r="AM26">
        <f>SUM(output_transition_firms_age!C33:F33)/output_transition_firms_age!IJ32</f>
        <v>0.12007014290626171</v>
      </c>
    </row>
    <row r="27" spans="1:39" x14ac:dyDescent="0.35">
      <c r="A27" s="1">
        <v>25</v>
      </c>
      <c r="B27" s="2">
        <v>1</v>
      </c>
      <c r="C27" s="2">
        <v>0.79263709999999998</v>
      </c>
      <c r="D27" s="2">
        <v>0.40354410000000002</v>
      </c>
      <c r="E27" s="2">
        <v>3.2342999999999998E-3</v>
      </c>
      <c r="F27" s="2">
        <v>1</v>
      </c>
      <c r="G27" s="2">
        <v>0.78018900000000002</v>
      </c>
      <c r="H27" s="2">
        <v>0</v>
      </c>
      <c r="I27" s="2">
        <v>0</v>
      </c>
      <c r="J27" s="2">
        <v>2.5045068000000001</v>
      </c>
      <c r="K27" s="2">
        <v>0.99528819999999996</v>
      </c>
      <c r="L27" s="2">
        <v>-4.7496540999999999</v>
      </c>
      <c r="M27" s="2">
        <v>1.02235E-2</v>
      </c>
      <c r="N27" s="2">
        <v>1.9979264999999999</v>
      </c>
      <c r="O27" s="2">
        <v>0.55613190000000001</v>
      </c>
      <c r="P27" s="2">
        <v>1.0734799999999999E-2</v>
      </c>
      <c r="Q27" s="2">
        <v>0.35983009999999999</v>
      </c>
      <c r="R27" s="2">
        <v>3.0585648999999999</v>
      </c>
      <c r="S27" s="2">
        <v>0.5540581</v>
      </c>
      <c r="T27" s="2">
        <v>-1</v>
      </c>
      <c r="U27" s="2">
        <v>1.08661E-2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-5.6189546999999997</v>
      </c>
      <c r="AB27" s="2">
        <v>32.632458300000003</v>
      </c>
      <c r="AC27" s="2">
        <v>3.0585227000000001</v>
      </c>
      <c r="AD27" s="2">
        <v>0.55401590000000001</v>
      </c>
      <c r="AE27" s="2">
        <v>0</v>
      </c>
      <c r="AF27">
        <v>1</v>
      </c>
      <c r="AG27" s="2">
        <v>0</v>
      </c>
      <c r="AH27" s="2"/>
      <c r="AI27" s="2"/>
      <c r="AJ27" s="2"/>
      <c r="AK27" s="2">
        <f t="shared" si="1"/>
        <v>8.2061307749003162E-8</v>
      </c>
      <c r="AL27">
        <f t="shared" si="0"/>
        <v>-2.5234614542174683</v>
      </c>
      <c r="AM27">
        <f>SUM(output_transition_firms_age!C34:F34)/output_transition_firms_age!IJ33</f>
        <v>0.11897098274486753</v>
      </c>
    </row>
    <row r="28" spans="1:39" x14ac:dyDescent="0.35">
      <c r="A28" s="1">
        <v>26</v>
      </c>
      <c r="B28" s="2">
        <v>1</v>
      </c>
      <c r="C28" s="2">
        <v>0.79263709999999998</v>
      </c>
      <c r="D28" s="2">
        <v>0.40354410000000002</v>
      </c>
      <c r="E28" s="2">
        <v>3.2342999999999998E-3</v>
      </c>
      <c r="F28" s="2">
        <v>1</v>
      </c>
      <c r="G28" s="2">
        <v>0.78018900000000002</v>
      </c>
      <c r="H28" s="2">
        <v>0</v>
      </c>
      <c r="I28" s="2">
        <v>0</v>
      </c>
      <c r="J28" s="2">
        <v>2.5055097000000002</v>
      </c>
      <c r="K28" s="2">
        <v>0.99528119999999998</v>
      </c>
      <c r="L28" s="2">
        <v>-4.7392069000000001</v>
      </c>
      <c r="M28" s="2">
        <v>1.02053E-2</v>
      </c>
      <c r="N28" s="2">
        <v>1.9979621000000001</v>
      </c>
      <c r="O28" s="2">
        <v>0.55620230000000004</v>
      </c>
      <c r="P28" s="2">
        <v>1.0734799999999999E-2</v>
      </c>
      <c r="Q28" s="2">
        <v>0.35969879999999999</v>
      </c>
      <c r="R28" s="2">
        <v>3.0590278999999998</v>
      </c>
      <c r="S28" s="2">
        <v>0.55351810000000001</v>
      </c>
      <c r="T28" s="2">
        <v>-1</v>
      </c>
      <c r="U28" s="2">
        <v>1.08653E-2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-5.6227863999999999</v>
      </c>
      <c r="AB28" s="2">
        <v>32.641464599999999</v>
      </c>
      <c r="AC28" s="2">
        <v>3.058986</v>
      </c>
      <c r="AD28" s="2">
        <v>0.55347630000000003</v>
      </c>
      <c r="AE28" s="2">
        <v>0</v>
      </c>
      <c r="AF28">
        <v>1</v>
      </c>
      <c r="AG28" s="2">
        <v>0</v>
      </c>
      <c r="AH28" s="2"/>
      <c r="AI28" s="2"/>
      <c r="AJ28" s="2"/>
      <c r="AK28" s="2">
        <f t="shared" si="1"/>
        <v>4.1030653874501581E-8</v>
      </c>
      <c r="AL28">
        <f t="shared" si="0"/>
        <v>-2.4747806079102652</v>
      </c>
      <c r="AM28">
        <f>SUM(output_transition_firms_age!C35:F35)/output_transition_firms_age!IJ34</f>
        <v>0.11791726681278919</v>
      </c>
    </row>
    <row r="29" spans="1:39" x14ac:dyDescent="0.35">
      <c r="A29" s="1">
        <v>27</v>
      </c>
      <c r="B29" s="2">
        <v>1</v>
      </c>
      <c r="C29" s="2">
        <v>0.79263709999999998</v>
      </c>
      <c r="D29" s="2">
        <v>0.40354410000000002</v>
      </c>
      <c r="E29" s="2">
        <v>3.2342999999999998E-3</v>
      </c>
      <c r="F29" s="2">
        <v>1</v>
      </c>
      <c r="G29" s="2">
        <v>0.78018900000000002</v>
      </c>
      <c r="H29" s="2">
        <v>0</v>
      </c>
      <c r="I29" s="2">
        <v>0</v>
      </c>
      <c r="J29" s="2">
        <v>2.5064066</v>
      </c>
      <c r="K29" s="2">
        <v>0.99523309999999998</v>
      </c>
      <c r="L29" s="2">
        <v>-4.7295144999999996</v>
      </c>
      <c r="M29" s="2">
        <v>1.0194999999999999E-2</v>
      </c>
      <c r="N29" s="2">
        <v>1.9980655</v>
      </c>
      <c r="O29" s="2">
        <v>0.55605599999999999</v>
      </c>
      <c r="P29" s="2">
        <v>1.0734799999999999E-2</v>
      </c>
      <c r="Q29" s="2">
        <v>0.35956830000000001</v>
      </c>
      <c r="R29" s="2">
        <v>3.0593669000000001</v>
      </c>
      <c r="S29" s="2">
        <v>0.55296020000000001</v>
      </c>
      <c r="T29" s="2">
        <v>-1</v>
      </c>
      <c r="U29" s="2">
        <v>1.08504E-2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-5.6261197000000003</v>
      </c>
      <c r="AB29" s="2">
        <v>32.649809599999998</v>
      </c>
      <c r="AC29" s="2">
        <v>3.0593262000000001</v>
      </c>
      <c r="AD29" s="2">
        <v>0.55291950000000001</v>
      </c>
      <c r="AE29" s="2">
        <v>0</v>
      </c>
      <c r="AF29">
        <v>1</v>
      </c>
      <c r="AG29" s="2">
        <v>0</v>
      </c>
      <c r="AH29" s="2"/>
      <c r="AI29" s="2"/>
      <c r="AJ29" s="2"/>
      <c r="AK29" s="2">
        <f t="shared" si="1"/>
        <v>2.0515326937250791E-8</v>
      </c>
      <c r="AL29">
        <f t="shared" si="0"/>
        <v>-2.4258637406417538</v>
      </c>
      <c r="AM29">
        <f>SUM(output_transition_firms_age!C36:F36)/output_transition_firms_age!IJ35</f>
        <v>0.11694245360437218</v>
      </c>
    </row>
    <row r="30" spans="1:39" x14ac:dyDescent="0.35">
      <c r="A30" s="1">
        <v>28</v>
      </c>
      <c r="B30" s="2">
        <v>1</v>
      </c>
      <c r="C30" s="2">
        <v>0.79263700000000004</v>
      </c>
      <c r="D30" s="2">
        <v>0.40354410000000002</v>
      </c>
      <c r="E30" s="2">
        <v>3.2342999999999998E-3</v>
      </c>
      <c r="F30" s="2">
        <v>1</v>
      </c>
      <c r="G30" s="2">
        <v>0.78018900000000002</v>
      </c>
      <c r="H30" s="2">
        <v>0</v>
      </c>
      <c r="I30" s="2">
        <v>0</v>
      </c>
      <c r="J30" s="2">
        <v>2.5072386</v>
      </c>
      <c r="K30" s="2">
        <v>0.99522900000000003</v>
      </c>
      <c r="L30" s="2">
        <v>-4.7207331999999997</v>
      </c>
      <c r="M30" s="2">
        <v>1.0189200000000001E-2</v>
      </c>
      <c r="N30" s="2">
        <v>1.9981815000000001</v>
      </c>
      <c r="O30" s="2">
        <v>0.55552290000000004</v>
      </c>
      <c r="P30" s="2">
        <v>1.0734799999999999E-2</v>
      </c>
      <c r="Q30" s="2">
        <v>0.35945270000000001</v>
      </c>
      <c r="R30" s="2">
        <v>3.0597542</v>
      </c>
      <c r="S30" s="2">
        <v>0.55251550000000005</v>
      </c>
      <c r="T30" s="2">
        <v>-1</v>
      </c>
      <c r="U30" s="2">
        <v>1.08027E-2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-5.6291516000000001</v>
      </c>
      <c r="AB30" s="2">
        <v>32.657514499999998</v>
      </c>
      <c r="AC30" s="2">
        <v>3.0597146999999998</v>
      </c>
      <c r="AD30" s="2">
        <v>0.55247610000000003</v>
      </c>
      <c r="AE30" s="2">
        <v>0</v>
      </c>
      <c r="AF30">
        <v>1</v>
      </c>
      <c r="AG30" s="2">
        <v>0</v>
      </c>
      <c r="AH30" s="2"/>
      <c r="AI30" s="2"/>
      <c r="AJ30" s="2"/>
      <c r="AK30" s="2">
        <f t="shared" si="1"/>
        <v>1.0257663468625395E-8</v>
      </c>
      <c r="AL30">
        <f t="shared" si="0"/>
        <v>-2.3856816836642203</v>
      </c>
      <c r="AM30">
        <f>SUM(output_transition_firms_age!C37:F37)/output_transition_firms_age!IJ36</f>
        <v>0.11613887799887168</v>
      </c>
    </row>
    <row r="31" spans="1:39" x14ac:dyDescent="0.35">
      <c r="A31" s="1">
        <v>29</v>
      </c>
      <c r="B31" s="2">
        <v>1</v>
      </c>
      <c r="C31" s="2">
        <v>0.79263700000000004</v>
      </c>
      <c r="D31" s="2">
        <v>0.40354410000000002</v>
      </c>
      <c r="E31" s="2">
        <v>3.2342999999999998E-3</v>
      </c>
      <c r="F31" s="2">
        <v>1</v>
      </c>
      <c r="G31" s="2">
        <v>0.78018900000000002</v>
      </c>
      <c r="H31" s="2">
        <v>0</v>
      </c>
      <c r="I31" s="2">
        <v>0</v>
      </c>
      <c r="J31" s="2">
        <v>2.5080314000000001</v>
      </c>
      <c r="K31" s="2">
        <v>0.99524360000000001</v>
      </c>
      <c r="L31" s="2">
        <v>-4.7131097000000004</v>
      </c>
      <c r="M31" s="2">
        <v>1.0186300000000001E-2</v>
      </c>
      <c r="N31" s="2">
        <v>1.9983146000000001</v>
      </c>
      <c r="O31" s="2">
        <v>0.55506080000000002</v>
      </c>
      <c r="P31" s="2">
        <v>1.0734799999999999E-2</v>
      </c>
      <c r="Q31" s="2">
        <v>0.3593848</v>
      </c>
      <c r="R31" s="2">
        <v>3.0601478000000002</v>
      </c>
      <c r="S31" s="2">
        <v>0.55211639999999995</v>
      </c>
      <c r="T31" s="2">
        <v>-1</v>
      </c>
      <c r="U31" s="2">
        <v>1.0773E-2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-5.6322608000000001</v>
      </c>
      <c r="AB31" s="2">
        <v>32.664698399999999</v>
      </c>
      <c r="AC31" s="2">
        <v>3.0601098000000002</v>
      </c>
      <c r="AD31" s="2">
        <v>0.55207839999999997</v>
      </c>
      <c r="AE31" s="2">
        <v>0</v>
      </c>
      <c r="AF31">
        <v>1</v>
      </c>
      <c r="AG31" s="2">
        <v>0</v>
      </c>
      <c r="AH31" s="2"/>
      <c r="AI31" s="2"/>
      <c r="AJ31" s="2"/>
      <c r="AK31" s="2">
        <f t="shared" si="1"/>
        <v>5.1288317343126976E-9</v>
      </c>
      <c r="AL31">
        <f t="shared" si="0"/>
        <v>-2.350643685441689</v>
      </c>
      <c r="AM31">
        <f>SUM(output_transition_firms_age!C38:F38)/output_transition_firms_age!IJ37</f>
        <v>0.11612701530499078</v>
      </c>
    </row>
    <row r="32" spans="1:39" x14ac:dyDescent="0.35">
      <c r="A32" s="1">
        <v>30</v>
      </c>
      <c r="B32" s="2">
        <v>1</v>
      </c>
      <c r="C32" s="2">
        <v>0.79263700000000004</v>
      </c>
      <c r="D32" s="2">
        <v>0.40354410000000002</v>
      </c>
      <c r="E32" s="2">
        <v>3.2342999999999998E-3</v>
      </c>
      <c r="F32" s="2">
        <v>1</v>
      </c>
      <c r="G32" s="2">
        <v>0.78018900000000002</v>
      </c>
      <c r="H32" s="2">
        <v>0</v>
      </c>
      <c r="I32" s="2">
        <v>0</v>
      </c>
      <c r="J32" s="2">
        <v>2.5086957999999999</v>
      </c>
      <c r="K32" s="2">
        <v>0.99526060000000005</v>
      </c>
      <c r="L32" s="2">
        <v>-4.7064820000000003</v>
      </c>
      <c r="M32" s="2">
        <v>1.01818E-2</v>
      </c>
      <c r="N32" s="2">
        <v>1.9984462000000001</v>
      </c>
      <c r="O32" s="2">
        <v>0.55502269999999998</v>
      </c>
      <c r="P32" s="2">
        <v>1.0734799999999999E-2</v>
      </c>
      <c r="Q32" s="2">
        <v>0.35934670000000002</v>
      </c>
      <c r="R32" s="2">
        <v>3.060524</v>
      </c>
      <c r="S32" s="2">
        <v>0.55182819999999999</v>
      </c>
      <c r="T32" s="2">
        <v>-1</v>
      </c>
      <c r="U32" s="2">
        <v>1.0765200000000001E-2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-5.6352902</v>
      </c>
      <c r="AB32" s="2">
        <v>32.671382000000001</v>
      </c>
      <c r="AC32" s="2">
        <v>3.0604873000000001</v>
      </c>
      <c r="AD32" s="2">
        <v>0.55179160000000005</v>
      </c>
      <c r="AE32" s="2">
        <v>0</v>
      </c>
      <c r="AF32">
        <v>1</v>
      </c>
      <c r="AG32" s="2">
        <v>0</v>
      </c>
      <c r="AH32" s="2"/>
      <c r="AI32" s="2"/>
      <c r="AJ32" s="2"/>
      <c r="AK32" s="2">
        <f t="shared" si="1"/>
        <v>2.5644158671563488E-9</v>
      </c>
      <c r="AL32">
        <f t="shared" si="0"/>
        <v>-2.3180965450270818</v>
      </c>
      <c r="AM32">
        <f>SUM(output_transition_firms_age!C39:F39)/output_transition_firms_age!IJ38</f>
        <v>0.11612847776577449</v>
      </c>
    </row>
    <row r="33" spans="1:39" x14ac:dyDescent="0.35">
      <c r="A33" s="1">
        <v>31</v>
      </c>
      <c r="B33" s="2">
        <v>1</v>
      </c>
      <c r="C33" s="2">
        <v>0.79263700000000004</v>
      </c>
      <c r="D33" s="2">
        <v>0.40354410000000002</v>
      </c>
      <c r="E33" s="2">
        <v>3.2342999999999998E-3</v>
      </c>
      <c r="F33" s="2">
        <v>1</v>
      </c>
      <c r="G33" s="2">
        <v>0.78018900000000002</v>
      </c>
      <c r="H33" s="2">
        <v>0</v>
      </c>
      <c r="I33" s="2">
        <v>0</v>
      </c>
      <c r="J33" s="2">
        <v>2.5094778</v>
      </c>
      <c r="K33" s="2">
        <v>0.9952974</v>
      </c>
      <c r="L33" s="2">
        <v>-4.7003082000000003</v>
      </c>
      <c r="M33" s="2">
        <v>1.01794E-2</v>
      </c>
      <c r="N33" s="2">
        <v>1.9985805000000001</v>
      </c>
      <c r="O33" s="2">
        <v>0.55485099999999998</v>
      </c>
      <c r="P33" s="2">
        <v>1.0734799999999999E-2</v>
      </c>
      <c r="Q33" s="2">
        <v>0.35931619999999997</v>
      </c>
      <c r="R33" s="2">
        <v>3.0609172</v>
      </c>
      <c r="S33" s="2">
        <v>0.55143949999999997</v>
      </c>
      <c r="T33" s="2">
        <v>-1</v>
      </c>
      <c r="U33" s="2">
        <v>1.07438E-2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-5.6384495000000001</v>
      </c>
      <c r="AB33" s="2">
        <v>32.677708699999997</v>
      </c>
      <c r="AC33" s="2">
        <v>3.0608821000000002</v>
      </c>
      <c r="AD33" s="2">
        <v>0.55140429999999996</v>
      </c>
      <c r="AE33" s="2">
        <v>0</v>
      </c>
      <c r="AF33">
        <v>1</v>
      </c>
      <c r="AG33" s="2">
        <v>0</v>
      </c>
      <c r="AH33" s="2"/>
      <c r="AI33" s="2"/>
      <c r="AJ33" s="2"/>
      <c r="AK33" s="2">
        <f t="shared" si="1"/>
        <v>1.2822079335781744E-9</v>
      </c>
      <c r="AL33">
        <f t="shared" si="0"/>
        <v>-2.2899605939854073</v>
      </c>
      <c r="AM33">
        <f>SUM(output_transition_firms_age!C40:F40)/output_transition_firms_age!IJ39</f>
        <v>0.11614070521877869</v>
      </c>
    </row>
    <row r="34" spans="1:39" x14ac:dyDescent="0.35">
      <c r="A34" s="1">
        <v>32</v>
      </c>
      <c r="B34" s="2">
        <v>1</v>
      </c>
      <c r="C34" s="2">
        <v>0.79263700000000004</v>
      </c>
      <c r="D34" s="2">
        <v>0.40354410000000002</v>
      </c>
      <c r="E34" s="2">
        <v>3.2342999999999998E-3</v>
      </c>
      <c r="F34" s="2">
        <v>1</v>
      </c>
      <c r="G34" s="2">
        <v>0.78018900000000002</v>
      </c>
      <c r="H34" s="2">
        <v>0</v>
      </c>
      <c r="I34" s="2">
        <v>0</v>
      </c>
      <c r="J34" s="2">
        <v>2.5104028</v>
      </c>
      <c r="K34" s="2">
        <v>0.99530830000000003</v>
      </c>
      <c r="L34" s="2">
        <v>-4.6948052000000002</v>
      </c>
      <c r="M34" s="2">
        <v>1.0177200000000001E-2</v>
      </c>
      <c r="N34" s="2">
        <v>1.9987211</v>
      </c>
      <c r="O34" s="2">
        <v>0.55512510000000004</v>
      </c>
      <c r="P34" s="2">
        <v>1.0734799999999999E-2</v>
      </c>
      <c r="Q34" s="2">
        <v>0.35930719999999999</v>
      </c>
      <c r="R34" s="2">
        <v>3.0612384000000001</v>
      </c>
      <c r="S34" s="2">
        <v>0.55083559999999998</v>
      </c>
      <c r="T34" s="2">
        <v>-1</v>
      </c>
      <c r="U34" s="2">
        <v>1.07527E-2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-5.6416854000000001</v>
      </c>
      <c r="AB34" s="2">
        <v>32.683567500000002</v>
      </c>
      <c r="AC34" s="2">
        <v>3.0612046999999998</v>
      </c>
      <c r="AD34" s="2">
        <v>0.55080189999999996</v>
      </c>
      <c r="AE34" s="2">
        <v>0</v>
      </c>
      <c r="AF34">
        <v>1</v>
      </c>
      <c r="AG34" s="2">
        <v>0</v>
      </c>
      <c r="AH34" s="2"/>
      <c r="AI34" s="2"/>
      <c r="AJ34" s="2"/>
      <c r="AK34" s="2">
        <f t="shared" si="1"/>
        <v>6.411039667890872E-10</v>
      </c>
      <c r="AL34">
        <f t="shared" si="0"/>
        <v>-2.261057151336221</v>
      </c>
      <c r="AM34">
        <f>SUM(output_transition_firms_age!C41:F41)/output_transition_firms_age!IJ40</f>
        <v>0.11616171838846967</v>
      </c>
    </row>
    <row r="35" spans="1:39" x14ac:dyDescent="0.35">
      <c r="A35" s="1">
        <v>33</v>
      </c>
      <c r="B35" s="2">
        <v>1</v>
      </c>
      <c r="C35" s="2">
        <v>0.79263700000000004</v>
      </c>
      <c r="D35" s="2">
        <v>0.40354410000000002</v>
      </c>
      <c r="E35" s="2">
        <v>3.2342999999999998E-3</v>
      </c>
      <c r="F35" s="2">
        <v>1</v>
      </c>
      <c r="G35" s="2">
        <v>0.78018900000000002</v>
      </c>
      <c r="H35" s="2">
        <v>0</v>
      </c>
      <c r="I35" s="2">
        <v>0</v>
      </c>
      <c r="J35" s="2">
        <v>2.5111360999999999</v>
      </c>
      <c r="K35" s="2">
        <v>0.99535620000000002</v>
      </c>
      <c r="L35" s="2">
        <v>-4.6897219000000003</v>
      </c>
      <c r="M35" s="2">
        <v>1.01756E-2</v>
      </c>
      <c r="N35" s="2">
        <v>1.9988767999999999</v>
      </c>
      <c r="O35" s="2">
        <v>0.55441960000000001</v>
      </c>
      <c r="P35" s="2">
        <v>1.0734799999999999E-2</v>
      </c>
      <c r="Q35" s="2">
        <v>0.35928929999999998</v>
      </c>
      <c r="R35" s="2">
        <v>3.0616075</v>
      </c>
      <c r="S35" s="2">
        <v>0.55047140000000006</v>
      </c>
      <c r="T35" s="2">
        <v>-1</v>
      </c>
      <c r="U35" s="2">
        <v>1.07127E-2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-5.6449085999999999</v>
      </c>
      <c r="AB35" s="2">
        <v>32.688743799999997</v>
      </c>
      <c r="AC35" s="2">
        <v>3.0615755</v>
      </c>
      <c r="AD35" s="2">
        <v>0.55043940000000002</v>
      </c>
      <c r="AE35" s="2">
        <v>0</v>
      </c>
      <c r="AF35">
        <v>1</v>
      </c>
      <c r="AG35" s="2">
        <v>0</v>
      </c>
      <c r="AH35" s="2"/>
      <c r="AI35" s="2"/>
      <c r="AJ35" s="2"/>
      <c r="AK35" s="2">
        <f t="shared" si="1"/>
        <v>3.205519833945436E-10</v>
      </c>
      <c r="AL35">
        <f t="shared" si="0"/>
        <v>-2.238776134934195</v>
      </c>
      <c r="AM35">
        <f>SUM(output_transition_firms_age!C42:F42)/output_transition_firms_age!IJ41</f>
        <v>0.11617708471088088</v>
      </c>
    </row>
    <row r="36" spans="1:39" x14ac:dyDescent="0.35">
      <c r="A36" s="1">
        <v>34</v>
      </c>
      <c r="B36" s="2">
        <v>1</v>
      </c>
      <c r="C36" s="2">
        <v>0.79263700000000004</v>
      </c>
      <c r="D36" s="2">
        <v>0.40354410000000002</v>
      </c>
      <c r="E36" s="2">
        <v>3.2342999999999998E-3</v>
      </c>
      <c r="F36" s="2">
        <v>1</v>
      </c>
      <c r="G36" s="2">
        <v>0.78018900000000002</v>
      </c>
      <c r="H36" s="2">
        <v>0</v>
      </c>
      <c r="I36" s="2">
        <v>0</v>
      </c>
      <c r="J36" s="2">
        <v>2.5117932000000001</v>
      </c>
      <c r="K36" s="2">
        <v>0.99540689999999998</v>
      </c>
      <c r="L36" s="2">
        <v>-4.6857698000000001</v>
      </c>
      <c r="M36" s="2">
        <v>1.01741E-2</v>
      </c>
      <c r="N36" s="2">
        <v>1.9990355</v>
      </c>
      <c r="O36" s="2">
        <v>0.55437069999999999</v>
      </c>
      <c r="P36" s="2">
        <v>1.0734799999999999E-2</v>
      </c>
      <c r="Q36" s="2">
        <v>0.35931150000000001</v>
      </c>
      <c r="R36" s="2">
        <v>3.0619633999999998</v>
      </c>
      <c r="S36" s="2">
        <v>0.55017020000000005</v>
      </c>
      <c r="T36" s="2">
        <v>-1</v>
      </c>
      <c r="U36" s="2">
        <v>1.0703900000000001E-2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-5.648104</v>
      </c>
      <c r="AB36" s="2">
        <v>32.693487099999999</v>
      </c>
      <c r="AC36" s="2">
        <v>3.0619331000000001</v>
      </c>
      <c r="AD36" s="2">
        <v>0.55013990000000002</v>
      </c>
      <c r="AE36" s="2">
        <v>0</v>
      </c>
      <c r="AF36">
        <v>1</v>
      </c>
      <c r="AG36" s="2">
        <v>0</v>
      </c>
      <c r="AH36" s="2"/>
      <c r="AI36" s="2"/>
      <c r="AJ36" s="2"/>
      <c r="AK36" s="2">
        <f t="shared" si="1"/>
        <v>1.602759916972718E-10</v>
      </c>
      <c r="AL36">
        <f t="shared" si="0"/>
        <v>-2.218688640074884</v>
      </c>
      <c r="AM36">
        <f>SUM(output_transition_firms_age!C43:F43)/output_transition_firms_age!IJ42</f>
        <v>0.11618538317723985</v>
      </c>
    </row>
    <row r="37" spans="1:39" x14ac:dyDescent="0.35">
      <c r="A37" s="1">
        <v>35</v>
      </c>
      <c r="B37" s="2">
        <v>1</v>
      </c>
      <c r="C37" s="2">
        <v>0.79263700000000004</v>
      </c>
      <c r="D37" s="2">
        <v>0.40354410000000002</v>
      </c>
      <c r="E37" s="2">
        <v>3.2342999999999998E-3</v>
      </c>
      <c r="F37" s="2">
        <v>1</v>
      </c>
      <c r="G37" s="2">
        <v>0.78018900000000002</v>
      </c>
      <c r="H37" s="2">
        <v>0</v>
      </c>
      <c r="I37" s="2">
        <v>0</v>
      </c>
      <c r="J37" s="2">
        <v>2.5126236999999998</v>
      </c>
      <c r="K37" s="2">
        <v>0.99546069999999998</v>
      </c>
      <c r="L37" s="2">
        <v>-4.6822170999999999</v>
      </c>
      <c r="M37" s="2">
        <v>1.01738E-2</v>
      </c>
      <c r="N37" s="2">
        <v>1.9991952</v>
      </c>
      <c r="O37" s="2">
        <v>0.55419249999999998</v>
      </c>
      <c r="P37" s="2">
        <v>1.0734799999999999E-2</v>
      </c>
      <c r="Q37" s="2">
        <v>0.35934240000000001</v>
      </c>
      <c r="R37" s="2">
        <v>3.0623109999999998</v>
      </c>
      <c r="S37" s="2">
        <v>0.54968729999999999</v>
      </c>
      <c r="T37" s="2">
        <v>-1</v>
      </c>
      <c r="U37" s="2">
        <v>1.0696900000000001E-2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-5.6512694000000003</v>
      </c>
      <c r="AB37" s="2">
        <v>32.697862399999998</v>
      </c>
      <c r="AC37" s="2">
        <v>3.0622824</v>
      </c>
      <c r="AD37" s="2">
        <v>0.54965869999999994</v>
      </c>
      <c r="AE37" s="2">
        <v>0</v>
      </c>
      <c r="AF37">
        <v>1</v>
      </c>
      <c r="AG37" s="2">
        <v>0</v>
      </c>
      <c r="AH37" s="2"/>
      <c r="AI37" s="2"/>
      <c r="AJ37" s="2"/>
      <c r="AK37" s="2">
        <f t="shared" si="1"/>
        <v>8.01379958486359E-11</v>
      </c>
      <c r="AL37">
        <f t="shared" si="0"/>
        <v>-2.200394975675124</v>
      </c>
      <c r="AM37">
        <f>SUM(output_transition_firms_age!C44:F44)/output_transition_firms_age!IJ43</f>
        <v>0.11618747043799652</v>
      </c>
    </row>
    <row r="38" spans="1:39" x14ac:dyDescent="0.35">
      <c r="A38" s="1">
        <v>36</v>
      </c>
      <c r="B38" s="2">
        <v>1</v>
      </c>
      <c r="C38" s="2">
        <v>0.79263700000000004</v>
      </c>
      <c r="D38" s="2">
        <v>0.40354410000000002</v>
      </c>
      <c r="E38" s="2">
        <v>3.2342999999999998E-3</v>
      </c>
      <c r="F38" s="2">
        <v>1</v>
      </c>
      <c r="G38" s="2">
        <v>0.78018900000000002</v>
      </c>
      <c r="H38" s="2">
        <v>0</v>
      </c>
      <c r="I38" s="2">
        <v>0</v>
      </c>
      <c r="J38" s="2">
        <v>2.5134669000000001</v>
      </c>
      <c r="K38" s="2">
        <v>0.99550700000000003</v>
      </c>
      <c r="L38" s="2">
        <v>-4.6793771</v>
      </c>
      <c r="M38" s="2">
        <v>1.0175699999999999E-2</v>
      </c>
      <c r="N38" s="2">
        <v>1.9993562</v>
      </c>
      <c r="O38" s="2">
        <v>0.55409229999999998</v>
      </c>
      <c r="P38" s="2">
        <v>1.0734799999999999E-2</v>
      </c>
      <c r="Q38" s="2">
        <v>0.35938029999999999</v>
      </c>
      <c r="R38" s="2">
        <v>3.0626161999999999</v>
      </c>
      <c r="S38" s="2">
        <v>0.54914929999999995</v>
      </c>
      <c r="T38" s="2">
        <v>-1</v>
      </c>
      <c r="U38" s="2">
        <v>1.06934E-2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-5.6541484000000004</v>
      </c>
      <c r="AB38" s="2">
        <v>32.701695000000001</v>
      </c>
      <c r="AC38" s="2">
        <v>3.0625893999999998</v>
      </c>
      <c r="AD38" s="2">
        <v>0.54912240000000001</v>
      </c>
      <c r="AE38" s="2">
        <v>0</v>
      </c>
      <c r="AF38">
        <v>1</v>
      </c>
      <c r="AG38" s="2">
        <v>0</v>
      </c>
      <c r="AH38" s="2"/>
      <c r="AI38" s="2"/>
      <c r="AJ38" s="2"/>
      <c r="AK38" s="2">
        <f t="shared" si="1"/>
        <v>4.006899792431795E-11</v>
      </c>
      <c r="AL38">
        <f t="shared" si="0"/>
        <v>-2.1840446676194336</v>
      </c>
      <c r="AM38">
        <f>SUM(output_transition_firms_age!C45:F45)/output_transition_firms_age!IJ44</f>
        <v>0.11618541843082693</v>
      </c>
    </row>
    <row r="39" spans="1:39" x14ac:dyDescent="0.35">
      <c r="A39" s="1">
        <v>37</v>
      </c>
      <c r="B39" s="2">
        <v>1</v>
      </c>
      <c r="C39" s="2">
        <v>0.79263700000000004</v>
      </c>
      <c r="D39" s="2">
        <v>0.40354410000000002</v>
      </c>
      <c r="E39" s="2">
        <v>3.2342999999999998E-3</v>
      </c>
      <c r="F39" s="2">
        <v>1</v>
      </c>
      <c r="G39" s="2">
        <v>0.78018900000000002</v>
      </c>
      <c r="H39" s="2">
        <v>0</v>
      </c>
      <c r="I39" s="2">
        <v>0</v>
      </c>
      <c r="J39" s="2">
        <v>2.5142019000000002</v>
      </c>
      <c r="K39" s="2">
        <v>0.99539330000000004</v>
      </c>
      <c r="L39" s="2">
        <v>-4.6772185999999998</v>
      </c>
      <c r="M39" s="2">
        <v>1.0180099999999999E-2</v>
      </c>
      <c r="N39" s="2">
        <v>1.9993828</v>
      </c>
      <c r="O39" s="2">
        <v>0.55519839999999998</v>
      </c>
      <c r="P39" s="2">
        <v>1.0654E-2</v>
      </c>
      <c r="Q39" s="2">
        <v>0.35942180000000001</v>
      </c>
      <c r="R39" s="2">
        <v>3.0626057000000002</v>
      </c>
      <c r="S39" s="2">
        <v>0.5484038</v>
      </c>
      <c r="T39" s="2">
        <v>-1</v>
      </c>
      <c r="U39" s="2">
        <v>1.07291E-2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-5.6565101000000002</v>
      </c>
      <c r="AB39" s="2">
        <v>32.703792100000001</v>
      </c>
      <c r="AC39" s="2">
        <v>3.0625794000000002</v>
      </c>
      <c r="AD39" s="2">
        <v>0.54837749999999996</v>
      </c>
      <c r="AE39" s="2">
        <v>0</v>
      </c>
      <c r="AF39">
        <v>1</v>
      </c>
      <c r="AG39" s="2">
        <v>0</v>
      </c>
      <c r="AH39" s="2"/>
      <c r="AI39" s="2"/>
      <c r="AJ39" s="2"/>
      <c r="AK39" s="2">
        <f t="shared" si="1"/>
        <v>2.0034498962158975E-11</v>
      </c>
      <c r="AL39">
        <f t="shared" si="0"/>
        <v>-2.1499585357123596</v>
      </c>
      <c r="AM39">
        <f>SUM(output_transition_firms_age!C46:F46)/output_transition_firms_age!IJ45</f>
        <v>0.1159597305500038</v>
      </c>
    </row>
    <row r="40" spans="1:39" x14ac:dyDescent="0.35">
      <c r="A40" s="1">
        <v>38</v>
      </c>
      <c r="B40" s="2">
        <v>1</v>
      </c>
      <c r="C40" s="2">
        <v>0.79263700000000004</v>
      </c>
      <c r="D40" s="2">
        <v>0.40354410000000002</v>
      </c>
      <c r="E40" s="2">
        <v>3.2342999999999998E-3</v>
      </c>
      <c r="F40" s="2">
        <v>1</v>
      </c>
      <c r="G40" s="2">
        <v>0.78018900000000002</v>
      </c>
      <c r="H40" s="2">
        <v>0</v>
      </c>
      <c r="I40" s="2">
        <v>0</v>
      </c>
      <c r="J40" s="2">
        <v>2.5153411000000001</v>
      </c>
      <c r="K40" s="2">
        <v>0.995363</v>
      </c>
      <c r="L40" s="2">
        <v>-4.6750024999999997</v>
      </c>
      <c r="M40" s="2">
        <v>1.02109E-2</v>
      </c>
      <c r="N40" s="2">
        <v>1.9995050999999999</v>
      </c>
      <c r="O40" s="2">
        <v>0.55376550000000002</v>
      </c>
      <c r="P40" s="2">
        <v>1.0654E-2</v>
      </c>
      <c r="Q40" s="2">
        <v>0.35934670000000002</v>
      </c>
      <c r="R40" s="2">
        <v>3.0627393999999999</v>
      </c>
      <c r="S40" s="2">
        <v>0.56257919999999995</v>
      </c>
      <c r="T40" s="2">
        <v>-1</v>
      </c>
      <c r="U40" s="2">
        <v>1.0677300000000001E-2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-5.6583991999999999</v>
      </c>
      <c r="AB40" s="2">
        <v>32.706405099999998</v>
      </c>
      <c r="AC40" s="2">
        <v>3.0627143000000001</v>
      </c>
      <c r="AD40" s="2">
        <v>0.56255409999999995</v>
      </c>
      <c r="AE40" s="2">
        <v>1.5180900000000001E-2</v>
      </c>
      <c r="AF40">
        <v>1</v>
      </c>
      <c r="AG40" s="2">
        <v>0</v>
      </c>
      <c r="AH40" s="2"/>
      <c r="AI40" s="2"/>
      <c r="AJ40" s="2"/>
      <c r="AK40" s="2">
        <f t="shared" si="1"/>
        <v>1.0017249481079488E-11</v>
      </c>
      <c r="AL40">
        <f t="shared" si="0"/>
        <v>-2.1271601778415583</v>
      </c>
      <c r="AM40">
        <f>SUM(output_transition_firms_age!C47:F47)/output_transition_firms_age!IJ46</f>
        <v>0.11530193183255311</v>
      </c>
    </row>
    <row r="41" spans="1:39" x14ac:dyDescent="0.35">
      <c r="A41" s="1">
        <v>39</v>
      </c>
      <c r="B41" s="2">
        <v>1</v>
      </c>
      <c r="C41" s="2">
        <v>0.79263700000000004</v>
      </c>
      <c r="D41" s="2">
        <v>0.40354410000000002</v>
      </c>
      <c r="E41" s="2">
        <v>3.2342999999999998E-3</v>
      </c>
      <c r="F41" s="2">
        <v>1</v>
      </c>
      <c r="G41" s="2">
        <v>0.78018900000000002</v>
      </c>
      <c r="H41" s="2">
        <v>0</v>
      </c>
      <c r="I41" s="2">
        <v>0</v>
      </c>
      <c r="J41" s="2">
        <v>2.5286658000000002</v>
      </c>
      <c r="K41" s="2">
        <v>0.99755099999999997</v>
      </c>
      <c r="L41" s="2">
        <v>-4.5981648000000002</v>
      </c>
      <c r="M41" s="2">
        <v>1.0101000000000001E-2</v>
      </c>
      <c r="N41" s="2">
        <v>2.0018584000000001</v>
      </c>
      <c r="O41" s="2">
        <v>0.55909600000000004</v>
      </c>
      <c r="P41" s="2">
        <v>1.0654E-2</v>
      </c>
      <c r="Q41" s="2">
        <v>0.3604869</v>
      </c>
      <c r="R41" s="2">
        <v>3.0906913999999999</v>
      </c>
      <c r="S41" s="2">
        <v>0.55328379999999999</v>
      </c>
      <c r="T41" s="2">
        <v>-1</v>
      </c>
      <c r="U41" s="2">
        <v>1.0653899999999999E-2</v>
      </c>
      <c r="V41" s="2">
        <v>0</v>
      </c>
      <c r="W41" s="2">
        <v>2.6877955999999998</v>
      </c>
      <c r="X41" s="2">
        <v>0.64611940000000001</v>
      </c>
      <c r="Y41" s="2">
        <v>0</v>
      </c>
      <c r="Z41" s="2">
        <v>0</v>
      </c>
      <c r="AA41" s="2">
        <v>-5.7495697000000003</v>
      </c>
      <c r="AB41" s="2">
        <v>33.1899199</v>
      </c>
      <c r="AC41" s="2">
        <v>3.0906913999999999</v>
      </c>
      <c r="AD41" s="2">
        <v>0.55328379999999999</v>
      </c>
      <c r="AE41" s="2">
        <v>8.7417999999999992E-3</v>
      </c>
      <c r="AF41">
        <v>1</v>
      </c>
      <c r="AG41" s="2">
        <v>0</v>
      </c>
      <c r="AH41" s="2"/>
      <c r="AI41" s="2"/>
      <c r="AJ41" s="2"/>
      <c r="AK41" s="2">
        <f t="shared" si="1"/>
        <v>5.0086247405397438E-12</v>
      </c>
      <c r="AL41">
        <f t="shared" si="0"/>
        <v>0</v>
      </c>
      <c r="AM41">
        <f>SUM(output_transition_firms_age!C48:F48)/output_transition_firms_age!IJ47</f>
        <v>0</v>
      </c>
    </row>
    <row r="42" spans="1:39" x14ac:dyDescent="0.3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G42" s="2"/>
      <c r="AH42" s="2"/>
      <c r="AI42" s="2"/>
      <c r="AJ42" s="2"/>
      <c r="AK42" s="2">
        <f t="shared" si="1"/>
        <v>2.5043123702698719E-12</v>
      </c>
      <c r="AL42" t="e">
        <f t="shared" si="0"/>
        <v>#DIV/0!</v>
      </c>
      <c r="AM42">
        <f>SUM(output_transition_firms_age!C49:F49)/output_transition_firms_age!IJ48</f>
        <v>0</v>
      </c>
    </row>
    <row r="43" spans="1:39" x14ac:dyDescent="0.3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G43" s="2"/>
      <c r="AH43" s="2"/>
      <c r="AI43" s="2"/>
      <c r="AJ43" s="2"/>
      <c r="AK43" s="2">
        <f t="shared" si="1"/>
        <v>1.2521561851349359E-12</v>
      </c>
      <c r="AM43">
        <f>SUM(output_transition_firms_age!C50:F50)/output_transition_firms_age!IJ49</f>
        <v>0</v>
      </c>
    </row>
    <row r="44" spans="1:39" x14ac:dyDescent="0.35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G44" s="2"/>
      <c r="AH44" s="2"/>
      <c r="AI44" s="2"/>
      <c r="AJ44" s="2"/>
      <c r="AK44" s="2">
        <f t="shared" si="1"/>
        <v>6.2607809256746797E-13</v>
      </c>
      <c r="AM44">
        <f>SUM(output_transition_firms_age!C51:F51)/output_transition_firms_age!IJ50</f>
        <v>0</v>
      </c>
    </row>
    <row r="45" spans="1:39" x14ac:dyDescent="0.35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G45" s="2"/>
      <c r="AH45" s="2"/>
      <c r="AI45" s="2"/>
      <c r="AJ45" s="2"/>
      <c r="AK45" s="2">
        <f t="shared" si="1"/>
        <v>3.1303904628373399E-13</v>
      </c>
      <c r="AM45">
        <f>SUM(output_transition_firms_age!C52:F52)/output_transition_firms_age!IJ51</f>
        <v>0</v>
      </c>
    </row>
    <row r="46" spans="1:39" x14ac:dyDescent="0.35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G46" s="2"/>
      <c r="AH46" s="2"/>
      <c r="AI46" s="2"/>
      <c r="AJ46" s="2"/>
      <c r="AK46" s="2">
        <f t="shared" si="1"/>
        <v>1.5651952314186699E-13</v>
      </c>
      <c r="AM46">
        <f>SUM(output_transition_firms_age!C53:F53)/output_transition_firms_age!IJ52</f>
        <v>0</v>
      </c>
    </row>
    <row r="47" spans="1:39" x14ac:dyDescent="0.3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G47" s="2"/>
      <c r="AH47" s="2"/>
      <c r="AI47" s="2"/>
      <c r="AJ47" s="2"/>
      <c r="AK47" s="2">
        <f t="shared" si="1"/>
        <v>7.8259761570933497E-14</v>
      </c>
      <c r="AM47">
        <f>SUM(output_transition_firms_age!C54:F54)/output_transition_firms_age!IJ53</f>
        <v>0</v>
      </c>
    </row>
    <row r="48" spans="1:39" x14ac:dyDescent="0.35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G48" s="2"/>
      <c r="AH48" s="2"/>
      <c r="AI48" s="2"/>
      <c r="AJ48" s="2"/>
      <c r="AK48" s="2"/>
    </row>
    <row r="49" spans="2:37" x14ac:dyDescent="0.35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G49" s="2"/>
      <c r="AH49" s="2"/>
      <c r="AI49" s="2"/>
      <c r="AJ49" s="2"/>
      <c r="AK49" s="2"/>
    </row>
    <row r="50" spans="2:37" x14ac:dyDescent="0.35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G50" s="2"/>
      <c r="AH50" s="2"/>
      <c r="AI50" s="2"/>
      <c r="AJ50" s="2"/>
      <c r="AK50" s="2"/>
    </row>
    <row r="51" spans="2:37" x14ac:dyDescent="0.35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G51" s="2"/>
      <c r="AH51" s="2"/>
      <c r="AI51" s="2"/>
      <c r="AJ51" s="2"/>
      <c r="AK51" s="2"/>
    </row>
    <row r="52" spans="2:37" x14ac:dyDescent="0.35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G52" s="2"/>
      <c r="AH52" s="2"/>
      <c r="AI52" s="2"/>
      <c r="AJ52" s="2"/>
      <c r="AK52" s="2"/>
    </row>
    <row r="53" spans="2:37" x14ac:dyDescent="0.35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G53" s="2"/>
      <c r="AH53" s="2"/>
      <c r="AI53" s="2"/>
      <c r="AJ53" s="2"/>
      <c r="AK53" s="2"/>
    </row>
    <row r="54" spans="2:37" x14ac:dyDescent="0.3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G54" s="2"/>
      <c r="AH54" s="2"/>
      <c r="AI54" s="2"/>
      <c r="AJ54" s="2"/>
      <c r="AK54" s="2"/>
    </row>
    <row r="55" spans="2:37" x14ac:dyDescent="0.35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G55" s="2"/>
      <c r="AH55" s="2"/>
      <c r="AI55" s="2"/>
      <c r="AJ55" s="2"/>
      <c r="AK55" s="2"/>
    </row>
    <row r="56" spans="2:37" x14ac:dyDescent="0.3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G56" s="2"/>
      <c r="AH56" s="2"/>
      <c r="AI56" s="2"/>
      <c r="AJ56" s="2"/>
      <c r="AK56" s="2"/>
    </row>
    <row r="57" spans="2:37" x14ac:dyDescent="0.35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G57" s="2"/>
      <c r="AH57" s="2"/>
      <c r="AI57" s="2"/>
      <c r="AJ57" s="2"/>
      <c r="AK57" s="2"/>
    </row>
    <row r="58" spans="2:37" x14ac:dyDescent="0.35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G58" s="2"/>
      <c r="AH58" s="2"/>
      <c r="AI58" s="2"/>
      <c r="AJ58" s="2"/>
      <c r="AK58" s="2"/>
    </row>
    <row r="59" spans="2:37" x14ac:dyDescent="0.35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G59" s="2"/>
      <c r="AH59" s="2"/>
      <c r="AI59" s="2"/>
      <c r="AJ59" s="2"/>
      <c r="AK59" s="2"/>
    </row>
    <row r="60" spans="2:37" x14ac:dyDescent="0.35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G60" s="2"/>
      <c r="AH60" s="2"/>
      <c r="AI60" s="2"/>
      <c r="AJ60" s="2"/>
      <c r="AK60" s="2"/>
    </row>
    <row r="61" spans="2:37" x14ac:dyDescent="0.3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G61" s="2"/>
      <c r="AH61" s="2"/>
      <c r="AI61" s="2"/>
      <c r="AJ61" s="2"/>
      <c r="AK61" s="2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9" sqref="I19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32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48</v>
      </c>
      <c r="H1" s="1" t="s">
        <v>49</v>
      </c>
      <c r="I1" s="1" t="s">
        <v>54</v>
      </c>
      <c r="J1" s="1" t="s">
        <v>33</v>
      </c>
      <c r="K1" s="1" t="s">
        <v>35</v>
      </c>
      <c r="L1" s="1" t="s">
        <v>10</v>
      </c>
      <c r="M1" s="1" t="s">
        <v>51</v>
      </c>
      <c r="N1" s="1" t="s">
        <v>36</v>
      </c>
      <c r="O1" s="1" t="s">
        <v>16</v>
      </c>
      <c r="P1" s="1" t="s">
        <v>39</v>
      </c>
      <c r="Q1" s="1" t="s">
        <v>5</v>
      </c>
      <c r="R1" s="1" t="s">
        <v>55</v>
      </c>
      <c r="S1" s="1" t="s">
        <v>34</v>
      </c>
      <c r="T1" s="1" t="s">
        <v>38</v>
      </c>
      <c r="U1" s="1" t="s">
        <v>17</v>
      </c>
      <c r="V1" s="1" t="s">
        <v>47</v>
      </c>
      <c r="W1" s="1" t="s">
        <v>21</v>
      </c>
      <c r="X1" s="1" t="s">
        <v>20</v>
      </c>
      <c r="Y1" s="1" t="s">
        <v>6</v>
      </c>
      <c r="Z1" s="1" t="s">
        <v>7</v>
      </c>
      <c r="AA1" s="1" t="s">
        <v>37</v>
      </c>
      <c r="AB1" s="1" t="s">
        <v>19</v>
      </c>
      <c r="AC1" s="1" t="s">
        <v>24</v>
      </c>
      <c r="AD1" s="1" t="s">
        <v>31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33.1899199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0</v>
      </c>
      <c r="C3" s="6">
        <f>100*(output_transition_aggregates!C3/output_transition_aggregates!C$2-1)</f>
        <v>26.161155737115461</v>
      </c>
      <c r="D3" s="6">
        <f>100*(output_transition_aggregates!D3/output_transition_aggregates!D$2-1)</f>
        <v>0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-1.7098542638572578</v>
      </c>
      <c r="K3" s="8">
        <f>100*(output_transition_aggregates!K3-output_transition_aggregates!K$2)</f>
        <v>-18.609509999999997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13.602870212998063</v>
      </c>
      <c r="O3" s="6">
        <f>output_transition_aggregates!O3/output_transition_aggregates!O$2</f>
        <v>1.2750679668607894</v>
      </c>
      <c r="P3" s="3">
        <f>100*(output_transition_aggregates!P3/SUM(output_transition_aggregates!P3:Q3)-output_transition_aggregates!P$2/SUM(output_transition_aggregates!P$2:Q$2))</f>
        <v>-0.64185771541841152</v>
      </c>
      <c r="Q3" s="6">
        <f>output_transition_aggregates!Q3/output_transition_aggregates!Q$2</f>
        <v>1</v>
      </c>
      <c r="R3" s="4">
        <f>100*(output_transition_aggregates!R3/output_transition_aggregates!R$2-1)</f>
        <v>-14.356493178193064</v>
      </c>
      <c r="S3" s="6">
        <f>100*(output_transition_aggregates!S3/output_transition_aggregates!S$2-1)</f>
        <v>-70.802109152662695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4.1008302870873301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</v>
      </c>
      <c r="X3" s="7">
        <f>100*(output_transition_aggregates!X3-output_transition_aggregates!X$2)</f>
        <v>-64.611940000000004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33.157068799999998</v>
      </c>
      <c r="AC3" s="6">
        <f>output_transition_aggregates!AC3/output_transition_aggregates!AC$2</f>
        <v>0.85715908097456772</v>
      </c>
      <c r="AD3" s="6">
        <f>output_transition_aggregates!AD3/output_transition_aggregates!AD$2</f>
        <v>0.29602330666468096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0</v>
      </c>
      <c r="C4" s="6">
        <f>100*(output_transition_aggregates!C4/output_transition_aggregates!C$2-1)</f>
        <v>13.080577868557741</v>
      </c>
      <c r="D4" s="6">
        <f>100*(output_transition_aggregates!D4/output_transition_aggregates!D$2-1)</f>
        <v>0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-1.8638089699318905</v>
      </c>
      <c r="K4" s="8">
        <f>100*(output_transition_aggregates!K4-output_transition_aggregates!K$2)</f>
        <v>-10.749959999999991</v>
      </c>
      <c r="L4" s="6">
        <f>100*(output_transition_aggregates!L4/output_transition_aggregates!L$2-1)</f>
        <v>-1.1999113211427215</v>
      </c>
      <c r="M4" s="6">
        <f>100*(output_transition_aggregates!M4-output_transition_aggregates!M$2)</f>
        <v>-0.2104100000000001</v>
      </c>
      <c r="N4" s="6">
        <f>100*(output_transition_aggregates!N4/output_transition_aggregates!N$2-1)</f>
        <v>6.4250948019100473</v>
      </c>
      <c r="O4" s="6">
        <f>output_transition_aggregates!O4/output_transition_aggregates!O$2</f>
        <v>0.93162587462618207</v>
      </c>
      <c r="P4" s="7">
        <f>100*(output_transition_aggregates!P4/SUM(output_transition_aggregates!P4:Q4)-output_transition_aggregates!P$2/SUM(output_transition_aggregates!P$2:Q$2))</f>
        <v>-0.10303132369537046</v>
      </c>
      <c r="Q4" s="6">
        <f>output_transition_aggregates!Q4/output_transition_aggregates!Q$2</f>
        <v>0.95149227336693787</v>
      </c>
      <c r="R4" s="4">
        <f>100*(output_transition_aggregates!R4/output_transition_aggregates!R$2-1)</f>
        <v>-8.3042648644895518</v>
      </c>
      <c r="S4" s="6">
        <f>100*(output_transition_aggregates!S4/output_transition_aggregates!S$2-1)</f>
        <v>-36.290218509922035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-0.44436622699362827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</v>
      </c>
      <c r="X4" s="7">
        <f>100*(output_transition_aggregates!X4-output_transition_aggregates!X$2)</f>
        <v>-64.611940000000004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-1.204460570327559</v>
      </c>
      <c r="AB4" s="7">
        <f>output_transition_aggregates!AB4</f>
        <v>32.780485300000002</v>
      </c>
      <c r="AC4" s="6">
        <f>output_transition_aggregates!AC4/output_transition_aggregates!AC$2</f>
        <v>0.9173636682070555</v>
      </c>
      <c r="AD4" s="6">
        <f>output_transition_aggregates!AD4/output_transition_aggregates!AD$2</f>
        <v>0.63936735541506906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0</v>
      </c>
      <c r="C5" s="6">
        <f>100*(output_transition_aggregates!C5/output_transition_aggregates!C$2-1)</f>
        <v>6.5402952423366356</v>
      </c>
      <c r="D5" s="6">
        <f>100*(output_transition_aggregates!D5/output_transition_aggregates!D$2-1)</f>
        <v>0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-1.9085479781472126</v>
      </c>
      <c r="K5" s="8">
        <f>100*(output_transition_aggregates!K5-output_transition_aggregates!K$2)</f>
        <v>-6.1891099999999977</v>
      </c>
      <c r="L5" s="6">
        <f>100*(output_transition_aggregates!L5/output_transition_aggregates!L$2-1)</f>
        <v>0.73898177812155019</v>
      </c>
      <c r="M5" s="6">
        <f>100*(output_transition_aggregates!M5-output_transition_aggregates!M$2)</f>
        <v>-7.4710000000000054E-2</v>
      </c>
      <c r="N5" s="6">
        <f>100*(output_transition_aggregates!N5/output_transition_aggregates!N$2-1)</f>
        <v>2.7712199823923589</v>
      </c>
      <c r="O5" s="6">
        <f>output_transition_aggregates!O5/output_transition_aggregates!O$2</f>
        <v>0.93010931932977525</v>
      </c>
      <c r="P5" s="7">
        <f>100*(output_transition_aggregates!P5/SUM(output_transition_aggregates!P5:Q5)-output_transition_aggregates!P$2/SUM(output_transition_aggregates!P$2:Q$2))</f>
        <v>9.0476416342818999E-2</v>
      </c>
      <c r="Q5" s="6">
        <f>output_transition_aggregates!Q5/output_transition_aggregates!Q$2</f>
        <v>0.95483275536503542</v>
      </c>
      <c r="R5" s="4">
        <f>100*(output_transition_aggregates!R5/output_transition_aggregates!R$2-1)</f>
        <v>-5.1758030581765642</v>
      </c>
      <c r="S5" s="6">
        <f>100*(output_transition_aggregates!S5/output_transition_aggregates!S$2-1)</f>
        <v>-18.609888812938312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-0.51968885702675693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</v>
      </c>
      <c r="X5" s="7">
        <f>100*(output_transition_aggregates!X5-output_transition_aggregates!X$2)</f>
        <v>-64.611940000000004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-2.0982996344926508</v>
      </c>
      <c r="AB5" s="7">
        <f>output_transition_aggregates!AB5</f>
        <v>32.5970795</v>
      </c>
      <c r="AC5" s="6">
        <f>output_transition_aggregates!AC5/output_transition_aggregates!AC$2</f>
        <v>0.94843047092957911</v>
      </c>
      <c r="AD5" s="6">
        <f>output_transition_aggregates!AD5/output_transition_aggregates!AD$2</f>
        <v>0.81495409769814331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0</v>
      </c>
      <c r="C6" s="6">
        <f>100*(output_transition_aggregates!C6/output_transition_aggregates!C$2-1)</f>
        <v>3.2701476211683289</v>
      </c>
      <c r="D6" s="6">
        <f>100*(output_transition_aggregates!D6/output_transition_aggregates!D$2-1)</f>
        <v>0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-1.8900125117364275</v>
      </c>
      <c r="K6" s="8">
        <f>100*(output_transition_aggregates!K6-output_transition_aggregates!K$2)</f>
        <v>-3.6082899999999918</v>
      </c>
      <c r="L6" s="6">
        <f>100*(output_transition_aggregates!L6/output_transition_aggregates!L$2-1)</f>
        <v>2.111081360111311</v>
      </c>
      <c r="M6" s="6">
        <f>100*(output_transition_aggregates!M6-output_transition_aggregates!M$2)</f>
        <v>-2.6070000000000086E-2</v>
      </c>
      <c r="N6" s="6">
        <f>100*(output_transition_aggregates!N6/output_transition_aggregates!N$2-1)</f>
        <v>0.97375518668052496</v>
      </c>
      <c r="O6" s="6">
        <f>output_transition_aggregates!O6/output_transition_aggregates!O$2</f>
        <v>0.93099127877859966</v>
      </c>
      <c r="P6" s="7">
        <f>100*(output_transition_aggregates!P6/SUM(output_transition_aggregates!P6:Q6)-output_transition_aggregates!P$2/SUM(output_transition_aggregates!P$2:Q$2))</f>
        <v>0.22669340961656501</v>
      </c>
      <c r="Q6" s="6">
        <f>output_transition_aggregates!Q6/output_transition_aggregates!Q$2</f>
        <v>0.96083713444233343</v>
      </c>
      <c r="R6" s="4">
        <f>100*(output_transition_aggregates!R6/output_transition_aggregates!R$2-1)</f>
        <v>-3.4899246168672793</v>
      </c>
      <c r="S6" s="6">
        <f>100*(output_transition_aggregates!S6/output_transition_aggregates!S$2-1)</f>
        <v>-9.2771377003989635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-0.4565547788941488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</v>
      </c>
      <c r="X6" s="7">
        <f>100*(output_transition_aggregates!X6-output_transition_aggregates!X$2)</f>
        <v>-64.611940000000004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-2.7702316575099584</v>
      </c>
      <c r="AB6" s="7">
        <f>output_transition_aggregates!AB6</f>
        <v>32.511523400000002</v>
      </c>
      <c r="AC6" s="6">
        <f>output_transition_aggregates!AC6/output_transition_aggregates!AC$2</f>
        <v>0.96517057639594817</v>
      </c>
      <c r="AD6" s="6">
        <f>output_transition_aggregates!AD6/output_transition_aggregates!AD$2</f>
        <v>0.90761865791118401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0</v>
      </c>
      <c r="C7" s="6">
        <f>100*(output_transition_aggregates!C7/output_transition_aggregates!C$2-1)</f>
        <v>1.6350738105841645</v>
      </c>
      <c r="D7" s="6">
        <f>100*(output_transition_aggregates!D7/output_transition_aggregates!D$2-1)</f>
        <v>0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-1.8616022726293147</v>
      </c>
      <c r="K7" s="8">
        <f>100*(output_transition_aggregates!K7-output_transition_aggregates!K$2)</f>
        <v>-2.2904399999999936</v>
      </c>
      <c r="L7" s="6">
        <f>100*(output_transition_aggregates!L7/output_transition_aggregates!L$2-1)</f>
        <v>3.117180576041978</v>
      </c>
      <c r="M7" s="6">
        <f>100*(output_transition_aggregates!M7-output_transition_aggregates!M$2)</f>
        <v>-1.0100000000000733E-3</v>
      </c>
      <c r="N7" s="6">
        <f>100*(output_transition_aggregates!N7/output_transition_aggregates!N$2-1)</f>
        <v>6.3505990233880816E-2</v>
      </c>
      <c r="O7" s="6">
        <f>output_transition_aggregates!O7/output_transition_aggregates!O$2</f>
        <v>0.95675823114456182</v>
      </c>
      <c r="P7" s="7">
        <f>100*(output_transition_aggregates!P7/SUM(output_transition_aggregates!P7:Q7)-output_transition_aggregates!P$2/SUM(output_transition_aggregates!P$2:Q$2))</f>
        <v>0.20955200014542708</v>
      </c>
      <c r="Q7" s="6">
        <f>output_transition_aggregates!Q7/output_transition_aggregates!Q$2</f>
        <v>0.9676121379168009</v>
      </c>
      <c r="R7" s="4">
        <f>100*(output_transition_aggregates!R7/output_transition_aggregates!R$2-1)</f>
        <v>-2.6507628681401219</v>
      </c>
      <c r="S7" s="6">
        <f>100*(output_transition_aggregates!S7/output_transition_aggregates!S$2-1)</f>
        <v>-4.7193321040666536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-0.14841246956164045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</v>
      </c>
      <c r="X7" s="7">
        <f>100*(output_transition_aggregates!X7-output_transition_aggregates!X$2)</f>
        <v>-64.611940000000004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-3.1971366483303898</v>
      </c>
      <c r="AB7" s="7">
        <f>output_transition_aggregates!AB7</f>
        <v>32.470488099999997</v>
      </c>
      <c r="AC7" s="6">
        <f>output_transition_aggregates!AC7/output_transition_aggregates!AC$2</f>
        <v>0.97349693340460974</v>
      </c>
      <c r="AD7" s="6">
        <f>output_transition_aggregates!AD7/output_transition_aggregates!AD$2</f>
        <v>0.95283198242927047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0</v>
      </c>
      <c r="C8" s="6">
        <f>100*(output_transition_aggregates!C8/output_transition_aggregates!C$2-1)</f>
        <v>0.81753690529207113</v>
      </c>
      <c r="D8" s="6">
        <f>100*(output_transition_aggregates!D8/output_transition_aggregates!D$2-1)</f>
        <v>0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-1.8127860154552811</v>
      </c>
      <c r="K8" s="8">
        <f>100*(output_transition_aggregates!K8-output_transition_aggregates!K$2)</f>
        <v>-1.5965699999999972</v>
      </c>
      <c r="L8" s="6">
        <f>100*(output_transition_aggregates!L8/output_transition_aggregates!L$2-1)</f>
        <v>3.6511283806095918</v>
      </c>
      <c r="M8" s="6">
        <f>100*(output_transition_aggregates!M8-output_transition_aggregates!M$2)</f>
        <v>1.1289999999999911E-2</v>
      </c>
      <c r="N8" s="6">
        <f>100*(output_transition_aggregates!N8/output_transition_aggregates!N$2-1)</f>
        <v>-0.37105022013546041</v>
      </c>
      <c r="O8" s="6">
        <f>output_transition_aggregates!O8/output_transition_aggregates!O$2</f>
        <v>0.96550485068753833</v>
      </c>
      <c r="P8" s="7">
        <f>100*(output_transition_aggregates!P8/SUM(output_transition_aggregates!P8:Q8)-output_transition_aggregates!P$2/SUM(output_transition_aggregates!P$2:Q$2))</f>
        <v>0.20047000630447587</v>
      </c>
      <c r="Q8" s="6">
        <f>output_transition_aggregates!Q8/output_transition_aggregates!Q$2</f>
        <v>0.97118619289633001</v>
      </c>
      <c r="R8" s="4">
        <f>100*(output_transition_aggregates!R8/output_transition_aggregates!R$2-1)</f>
        <v>-2.2046005628384657</v>
      </c>
      <c r="S8" s="6">
        <f>100*(output_transition_aggregates!S8/output_transition_aggregates!S$2-1)</f>
        <v>-2.450153067919203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-5.5626932755805519E-2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</v>
      </c>
      <c r="X8" s="7">
        <f>100*(output_transition_aggregates!X8-output_transition_aggregates!X$2)</f>
        <v>-64.611940000000004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-3.3922155948470478</v>
      </c>
      <c r="AB8" s="7">
        <f>output_transition_aggregates!AB8</f>
        <v>32.455032699999997</v>
      </c>
      <c r="AC8" s="6">
        <f>output_transition_aggregates!AC8/output_transition_aggregates!AC$2</f>
        <v>0.97792733367038842</v>
      </c>
      <c r="AD8" s="6">
        <f>output_transition_aggregates!AD8/output_transition_aggregates!AD$2</f>
        <v>0.97534954032632082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0</v>
      </c>
      <c r="C9" s="6">
        <f>100*(output_transition_aggregates!C9/output_transition_aggregates!C$2-1)</f>
        <v>0.40877476070382279</v>
      </c>
      <c r="D9" s="6">
        <f>100*(output_transition_aggregates!D9/output_transition_aggregates!D$2-1)</f>
        <v>0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-1.7716971534949555</v>
      </c>
      <c r="K9" s="8">
        <f>100*(output_transition_aggregates!K9-output_transition_aggregates!K$2)</f>
        <v>-1.1756099999999936</v>
      </c>
      <c r="L9" s="6">
        <f>100*(output_transition_aggregates!L9/output_transition_aggregates!L$2-1)</f>
        <v>3.9989236575426856</v>
      </c>
      <c r="M9" s="6">
        <f>100*(output_transition_aggregates!M9-output_transition_aggregates!M$2)</f>
        <v>1.72799999999999E-2</v>
      </c>
      <c r="N9" s="6">
        <f>100*(output_transition_aggregates!N9/output_transition_aggregates!N$2-1)</f>
        <v>-0.55361058504438398</v>
      </c>
      <c r="O9" s="6">
        <f>output_transition_aggregates!O9/output_transition_aggregates!O$2</f>
        <v>0.962343497360024</v>
      </c>
      <c r="P9" s="7">
        <f>100*(output_transition_aggregates!P9/SUM(output_transition_aggregates!P9:Q9)-output_transition_aggregates!P$2/SUM(output_transition_aggregates!P$2:Q$2))</f>
        <v>0.19358718044259898</v>
      </c>
      <c r="Q9" s="6">
        <f>output_transition_aggregates!Q9/output_transition_aggregates!Q$2</f>
        <v>0.97375272166616866</v>
      </c>
      <c r="R9" s="4">
        <f>100*(output_transition_aggregates!R9/output_transition_aggregates!R$2-1)</f>
        <v>-1.9285684750020571</v>
      </c>
      <c r="S9" s="6">
        <f>100*(output_transition_aggregates!S9/output_transition_aggregates!S$2-1)</f>
        <v>-1.0960198003267085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-0.140610991402354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0</v>
      </c>
      <c r="X9" s="7">
        <f>100*(output_transition_aggregates!X9-output_transition_aggregates!X$2)</f>
        <v>-64.611940000000004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-3.4678838661613254</v>
      </c>
      <c r="AB9" s="7">
        <f>output_transition_aggregates!AB9</f>
        <v>32.452349099999999</v>
      </c>
      <c r="AC9" s="6">
        <f>output_transition_aggregates!AC9/output_transition_aggregates!AC$2</f>
        <v>0.98067451832945862</v>
      </c>
      <c r="AD9" s="6">
        <f>output_transition_aggregates!AD9/output_transition_aggregates!AD$2</f>
        <v>0.98881767367849926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0</v>
      </c>
      <c r="C10" s="6">
        <f>100*(output_transition_aggregates!C10/output_transition_aggregates!C$2-1)</f>
        <v>0.20439368840969863</v>
      </c>
      <c r="D10" s="6">
        <f>100*(output_transition_aggregates!D10/output_transition_aggregates!D$2-1)</f>
        <v>0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-1.7248582236529697</v>
      </c>
      <c r="K10" s="8">
        <f>100*(output_transition_aggregates!K10-output_transition_aggregates!K$2)</f>
        <v>-0.95339999999999314</v>
      </c>
      <c r="L10" s="6">
        <f>100*(output_transition_aggregates!L10/output_transition_aggregates!L$2-1)</f>
        <v>4.3087929340853481</v>
      </c>
      <c r="M10" s="6">
        <f>100*(output_transition_aggregates!M10-output_transition_aggregates!M$2)</f>
        <v>1.9369999999999978E-2</v>
      </c>
      <c r="N10" s="6">
        <f>100*(output_transition_aggregates!N10/output_transition_aggregates!N$2-1)</f>
        <v>-0.61679187698790994</v>
      </c>
      <c r="O10" s="6">
        <f>output_transition_aggregates!O10/output_transition_aggregates!O$2</f>
        <v>0.97172668021234265</v>
      </c>
      <c r="P10" s="7">
        <f>100*(output_transition_aggregates!P10/SUM(output_transition_aggregates!P10:Q10)-output_transition_aggregates!P$2/SUM(output_transition_aggregates!P$2:Q$2))</f>
        <v>0.18385942825143825</v>
      </c>
      <c r="Q10" s="6">
        <f>output_transition_aggregates!Q10/output_transition_aggregates!Q$2</f>
        <v>0.97711040262489424</v>
      </c>
      <c r="R10" s="4">
        <f>100*(output_transition_aggregates!R10/output_transition_aggregates!R$2-1)</f>
        <v>-1.7734769637628545</v>
      </c>
      <c r="S10" s="6">
        <f>100*(output_transition_aggregates!S10/output_transition_aggregates!S$2-1)</f>
        <v>-0.44371441925463717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-4.9122759361510879E-2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0</v>
      </c>
      <c r="X10" s="7">
        <f>100*(output_transition_aggregates!X10-output_transition_aggregates!X$2)</f>
        <v>-64.611940000000004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-3.4645410073035565</v>
      </c>
      <c r="AB10" s="7">
        <f>output_transition_aggregates!AB10</f>
        <v>32.457068200000002</v>
      </c>
      <c r="AC10" s="6">
        <f>output_transition_aggregates!AC10/output_transition_aggregates!AC$2</f>
        <v>0.9822208713558398</v>
      </c>
      <c r="AD10" s="6">
        <f>output_transition_aggregates!AD10/output_transition_aggregates!AD$2</f>
        <v>0.99531524328021159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0</v>
      </c>
      <c r="C11" s="6">
        <f>100*(output_transition_aggregates!C11/output_transition_aggregates!C$2-1)</f>
        <v>0.10220315226263654</v>
      </c>
      <c r="D11" s="6">
        <f>100*(output_transition_aggregates!D11/output_transition_aggregates!D$2-1)</f>
        <v>0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-1.676880353267729</v>
      </c>
      <c r="K11" s="8">
        <f>100*(output_transition_aggregates!K11-output_transition_aggregates!K$2)</f>
        <v>-0.81143999999999661</v>
      </c>
      <c r="L11" s="6">
        <f>100*(output_transition_aggregates!L11/output_transition_aggregates!L$2-1)</f>
        <v>4.4639744099645995</v>
      </c>
      <c r="M11" s="6">
        <f>100*(output_transition_aggregates!M11-output_transition_aggregates!M$2)</f>
        <v>2.0599999999999959E-2</v>
      </c>
      <c r="N11" s="6">
        <f>100*(output_transition_aggregates!N11/output_transition_aggregates!N$2-1)</f>
        <v>-0.62568361478514412</v>
      </c>
      <c r="O11" s="6">
        <f>output_transition_aggregates!O11/output_transition_aggregates!O$2</f>
        <v>0.97427364889035162</v>
      </c>
      <c r="P11" s="7">
        <f>100*(output_transition_aggregates!P11/SUM(output_transition_aggregates!P11:Q11)-output_transition_aggregates!P$2/SUM(output_transition_aggregates!P$2:Q$2))</f>
        <v>0.17699838457310746</v>
      </c>
      <c r="Q11" s="6">
        <f>output_transition_aggregates!Q11/output_transition_aggregates!Q$2</f>
        <v>0.97945889295838495</v>
      </c>
      <c r="R11" s="4">
        <f>100*(output_transition_aggregates!R11/output_transition_aggregates!R$2-1)</f>
        <v>-1.668108954520664</v>
      </c>
      <c r="S11" s="6">
        <f>100*(output_transition_aggregates!S11/output_transition_aggregates!S$2-1)</f>
        <v>-7.4392201615147702E-2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-3.3529371083098822E-2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0</v>
      </c>
      <c r="X11" s="7">
        <f>100*(output_transition_aggregates!X11-output_transition_aggregates!X$2)</f>
        <v>-64.611940000000004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-3.4238162205425637</v>
      </c>
      <c r="AB11" s="7">
        <f>output_transition_aggregates!AB11</f>
        <v>32.465337400000003</v>
      </c>
      <c r="AC11" s="6">
        <f>output_transition_aggregates!AC11/output_transition_aggregates!AC$2</f>
        <v>0.98327393669908292</v>
      </c>
      <c r="AD11" s="6">
        <f>output_transition_aggregates!AD11/output_transition_aggregates!AD$2</f>
        <v>0.99900485067518707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0</v>
      </c>
      <c r="C12" s="6">
        <f>100*(output_transition_aggregates!C12/output_transition_aggregates!C$2-1)</f>
        <v>5.1107884189094399E-2</v>
      </c>
      <c r="D12" s="6">
        <f>100*(output_transition_aggregates!D12/output_transition_aggregates!D$2-1)</f>
        <v>0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-1.6182644618359721</v>
      </c>
      <c r="K12" s="8">
        <f>100*(output_transition_aggregates!K12-output_transition_aggregates!K$2)</f>
        <v>-0.71259999999999657</v>
      </c>
      <c r="L12" s="6">
        <f>100*(output_transition_aggregates!L12/output_transition_aggregates!L$2-1)</f>
        <v>4.5579532077667073</v>
      </c>
      <c r="M12" s="6">
        <f>100*(output_transition_aggregates!M12-output_transition_aggregates!M$2)</f>
        <v>2.0849999999999862E-2</v>
      </c>
      <c r="N12" s="6">
        <f>100*(output_transition_aggregates!N12/output_transition_aggregates!N$2-1)</f>
        <v>-0.60761040840852099</v>
      </c>
      <c r="O12" s="6">
        <f>output_transition_aggregates!O12/output_transition_aggregates!O$2</f>
        <v>0.97587122783922609</v>
      </c>
      <c r="P12" s="7">
        <f>100*(output_transition_aggregates!P12/SUM(output_transition_aggregates!P12:Q12)-output_transition_aggregates!P$2/SUM(output_transition_aggregates!P$2:Q$2))</f>
        <v>0.17072782808570214</v>
      </c>
      <c r="Q12" s="6">
        <f>output_transition_aggregates!Q12/output_transition_aggregates!Q$2</f>
        <v>0.98158601602443807</v>
      </c>
      <c r="R12" s="4">
        <f>100*(output_transition_aggregates!R12/output_transition_aggregates!R$2-1)</f>
        <v>-1.5890263259541126</v>
      </c>
      <c r="S12" s="6">
        <f>100*(output_transition_aggregates!S12/output_transition_aggregates!S$2-1)</f>
        <v>9.9478784667117459E-2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-2.1382084651963215E-2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0</v>
      </c>
      <c r="X12" s="7">
        <f>100*(output_transition_aggregates!X12-output_transition_aggregates!X$2)</f>
        <v>-64.611940000000004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-3.3650066021462477</v>
      </c>
      <c r="AB12" s="7">
        <f>output_transition_aggregates!AB12</f>
        <v>32.475461899999999</v>
      </c>
      <c r="AC12" s="6">
        <f>output_transition_aggregates!AC12/output_transition_aggregates!AC$2</f>
        <v>0.98406605719354578</v>
      </c>
      <c r="AD12" s="6">
        <f>output_transition_aggregates!AD12/output_transition_aggregates!AD$2</f>
        <v>1.0007507901008488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0</v>
      </c>
      <c r="C13" s="6">
        <f>100*(output_transition_aggregates!C13/output_transition_aggregates!C$2-1)</f>
        <v>2.5560250152323327E-2</v>
      </c>
      <c r="D13" s="6">
        <f>100*(output_transition_aggregates!D13/output_transition_aggregates!D$2-1)</f>
        <v>0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-1.5760564326056881</v>
      </c>
      <c r="K13" s="8">
        <f>100*(output_transition_aggregates!K13-output_transition_aggregates!K$2)</f>
        <v>-0.63544999999999296</v>
      </c>
      <c r="L13" s="6">
        <f>100*(output_transition_aggregates!L13/output_transition_aggregates!L$2-1)</f>
        <v>4.6139777330294729</v>
      </c>
      <c r="M13" s="6">
        <f>100*(output_transition_aggregates!M13-output_transition_aggregates!M$2)</f>
        <v>2.0359999999999996E-2</v>
      </c>
      <c r="N13" s="6">
        <f>100*(output_transition_aggregates!N13/output_transition_aggregates!N$2-1)</f>
        <v>-0.57715370877381433</v>
      </c>
      <c r="O13" s="6">
        <f>output_transition_aggregates!O13/output_transition_aggregates!O$2</f>
        <v>0.97797927368466231</v>
      </c>
      <c r="P13" s="7">
        <f>100*(output_transition_aggregates!P13/SUM(output_transition_aggregates!P13:Q13)-output_transition_aggregates!P$2/SUM(output_transition_aggregates!P$2:Q$2))</f>
        <v>0.16494854409216386</v>
      </c>
      <c r="Q13" s="6">
        <f>output_transition_aggregates!Q13/output_transition_aggregates!Q$2</f>
        <v>0.98353116299094356</v>
      </c>
      <c r="R13" s="6">
        <f>100*(output_transition_aggregates!R13/output_transition_aggregates!R$2-1)</f>
        <v>-1.5225654686844448</v>
      </c>
      <c r="S13" s="6">
        <f>100*(output_transition_aggregates!S13/output_transition_aggregates!S$2-1)</f>
        <v>0.27783209990968061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-1.3337301037394736E-2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0</v>
      </c>
      <c r="X13" s="7">
        <f>100*(output_transition_aggregates!X13-output_transition_aggregates!X$2)</f>
        <v>-64.611940000000004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-3.2967788876444137</v>
      </c>
      <c r="AB13" s="7">
        <f>output_transition_aggregates!AB13</f>
        <v>32.486319399999999</v>
      </c>
      <c r="AC13" s="6">
        <f>output_transition_aggregates!AC13/output_transition_aggregates!AC$2</f>
        <v>0.98473283356597818</v>
      </c>
      <c r="AD13" s="6">
        <f>output_transition_aggregates!AD13/output_transition_aggregates!AD$2</f>
        <v>1.0025466135101009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0</v>
      </c>
      <c r="C14" s="6">
        <f>100*(output_transition_aggregates!C14/output_transition_aggregates!C$2-1)</f>
        <v>1.2780125076172766E-2</v>
      </c>
      <c r="D14" s="6">
        <f>100*(output_transition_aggregates!D14/output_transition_aggregates!D$2-1)</f>
        <v>0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-1.5234872081553941</v>
      </c>
      <c r="K14" s="8">
        <f>100*(output_transition_aggregates!K14-output_transition_aggregates!K$2)</f>
        <v>-0.56338999999999695</v>
      </c>
      <c r="L14" s="6">
        <f>100*(output_transition_aggregates!L14/output_transition_aggregates!L$2-1)</f>
        <v>4.6208935356122804</v>
      </c>
      <c r="M14" s="6">
        <f>100*(output_transition_aggregates!M14-output_transition_aggregates!M$2)</f>
        <v>2.0429999999999927E-2</v>
      </c>
      <c r="N14" s="6">
        <f>100*(output_transition_aggregates!N14/output_transition_aggregates!N$2-1)</f>
        <v>-0.54515344342037642</v>
      </c>
      <c r="O14" s="6">
        <f>output_transition_aggregates!O14/output_transition_aggregates!O$2</f>
        <v>0.97824130381902219</v>
      </c>
      <c r="P14" s="7">
        <f>100*(output_transition_aggregates!P14/SUM(output_transition_aggregates!P14:Q14)-output_transition_aggregates!P$2/SUM(output_transition_aggregates!P$2:Q$2))</f>
        <v>0.15957186591136935</v>
      </c>
      <c r="Q14" s="6">
        <f>output_transition_aggregates!Q14/output_transition_aggregates!Q$2</f>
        <v>0.98533982788278862</v>
      </c>
      <c r="R14" s="6">
        <f>100*(output_transition_aggregates!R14/output_transition_aggregates!R$2-1)</f>
        <v>-1.4591783573086659</v>
      </c>
      <c r="S14" s="6">
        <f>100*(output_transition_aggregates!S14/output_transition_aggregates!S$2-1)</f>
        <v>0.39164349290543576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-1.2226764526705042E-2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</v>
      </c>
      <c r="X14" s="7">
        <f>100*(output_transition_aggregates!X14-output_transition_aggregates!X$2)</f>
        <v>-64.611940000000004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-3.2209036443196837</v>
      </c>
      <c r="AB14" s="7">
        <f>output_transition_aggregates!AB14</f>
        <v>32.497972599999997</v>
      </c>
      <c r="AC14" s="6">
        <f>output_transition_aggregates!AC14/output_transition_aggregates!AC$2</f>
        <v>0.98536900190035159</v>
      </c>
      <c r="AD14" s="6">
        <f>output_transition_aggregates!AD14/output_transition_aggregates!AD$2</f>
        <v>1.0036975599140983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0</v>
      </c>
      <c r="C15" s="6">
        <f>100*(output_transition_aggregates!C15/output_transition_aggregates!C$2-1)</f>
        <v>6.3963705958736128E-3</v>
      </c>
      <c r="D15" s="6">
        <f>100*(output_transition_aggregates!D15/output_transition_aggregates!D$2-1)</f>
        <v>0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-1.4744653089388104</v>
      </c>
      <c r="K15" s="8">
        <f>100*(output_transition_aggregates!K15-output_transition_aggregates!K$2)</f>
        <v>-0.5416699999999941</v>
      </c>
      <c r="L15" s="6">
        <f>100*(output_transition_aggregates!L15/output_transition_aggregates!L$2-1)</f>
        <v>4.6062572615926944</v>
      </c>
      <c r="M15" s="6">
        <f>100*(output_transition_aggregates!M15-output_transition_aggregates!M$2)</f>
        <v>1.8659999999999857E-2</v>
      </c>
      <c r="N15" s="6">
        <f>100*(output_transition_aggregates!N15/output_transition_aggregates!N$2-1)</f>
        <v>-0.51450192481147239</v>
      </c>
      <c r="O15" s="6">
        <f>output_transition_aggregates!O15/output_transition_aggregates!O$2</f>
        <v>0.98636083964113497</v>
      </c>
      <c r="P15" s="7">
        <f>100*(output_transition_aggregates!P15/SUM(output_transition_aggregates!P15:Q15)-output_transition_aggregates!P$2/SUM(output_transition_aggregates!P$2:Q$2))</f>
        <v>0.15437417308723328</v>
      </c>
      <c r="Q15" s="6">
        <f>output_transition_aggregates!Q15/output_transition_aggregates!Q$2</f>
        <v>0.98708579978911859</v>
      </c>
      <c r="R15" s="6">
        <f>100*(output_transition_aggregates!R15/output_transition_aggregates!R$2-1)</f>
        <v>-1.4265287048716657</v>
      </c>
      <c r="S15" s="6">
        <f>100*(output_transition_aggregates!S15/output_transition_aggregates!S$2-1)</f>
        <v>0.35001928485887124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8.4824022040838956E-2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</v>
      </c>
      <c r="X15" s="7">
        <f>100*(output_transition_aggregates!X15-output_transition_aggregates!X$2)</f>
        <v>-64.611940000000004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-3.1453536427256568</v>
      </c>
      <c r="AB15" s="7">
        <f>output_transition_aggregates!AB15</f>
        <v>32.509912100000001</v>
      </c>
      <c r="AC15" s="6">
        <f>output_transition_aggregates!AC15/output_transition_aggregates!AC$2</f>
        <v>0.98569773093489699</v>
      </c>
      <c r="AD15" s="6">
        <f>output_transition_aggregates!AD15/output_transition_aggregates!AD$2</f>
        <v>1.0032936080904593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0</v>
      </c>
      <c r="C16" s="6">
        <f>100*(output_transition_aggregates!C16/output_transition_aggregates!C$2-1)</f>
        <v>3.204493355712934E-3</v>
      </c>
      <c r="D16" s="6">
        <f>100*(output_transition_aggregates!D16/output_transition_aggregates!D$2-1)</f>
        <v>0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-1.4223073685735832</v>
      </c>
      <c r="K16" s="8">
        <f>100*(output_transition_aggregates!K16-output_transition_aggregates!K$2)</f>
        <v>-0.51001999999999992</v>
      </c>
      <c r="L16" s="6">
        <f>100*(output_transition_aggregates!L16/output_transition_aggregates!L$2-1)</f>
        <v>4.495423913470864</v>
      </c>
      <c r="M16" s="6">
        <f>100*(output_transition_aggregates!M16-output_transition_aggregates!M$2)</f>
        <v>1.8329999999999909E-2</v>
      </c>
      <c r="N16" s="6">
        <f>100*(output_transition_aggregates!N16/output_transition_aggregates!N$2-1)</f>
        <v>-0.48001896637644981</v>
      </c>
      <c r="O16" s="6">
        <f>output_transition_aggregates!O16/output_transition_aggregates!O$2</f>
        <v>0.98406481176756766</v>
      </c>
      <c r="P16" s="7">
        <f>100*(output_transition_aggregates!P16/SUM(output_transition_aggregates!P16:Q16)-output_transition_aggregates!P$2/SUM(output_transition_aggregates!P$2:Q$2))</f>
        <v>0.15229652940420868</v>
      </c>
      <c r="Q16" s="6">
        <f>output_transition_aggregates!Q16/output_transition_aggregates!Q$2</f>
        <v>0.98779428600595465</v>
      </c>
      <c r="R16" s="6">
        <f>100*(output_transition_aggregates!R16/output_transition_aggregates!R$2-1)</f>
        <v>-1.3892328428519285</v>
      </c>
      <c r="S16" s="6">
        <f>100*(output_transition_aggregates!S16/output_transition_aggregates!S$2-1)</f>
        <v>0.31998045126209185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5.0304499889946078E-2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</v>
      </c>
      <c r="X16" s="7">
        <f>100*(output_transition_aggregates!X16-output_transition_aggregates!X$2)</f>
        <v>-64.611940000000004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-3.0674452037689037</v>
      </c>
      <c r="AB16" s="7">
        <f>output_transition_aggregates!AB16</f>
        <v>32.521488499999997</v>
      </c>
      <c r="AC16" s="6">
        <f>output_transition_aggregates!AC16/output_transition_aggregates!AC$2</f>
        <v>0.98607318090702945</v>
      </c>
      <c r="AD16" s="6">
        <f>output_transition_aggregates!AD16/output_transition_aggregates!AD$2</f>
        <v>1.0030069559238859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0</v>
      </c>
      <c r="C17" s="6">
        <f>100*(output_transition_aggregates!C17/output_transition_aggregates!C$2-1)</f>
        <v>1.6022466778675692E-3</v>
      </c>
      <c r="D17" s="6">
        <f>100*(output_transition_aggregates!D17/output_transition_aggregates!D$2-1)</f>
        <v>0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-1.3755633504435538</v>
      </c>
      <c r="K17" s="8">
        <f>100*(output_transition_aggregates!K17-output_transition_aggregates!K$2)</f>
        <v>-0.4622799999999927</v>
      </c>
      <c r="L17" s="6">
        <f>100*(output_transition_aggregates!L17/output_transition_aggregates!L$2-1)</f>
        <v>4.4110445976185853</v>
      </c>
      <c r="M17" s="6">
        <f>100*(output_transition_aggregates!M17-output_transition_aggregates!M$2)</f>
        <v>1.7969999999999965E-2</v>
      </c>
      <c r="N17" s="6">
        <f>100*(output_transition_aggregates!N17/output_transition_aggregates!N$2-1)</f>
        <v>-0.44311325915959987</v>
      </c>
      <c r="O17" s="6">
        <f>output_transition_aggregates!O17/output_transition_aggregates!O$2</f>
        <v>0.98076448409575456</v>
      </c>
      <c r="P17" s="7">
        <f>100*(output_transition_aggregates!P17/SUM(output_transition_aggregates!P17:Q17)-output_transition_aggregates!P$2/SUM(output_transition_aggregates!P$2:Q$2))</f>
        <v>0.14921573632891705</v>
      </c>
      <c r="Q17" s="6">
        <f>output_transition_aggregates!Q17/output_transition_aggregates!Q$2</f>
        <v>0.98883343611099317</v>
      </c>
      <c r="R17" s="6">
        <f>100*(output_transition_aggregates!R17/output_transition_aggregates!R$2-1)</f>
        <v>-1.34245366586907</v>
      </c>
      <c r="S17" s="6">
        <f>100*(output_transition_aggregates!S17/output_transition_aggregates!S$2-1)</f>
        <v>0.3676594181864612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9.0211334947770672E-3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</v>
      </c>
      <c r="X17" s="7">
        <f>100*(output_transition_aggregates!X17-output_transition_aggregates!X$2)</f>
        <v>-64.611940000000004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-2.9904603121865048</v>
      </c>
      <c r="AB17" s="7">
        <f>output_transition_aggregates!AB17</f>
        <v>32.532710799999997</v>
      </c>
      <c r="AC17" s="6">
        <f>output_transition_aggregates!AC17/output_transition_aggregates!AC$2</f>
        <v>0.98654362580489285</v>
      </c>
      <c r="AD17" s="6">
        <f>output_transition_aggregates!AD17/output_transition_aggregates!AD$2</f>
        <v>1.00349856619695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0</v>
      </c>
      <c r="C18" s="6">
        <f>100*(output_transition_aggregates!C18/output_transition_aggregates!C$2-1)</f>
        <v>8.0743139672101449E-4</v>
      </c>
      <c r="D18" s="6">
        <f>100*(output_transition_aggregates!D18/output_transition_aggregates!D$2-1)</f>
        <v>0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-1.3435108743907631</v>
      </c>
      <c r="K18" s="8">
        <f>100*(output_transition_aggregates!K18-output_transition_aggregates!K$2)</f>
        <v>-0.41782999999999682</v>
      </c>
      <c r="L18" s="6">
        <f>100*(output_transition_aggregates!L18/output_transition_aggregates!L$2-1)</f>
        <v>4.3543350164396033</v>
      </c>
      <c r="M18" s="6">
        <f>100*(output_transition_aggregates!M18-output_transition_aggregates!M$2)</f>
        <v>1.7350000000000004E-2</v>
      </c>
      <c r="N18" s="6">
        <f>100*(output_transition_aggregates!N18/output_transition_aggregates!N$2-1)</f>
        <v>-0.40871022645758703</v>
      </c>
      <c r="O18" s="6">
        <f>output_transition_aggregates!O18/output_transition_aggregates!O$2</f>
        <v>0.98107498533346693</v>
      </c>
      <c r="P18" s="7">
        <f>100*(output_transition_aggregates!P18/SUM(output_transition_aggregates!P18:Q18)-output_transition_aggregates!P$2/SUM(output_transition_aggregates!P$2:Q$2))</f>
        <v>0.14498722220228008</v>
      </c>
      <c r="Q18" s="6">
        <f>output_transition_aggregates!Q18/output_transition_aggregates!Q$2</f>
        <v>0.99026316906384115</v>
      </c>
      <c r="R18" s="6">
        <f>100*(output_transition_aggregates!R18/output_transition_aggregates!R$2-1)</f>
        <v>-1.2977711071380238</v>
      </c>
      <c r="S18" s="6">
        <f>100*(output_transition_aggregates!S18/output_transition_aggregates!S$2-1)</f>
        <v>0.47077105818027487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1.7323353963085916E-2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</v>
      </c>
      <c r="X18" s="7">
        <f>100*(output_transition_aggregates!X18-output_transition_aggregates!X$2)</f>
        <v>-64.611940000000004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-2.913111915140365</v>
      </c>
      <c r="AB18" s="7">
        <f>output_transition_aggregates!AB18</f>
        <v>32.543973000000001</v>
      </c>
      <c r="AC18" s="6">
        <f>output_transition_aggregates!AC18/output_transition_aggregates!AC$2</f>
        <v>0.98699291038891823</v>
      </c>
      <c r="AD18" s="6">
        <f>output_transition_aggregates!AD18/output_transition_aggregates!AD$2</f>
        <v>1.0045434187662823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0</v>
      </c>
      <c r="C19" s="6">
        <f>100*(output_transition_aggregates!C19/output_transition_aggregates!C$2-1)</f>
        <v>4.0371569836050725E-4</v>
      </c>
      <c r="D19" s="6">
        <f>100*(output_transition_aggregates!D19/output_transition_aggregates!D$2-1)</f>
        <v>0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-1.2867457613418121</v>
      </c>
      <c r="K19" s="8">
        <f>100*(output_transition_aggregates!K19-output_transition_aggregates!K$2)</f>
        <v>-0.39012999999999964</v>
      </c>
      <c r="L19" s="6">
        <f>100*(output_transition_aggregates!L19/output_transition_aggregates!L$2-1)</f>
        <v>4.2760298630444948</v>
      </c>
      <c r="M19" s="6">
        <f>100*(output_transition_aggregates!M19-output_transition_aggregates!M$2)</f>
        <v>1.7129999999999923E-2</v>
      </c>
      <c r="N19" s="6">
        <f>100*(output_transition_aggregates!N19/output_transition_aggregates!N$2-1)</f>
        <v>-0.37907776094453505</v>
      </c>
      <c r="O19" s="6">
        <f>output_transition_aggregates!O19/output_transition_aggregates!O$2</f>
        <v>0.98393710561334713</v>
      </c>
      <c r="P19" s="7">
        <f>100*(output_transition_aggregates!P19/SUM(output_transition_aggregates!P19:Q19)-output_transition_aggregates!P$2/SUM(output_transition_aggregates!P$2:Q$2))</f>
        <v>0.14114231213397457</v>
      </c>
      <c r="Q19" s="6">
        <f>output_transition_aggregates!Q19/output_transition_aggregates!Q$2</f>
        <v>0.99156668383788704</v>
      </c>
      <c r="R19" s="6">
        <f>100*(output_transition_aggregates!R19/output_transition_aggregates!R$2-1)</f>
        <v>-1.2647428986277798</v>
      </c>
      <c r="S19" s="6">
        <f>100*(output_transition_aggregates!S19/output_transition_aggregates!S$2-1)</f>
        <v>0.39581856544508298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5.4504479721047272E-2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</v>
      </c>
      <c r="X19" s="7">
        <f>100*(output_transition_aggregates!X19-output_transition_aggregates!X$2)</f>
        <v>-64.611940000000004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-2.8414665535753114</v>
      </c>
      <c r="AB19" s="7">
        <f>output_transition_aggregates!AB19</f>
        <v>32.555638199999997</v>
      </c>
      <c r="AC19" s="6">
        <f>output_transition_aggregates!AC19/output_transition_aggregates!AC$2</f>
        <v>0.98732532791853633</v>
      </c>
      <c r="AD19" s="6">
        <f>output_transition_aggregates!AD19/output_transition_aggregates!AD$2</f>
        <v>1.003806003356686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0</v>
      </c>
      <c r="C20" s="6">
        <f>100*(output_transition_aggregates!C20/output_transition_aggregates!C$2-1)</f>
        <v>2.0185784916915139E-4</v>
      </c>
      <c r="D20" s="6">
        <f>100*(output_transition_aggregates!D20/output_transition_aggregates!D$2-1)</f>
        <v>0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-1.233128553405527</v>
      </c>
      <c r="K20" s="8">
        <f>100*(output_transition_aggregates!K20-output_transition_aggregates!K$2)</f>
        <v>-0.35801999999999223</v>
      </c>
      <c r="L20" s="6">
        <f>100*(output_transition_aggregates!L20/output_transition_aggregates!L$2-1)</f>
        <v>4.1658445995671922</v>
      </c>
      <c r="M20" s="6">
        <f>100*(output_transition_aggregates!M20-output_transition_aggregates!M$2)</f>
        <v>1.5100000000000009E-2</v>
      </c>
      <c r="N20" s="6">
        <f>100*(output_transition_aggregates!N20/output_transition_aggregates!N$2-1)</f>
        <v>-0.35047433924397797</v>
      </c>
      <c r="O20" s="6">
        <f>output_transition_aggregates!O20/output_transition_aggregates!O$2</f>
        <v>0.98413170546739726</v>
      </c>
      <c r="P20" s="7">
        <f>100*(output_transition_aggregates!P20/SUM(output_transition_aggregates!P20:Q20)-output_transition_aggregates!P$2/SUM(output_transition_aggregates!P$2:Q$2))</f>
        <v>0.13853444564878303</v>
      </c>
      <c r="Q20" s="6">
        <f>output_transition_aggregates!Q20/output_transition_aggregates!Q$2</f>
        <v>0.99245270771281835</v>
      </c>
      <c r="R20" s="6">
        <f>100*(output_transition_aggregates!R20/output_transition_aggregates!R$2-1)</f>
        <v>-1.2263437236082475</v>
      </c>
      <c r="S20" s="6">
        <f>100*(output_transition_aggregates!S20/output_transition_aggregates!S$2-1)</f>
        <v>0.36527366244956117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5.2540968622375936E-2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</v>
      </c>
      <c r="X20" s="7">
        <f>100*(output_transition_aggregates!X20-output_transition_aggregates!X$2)</f>
        <v>-64.611940000000004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-2.7728631587856101</v>
      </c>
      <c r="AB20" s="7">
        <f>output_transition_aggregates!AB20</f>
        <v>32.5664376</v>
      </c>
      <c r="AC20" s="6">
        <f>output_transition_aggregates!AC20/output_transition_aggregates!AC$2</f>
        <v>0.9877113580475877</v>
      </c>
      <c r="AD20" s="6">
        <f>output_transition_aggregates!AD20/output_transition_aggregates!AD$2</f>
        <v>1.0035119408882023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0</v>
      </c>
      <c r="C21" s="6">
        <f>100*(output_transition_aggregates!C21/output_transition_aggregates!C$2-1)</f>
        <v>1.0092892457347347E-4</v>
      </c>
      <c r="D21" s="6">
        <f>100*(output_transition_aggregates!D21/output_transition_aggregates!D$2-1)</f>
        <v>0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-1.1944322575169974</v>
      </c>
      <c r="K21" s="8">
        <f>100*(output_transition_aggregates!K21-output_transition_aggregates!K$2)</f>
        <v>-0.3260900000000011</v>
      </c>
      <c r="L21" s="6">
        <f>100*(output_transition_aggregates!L21/output_transition_aggregates!L$2-1)</f>
        <v>4.0545893439921876</v>
      </c>
      <c r="M21" s="6">
        <f>100*(output_transition_aggregates!M21-output_transition_aggregates!M$2)</f>
        <v>1.4649999999999906E-2</v>
      </c>
      <c r="N21" s="6">
        <f>100*(output_transition_aggregates!N21/output_transition_aggregates!N$2-1)</f>
        <v>-0.32218562511714399</v>
      </c>
      <c r="O21" s="6">
        <f>output_transition_aggregates!O21/output_transition_aggregates!O$2</f>
        <v>0.98379455406584904</v>
      </c>
      <c r="P21" s="7">
        <f>100*(output_transition_aggregates!P21/SUM(output_transition_aggregates!P21:Q21)-output_transition_aggregates!P$2/SUM(output_transition_aggregates!P$2:Q$2))</f>
        <v>0.13594819343942868</v>
      </c>
      <c r="Q21" s="6">
        <f>output_transition_aggregates!Q21/output_transition_aggregates!Q$2</f>
        <v>0.99333290613334357</v>
      </c>
      <c r="R21" s="6">
        <f>100*(output_transition_aggregates!R21/output_transition_aggregates!R$2-1)</f>
        <v>-1.1902514757701099</v>
      </c>
      <c r="S21" s="6">
        <f>100*(output_transition_aggregates!S21/output_transition_aggregates!S$2-1)</f>
        <v>0.39003491517373146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4.5694756262002964E-2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</v>
      </c>
      <c r="X21" s="7">
        <f>100*(output_transition_aggregates!X21-output_transition_aggregates!X$2)</f>
        <v>-64.611940000000004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-2.7006003597103923</v>
      </c>
      <c r="AB21" s="7">
        <f>output_transition_aggregates!AB21</f>
        <v>32.5770178</v>
      </c>
      <c r="AC21" s="6">
        <f>output_transition_aggregates!AC21/output_transition_aggregates!AC$2</f>
        <v>0.988074318904825</v>
      </c>
      <c r="AD21" s="6">
        <f>output_transition_aggregates!AD21/output_transition_aggregates!AD$2</f>
        <v>1.0037709399769161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0</v>
      </c>
      <c r="C22" s="6">
        <f>100*(output_transition_aggregates!C22/output_transition_aggregates!C$2-1)</f>
        <v>5.0464462297838963E-5</v>
      </c>
      <c r="D22" s="6">
        <f>100*(output_transition_aggregates!D22/output_transition_aggregates!D$2-1)</f>
        <v>0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-1.1477080126602868</v>
      </c>
      <c r="K22" s="8">
        <f>100*(output_transition_aggregates!K22-output_transition_aggregates!K$2)</f>
        <v>-0.29443000000000108</v>
      </c>
      <c r="L22" s="6">
        <f>100*(output_transition_aggregates!L22/output_transition_aggregates!L$2-1)</f>
        <v>3.9404938248407406</v>
      </c>
      <c r="M22" s="6">
        <f>100*(output_transition_aggregates!M22-output_transition_aggregates!M$2)</f>
        <v>1.3990000000000009E-2</v>
      </c>
      <c r="N22" s="6">
        <f>100*(output_transition_aggregates!N22/output_transition_aggregates!N$2-1)</f>
        <v>-0.29497590838593046</v>
      </c>
      <c r="O22" s="6">
        <f>output_transition_aggregates!O22/output_transition_aggregates!O$2</f>
        <v>0.9836831241861862</v>
      </c>
      <c r="P22" s="7">
        <f>100*(output_transition_aggregates!P22/SUM(output_transition_aggregates!P22:Q22)-output_transition_aggregates!P$2/SUM(output_transition_aggregates!P$2:Q$2))</f>
        <v>0.13323631143593306</v>
      </c>
      <c r="Q22" s="6">
        <f>output_transition_aggregates!Q22/output_transition_aggregates!Q$2</f>
        <v>0.99425748896839239</v>
      </c>
      <c r="R22" s="6">
        <f>100*(output_transition_aggregates!R22/output_transition_aggregates!R$2-1)</f>
        <v>-1.1546930890609097</v>
      </c>
      <c r="S22" s="6">
        <f>100*(output_transition_aggregates!S22/output_transition_aggregates!S$2-1)</f>
        <v>0.37514201572501626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4.5283422274707344E-2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</v>
      </c>
      <c r="X22" s="7">
        <f>100*(output_transition_aggregates!X22-output_transition_aggregates!X$2)</f>
        <v>-64.611940000000004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-2.6281949412666594</v>
      </c>
      <c r="AB22" s="7">
        <f>output_transition_aggregates!AB22</f>
        <v>32.587566500000001</v>
      </c>
      <c r="AC22" s="6">
        <f>output_transition_aggregates!AC22/output_transition_aggregates!AC$2</f>
        <v>0.98843187644033315</v>
      </c>
      <c r="AD22" s="6">
        <f>output_transition_aggregates!AD22/output_transition_aggregates!AD$2</f>
        <v>1.0036328553266876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0</v>
      </c>
      <c r="C23" s="6">
        <f>100*(output_transition_aggregates!C23/output_transition_aggregates!C$2-1)</f>
        <v>2.5232231148919482E-5</v>
      </c>
      <c r="D23" s="6">
        <f>100*(output_transition_aggregates!D23/output_transition_aggregates!D$2-1)</f>
        <v>0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-1.1303312600660864</v>
      </c>
      <c r="K23" s="8">
        <f>100*(output_transition_aggregates!K23-output_transition_aggregates!K$2)</f>
        <v>-0.26340999999999726</v>
      </c>
      <c r="L23" s="6">
        <f>100*(output_transition_aggregates!L23/output_transition_aggregates!L$2-1)</f>
        <v>3.8258959313506979</v>
      </c>
      <c r="M23" s="6">
        <f>100*(output_transition_aggregates!M23-output_transition_aggregates!M$2)</f>
        <v>1.3419999999999925E-2</v>
      </c>
      <c r="N23" s="6">
        <f>100*(output_transition_aggregates!N23/output_transition_aggregates!N$2-1)</f>
        <v>-0.26885018440865327</v>
      </c>
      <c r="O23" s="6">
        <f>output_transition_aggregates!O23/output_transition_aggregates!O$2</f>
        <v>0.98364753101435176</v>
      </c>
      <c r="P23" s="7">
        <f>100*(output_transition_aggregates!P23/SUM(output_transition_aggregates!P23:Q23)-output_transition_aggregates!P$2/SUM(output_transition_aggregates!P$2:Q$2))</f>
        <v>0.13059504589462007</v>
      </c>
      <c r="Q23" s="6">
        <f>output_transition_aggregates!Q23/output_transition_aggregates!Q$2</f>
        <v>0.99515960219358879</v>
      </c>
      <c r="R23" s="6">
        <f>100*(output_transition_aggregates!R23/output_transition_aggregates!R$2-1)</f>
        <v>-1.1202477219175</v>
      </c>
      <c r="S23" s="6">
        <f>100*(output_transition_aggregates!S23/output_transition_aggregates!S$2-1)</f>
        <v>0.48812200899430724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4.4828527393398279E-2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</v>
      </c>
      <c r="X23" s="7">
        <f>100*(output_transition_aggregates!X23-output_transition_aggregates!X$2)</f>
        <v>-64.611940000000004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-2.557647053135137</v>
      </c>
      <c r="AB23" s="7">
        <f>output_transition_aggregates!AB23</f>
        <v>32.597868300000002</v>
      </c>
      <c r="AC23" s="6">
        <f>output_transition_aggregates!AC23/output_transition_aggregates!AC$2</f>
        <v>0.9887781743593036</v>
      </c>
      <c r="AD23" s="6">
        <f>output_transition_aggregates!AD23/output_transition_aggregates!AD$2</f>
        <v>1.0047733188645682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0</v>
      </c>
      <c r="C24" s="6">
        <f>100*(output_transition_aggregates!C24/output_transition_aggregates!C$2-1)</f>
        <v>1.2616115574459741E-5</v>
      </c>
      <c r="D24" s="6">
        <f>100*(output_transition_aggregates!D24/output_transition_aggregates!D$2-1)</f>
        <v>0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-1.0476433856937639</v>
      </c>
      <c r="K24" s="8">
        <f>100*(output_transition_aggregates!K24-output_transition_aggregates!K$2)</f>
        <v>-0.23265000000000091</v>
      </c>
      <c r="L24" s="6">
        <f>100*(output_transition_aggregates!L24/output_transition_aggregates!L$2-1)</f>
        <v>3.694145542586913</v>
      </c>
      <c r="M24" s="6">
        <f>100*(output_transition_aggregates!M24-output_transition_aggregates!M$2)</f>
        <v>1.2699999999999864E-2</v>
      </c>
      <c r="N24" s="6">
        <f>100*(output_transition_aggregates!N24/output_transition_aggregates!N$2-1)</f>
        <v>-0.24370355066073435</v>
      </c>
      <c r="O24" s="6">
        <f>output_transition_aggregates!O24/output_transition_aggregates!O$2</f>
        <v>0.98366595361082898</v>
      </c>
      <c r="P24" s="7">
        <f>100*(output_transition_aggregates!P24/SUM(output_transition_aggregates!P24:Q24)-output_transition_aggregates!P$2/SUM(output_transition_aggregates!P$2:Q$2))</f>
        <v>0.12802241711856871</v>
      </c>
      <c r="Q24" s="6">
        <f>output_transition_aggregates!Q24/output_transition_aggregates!Q$2</f>
        <v>0.9960398006141139</v>
      </c>
      <c r="R24" s="6">
        <f>100*(output_transition_aggregates!R24/output_transition_aggregates!R$2-1)</f>
        <v>-1.0859738374397354</v>
      </c>
      <c r="S24" s="6">
        <f>100*(output_transition_aggregates!S24/output_transition_aggregates!S$2-1)</f>
        <v>0.30168965727896957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4.5166059563411104E-2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</v>
      </c>
      <c r="X24" s="7">
        <f>100*(output_transition_aggregates!X24-output_transition_aggregates!X$2)</f>
        <v>-64.611940000000004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-2.4842728665416591</v>
      </c>
      <c r="AB24" s="7">
        <f>output_transition_aggregates!AB24</f>
        <v>32.608627599999998</v>
      </c>
      <c r="AC24" s="6">
        <f>output_transition_aggregates!AC24/output_transition_aggregates!AC$2</f>
        <v>0.98912275745161748</v>
      </c>
      <c r="AD24" s="6">
        <f>output_transition_aggregates!AD24/output_transition_aggregates!AD$2</f>
        <v>1.0029189359963189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0</v>
      </c>
      <c r="C25" s="6">
        <f>100*(output_transition_aggregates!C25/output_transition_aggregates!C$2-1)</f>
        <v>1.2616115574459741E-5</v>
      </c>
      <c r="D25" s="6">
        <f>100*(output_transition_aggregates!D25/output_transition_aggregates!D$2-1)</f>
        <v>0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-1.0244849279806068</v>
      </c>
      <c r="K25" s="8">
        <f>100*(output_transition_aggregates!K25-output_transition_aggregates!K$2)</f>
        <v>-0.20700999999999636</v>
      </c>
      <c r="L25" s="6">
        <f>100*(output_transition_aggregates!L25/output_transition_aggregates!L$2-1)</f>
        <v>3.5813244449176773</v>
      </c>
      <c r="M25" s="6">
        <f>100*(output_transition_aggregates!M25-output_transition_aggregates!M$2)</f>
        <v>1.2060000000000022E-2</v>
      </c>
      <c r="N25" s="6">
        <f>100*(output_transition_aggregates!N25/output_transition_aggregates!N$2-1)</f>
        <v>-0.22116948931054647</v>
      </c>
      <c r="O25" s="6">
        <f>output_transition_aggregates!O25/output_transition_aggregates!O$2</f>
        <v>0.98509450970852941</v>
      </c>
      <c r="P25" s="7">
        <f>100*(output_transition_aggregates!P25/SUM(output_transition_aggregates!P25:Q25)-output_transition_aggregates!P$2/SUM(output_transition_aggregates!P$2:Q$2))</f>
        <v>0.12553992030812297</v>
      </c>
      <c r="Q25" s="6">
        <f>output_transition_aggregates!Q25/output_transition_aggregates!Q$2</f>
        <v>0.99689059436001703</v>
      </c>
      <c r="R25" s="6">
        <f>100*(output_transition_aggregates!R25/output_transition_aggregates!R$2-1)</f>
        <v>-1.0553593283366913</v>
      </c>
      <c r="S25" s="6">
        <f>100*(output_transition_aggregates!S25/output_transition_aggregates!S$2-1)</f>
        <v>0.3668460923670569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5.7760316980334098E-2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</v>
      </c>
      <c r="X25" s="7">
        <f>100*(output_transition_aggregates!X25-output_transition_aggregates!X$2)</f>
        <v>-64.611940000000004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-2.4155233738622273</v>
      </c>
      <c r="AB25" s="7">
        <f>output_transition_aggregates!AB25</f>
        <v>32.618115500000002</v>
      </c>
      <c r="AC25" s="6">
        <f>output_transition_aggregates!AC25/output_transition_aggregates!AC$2</f>
        <v>0.98943048794842481</v>
      </c>
      <c r="AD25" s="6">
        <f>output_transition_aggregates!AD25/output_transition_aggregates!AD$2</f>
        <v>1.0035797180398196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0</v>
      </c>
      <c r="C26" s="6">
        <f>100*(output_transition_aggregates!C26/output_transition_aggregates!C$2-1)</f>
        <v>1.2616115574459741E-5</v>
      </c>
      <c r="D26" s="6">
        <f>100*(output_transition_aggregates!D26/output_transition_aggregates!D$2-1)</f>
        <v>0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-0.9920369864614087</v>
      </c>
      <c r="K26" s="8">
        <f>100*(output_transition_aggregates!K26-output_transition_aggregates!K$2)</f>
        <v>-0.1837399999999989</v>
      </c>
      <c r="L26" s="6">
        <f>100*(output_transition_aggregates!L26/output_transition_aggregates!L$2-1)</f>
        <v>3.4404378024902371</v>
      </c>
      <c r="M26" s="6">
        <f>100*(output_transition_aggregates!M26-output_transition_aggregates!M$2)</f>
        <v>1.1249999999999975E-2</v>
      </c>
      <c r="N26" s="6">
        <f>100*(output_transition_aggregates!N26/output_transition_aggregates!N$2-1)</f>
        <v>-0.20086335776796638</v>
      </c>
      <c r="O26" s="6">
        <f>output_transition_aggregates!O26/output_transition_aggregates!O$2</f>
        <v>0.98535475124128946</v>
      </c>
      <c r="P26" s="7">
        <f>100*(output_transition_aggregates!P26/SUM(output_transition_aggregates!P26:Q26)-output_transition_aggregates!P$2/SUM(output_transition_aggregates!P$2:Q$2))</f>
        <v>0.12350890487709092</v>
      </c>
      <c r="Q26" s="6">
        <f>output_transition_aggregates!Q26/output_transition_aggregates!Q$2</f>
        <v>0.99758770707063138</v>
      </c>
      <c r="R26" s="6">
        <f>100*(output_transition_aggregates!R26/output_transition_aggregates!R$2-1)</f>
        <v>-1.0260649122070142</v>
      </c>
      <c r="S26" s="6">
        <f>100*(output_transition_aggregates!S26/output_transition_aggregates!S$2-1)</f>
        <v>0.38219083949322386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6.6133571613339118E-2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</v>
      </c>
      <c r="X26" s="7">
        <f>100*(output_transition_aggregates!X26-output_transition_aggregates!X$2)</f>
        <v>-64.611940000000004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-2.3454955246477116</v>
      </c>
      <c r="AB26" s="7">
        <f>output_transition_aggregates!AB26</f>
        <v>32.627758300000004</v>
      </c>
      <c r="AC26" s="6">
        <f>output_transition_aggregates!AC26/output_transition_aggregates!AC$2</f>
        <v>0.98972492044983862</v>
      </c>
      <c r="AD26" s="6">
        <f>output_transition_aggregates!AD26/output_transition_aggregates!AD$2</f>
        <v>1.0037412987692753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0</v>
      </c>
      <c r="C27" s="6">
        <f>100*(output_transition_aggregates!C27/output_transition_aggregates!C$2-1)</f>
        <v>1.2616115574459741E-5</v>
      </c>
      <c r="D27" s="6">
        <f>100*(output_transition_aggregates!D27/output_transition_aggregates!D$2-1)</f>
        <v>0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-0.9554050203075537</v>
      </c>
      <c r="K27" s="8">
        <f>100*(output_transition_aggregates!K27-output_transition_aggregates!K$2)</f>
        <v>-0.22628000000000092</v>
      </c>
      <c r="L27" s="6">
        <f>100*(output_transition_aggregates!L27/output_transition_aggregates!L$2-1)</f>
        <v>3.294560038387484</v>
      </c>
      <c r="M27" s="6">
        <f>100*(output_transition_aggregates!M27-output_transition_aggregates!M$2)</f>
        <v>1.2249999999999935E-2</v>
      </c>
      <c r="N27" s="6">
        <f>100*(output_transition_aggregates!N27/output_transition_aggregates!N$2-1)</f>
        <v>-0.19641249351104451</v>
      </c>
      <c r="O27" s="6">
        <f>output_transition_aggregates!O27/output_transition_aggregates!O$2</f>
        <v>0.99469840599825432</v>
      </c>
      <c r="P27" s="7">
        <f>100*(output_transition_aggregates!P27/SUM(output_transition_aggregates!P27:Q27)-output_transition_aggregates!P$2/SUM(output_transition_aggregates!P$2:Q$2))</f>
        <v>2.6266573415597433E-2</v>
      </c>
      <c r="Q27" s="6">
        <f>output_transition_aggregates!Q27/output_transition_aggregates!Q$2</f>
        <v>0.99817801978379794</v>
      </c>
      <c r="R27" s="6">
        <f>100*(output_transition_aggregates!R27/output_transition_aggregates!R$2-1)</f>
        <v>-1.0394599732603482</v>
      </c>
      <c r="S27" s="6">
        <f>100*(output_transition_aggregates!S27/output_transition_aggregates!S$2-1)</f>
        <v>0.13994626265940724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6.1725907206487685E-2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</v>
      </c>
      <c r="X27" s="7">
        <f>100*(output_transition_aggregates!X27-output_transition_aggregates!X$2)</f>
        <v>-64.611940000000004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-2.2717352222028087</v>
      </c>
      <c r="AB27" s="7">
        <f>output_transition_aggregates!AB27</f>
        <v>32.632458300000003</v>
      </c>
      <c r="AC27" s="6">
        <f>output_transition_aggregates!AC27/output_transition_aggregates!AC$2</f>
        <v>0.9895917463645838</v>
      </c>
      <c r="AD27" s="6">
        <f>output_transition_aggregates!AD27/output_transition_aggregates!AD$2</f>
        <v>1.0013231907386408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0</v>
      </c>
      <c r="C28" s="6">
        <f>100*(output_transition_aggregates!C28/output_transition_aggregates!C$2-1)</f>
        <v>1.2616115574459741E-5</v>
      </c>
      <c r="D28" s="6">
        <f>100*(output_transition_aggregates!D28/output_transition_aggregates!D$2-1)</f>
        <v>0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-0.91574378868096717</v>
      </c>
      <c r="K28" s="8">
        <f>100*(output_transition_aggregates!K28-output_transition_aggregates!K$2)</f>
        <v>-0.22697999999999885</v>
      </c>
      <c r="L28" s="6">
        <f>100*(output_transition_aggregates!L28/output_transition_aggregates!L$2-1)</f>
        <v>3.0673563505161816</v>
      </c>
      <c r="M28" s="6">
        <f>100*(output_transition_aggregates!M28-output_transition_aggregates!M$2)</f>
        <v>1.0429999999999988E-2</v>
      </c>
      <c r="N28" s="6">
        <f>100*(output_transition_aggregates!N28/output_transition_aggregates!N$2-1)</f>
        <v>-0.19463414595158879</v>
      </c>
      <c r="O28" s="6">
        <f>output_transition_aggregates!O28/output_transition_aggregates!O$2</f>
        <v>0.99482432355087502</v>
      </c>
      <c r="P28" s="7">
        <f>100*(output_transition_aggregates!P28/SUM(output_transition_aggregates!P28:Q28)-output_transition_aggregates!P$2/SUM(output_transition_aggregates!P$2:Q$2))</f>
        <v>2.7293369091037009E-2</v>
      </c>
      <c r="Q28" s="6">
        <f>output_transition_aggregates!Q28/output_transition_aggregates!Q$2</f>
        <v>0.99781379018211203</v>
      </c>
      <c r="R28" s="6">
        <f>100*(output_transition_aggregates!R28/output_transition_aggregates!R$2-1)</f>
        <v>-1.024479506430187</v>
      </c>
      <c r="S28" s="6">
        <f>100*(output_transition_aggregates!S28/output_transition_aggregates!S$2-1)</f>
        <v>4.2347164330491793E-2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6.2549298743605833E-2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</v>
      </c>
      <c r="X28" s="7">
        <f>100*(output_transition_aggregates!X28-output_transition_aggregates!X$2)</f>
        <v>-64.611940000000004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-2.2050919741002595</v>
      </c>
      <c r="AB28" s="7">
        <f>output_transition_aggregates!AB28</f>
        <v>32.641464599999999</v>
      </c>
      <c r="AC28" s="6">
        <f>output_transition_aggregates!AC28/output_transition_aggregates!AC$2</f>
        <v>0.98974164809854526</v>
      </c>
      <c r="AD28" s="6">
        <f>output_transition_aggregates!AD28/output_transition_aggregates!AD$2</f>
        <v>1.0003479227116356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0</v>
      </c>
      <c r="C29" s="6">
        <f>100*(output_transition_aggregates!C29/output_transition_aggregates!C$2-1)</f>
        <v>1.2616115574459741E-5</v>
      </c>
      <c r="D29" s="6">
        <f>100*(output_transition_aggregates!D29/output_transition_aggregates!D$2-1)</f>
        <v>0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-0.8802744909983784</v>
      </c>
      <c r="K29" s="8">
        <f>100*(output_transition_aggregates!K29-output_transition_aggregates!K$2)</f>
        <v>-0.23178999999999839</v>
      </c>
      <c r="L29" s="6">
        <f>100*(output_transition_aggregates!L29/output_transition_aggregates!L$2-1)</f>
        <v>2.8565679072659389</v>
      </c>
      <c r="M29" s="6">
        <f>100*(output_transition_aggregates!M29-output_transition_aggregates!M$2)</f>
        <v>9.3999999999998599E-3</v>
      </c>
      <c r="N29" s="6">
        <f>100*(output_transition_aggregates!N29/output_transition_aggregates!N$2-1)</f>
        <v>-0.189468945455884</v>
      </c>
      <c r="O29" s="6">
        <f>output_transition_aggregates!O29/output_transition_aggregates!O$2</f>
        <v>0.99456265113683506</v>
      </c>
      <c r="P29" s="7">
        <f>100*(output_transition_aggregates!P29/SUM(output_transition_aggregates!P29:Q29)-output_transition_aggregates!P$2/SUM(output_transition_aggregates!P$2:Q$2))</f>
        <v>2.83146300952615E-2</v>
      </c>
      <c r="Q29" s="6">
        <f>output_transition_aggregates!Q29/output_transition_aggregates!Q$2</f>
        <v>0.99745177980115229</v>
      </c>
      <c r="R29" s="6">
        <f>100*(output_transition_aggregates!R29/output_transition_aggregates!R$2-1)</f>
        <v>-1.0135110868720099</v>
      </c>
      <c r="S29" s="6">
        <f>100*(output_transition_aggregates!S29/output_transition_aggregates!S$2-1)</f>
        <v>-5.8487163368958761E-2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5.9559244105684278E-2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</v>
      </c>
      <c r="X29" s="7">
        <f>100*(output_transition_aggregates!X29-output_transition_aggregates!X$2)</f>
        <v>-64.611940000000004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-2.1471172007880845</v>
      </c>
      <c r="AB29" s="7">
        <f>output_transition_aggregates!AB29</f>
        <v>32.649809599999998</v>
      </c>
      <c r="AC29" s="6">
        <f>output_transition_aggregates!AC29/output_transition_aggregates!AC$2</f>
        <v>0.98985172055676607</v>
      </c>
      <c r="AD29" s="6">
        <f>output_transition_aggregates!AD29/output_transition_aggregates!AD$2</f>
        <v>0.99934156756442172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0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0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-0.8473717641928058</v>
      </c>
      <c r="K30" s="8">
        <f>100*(output_transition_aggregates!K30-output_transition_aggregates!K$2)</f>
        <v>-0.23219999999999352</v>
      </c>
      <c r="L30" s="6">
        <f>100*(output_transition_aggregates!L30/output_transition_aggregates!L$2-1)</f>
        <v>2.6655938908496601</v>
      </c>
      <c r="M30" s="6">
        <f>100*(output_transition_aggregates!M30-output_transition_aggregates!M$2)</f>
        <v>8.8200000000000084E-3</v>
      </c>
      <c r="N30" s="6">
        <f>100*(output_transition_aggregates!N30/output_transition_aggregates!N$2-1)</f>
        <v>-0.18367432981274412</v>
      </c>
      <c r="O30" s="6">
        <f>output_transition_aggregates!O30/output_transition_aggregates!O$2</f>
        <v>0.99360914762402164</v>
      </c>
      <c r="P30" s="7">
        <f>100*(output_transition_aggregates!P30/SUM(output_transition_aggregates!P30:Q30)-output_transition_aggregates!P$2/SUM(output_transition_aggregates!P$2:Q$2))</f>
        <v>2.9219888767199886E-2</v>
      </c>
      <c r="Q30" s="6">
        <f>output_transition_aggregates!Q30/output_transition_aggregates!Q$2</f>
        <v>0.99713110240621783</v>
      </c>
      <c r="R30" s="6">
        <f>100*(output_transition_aggregates!R30/output_transition_aggregates!R$2-1)</f>
        <v>-1.0009799101909689</v>
      </c>
      <c r="S30" s="6">
        <f>100*(output_transition_aggregates!S30/output_transition_aggregates!S$2-1)</f>
        <v>-0.13886182823352744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4.7588889102551796E-2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</v>
      </c>
      <c r="X30" s="7">
        <f>100*(output_transition_aggregates!X30-output_transition_aggregates!X$2)</f>
        <v>-64.611940000000004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-2.0943845589001198</v>
      </c>
      <c r="AB30" s="7">
        <f>output_transition_aggregates!AB30</f>
        <v>32.657514499999998</v>
      </c>
      <c r="AC30" s="6">
        <f>output_transition_aggregates!AC30/output_transition_aggregates!AC$2</f>
        <v>0.98997742058621574</v>
      </c>
      <c r="AD30" s="6">
        <f>output_transition_aggregates!AD30/output_transition_aggregates!AD$2</f>
        <v>0.9985401705236987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0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0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-0.81601926201556596</v>
      </c>
      <c r="K31" s="8">
        <f>100*(output_transition_aggregates!K31-output_transition_aggregates!K$2)</f>
        <v>-0.23073999999999595</v>
      </c>
      <c r="L31" s="6">
        <f>100*(output_transition_aggregates!L31/output_transition_aggregates!L$2-1)</f>
        <v>2.4997994852207217</v>
      </c>
      <c r="M31" s="6">
        <f>100*(output_transition_aggregates!M31-output_transition_aggregates!M$2)</f>
        <v>8.5299999999999959E-3</v>
      </c>
      <c r="N31" s="6">
        <f>100*(output_transition_aggregates!N31/output_transition_aggregates!N$2-1)</f>
        <v>-0.17702550789806537</v>
      </c>
      <c r="O31" s="6">
        <f>output_transition_aggregates!O31/output_transition_aggregates!O$2</f>
        <v>0.99278263482478857</v>
      </c>
      <c r="P31" s="7">
        <f>100*(output_transition_aggregates!P31/SUM(output_transition_aggregates!P31:Q31)-output_transition_aggregates!P$2/SUM(output_transition_aggregates!P$2:Q$2))</f>
        <v>2.9751874392762792E-2</v>
      </c>
      <c r="Q31" s="6">
        <f>output_transition_aggregates!Q31/output_transition_aggregates!Q$2</f>
        <v>0.99694274604708244</v>
      </c>
      <c r="R31" s="6">
        <f>100*(output_transition_aggregates!R31/output_transition_aggregates!R$2-1)</f>
        <v>-0.98824489562431284</v>
      </c>
      <c r="S31" s="6">
        <f>100*(output_transition_aggregates!S31/output_transition_aggregates!S$2-1)</f>
        <v>-0.21099479146146072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4.0099806472418051E-2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</v>
      </c>
      <c r="X31" s="7">
        <f>100*(output_transition_aggregates!X31-output_transition_aggregates!X$2)</f>
        <v>-64.611940000000004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-2.0403074685745648</v>
      </c>
      <c r="AB31" s="7">
        <f>output_transition_aggregates!AB31</f>
        <v>32.664698399999999</v>
      </c>
      <c r="AC31" s="6">
        <f>output_transition_aggregates!AC31/output_transition_aggregates!AC$2</f>
        <v>0.99010525606018129</v>
      </c>
      <c r="AD31" s="6">
        <f>output_transition_aggregates!AD31/output_transition_aggregates!AD$2</f>
        <v>0.99782137123841319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0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0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-0.78974453642708387</v>
      </c>
      <c r="K32" s="8">
        <f>100*(output_transition_aggregates!K32-output_transition_aggregates!K$2)</f>
        <v>-0.22903999999999147</v>
      </c>
      <c r="L32" s="6">
        <f>100*(output_transition_aggregates!L32/output_transition_aggregates!L$2-1)</f>
        <v>2.3556615456670871</v>
      </c>
      <c r="M32" s="6">
        <f>100*(output_transition_aggregates!M32-output_transition_aggregates!M$2)</f>
        <v>8.0799999999998928E-3</v>
      </c>
      <c r="N32" s="6">
        <f>100*(output_transition_aggregates!N32/output_transition_aggregates!N$2-1)</f>
        <v>-0.17045161635808048</v>
      </c>
      <c r="O32" s="6">
        <f>output_transition_aggregates!O32/output_transition_aggregates!O$2</f>
        <v>0.99271448910383897</v>
      </c>
      <c r="P32" s="7">
        <f>100*(output_transition_aggregates!P32/SUM(output_transition_aggregates!P32:Q32)-output_transition_aggregates!P$2/SUM(output_transition_aggregates!P$2:Q$2))</f>
        <v>3.0050467290409014E-2</v>
      </c>
      <c r="Q32" s="6">
        <f>output_transition_aggregates!Q32/output_transition_aggregates!Q$2</f>
        <v>0.9968370556599977</v>
      </c>
      <c r="R32" s="6">
        <f>100*(output_transition_aggregates!R32/output_transition_aggregates!R$2-1)</f>
        <v>-0.97607286188455822</v>
      </c>
      <c r="S32" s="6">
        <f>100*(output_transition_aggregates!S32/output_transition_aggregates!S$2-1)</f>
        <v>-0.26308379171774421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3.8291818062022656E-2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</v>
      </c>
      <c r="X32" s="7">
        <f>100*(output_transition_aggregates!X32-output_transition_aggregates!X$2)</f>
        <v>-64.611940000000004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-1.9876183082013998</v>
      </c>
      <c r="AB32" s="7">
        <f>output_transition_aggregates!AB32</f>
        <v>32.671382000000001</v>
      </c>
      <c r="AC32" s="6">
        <f>output_transition_aggregates!AC32/output_transition_aggregates!AC$2</f>
        <v>0.99022739701543816</v>
      </c>
      <c r="AD32" s="6">
        <f>output_transition_aggregates!AD32/output_transition_aggregates!AD$2</f>
        <v>0.99730301158284418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0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0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-0.75881913695357017</v>
      </c>
      <c r="K33" s="8">
        <f>100*(output_transition_aggregates!K33-output_transition_aggregates!K$2)</f>
        <v>-0.22535999999999667</v>
      </c>
      <c r="L33" s="6">
        <f>100*(output_transition_aggregates!L33/output_transition_aggregates!L$2-1)</f>
        <v>2.2213949356491014</v>
      </c>
      <c r="M33" s="6">
        <f>100*(output_transition_aggregates!M33-output_transition_aggregates!M$2)</f>
        <v>7.8399999999999304E-3</v>
      </c>
      <c r="N33" s="6">
        <f>100*(output_transition_aggregates!N33/output_transition_aggregates!N$2-1)</f>
        <v>-0.16374285014364443</v>
      </c>
      <c r="O33" s="6">
        <f>output_transition_aggregates!O33/output_transition_aggregates!O$2</f>
        <v>0.99240738620916613</v>
      </c>
      <c r="P33" s="7">
        <f>100*(output_transition_aggregates!P33/SUM(output_transition_aggregates!P33:Q33)-output_transition_aggregates!P$2/SUM(output_transition_aggregates!P$2:Q$2))</f>
        <v>3.0289542661747493E-2</v>
      </c>
      <c r="Q33" s="6">
        <f>output_transition_aggregates!Q33/output_transition_aggregates!Q$2</f>
        <v>0.99675244786981154</v>
      </c>
      <c r="R33" s="6">
        <f>100*(output_transition_aggregates!R33/output_transition_aggregates!R$2-1)</f>
        <v>-0.96335078940589236</v>
      </c>
      <c r="S33" s="6">
        <f>100*(output_transition_aggregates!S33/output_transition_aggregates!S$2-1)</f>
        <v>-0.33333706860747547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3.2748583804169742E-2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</v>
      </c>
      <c r="X33" s="7">
        <f>100*(output_transition_aggregates!X33-output_transition_aggregates!X$2)</f>
        <v>-64.611940000000004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-1.9326698483192573</v>
      </c>
      <c r="AB33" s="7">
        <f>output_transition_aggregates!AB33</f>
        <v>32.677708699999997</v>
      </c>
      <c r="AC33" s="6">
        <f>output_transition_aggregates!AC33/output_transition_aggregates!AC$2</f>
        <v>0.99035513542374376</v>
      </c>
      <c r="AD33" s="6">
        <f>output_transition_aggregates!AD33/output_transition_aggregates!AD$2</f>
        <v>0.99660300916094047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0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0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-0.72223858131035268</v>
      </c>
      <c r="K34" s="8">
        <f>100*(output_transition_aggregates!K34-output_transition_aggregates!K$2)</f>
        <v>-0.22426999999999309</v>
      </c>
      <c r="L34" s="6">
        <f>100*(output_transition_aggregates!L34/output_transition_aggregates!L$2-1)</f>
        <v>2.1017167544756132</v>
      </c>
      <c r="M34" s="6">
        <f>100*(output_transition_aggregates!M34-output_transition_aggregates!M$2)</f>
        <v>7.6200000000000226E-3</v>
      </c>
      <c r="N34" s="6">
        <f>100*(output_transition_aggregates!N34/output_transition_aggregates!N$2-1)</f>
        <v>-0.15671937635549638</v>
      </c>
      <c r="O34" s="6">
        <f>output_transition_aggregates!O34/output_transition_aggregates!O$2</f>
        <v>0.99289764190765095</v>
      </c>
      <c r="P34" s="7">
        <f>100*(output_transition_aggregates!P34/SUM(output_transition_aggregates!P34:Q34)-output_transition_aggregates!P$2/SUM(output_transition_aggregates!P$2:Q$2))</f>
        <v>3.0360097023129917E-2</v>
      </c>
      <c r="Q34" s="6">
        <f>output_transition_aggregates!Q34/output_transition_aggregates!Q$2</f>
        <v>0.99672748163664193</v>
      </c>
      <c r="R34" s="6">
        <f>100*(output_transition_aggregates!R34/output_transition_aggregates!R$2-1)</f>
        <v>-0.95295829276257349</v>
      </c>
      <c r="S34" s="6">
        <f>100*(output_transition_aggregates!S34/output_transition_aggregates!S$2-1)</f>
        <v>-0.44248539357197858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3.5224329708336347E-2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</v>
      </c>
      <c r="X34" s="7">
        <f>100*(output_transition_aggregates!X34-output_transition_aggregates!X$2)</f>
        <v>-64.611940000000004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-1.8763891148236733</v>
      </c>
      <c r="AB34" s="7">
        <f>output_transition_aggregates!AB34</f>
        <v>32.683567500000002</v>
      </c>
      <c r="AC34" s="6">
        <f>output_transition_aggregates!AC34/output_transition_aggregates!AC$2</f>
        <v>0.99045951336325588</v>
      </c>
      <c r="AD34" s="6">
        <f>output_transition_aggregates!AD34/output_transition_aggregates!AD$2</f>
        <v>0.99551423699736008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0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0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-0.69323909865828259</v>
      </c>
      <c r="K35" s="8">
        <f>100*(output_transition_aggregates!K35-output_transition_aggregates!K$2)</f>
        <v>-0.21947999999999412</v>
      </c>
      <c r="L35" s="6">
        <f>100*(output_transition_aggregates!L35/output_transition_aggregates!L$2-1)</f>
        <v>1.9911661278430026</v>
      </c>
      <c r="M35" s="6">
        <f>100*(output_transition_aggregates!M35-output_transition_aggregates!M$2)</f>
        <v>7.459999999999932E-3</v>
      </c>
      <c r="N35" s="6">
        <f>100*(output_transition_aggregates!N35/output_transition_aggregates!N$2-1)</f>
        <v>-0.14894160346207164</v>
      </c>
      <c r="O35" s="6">
        <f>output_transition_aggregates!O35/output_transition_aggregates!O$2</f>
        <v>0.99163578347904469</v>
      </c>
      <c r="P35" s="7">
        <f>100*(output_transition_aggregates!P35/SUM(output_transition_aggregates!P35:Q35)-output_transition_aggregates!P$2/SUM(output_transition_aggregates!P$2:Q$2))</f>
        <v>3.0500432009873679E-2</v>
      </c>
      <c r="Q35" s="6">
        <f>output_transition_aggregates!Q35/output_transition_aggregates!Q$2</f>
        <v>0.99667782657289339</v>
      </c>
      <c r="R35" s="6">
        <f>100*(output_transition_aggregates!R35/output_transition_aggregates!R$2-1)</f>
        <v>-0.9410159810843588</v>
      </c>
      <c r="S35" s="6">
        <f>100*(output_transition_aggregates!S35/output_transition_aggregates!S$2-1)</f>
        <v>-0.50831056322269141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2.4554792006972401E-2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</v>
      </c>
      <c r="X35" s="7">
        <f>100*(output_transition_aggregates!X35-output_transition_aggregates!X$2)</f>
        <v>-64.611940000000004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-1.8203292674232707</v>
      </c>
      <c r="AB35" s="7">
        <f>output_transition_aggregates!AB35</f>
        <v>32.688743799999997</v>
      </c>
      <c r="AC35" s="6">
        <f>output_transition_aggregates!AC35/output_transition_aggregates!AC$2</f>
        <v>0.99057948651877703</v>
      </c>
      <c r="AD35" s="6">
        <f>output_transition_aggregates!AD35/output_transition_aggregates!AD$2</f>
        <v>0.99485905786505957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0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0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-0.66725306286027353</v>
      </c>
      <c r="K36" s="8">
        <f>100*(output_transition_aggregates!K36-output_transition_aggregates!K$2)</f>
        <v>-0.21440999999999821</v>
      </c>
      <c r="L36" s="6">
        <f>100*(output_transition_aggregates!L36/output_transition_aggregates!L$2-1)</f>
        <v>1.9052166203351373</v>
      </c>
      <c r="M36" s="6">
        <f>100*(output_transition_aggregates!M36-output_transition_aggregates!M$2)</f>
        <v>7.3099999999999554E-3</v>
      </c>
      <c r="N36" s="6">
        <f>100*(output_transition_aggregates!N36/output_transition_aggregates!N$2-1)</f>
        <v>-0.14101396981924808</v>
      </c>
      <c r="O36" s="6">
        <f>output_transition_aggregates!O36/output_transition_aggregates!O$2</f>
        <v>0.99154832086081812</v>
      </c>
      <c r="P36" s="7">
        <f>100*(output_transition_aggregates!P36/SUM(output_transition_aggregates!P36:Q36)-output_transition_aggregates!P$2/SUM(output_transition_aggregates!P$2:Q$2))</f>
        <v>3.0326387288990078E-2</v>
      </c>
      <c r="Q36" s="6">
        <f>output_transition_aggregates!Q36/output_transition_aggregates!Q$2</f>
        <v>0.99673940994804533</v>
      </c>
      <c r="R36" s="6">
        <f>100*(output_transition_aggregates!R36/output_transition_aggregates!R$2-1)</f>
        <v>-0.92950075830928736</v>
      </c>
      <c r="S36" s="6">
        <f>100*(output_transition_aggregates!S36/output_transition_aggregates!S$2-1)</f>
        <v>-0.56274917140172187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2.2003024799372231E-2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</v>
      </c>
      <c r="X36" s="7">
        <f>100*(output_transition_aggregates!X36-output_transition_aggregates!X$2)</f>
        <v>-64.611940000000004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-1.7647529344674284</v>
      </c>
      <c r="AB36" s="7">
        <f>output_transition_aggregates!AB36</f>
        <v>32.693487099999999</v>
      </c>
      <c r="AC36" s="6">
        <f>output_transition_aggregates!AC36/output_transition_aggregates!AC$2</f>
        <v>0.99069518878526674</v>
      </c>
      <c r="AD36" s="6">
        <f>output_transition_aggregates!AD36/output_transition_aggregates!AD$2</f>
        <v>0.994317744347476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0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0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-0.63440965587466813</v>
      </c>
      <c r="K37" s="8">
        <f>100*(output_transition_aggregates!K37-output_transition_aggregates!K$2)</f>
        <v>-0.20902999999999894</v>
      </c>
      <c r="L37" s="6">
        <f>100*(output_transition_aggregates!L37/output_transition_aggregates!L$2-1)</f>
        <v>1.8279531868888199</v>
      </c>
      <c r="M37" s="6">
        <f>100*(output_transition_aggregates!M37-output_transition_aggregates!M$2)</f>
        <v>7.2799999999999601E-3</v>
      </c>
      <c r="N37" s="6">
        <f>100*(output_transition_aggregates!N37/output_transition_aggregates!N$2-1)</f>
        <v>-0.13303638259329897</v>
      </c>
      <c r="O37" s="6">
        <f>output_transition_aggregates!O37/output_transition_aggregates!O$2</f>
        <v>0.99122959205574701</v>
      </c>
      <c r="P37" s="7">
        <f>100*(output_transition_aggregates!P37/SUM(output_transition_aggregates!P37:Q37)-output_transition_aggregates!P$2/SUM(output_transition_aggregates!P$2:Q$2))</f>
        <v>3.0084170612268771E-2</v>
      </c>
      <c r="Q37" s="6">
        <f>output_transition_aggregates!Q37/output_transition_aggregates!Q$2</f>
        <v>0.99682512734859441</v>
      </c>
      <c r="R37" s="6">
        <f>100*(output_transition_aggregates!R37/output_transition_aggregates!R$2-1)</f>
        <v>-0.91825408385968199</v>
      </c>
      <c r="S37" s="6">
        <f>100*(output_transition_aggregates!S37/output_transition_aggregates!S$2-1)</f>
        <v>-0.65002806877771935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1.9870008107055956E-2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</v>
      </c>
      <c r="X37" s="7">
        <f>100*(output_transition_aggregates!X37-output_transition_aggregates!X$2)</f>
        <v>-64.611940000000004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-1.709698379689184</v>
      </c>
      <c r="AB37" s="7">
        <f>output_transition_aggregates!AB37</f>
        <v>32.697862399999998</v>
      </c>
      <c r="AC37" s="6">
        <f>output_transition_aggregates!AC37/output_transition_aggregates!AC$2</f>
        <v>0.99080820556850158</v>
      </c>
      <c r="AD37" s="6">
        <f>output_transition_aggregates!AD37/output_transition_aggregates!AD$2</f>
        <v>0.99344802793792253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0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0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-0.60106400774669888</v>
      </c>
      <c r="K38" s="8">
        <f>100*(output_transition_aggregates!K38-output_transition_aggregates!K$2)</f>
        <v>-0.20439999999999348</v>
      </c>
      <c r="L38" s="6">
        <f>100*(output_transition_aggregates!L38/output_transition_aggregates!L$2-1)</f>
        <v>1.7661894153945923</v>
      </c>
      <c r="M38" s="6">
        <f>100*(output_transition_aggregates!M38-output_transition_aggregates!M$2)</f>
        <v>7.4699999999998726E-3</v>
      </c>
      <c r="N38" s="6">
        <f>100*(output_transition_aggregates!N38/output_transition_aggregates!N$2-1)</f>
        <v>-0.12499385570927668</v>
      </c>
      <c r="O38" s="6">
        <f>output_transition_aggregates!O38/output_transition_aggregates!O$2</f>
        <v>0.99105037417545461</v>
      </c>
      <c r="P38" s="7">
        <f>100*(output_transition_aggregates!P38/SUM(output_transition_aggregates!P38:Q38)-output_transition_aggregates!P$2/SUM(output_transition_aggregates!P$2:Q$2))</f>
        <v>2.9787138068819788E-2</v>
      </c>
      <c r="Q38" s="6">
        <f>output_transition_aggregates!Q38/output_transition_aggregates!Q$2</f>
        <v>0.99693026293049758</v>
      </c>
      <c r="R38" s="6">
        <f>100*(output_transition_aggregates!R38/output_transition_aggregates!R$2-1)</f>
        <v>-0.90837927073533775</v>
      </c>
      <c r="S38" s="6">
        <f>100*(output_transition_aggregates!S38/output_transition_aggregates!S$2-1)</f>
        <v>-0.74726568896469336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1.8628372487252201E-2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</v>
      </c>
      <c r="X38" s="7">
        <f>100*(output_transition_aggregates!X38-output_transition_aggregates!X$2)</f>
        <v>-64.611940000000004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-1.6596250672463397</v>
      </c>
      <c r="AB38" s="7">
        <f>output_transition_aggregates!AB38</f>
        <v>32.701695000000001</v>
      </c>
      <c r="AC38" s="6">
        <f>output_transition_aggregates!AC38/output_transition_aggregates!AC$2</f>
        <v>0.99090753609370374</v>
      </c>
      <c r="AD38" s="6">
        <f>output_transition_aggregates!AD38/output_transition_aggregates!AD$2</f>
        <v>0.99247872430025963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0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0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-0.57199729596532078</v>
      </c>
      <c r="K39" s="8">
        <f>100*(output_transition_aggregates!K39-output_transition_aggregates!K$2)</f>
        <v>-0.21576999999999291</v>
      </c>
      <c r="L39" s="6">
        <f>100*(output_transition_aggregates!L39/output_transition_aggregates!L$2-1)</f>
        <v>1.7192467742782824</v>
      </c>
      <c r="M39" s="6">
        <f>100*(output_transition_aggregates!M39-output_transition_aggregates!M$2)</f>
        <v>7.9099999999998616E-3</v>
      </c>
      <c r="N39" s="6">
        <f>100*(output_transition_aggregates!N39/output_transition_aggregates!N$2-1)</f>
        <v>-0.12366509039800633</v>
      </c>
      <c r="O39" s="6">
        <f>output_transition_aggregates!O39/output_transition_aggregates!O$2</f>
        <v>0.99302874640491068</v>
      </c>
      <c r="P39" s="7">
        <f>100*(output_transition_aggregates!P39/SUM(output_transition_aggregates!P39:Q39)-output_transition_aggregates!P$2/SUM(output_transition_aggregates!P$2:Q$2))</f>
        <v>8.2617790073610808E-3</v>
      </c>
      <c r="Q39" s="6">
        <f>output_transition_aggregates!Q39/output_transition_aggregates!Q$2</f>
        <v>0.99704538500566875</v>
      </c>
      <c r="R39" s="6">
        <f>100*(output_transition_aggregates!R39/output_transition_aggregates!R$2-1)</f>
        <v>-0.90871900054465549</v>
      </c>
      <c r="S39" s="6">
        <f>100*(output_transition_aggregates!S39/output_transition_aggregates!S$2-1)</f>
        <v>-0.88200666637989755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2.8581862898294577E-2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</v>
      </c>
      <c r="X39" s="7">
        <f>100*(output_transition_aggregates!X39-output_transition_aggregates!X$2)</f>
        <v>-64.611940000000004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-1.6185489498457661</v>
      </c>
      <c r="AB39" s="7">
        <f>output_transition_aggregates!AB39</f>
        <v>32.703792100000001</v>
      </c>
      <c r="AC39" s="6">
        <f>output_transition_aggregates!AC39/output_transition_aggregates!AC$2</f>
        <v>0.99090430057171042</v>
      </c>
      <c r="AD39" s="6">
        <f>output_transition_aggregates!AD39/output_transition_aggregates!AD$2</f>
        <v>0.9911323989605334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0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0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-0.52694587003154769</v>
      </c>
      <c r="K40" s="8">
        <f>100*(output_transition_aggregates!K40-output_transition_aggregates!K$2)</f>
        <v>-0.21879999999999677</v>
      </c>
      <c r="L40" s="6">
        <f>100*(output_transition_aggregates!L40/output_transition_aggregates!L$2-1)</f>
        <v>1.6710514594866055</v>
      </c>
      <c r="M40" s="6">
        <f>100*(output_transition_aggregates!M40-output_transition_aggregates!M$2)</f>
        <v>1.0989999999999958E-2</v>
      </c>
      <c r="N40" s="6">
        <f>100*(output_transition_aggregates!N40/output_transition_aggregates!N$2-1)</f>
        <v>-0.11755576718114336</v>
      </c>
      <c r="O40" s="6">
        <f>output_transition_aggregates!O40/output_transition_aggregates!O$2</f>
        <v>0.99046585917266439</v>
      </c>
      <c r="P40" s="7">
        <f>100*(output_transition_aggregates!P40/SUM(output_transition_aggregates!P40:Q40)-output_transition_aggregates!P$2/SUM(output_transition_aggregates!P$2:Q$2))</f>
        <v>8.8461106396632572E-3</v>
      </c>
      <c r="Q40" s="6">
        <f>output_transition_aggregates!Q40/output_transition_aggregates!Q$2</f>
        <v>0.9968370556599977</v>
      </c>
      <c r="R40" s="6">
        <f>100*(output_transition_aggregates!R40/output_transition_aggregates!R$2-1)</f>
        <v>-0.9043931076392786</v>
      </c>
      <c r="S40" s="6">
        <f>100*(output_transition_aggregates!S40/output_transition_aggregates!S$2-1)</f>
        <v>1.6800419603827166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1.5170339968186355E-2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</v>
      </c>
      <c r="X40" s="7">
        <f>100*(output_transition_aggregates!X40-output_transition_aggregates!X$2)</f>
        <v>-64.611940000000004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-1.5856925780028508</v>
      </c>
      <c r="AB40" s="7">
        <f>output_transition_aggregates!AB40</f>
        <v>32.706405099999998</v>
      </c>
      <c r="AC40" s="6">
        <f>output_transition_aggregates!AC40/output_transition_aggregates!AC$2</f>
        <v>0.99094794776340345</v>
      </c>
      <c r="AD40" s="6">
        <f>output_transition_aggregates!AD40/output_transition_aggregates!AD$2</f>
        <v>1.0167550540970112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0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0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0</v>
      </c>
      <c r="K41" s="8">
        <f>100*(output_transition_aggregates!K41-output_transition_aggregates!K$2)</f>
        <v>0</v>
      </c>
      <c r="L41" s="6">
        <f>100*(output_transition_aggregates!L41/output_transition_aggregates!L$2-1)</f>
        <v>0</v>
      </c>
      <c r="M41" s="6">
        <f>100*(output_transition_aggregates!M41-output_transition_aggregates!M$2)</f>
        <v>0</v>
      </c>
      <c r="N41" s="6">
        <f>100*(output_transition_aggregates!N41/output_transition_aggregates!N$2-1)</f>
        <v>0</v>
      </c>
      <c r="O41" s="6">
        <f>output_transition_aggregates!O41/output_transition_aggregates!O$2</f>
        <v>1</v>
      </c>
      <c r="P41" s="7">
        <f>100*(output_transition_aggregates!P41/SUM(output_transition_aggregates!P41:Q41)-output_transition_aggregates!P$2/SUM(output_transition_aggregates!P$2:Q$2))</f>
        <v>0</v>
      </c>
      <c r="Q41" s="6">
        <f>output_transition_aggregates!Q41/output_transition_aggregates!Q$2</f>
        <v>1</v>
      </c>
      <c r="R41" s="6">
        <f>100*(output_transition_aggregates!R41/output_transition_aggregates!R$2-1)</f>
        <v>0</v>
      </c>
      <c r="S41" s="6">
        <f>100*(output_transition_aggregates!S41/output_transition_aggregates!S$2-1)</f>
        <v>0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0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1</v>
      </c>
      <c r="X41" s="7">
        <f>100*(output_transition_aggregates!X41-output_transition_aggregates!X$2)</f>
        <v>0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0</v>
      </c>
      <c r="AB41" s="7">
        <f>output_transition_aggregates!AB41</f>
        <v>33.1899199</v>
      </c>
      <c r="AC41" s="6">
        <f>output_transition_aggregates!AC41/output_transition_aggregates!AC$2</f>
        <v>1</v>
      </c>
      <c r="AD41" s="6">
        <f>output_transition_aggregates!AD41/output_transition_aggregates!AD$2</f>
        <v>1</v>
      </c>
      <c r="AE41" s="2"/>
      <c r="AF41" s="3"/>
      <c r="AG41" s="3"/>
    </row>
    <row r="42" spans="1:33" x14ac:dyDescent="0.35">
      <c r="B42" s="6"/>
      <c r="C42" s="6"/>
      <c r="D42" s="6">
        <f>100*(output_transition_aggregates!D42/output_transition_aggregates!D$2-1)</f>
        <v>-100</v>
      </c>
      <c r="E42" s="6"/>
      <c r="F42" s="6"/>
      <c r="G42" s="6"/>
      <c r="H42" s="6"/>
      <c r="I42" s="6"/>
      <c r="J42" s="6">
        <f>100*(output_transition_aggregates!J42/output_transition_aggregates!J$2-1)</f>
        <v>-100</v>
      </c>
      <c r="K42" s="8">
        <f>100*(output_transition_aggregates!K42-output_transition_aggregates!K$2)</f>
        <v>-99.755099999999999</v>
      </c>
      <c r="L42" s="6"/>
      <c r="M42" s="6"/>
      <c r="N42" s="6"/>
      <c r="O42" s="6"/>
      <c r="P42" s="7"/>
      <c r="Q42" s="6"/>
      <c r="R42" s="6">
        <f>100*(output_transition_aggregates!R42/output_transition_aggregates!R$2-1)</f>
        <v>-100</v>
      </c>
      <c r="S42" s="6">
        <f>100*(output_transition_aggregates!S42/output_transition_aggregates!S$2-1)</f>
        <v>-100</v>
      </c>
      <c r="T42" s="7"/>
      <c r="U42" s="7"/>
      <c r="V42" s="7"/>
      <c r="W42" s="6"/>
      <c r="X42" s="7"/>
      <c r="Y42" s="6"/>
      <c r="Z42" s="6"/>
      <c r="AA42" s="6">
        <f>100*(output_transition_aggregates!AA42/output_transition_aggregates!AA$2-1)</f>
        <v>-100</v>
      </c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S67"/>
  <sheetViews>
    <sheetView workbookViewId="0">
      <pane xSplit="1" ySplit="1" topLeftCell="HP29" activePane="bottomRight" state="frozen"/>
      <selection pane="topRight" activeCell="B1" sqref="B1"/>
      <selection pane="bottomLeft" activeCell="A2" sqref="A2"/>
      <selection pane="bottomRight" activeCell="B8" sqref="B8:IG47"/>
    </sheetView>
  </sheetViews>
  <sheetFormatPr defaultRowHeight="14.5" x14ac:dyDescent="0.35"/>
  <cols>
    <col min="1" max="1" width="9.1796875" style="1"/>
    <col min="247" max="247" width="14" bestFit="1" customWidth="1"/>
    <col min="258" max="258" width="25.81640625" bestFit="1" customWidth="1"/>
  </cols>
  <sheetData>
    <row r="1" spans="1:279" s="1" customFormat="1" x14ac:dyDescent="0.35">
      <c r="A1" s="1" t="s">
        <v>0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30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1" t="s">
        <v>63</v>
      </c>
      <c r="N1" s="1" t="s">
        <v>64</v>
      </c>
      <c r="O1" s="1" t="s">
        <v>65</v>
      </c>
      <c r="P1" s="1" t="s">
        <v>66</v>
      </c>
      <c r="Q1" s="1" t="s">
        <v>67</v>
      </c>
      <c r="R1" s="1" t="s">
        <v>68</v>
      </c>
      <c r="S1" s="1" t="s">
        <v>69</v>
      </c>
      <c r="T1" s="1" t="s">
        <v>70</v>
      </c>
      <c r="U1" s="1" t="s">
        <v>71</v>
      </c>
      <c r="V1" s="1" t="s">
        <v>72</v>
      </c>
      <c r="W1" s="1" t="s">
        <v>73</v>
      </c>
      <c r="X1" s="1" t="s">
        <v>74</v>
      </c>
      <c r="Y1" s="1" t="s">
        <v>75</v>
      </c>
      <c r="Z1" s="1" t="s">
        <v>76</v>
      </c>
      <c r="AA1" s="1" t="s">
        <v>77</v>
      </c>
      <c r="AB1" s="1" t="s">
        <v>78</v>
      </c>
      <c r="AC1" s="1" t="s">
        <v>79</v>
      </c>
      <c r="AD1" s="1" t="s">
        <v>80</v>
      </c>
      <c r="AE1" s="1" t="s">
        <v>81</v>
      </c>
      <c r="AF1" s="1" t="s">
        <v>82</v>
      </c>
      <c r="AG1" s="1" t="s">
        <v>83</v>
      </c>
      <c r="AH1" s="1" t="s">
        <v>84</v>
      </c>
      <c r="AI1" s="1" t="s">
        <v>85</v>
      </c>
      <c r="AJ1" s="1" t="s">
        <v>86</v>
      </c>
      <c r="AK1" s="1" t="s">
        <v>87</v>
      </c>
      <c r="AL1" s="1" t="s">
        <v>88</v>
      </c>
      <c r="AM1" s="1" t="s">
        <v>89</v>
      </c>
      <c r="AN1" s="1" t="s">
        <v>90</v>
      </c>
      <c r="AO1" s="1" t="s">
        <v>91</v>
      </c>
      <c r="AP1" s="1" t="s">
        <v>92</v>
      </c>
      <c r="AQ1" s="1" t="s">
        <v>93</v>
      </c>
      <c r="AR1" s="1" t="s">
        <v>94</v>
      </c>
      <c r="AS1" s="1" t="s">
        <v>95</v>
      </c>
      <c r="AT1" s="1" t="s">
        <v>96</v>
      </c>
      <c r="AU1" s="1" t="s">
        <v>97</v>
      </c>
      <c r="AV1" s="1" t="s">
        <v>98</v>
      </c>
      <c r="AW1" s="1" t="s">
        <v>99</v>
      </c>
      <c r="AX1" s="1" t="s">
        <v>100</v>
      </c>
      <c r="AY1" s="1" t="s">
        <v>101</v>
      </c>
      <c r="AZ1" s="1" t="s">
        <v>102</v>
      </c>
      <c r="BA1" s="1" t="s">
        <v>103</v>
      </c>
      <c r="BB1" s="1" t="s">
        <v>104</v>
      </c>
      <c r="BC1" s="1" t="s">
        <v>105</v>
      </c>
      <c r="BD1" s="1" t="s">
        <v>106</v>
      </c>
      <c r="BE1" s="1" t="s">
        <v>107</v>
      </c>
      <c r="BF1" s="1" t="s">
        <v>108</v>
      </c>
      <c r="BG1" s="1" t="s">
        <v>109</v>
      </c>
      <c r="BH1" s="1" t="s">
        <v>110</v>
      </c>
      <c r="BI1" s="1" t="s">
        <v>111</v>
      </c>
      <c r="BJ1" s="1" t="s">
        <v>112</v>
      </c>
      <c r="BK1" s="1" t="s">
        <v>113</v>
      </c>
      <c r="BL1" s="1" t="s">
        <v>114</v>
      </c>
      <c r="BM1" s="1" t="s">
        <v>115</v>
      </c>
      <c r="BN1" s="1" t="s">
        <v>116</v>
      </c>
      <c r="BO1" s="1" t="s">
        <v>117</v>
      </c>
      <c r="BP1" s="1" t="s">
        <v>118</v>
      </c>
      <c r="BQ1" s="1" t="s">
        <v>119</v>
      </c>
      <c r="BR1" s="1" t="s">
        <v>120</v>
      </c>
      <c r="BS1" s="1" t="s">
        <v>121</v>
      </c>
      <c r="BT1" s="1" t="s">
        <v>122</v>
      </c>
      <c r="BU1" s="1" t="s">
        <v>123</v>
      </c>
      <c r="BV1" s="1" t="s">
        <v>124</v>
      </c>
      <c r="BW1" s="1" t="s">
        <v>125</v>
      </c>
      <c r="BX1" s="1" t="s">
        <v>126</v>
      </c>
      <c r="BY1" s="1" t="s">
        <v>127</v>
      </c>
      <c r="BZ1" s="1" t="s">
        <v>128</v>
      </c>
      <c r="CA1" s="1" t="s">
        <v>129</v>
      </c>
      <c r="CB1" s="1" t="s">
        <v>130</v>
      </c>
      <c r="CC1" s="1" t="s">
        <v>131</v>
      </c>
      <c r="CD1" s="1" t="s">
        <v>132</v>
      </c>
      <c r="CE1" s="1" t="s">
        <v>133</v>
      </c>
      <c r="CF1" s="1" t="s">
        <v>134</v>
      </c>
      <c r="CG1" s="1" t="s">
        <v>135</v>
      </c>
      <c r="CH1" s="1" t="s">
        <v>136</v>
      </c>
      <c r="CI1" s="1" t="s">
        <v>137</v>
      </c>
      <c r="CJ1" s="1" t="s">
        <v>138</v>
      </c>
      <c r="CK1" s="1" t="s">
        <v>139</v>
      </c>
      <c r="CL1" s="1" t="s">
        <v>140</v>
      </c>
      <c r="CM1" s="1" t="s">
        <v>141</v>
      </c>
      <c r="CN1" s="1" t="s">
        <v>142</v>
      </c>
      <c r="CO1" s="1" t="s">
        <v>143</v>
      </c>
      <c r="CP1" s="1" t="s">
        <v>144</v>
      </c>
      <c r="CQ1" s="1" t="s">
        <v>145</v>
      </c>
      <c r="CR1" s="1" t="s">
        <v>146</v>
      </c>
      <c r="CS1" s="1" t="s">
        <v>147</v>
      </c>
      <c r="CT1" s="1" t="s">
        <v>148</v>
      </c>
      <c r="CU1" s="1" t="s">
        <v>149</v>
      </c>
      <c r="CV1" s="1" t="s">
        <v>150</v>
      </c>
      <c r="CW1" s="1" t="s">
        <v>151</v>
      </c>
      <c r="CX1" s="1" t="s">
        <v>152</v>
      </c>
      <c r="CY1" s="1" t="s">
        <v>153</v>
      </c>
      <c r="CZ1" s="1" t="s">
        <v>154</v>
      </c>
      <c r="DA1" s="1" t="s">
        <v>155</v>
      </c>
      <c r="DB1" s="1" t="s">
        <v>156</v>
      </c>
      <c r="DC1" s="1" t="s">
        <v>157</v>
      </c>
      <c r="DD1" s="1" t="s">
        <v>158</v>
      </c>
      <c r="DE1" s="1" t="s">
        <v>159</v>
      </c>
      <c r="DF1" s="1" t="s">
        <v>160</v>
      </c>
      <c r="DG1" s="1" t="s">
        <v>161</v>
      </c>
      <c r="DH1" s="1" t="s">
        <v>162</v>
      </c>
      <c r="DI1" s="1" t="s">
        <v>163</v>
      </c>
      <c r="DJ1" s="1" t="s">
        <v>164</v>
      </c>
      <c r="DK1" s="1" t="s">
        <v>165</v>
      </c>
      <c r="DL1" s="1" t="s">
        <v>166</v>
      </c>
      <c r="DM1" s="1" t="s">
        <v>167</v>
      </c>
      <c r="DN1" s="1" t="s">
        <v>168</v>
      </c>
      <c r="DO1" s="1" t="s">
        <v>169</v>
      </c>
      <c r="DP1" s="1" t="s">
        <v>170</v>
      </c>
      <c r="DQ1" s="1" t="s">
        <v>171</v>
      </c>
      <c r="DR1" s="1" t="s">
        <v>41</v>
      </c>
      <c r="DS1" s="1" t="s">
        <v>42</v>
      </c>
      <c r="DT1" s="1" t="s">
        <v>43</v>
      </c>
      <c r="DU1" s="1" t="s">
        <v>44</v>
      </c>
      <c r="DV1" s="1" t="s">
        <v>45</v>
      </c>
      <c r="DW1" s="1" t="s">
        <v>46</v>
      </c>
      <c r="DX1" s="1" t="s">
        <v>172</v>
      </c>
      <c r="DY1" s="1" t="s">
        <v>173</v>
      </c>
      <c r="DZ1" s="1" t="s">
        <v>174</v>
      </c>
      <c r="EA1" s="1" t="s">
        <v>175</v>
      </c>
      <c r="EB1" s="1" t="s">
        <v>176</v>
      </c>
      <c r="EC1" s="1" t="s">
        <v>177</v>
      </c>
      <c r="ED1" s="1" t="s">
        <v>178</v>
      </c>
      <c r="EE1" s="1" t="s">
        <v>179</v>
      </c>
      <c r="EF1" s="1" t="s">
        <v>180</v>
      </c>
      <c r="EG1" s="1" t="s">
        <v>181</v>
      </c>
      <c r="EH1" s="1" t="s">
        <v>182</v>
      </c>
      <c r="EI1" s="1" t="s">
        <v>183</v>
      </c>
      <c r="EJ1" s="1" t="s">
        <v>184</v>
      </c>
      <c r="EK1" s="1" t="s">
        <v>185</v>
      </c>
      <c r="EL1" s="1" t="s">
        <v>186</v>
      </c>
      <c r="EM1" s="1" t="s">
        <v>187</v>
      </c>
      <c r="EN1" s="1" t="s">
        <v>188</v>
      </c>
      <c r="EO1" s="1" t="s">
        <v>189</v>
      </c>
      <c r="EP1" s="1" t="s">
        <v>190</v>
      </c>
      <c r="EQ1" s="1" t="s">
        <v>191</v>
      </c>
      <c r="ER1" s="1" t="s">
        <v>192</v>
      </c>
      <c r="ES1" s="1" t="s">
        <v>193</v>
      </c>
      <c r="ET1" s="1" t="s">
        <v>194</v>
      </c>
      <c r="EU1" s="1" t="s">
        <v>195</v>
      </c>
      <c r="EV1" s="1" t="s">
        <v>196</v>
      </c>
      <c r="EW1" s="1" t="s">
        <v>197</v>
      </c>
      <c r="EX1" s="1" t="s">
        <v>198</v>
      </c>
      <c r="EY1" s="1" t="s">
        <v>199</v>
      </c>
      <c r="EZ1" s="1" t="s">
        <v>200</v>
      </c>
      <c r="FA1" s="1" t="s">
        <v>201</v>
      </c>
      <c r="FB1" s="1" t="s">
        <v>202</v>
      </c>
      <c r="FC1" s="1" t="s">
        <v>203</v>
      </c>
      <c r="FD1" s="1" t="s">
        <v>204</v>
      </c>
      <c r="FE1" s="1" t="s">
        <v>205</v>
      </c>
      <c r="FF1" s="1" t="s">
        <v>206</v>
      </c>
      <c r="FG1" s="1" t="s">
        <v>207</v>
      </c>
      <c r="FH1" s="1" t="s">
        <v>208</v>
      </c>
      <c r="FI1" s="1" t="s">
        <v>209</v>
      </c>
      <c r="FJ1" s="1" t="s">
        <v>210</v>
      </c>
      <c r="FK1" s="1" t="s">
        <v>211</v>
      </c>
      <c r="FL1" s="1" t="s">
        <v>212</v>
      </c>
      <c r="FM1" s="1" t="s">
        <v>213</v>
      </c>
      <c r="FN1" s="1" t="s">
        <v>214</v>
      </c>
      <c r="FO1" s="1" t="s">
        <v>215</v>
      </c>
      <c r="FP1" s="1" t="s">
        <v>216</v>
      </c>
      <c r="FQ1" s="1" t="s">
        <v>217</v>
      </c>
      <c r="FR1" s="1" t="s">
        <v>218</v>
      </c>
      <c r="FS1" s="1" t="s">
        <v>219</v>
      </c>
      <c r="FT1" s="1" t="s">
        <v>220</v>
      </c>
      <c r="FU1" s="1" t="s">
        <v>221</v>
      </c>
      <c r="FV1" s="1" t="s">
        <v>222</v>
      </c>
      <c r="FW1" s="1" t="s">
        <v>223</v>
      </c>
      <c r="FX1" s="1" t="s">
        <v>224</v>
      </c>
      <c r="FY1" s="1" t="s">
        <v>225</v>
      </c>
      <c r="FZ1" s="1" t="s">
        <v>226</v>
      </c>
      <c r="GA1" s="1" t="s">
        <v>227</v>
      </c>
      <c r="GB1" s="1" t="s">
        <v>228</v>
      </c>
      <c r="GC1" s="1" t="s">
        <v>229</v>
      </c>
      <c r="GD1" s="1" t="s">
        <v>230</v>
      </c>
      <c r="GE1" s="1" t="s">
        <v>231</v>
      </c>
      <c r="GF1" s="1" t="s">
        <v>232</v>
      </c>
      <c r="GG1" s="1" t="s">
        <v>233</v>
      </c>
      <c r="GH1" s="1" t="s">
        <v>234</v>
      </c>
      <c r="GI1" s="1" t="s">
        <v>235</v>
      </c>
      <c r="GJ1" s="1" t="s">
        <v>236</v>
      </c>
      <c r="GK1" s="1" t="s">
        <v>237</v>
      </c>
      <c r="GL1" s="1" t="s">
        <v>238</v>
      </c>
      <c r="GM1" s="1" t="s">
        <v>239</v>
      </c>
      <c r="GN1" s="1" t="s">
        <v>240</v>
      </c>
      <c r="GO1" s="1" t="s">
        <v>241</v>
      </c>
      <c r="GP1" s="1" t="s">
        <v>242</v>
      </c>
      <c r="GQ1" s="1" t="s">
        <v>243</v>
      </c>
      <c r="GR1" s="1" t="s">
        <v>244</v>
      </c>
      <c r="GS1" s="1" t="s">
        <v>245</v>
      </c>
      <c r="GT1" s="1" t="s">
        <v>246</v>
      </c>
      <c r="GU1" s="1" t="s">
        <v>247</v>
      </c>
      <c r="GV1" s="1" t="s">
        <v>248</v>
      </c>
      <c r="GW1" s="1" t="s">
        <v>249</v>
      </c>
      <c r="GX1" s="1" t="s">
        <v>250</v>
      </c>
      <c r="GY1" s="1" t="s">
        <v>251</v>
      </c>
      <c r="GZ1" s="1" t="s">
        <v>252</v>
      </c>
      <c r="HA1" s="1" t="s">
        <v>253</v>
      </c>
      <c r="HB1" s="1" t="s">
        <v>254</v>
      </c>
      <c r="HC1" s="1" t="s">
        <v>255</v>
      </c>
      <c r="HD1" s="1" t="s">
        <v>256</v>
      </c>
      <c r="HE1" s="1" t="s">
        <v>257</v>
      </c>
      <c r="HF1" s="1" t="s">
        <v>258</v>
      </c>
      <c r="HG1" s="1" t="s">
        <v>259</v>
      </c>
      <c r="HH1" s="1" t="s">
        <v>260</v>
      </c>
      <c r="HI1" s="1" t="s">
        <v>261</v>
      </c>
      <c r="HJ1" s="1" t="s">
        <v>262</v>
      </c>
      <c r="HK1" s="1" t="s">
        <v>263</v>
      </c>
      <c r="HL1" s="1" t="s">
        <v>264</v>
      </c>
      <c r="HM1" s="1" t="s">
        <v>265</v>
      </c>
      <c r="HN1" s="1" t="s">
        <v>266</v>
      </c>
      <c r="HO1" s="1" t="s">
        <v>267</v>
      </c>
      <c r="HP1" s="1" t="s">
        <v>268</v>
      </c>
      <c r="HQ1" s="1" t="s">
        <v>269</v>
      </c>
      <c r="HR1" s="1" t="s">
        <v>270</v>
      </c>
      <c r="HS1" s="1" t="s">
        <v>271</v>
      </c>
      <c r="HT1" s="1" t="s">
        <v>272</v>
      </c>
      <c r="HU1" s="1" t="s">
        <v>273</v>
      </c>
      <c r="HV1" s="1" t="s">
        <v>274</v>
      </c>
      <c r="HW1" s="1" t="s">
        <v>275</v>
      </c>
      <c r="HX1" s="1" t="s">
        <v>276</v>
      </c>
      <c r="HY1" s="1" t="s">
        <v>277</v>
      </c>
      <c r="HZ1" s="1" t="s">
        <v>278</v>
      </c>
      <c r="IA1" s="1" t="s">
        <v>279</v>
      </c>
      <c r="IB1" s="1" t="s">
        <v>280</v>
      </c>
      <c r="IC1" s="1" t="s">
        <v>281</v>
      </c>
      <c r="ID1" s="1" t="s">
        <v>282</v>
      </c>
      <c r="IE1" s="1" t="s">
        <v>283</v>
      </c>
      <c r="IF1" s="1" t="s">
        <v>284</v>
      </c>
      <c r="IG1" s="1" t="s">
        <v>285</v>
      </c>
      <c r="II1" s="1" t="s">
        <v>286</v>
      </c>
      <c r="IJ1" s="1" t="s">
        <v>287</v>
      </c>
    </row>
    <row r="2" spans="1:279" s="1" customFormat="1" x14ac:dyDescent="0.35">
      <c r="A2" s="1">
        <f t="shared" ref="A2:A6" si="0">A3-1</f>
        <v>-6</v>
      </c>
      <c r="B2" s="10">
        <f t="shared" ref="B2:B6" si="1">B3</f>
        <v>1.0654E-2</v>
      </c>
      <c r="C2" s="10">
        <f t="shared" ref="C2:C6" si="2">C3</f>
        <v>1.0654E-2</v>
      </c>
      <c r="D2" s="10">
        <f t="shared" ref="D2:D6" si="3">D3</f>
        <v>1.06058E-2</v>
      </c>
      <c r="E2" s="10">
        <f t="shared" ref="E2:E6" si="4">E3</f>
        <v>1.04361E-2</v>
      </c>
      <c r="F2" s="10">
        <f t="shared" ref="F2:F6" si="5">F3</f>
        <v>9.7535E-3</v>
      </c>
      <c r="G2" s="10">
        <f t="shared" ref="G2:G6" si="6">G3</f>
        <v>9.1403999999999999E-3</v>
      </c>
      <c r="H2" s="10">
        <f t="shared" ref="H2:H6" si="7">H3</f>
        <v>8.5669000000000006E-3</v>
      </c>
      <c r="I2" s="10">
        <f t="shared" ref="I2:I6" si="8">I3</f>
        <v>7.9711000000000001E-3</v>
      </c>
      <c r="J2" s="10">
        <f t="shared" ref="J2:J6" si="9">J3</f>
        <v>7.4428000000000003E-3</v>
      </c>
      <c r="K2" s="10">
        <f t="shared" ref="K2:K6" si="10">K3</f>
        <v>6.9601000000000003E-3</v>
      </c>
      <c r="L2" s="10">
        <f t="shared" ref="L2:L6" si="11">L3</f>
        <v>6.5317999999999999E-3</v>
      </c>
      <c r="M2" s="10">
        <f t="shared" ref="M2:M6" si="12">M3</f>
        <v>6.1491999999999996E-3</v>
      </c>
      <c r="N2" s="10">
        <f t="shared" ref="N2:N6" si="13">N3</f>
        <v>5.8079999999999998E-3</v>
      </c>
      <c r="O2" s="10">
        <f t="shared" ref="O2:O6" si="14">O3</f>
        <v>5.5024999999999996E-3</v>
      </c>
      <c r="P2" s="10">
        <f t="shared" ref="P2:P6" si="15">P3</f>
        <v>5.2283E-3</v>
      </c>
      <c r="Q2" s="10">
        <f t="shared" ref="Q2:Q6" si="16">Q3</f>
        <v>4.9813000000000001E-3</v>
      </c>
      <c r="R2" s="10">
        <f t="shared" ref="R2:R6" si="17">R3</f>
        <v>4.7580000000000001E-3</v>
      </c>
      <c r="S2" s="10">
        <f t="shared" ref="S2:S6" si="18">S3</f>
        <v>4.5554000000000002E-3</v>
      </c>
      <c r="T2" s="10">
        <f t="shared" ref="T2:T6" si="19">T3</f>
        <v>4.3709999999999999E-3</v>
      </c>
      <c r="U2" s="10">
        <f t="shared" ref="U2:U6" si="20">U3</f>
        <v>4.2025999999999999E-3</v>
      </c>
      <c r="V2" s="10">
        <f t="shared" ref="V2:V6" si="21">V3</f>
        <v>4.0480999999999998E-3</v>
      </c>
      <c r="W2" s="10">
        <f t="shared" ref="W2:W6" si="22">W3</f>
        <v>3.9061E-3</v>
      </c>
      <c r="X2" s="10">
        <f t="shared" ref="X2:X6" si="23">X3</f>
        <v>3.7750000000000001E-3</v>
      </c>
      <c r="Y2" s="10">
        <f t="shared" ref="Y2:Y6" si="24">Y3</f>
        <v>3.6537000000000002E-3</v>
      </c>
      <c r="Z2" s="10">
        <f t="shared" ref="Z2:Z6" si="25">Z3</f>
        <v>3.5412E-3</v>
      </c>
      <c r="AA2" s="10">
        <f t="shared" ref="AA2:AA6" si="26">AA3</f>
        <v>3.4364E-3</v>
      </c>
      <c r="AB2" s="10">
        <f t="shared" ref="AB2:AB6" si="27">AB3</f>
        <v>3.3384999999999999E-3</v>
      </c>
      <c r="AC2" s="10">
        <f t="shared" ref="AC2:AC6" si="28">AC3</f>
        <v>3.2468000000000002E-3</v>
      </c>
      <c r="AD2" s="10">
        <f t="shared" ref="AD2:AD6" si="29">AD3</f>
        <v>3.1606999999999998E-3</v>
      </c>
      <c r="AE2" s="10">
        <f t="shared" ref="AE2:AE6" si="30">AE3</f>
        <v>3.0796999999999999E-3</v>
      </c>
      <c r="AF2" s="10">
        <f t="shared" ref="AF2:AF6" si="31">AF3</f>
        <v>3.0030999999999999E-3</v>
      </c>
      <c r="AG2" s="10">
        <f t="shared" ref="AG2:AG6" si="32">AG3</f>
        <v>2.9307000000000001E-3</v>
      </c>
      <c r="AH2" s="10">
        <f t="shared" ref="AH2:AH6" si="33">AH3</f>
        <v>2.8620999999999998E-3</v>
      </c>
      <c r="AI2" s="10">
        <f t="shared" ref="AI2:AI6" si="34">AI3</f>
        <v>2.7969000000000002E-3</v>
      </c>
      <c r="AJ2" s="10">
        <f t="shared" ref="AJ2:AJ6" si="35">AJ3</f>
        <v>2.7349000000000002E-3</v>
      </c>
      <c r="AK2" s="10">
        <f t="shared" ref="AK2:AK6" si="36">AK3</f>
        <v>2.6759000000000002E-3</v>
      </c>
      <c r="AL2" s="10">
        <f t="shared" ref="AL2:AL6" si="37">AL3</f>
        <v>2.6194999999999999E-3</v>
      </c>
      <c r="AM2" s="10">
        <f t="shared" ref="AM2:AM6" si="38">AM3</f>
        <v>2.5657000000000002E-3</v>
      </c>
      <c r="AN2" s="10">
        <f t="shared" ref="AN2:AN6" si="39">AN3</f>
        <v>2.5143000000000001E-3</v>
      </c>
      <c r="AO2" s="10">
        <f t="shared" ref="AO2:AO6" si="40">AO3</f>
        <v>2.4650000000000002E-3</v>
      </c>
      <c r="AP2" s="10">
        <f t="shared" ref="AP2:AP6" si="41">AP3</f>
        <v>2.4177000000000001E-3</v>
      </c>
      <c r="AQ2" s="10">
        <f t="shared" ref="AQ2:AQ6" si="42">AQ3</f>
        <v>2.3722999999999999E-3</v>
      </c>
      <c r="AR2" s="10">
        <f t="shared" ref="AR2:AR6" si="43">AR3</f>
        <v>2.3287E-3</v>
      </c>
      <c r="AS2" s="10">
        <f t="shared" ref="AS2:AS6" si="44">AS3</f>
        <v>2.2867E-3</v>
      </c>
      <c r="AT2" s="10">
        <f t="shared" ref="AT2:AT6" si="45">AT3</f>
        <v>2.2461999999999998E-3</v>
      </c>
      <c r="AU2" s="10">
        <f t="shared" ref="AU2:AU6" si="46">AU3</f>
        <v>2.2071999999999999E-3</v>
      </c>
      <c r="AV2" s="10">
        <f t="shared" ref="AV2:AV6" si="47">AV3</f>
        <v>2.1695E-3</v>
      </c>
      <c r="AW2" s="10">
        <f t="shared" ref="AW2:AW6" si="48">AW3</f>
        <v>2.1329999999999999E-3</v>
      </c>
      <c r="AX2" s="10">
        <f t="shared" ref="AX2:AX6" si="49">AX3</f>
        <v>2.0977000000000001E-3</v>
      </c>
      <c r="AY2" s="10">
        <f t="shared" ref="AY2:AY6" si="50">AY3</f>
        <v>2.0634E-3</v>
      </c>
      <c r="AZ2" s="10">
        <f t="shared" ref="AZ2:AZ6" si="51">AZ3</f>
        <v>2.0301999999999998E-3</v>
      </c>
      <c r="BA2" s="10">
        <f t="shared" ref="BA2:BA6" si="52">BA3</f>
        <v>1.9980000000000002E-3</v>
      </c>
      <c r="BB2" s="10">
        <f t="shared" ref="BB2:BB6" si="53">BB3</f>
        <v>1.9666000000000002E-3</v>
      </c>
      <c r="BC2" s="10">
        <f t="shared" ref="BC2:BC6" si="54">BC3</f>
        <v>1.9361000000000001E-3</v>
      </c>
      <c r="BD2" s="10">
        <f t="shared" ref="BD2:BD6" si="55">BD3</f>
        <v>1.9063000000000001E-3</v>
      </c>
      <c r="BE2" s="10">
        <f t="shared" ref="BE2:BE6" si="56">BE3</f>
        <v>1.8772999999999999E-3</v>
      </c>
      <c r="BF2" s="10">
        <f t="shared" ref="BF2:BF6" si="57">BF3</f>
        <v>1.8489999999999999E-3</v>
      </c>
      <c r="BG2" s="10">
        <f t="shared" ref="BG2:BG6" si="58">BG3</f>
        <v>1.8213000000000001E-3</v>
      </c>
      <c r="BH2" s="10">
        <f t="shared" ref="BH2:BH6" si="59">BH3</f>
        <v>1.7943E-3</v>
      </c>
      <c r="BI2" s="10">
        <f t="shared" ref="BI2:BI6" si="60">BI3</f>
        <v>1.7677999999999999E-3</v>
      </c>
      <c r="BJ2" s="10">
        <f t="shared" ref="BJ2:BJ6" si="61">BJ3</f>
        <v>1.7419E-3</v>
      </c>
      <c r="BK2" s="10">
        <f t="shared" ref="BK2:BK6" si="62">BK3</f>
        <v>1.7166E-3</v>
      </c>
      <c r="BL2" s="10">
        <f t="shared" ref="BL2:BL6" si="63">BL3</f>
        <v>1.6917E-3</v>
      </c>
      <c r="BM2" s="10">
        <f t="shared" ref="BM2:BM6" si="64">BM3</f>
        <v>1.6673E-3</v>
      </c>
      <c r="BN2" s="10">
        <f t="shared" ref="BN2:BN6" si="65">BN3</f>
        <v>1.6433999999999999E-3</v>
      </c>
      <c r="BO2" s="10">
        <f t="shared" ref="BO2:BO6" si="66">BO3</f>
        <v>1.6199000000000001E-3</v>
      </c>
      <c r="BP2" s="10">
        <f t="shared" ref="BP2:BP6" si="67">BP3</f>
        <v>1.5968E-3</v>
      </c>
      <c r="BQ2" s="10">
        <f t="shared" ref="BQ2:BQ6" si="68">BQ3</f>
        <v>1.5740999999999999E-3</v>
      </c>
      <c r="BR2" s="10">
        <f t="shared" ref="BR2:BR6" si="69">BR3</f>
        <v>1.5518000000000001E-3</v>
      </c>
      <c r="BS2" s="10">
        <f t="shared" ref="BS2:BS6" si="70">BS3</f>
        <v>1.5299000000000001E-3</v>
      </c>
      <c r="BT2" s="10">
        <f t="shared" ref="BT2:BT6" si="71">BT3</f>
        <v>1.5083E-3</v>
      </c>
      <c r="BU2" s="10">
        <f t="shared" ref="BU2:BU6" si="72">BU3</f>
        <v>1.4871000000000001E-3</v>
      </c>
      <c r="BV2" s="10">
        <f t="shared" ref="BV2:BV6" si="73">BV3</f>
        <v>1.4662E-3</v>
      </c>
      <c r="BW2" s="10">
        <f t="shared" ref="BW2:BW6" si="74">BW3</f>
        <v>1.4457000000000001E-3</v>
      </c>
      <c r="BX2" s="10">
        <f t="shared" ref="BX2:BX6" si="75">BX3</f>
        <v>1.4254000000000001E-3</v>
      </c>
      <c r="BY2" s="10">
        <f t="shared" ref="BY2:BY6" si="76">BY3</f>
        <v>1.4055000000000001E-3</v>
      </c>
      <c r="BZ2" s="10">
        <f t="shared" ref="BZ2:BZ6" si="77">BZ3</f>
        <v>1.3858E-3</v>
      </c>
      <c r="CA2" s="10">
        <f t="shared" ref="CA2:CA6" si="78">CA3</f>
        <v>1.3664E-3</v>
      </c>
      <c r="CB2" s="10">
        <f t="shared" ref="CB2:CB6" si="79">CB3</f>
        <v>1.3473999999999999E-3</v>
      </c>
      <c r="CC2" s="10">
        <f t="shared" ref="CC2:CC6" si="80">CC3</f>
        <v>1.3285E-3</v>
      </c>
      <c r="CD2" s="10">
        <f t="shared" ref="CD2:CD6" si="81">CD3</f>
        <v>1.31E-3</v>
      </c>
      <c r="CE2" s="10">
        <f t="shared" ref="CE2:CE6" si="82">CE3</f>
        <v>1.2917E-3</v>
      </c>
      <c r="CF2" s="10">
        <f t="shared" ref="CF2:CF6" si="83">CF3</f>
        <v>1.2737E-3</v>
      </c>
      <c r="CG2" s="10">
        <f t="shared" ref="CG2:CG6" si="84">CG3</f>
        <v>1.2558999999999999E-3</v>
      </c>
      <c r="CH2" s="10">
        <f t="shared" ref="CH2:CH6" si="85">CH3</f>
        <v>1.2384E-3</v>
      </c>
      <c r="CI2" s="10">
        <f t="shared" ref="CI2:CI6" si="86">CI3</f>
        <v>1.2210999999999999E-3</v>
      </c>
      <c r="CJ2" s="10">
        <f t="shared" ref="CJ2:CJ6" si="87">CJ3</f>
        <v>1.2041E-3</v>
      </c>
      <c r="CK2" s="10">
        <f t="shared" ref="CK2:CK6" si="88">CK3</f>
        <v>1.1873000000000001E-3</v>
      </c>
      <c r="CL2" s="10">
        <f t="shared" ref="CL2:CL6" si="89">CL3</f>
        <v>1.1707E-3</v>
      </c>
      <c r="CM2" s="10">
        <f t="shared" ref="CM2:CM6" si="90">CM3</f>
        <v>1.1543E-3</v>
      </c>
      <c r="CN2" s="10">
        <f t="shared" ref="CN2:CN6" si="91">CN3</f>
        <v>1.1382E-3</v>
      </c>
      <c r="CO2" s="10">
        <f t="shared" ref="CO2:CO6" si="92">CO3</f>
        <v>1.1222999999999999E-3</v>
      </c>
      <c r="CP2" s="10">
        <f t="shared" ref="CP2:CP6" si="93">CP3</f>
        <v>1.1065999999999999E-3</v>
      </c>
      <c r="CQ2" s="10">
        <f t="shared" ref="CQ2:CQ6" si="94">CQ3</f>
        <v>1.0911E-3</v>
      </c>
      <c r="CR2" s="10">
        <f t="shared" ref="CR2:CR6" si="95">CR3</f>
        <v>1.0759000000000001E-3</v>
      </c>
      <c r="CS2" s="10">
        <f t="shared" ref="CS2:CS6" si="96">CS3</f>
        <v>1.0608E-3</v>
      </c>
      <c r="CT2" s="10">
        <f t="shared" ref="CT2:CT6" si="97">CT3</f>
        <v>1.0459E-3</v>
      </c>
      <c r="CU2" s="10">
        <f t="shared" ref="CU2:CU6" si="98">CU3</f>
        <v>1.0313E-3</v>
      </c>
      <c r="CV2" s="10">
        <f t="shared" ref="CV2:CV6" si="99">CV3</f>
        <v>1.0168E-3</v>
      </c>
      <c r="CW2" s="10">
        <f t="shared" ref="CW2:CW6" si="100">CW3</f>
        <v>1.0026E-3</v>
      </c>
      <c r="CX2" s="10">
        <f t="shared" ref="CX2:CX6" si="101">CX3</f>
        <v>9.8850000000000001E-4</v>
      </c>
      <c r="CY2" s="10">
        <f t="shared" ref="CY2:CY6" si="102">CY3</f>
        <v>9.7460000000000005E-4</v>
      </c>
      <c r="CZ2" s="10">
        <f t="shared" ref="CZ2:CZ6" si="103">CZ3</f>
        <v>9.6089999999999999E-4</v>
      </c>
      <c r="DA2" s="10">
        <f t="shared" ref="DA2:DA6" si="104">DA3</f>
        <v>9.4740000000000004E-4</v>
      </c>
      <c r="DB2" s="10">
        <f t="shared" ref="DB2:DB6" si="105">DB3</f>
        <v>9.3409999999999999E-4</v>
      </c>
      <c r="DC2" s="10">
        <f t="shared" ref="DC2:DC6" si="106">DC3</f>
        <v>9.2100000000000005E-4</v>
      </c>
      <c r="DD2" s="10">
        <f t="shared" ref="DD2:DD6" si="107">DD3</f>
        <v>9.0799999999999995E-4</v>
      </c>
      <c r="DE2" s="10">
        <f t="shared" ref="DE2:DE6" si="108">DE3</f>
        <v>8.9519999999999997E-4</v>
      </c>
      <c r="DF2" s="10">
        <f t="shared" ref="DF2:DF6" si="109">DF3</f>
        <v>8.8259999999999999E-4</v>
      </c>
      <c r="DG2" s="10">
        <f t="shared" ref="DG2:DG6" si="110">DG3</f>
        <v>8.7020000000000001E-4</v>
      </c>
      <c r="DH2" s="10">
        <f t="shared" ref="DH2:DH6" si="111">DH3</f>
        <v>8.5789999999999998E-4</v>
      </c>
      <c r="DI2" s="10">
        <f t="shared" ref="DI2:DI6" si="112">DI3</f>
        <v>8.4579999999999996E-4</v>
      </c>
      <c r="DJ2" s="10">
        <f t="shared" ref="DJ2:DJ6" si="113">DJ3</f>
        <v>8.3390000000000005E-4</v>
      </c>
      <c r="DK2" s="10">
        <f t="shared" ref="DK2:DK6" si="114">DK3</f>
        <v>8.2209999999999998E-4</v>
      </c>
      <c r="DL2" s="10">
        <f t="shared" ref="DL2:DL6" si="115">DL3</f>
        <v>8.1050000000000002E-4</v>
      </c>
      <c r="DM2" s="10">
        <f t="shared" ref="DM2:DM6" si="116">DM3</f>
        <v>7.9909999999999996E-4</v>
      </c>
      <c r="DN2" s="10">
        <f t="shared" ref="DN2:DN6" si="117">DN3</f>
        <v>7.8779999999999996E-4</v>
      </c>
      <c r="DO2" s="10">
        <f t="shared" ref="DO2:DO6" si="118">DO3</f>
        <v>7.7669999999999996E-4</v>
      </c>
      <c r="DP2" s="10">
        <f t="shared" ref="DP2:DP6" si="119">DP3</f>
        <v>7.6570000000000002E-4</v>
      </c>
      <c r="DQ2" s="10">
        <f t="shared" ref="DQ2:DQ6" si="120">DQ3</f>
        <v>5.3164200000000002E-2</v>
      </c>
      <c r="DR2" s="10">
        <f t="shared" ref="DR2:DR6" si="121">DR3</f>
        <v>0</v>
      </c>
      <c r="DS2" s="10">
        <f t="shared" ref="DS2:DS6" si="122">DS3</f>
        <v>4.8199999999999999E-5</v>
      </c>
      <c r="DT2" s="10">
        <f t="shared" ref="DT2:DT6" si="123">DT3</f>
        <v>1.697E-4</v>
      </c>
      <c r="DU2" s="10">
        <f t="shared" ref="DU2:DU6" si="124">DU3</f>
        <v>6.826E-4</v>
      </c>
      <c r="DV2" s="10">
        <f t="shared" ref="DV2:DV6" si="125">DV3</f>
        <v>6.1309999999999999E-4</v>
      </c>
      <c r="DW2" s="10">
        <f t="shared" ref="DW2:DW6" si="126">DW3</f>
        <v>5.7359999999999996E-4</v>
      </c>
      <c r="DX2" s="10">
        <f t="shared" ref="DX2:DX6" si="127">DX3</f>
        <v>5.9579999999999995E-4</v>
      </c>
      <c r="DY2" s="10">
        <f t="shared" ref="DY2:DY6" si="128">DY3</f>
        <v>5.2820000000000005E-4</v>
      </c>
      <c r="DZ2" s="10">
        <f t="shared" ref="DZ2:DZ6" si="129">DZ3</f>
        <v>4.8280000000000003E-4</v>
      </c>
      <c r="EA2" s="10">
        <f t="shared" ref="EA2:EA6" si="130">EA3</f>
        <v>4.283E-4</v>
      </c>
      <c r="EB2" s="10">
        <f t="shared" ref="EB2:EB6" si="131">EB3</f>
        <v>3.8259999999999998E-4</v>
      </c>
      <c r="EC2" s="10">
        <f t="shared" ref="EC2:EC6" si="132">EC3</f>
        <v>3.412E-4</v>
      </c>
      <c r="ED2" s="10">
        <f t="shared" ref="ED2:ED6" si="133">ED3</f>
        <v>3.055E-4</v>
      </c>
      <c r="EE2" s="10">
        <f t="shared" ref="EE2:EE6" si="134">EE3</f>
        <v>2.742E-4</v>
      </c>
      <c r="EF2" s="10">
        <f t="shared" ref="EF2:EF6" si="135">EF3</f>
        <v>2.4699999999999999E-4</v>
      </c>
      <c r="EG2" s="10">
        <f t="shared" ref="EG2:EG6" si="136">EG3</f>
        <v>2.2330000000000001E-4</v>
      </c>
      <c r="EH2" s="10">
        <f t="shared" ref="EH2:EH6" si="137">EH3</f>
        <v>2.0259999999999999E-4</v>
      </c>
      <c r="EI2" s="10">
        <f t="shared" ref="EI2:EI6" si="138">EI3</f>
        <v>1.8440000000000001E-4</v>
      </c>
      <c r="EJ2" s="10">
        <f t="shared" ref="EJ2:EJ6" si="139">EJ3</f>
        <v>1.685E-4</v>
      </c>
      <c r="EK2" s="10">
        <f t="shared" ref="EK2:EK6" si="140">EK3</f>
        <v>1.5440000000000001E-4</v>
      </c>
      <c r="EL2" s="10">
        <f t="shared" ref="EL2:EL6" si="141">EL3</f>
        <v>1.4200000000000001E-4</v>
      </c>
      <c r="EM2" s="10">
        <f t="shared" ref="EM2:EM6" si="142">EM3</f>
        <v>1.3100000000000001E-4</v>
      </c>
      <c r="EN2" s="10">
        <f t="shared" ref="EN2:EN6" si="143">EN3</f>
        <v>1.2129999999999999E-4</v>
      </c>
      <c r="EO2" s="10">
        <f t="shared" ref="EO2:EO6" si="144">EO3</f>
        <v>1.126E-4</v>
      </c>
      <c r="EP2" s="10">
        <f t="shared" ref="EP2:EP6" si="145">EP3</f>
        <v>1.048E-4</v>
      </c>
      <c r="EQ2" s="10">
        <f t="shared" ref="EQ2:EQ6" si="146">EQ3</f>
        <v>9.7899999999999994E-5</v>
      </c>
      <c r="ER2" s="10">
        <f t="shared" ref="ER2:ER6" si="147">ER3</f>
        <v>9.1700000000000006E-5</v>
      </c>
      <c r="ES2" s="10">
        <f t="shared" ref="ES2:ES6" si="148">ES3</f>
        <v>8.6100000000000006E-5</v>
      </c>
      <c r="ET2" s="10">
        <f t="shared" ref="ET2:ET6" si="149">ET3</f>
        <v>8.1100000000000006E-5</v>
      </c>
      <c r="EU2" s="10">
        <f t="shared" ref="EU2:EU6" si="150">EU3</f>
        <v>7.6500000000000003E-5</v>
      </c>
      <c r="EV2" s="10">
        <f t="shared" ref="EV2:EV6" si="151">EV3</f>
        <v>7.2399999999999998E-5</v>
      </c>
      <c r="EW2" s="10">
        <f t="shared" ref="EW2:EW6" si="152">EW3</f>
        <v>6.86E-5</v>
      </c>
      <c r="EX2" s="10">
        <f t="shared" ref="EX2:EX6" si="153">EX3</f>
        <v>6.5199999999999999E-5</v>
      </c>
      <c r="EY2" s="10">
        <f t="shared" ref="EY2:EY6" si="154">EY3</f>
        <v>6.2000000000000003E-5</v>
      </c>
      <c r="EZ2" s="10">
        <f t="shared" ref="EZ2:EZ6" si="155">EZ3</f>
        <v>5.8999999999999998E-5</v>
      </c>
      <c r="FA2" s="10">
        <f t="shared" ref="FA2:FA6" si="156">FA3</f>
        <v>5.63E-5</v>
      </c>
      <c r="FB2" s="10">
        <f t="shared" ref="FB2:FB6" si="157">FB3</f>
        <v>5.38E-5</v>
      </c>
      <c r="FC2" s="10">
        <f t="shared" ref="FC2:FC6" si="158">FC3</f>
        <v>5.1499999999999998E-5</v>
      </c>
      <c r="FD2" s="10">
        <f t="shared" ref="FD2:FD6" si="159">FD3</f>
        <v>4.9299999999999999E-5</v>
      </c>
      <c r="FE2" s="10">
        <f t="shared" ref="FE2:FE6" si="160">FE3</f>
        <v>4.7299999999999998E-5</v>
      </c>
      <c r="FF2" s="10">
        <f t="shared" ref="FF2:FF6" si="161">FF3</f>
        <v>4.5399999999999999E-5</v>
      </c>
      <c r="FG2" s="10">
        <f t="shared" ref="FG2:FG6" si="162">FG3</f>
        <v>4.3600000000000003E-5</v>
      </c>
      <c r="FH2" s="10">
        <f t="shared" ref="FH2:FH6" si="163">FH3</f>
        <v>4.1999999999999998E-5</v>
      </c>
      <c r="FI2" s="10">
        <f t="shared" ref="FI2:FI6" si="164">FI3</f>
        <v>4.0500000000000002E-5</v>
      </c>
      <c r="FJ2" s="10">
        <f t="shared" ref="FJ2:FJ6" si="165">FJ3</f>
        <v>3.8999999999999999E-5</v>
      </c>
      <c r="FK2" s="10">
        <f t="shared" ref="FK2:FK6" si="166">FK3</f>
        <v>3.7700000000000002E-5</v>
      </c>
      <c r="FL2" s="10">
        <f t="shared" ref="FL2:FL6" si="167">FL3</f>
        <v>3.65E-5</v>
      </c>
      <c r="FM2" s="10">
        <f t="shared" ref="FM2:FM6" si="168">FM3</f>
        <v>3.5299999999999997E-5</v>
      </c>
      <c r="FN2" s="10">
        <f t="shared" ref="FN2:FN6" si="169">FN3</f>
        <v>3.4199999999999998E-5</v>
      </c>
      <c r="FO2" s="10">
        <f t="shared" ref="FO2:FO6" si="170">FO3</f>
        <v>3.3200000000000001E-5</v>
      </c>
      <c r="FP2" s="10">
        <f t="shared" ref="FP2:FP6" si="171">FP3</f>
        <v>3.2299999999999999E-5</v>
      </c>
      <c r="FQ2" s="10">
        <f t="shared" ref="FQ2:FQ6" si="172">FQ3</f>
        <v>3.1399999999999998E-5</v>
      </c>
      <c r="FR2" s="10">
        <f t="shared" ref="FR2:FR6" si="173">FR3</f>
        <v>3.0499999999999999E-5</v>
      </c>
      <c r="FS2" s="10">
        <f t="shared" ref="FS2:FS6" si="174">FS3</f>
        <v>2.9799999999999999E-5</v>
      </c>
      <c r="FT2" s="10">
        <f t="shared" ref="FT2:FT6" si="175">FT3</f>
        <v>2.9E-5</v>
      </c>
      <c r="FU2" s="10">
        <f t="shared" ref="FU2:FU6" si="176">FU3</f>
        <v>2.83E-5</v>
      </c>
      <c r="FV2" s="10">
        <f t="shared" ref="FV2:FV6" si="177">FV3</f>
        <v>2.7699999999999999E-5</v>
      </c>
      <c r="FW2" s="10">
        <f t="shared" ref="FW2:FW6" si="178">FW3</f>
        <v>2.6999999999999999E-5</v>
      </c>
      <c r="FX2" s="10">
        <f t="shared" ref="FX2:FX6" si="179">FX3</f>
        <v>2.65E-5</v>
      </c>
      <c r="FY2" s="10">
        <f t="shared" ref="FY2:FY6" si="180">FY3</f>
        <v>2.5899999999999999E-5</v>
      </c>
      <c r="FZ2" s="10">
        <f t="shared" ref="FZ2:FZ6" si="181">FZ3</f>
        <v>2.5400000000000001E-5</v>
      </c>
      <c r="GA2" s="10">
        <f t="shared" ref="GA2:GA6" si="182">GA3</f>
        <v>2.4899999999999999E-5</v>
      </c>
      <c r="GB2" s="10">
        <f t="shared" ref="GB2:GB6" si="183">GB3</f>
        <v>2.44E-5</v>
      </c>
      <c r="GC2" s="10">
        <f t="shared" ref="GC2:GC6" si="184">GC3</f>
        <v>2.3900000000000002E-5</v>
      </c>
      <c r="GD2" s="10">
        <f t="shared" ref="GD2:GD6" si="185">GD3</f>
        <v>2.3499999999999999E-5</v>
      </c>
      <c r="GE2" s="10">
        <f t="shared" ref="GE2:GE6" si="186">GE3</f>
        <v>2.3099999999999999E-5</v>
      </c>
      <c r="GF2" s="10">
        <f t="shared" ref="GF2:GF6" si="187">GF3</f>
        <v>2.27E-5</v>
      </c>
      <c r="GG2" s="10">
        <f t="shared" ref="GG2:GG6" si="188">GG3</f>
        <v>2.23E-5</v>
      </c>
      <c r="GH2" s="10">
        <f t="shared" ref="GH2:GH6" si="189">GH3</f>
        <v>2.19E-5</v>
      </c>
      <c r="GI2" s="10">
        <f t="shared" ref="GI2:GI6" si="190">GI3</f>
        <v>2.16E-5</v>
      </c>
      <c r="GJ2" s="10">
        <f t="shared" ref="GJ2:GJ6" si="191">GJ3</f>
        <v>2.12E-5</v>
      </c>
      <c r="GK2" s="10">
        <f t="shared" ref="GK2:GK6" si="192">GK3</f>
        <v>2.09E-5</v>
      </c>
      <c r="GL2" s="10">
        <f t="shared" ref="GL2:GL6" si="193">GL3</f>
        <v>2.0599999999999999E-5</v>
      </c>
      <c r="GM2" s="10">
        <f t="shared" ref="GM2:GM6" si="194">GM3</f>
        <v>2.0299999999999999E-5</v>
      </c>
      <c r="GN2" s="10">
        <f t="shared" ref="GN2:GN6" si="195">GN3</f>
        <v>1.9899999999999999E-5</v>
      </c>
      <c r="GO2" s="10">
        <f t="shared" ref="GO2:GO6" si="196">GO3</f>
        <v>1.9700000000000001E-5</v>
      </c>
      <c r="GP2" s="10">
        <f t="shared" ref="GP2:GP6" si="197">GP3</f>
        <v>1.9400000000000001E-5</v>
      </c>
      <c r="GQ2" s="10">
        <f t="shared" ref="GQ2:GQ6" si="198">GQ3</f>
        <v>1.91E-5</v>
      </c>
      <c r="GR2" s="10">
        <f t="shared" ref="GR2:GR6" si="199">GR3</f>
        <v>1.88E-5</v>
      </c>
      <c r="GS2" s="10">
        <f t="shared" ref="GS2:GS6" si="200">GS3</f>
        <v>1.8499999999999999E-5</v>
      </c>
      <c r="GT2" s="10">
        <f t="shared" ref="GT2:GT6" si="201">GT3</f>
        <v>1.8300000000000001E-5</v>
      </c>
      <c r="GU2" s="10">
        <f t="shared" ref="GU2:GU6" si="202">GU3</f>
        <v>1.8E-5</v>
      </c>
      <c r="GV2" s="10">
        <f t="shared" ref="GV2:GV6" si="203">GV3</f>
        <v>1.7799999999999999E-5</v>
      </c>
      <c r="GW2" s="10">
        <f t="shared" ref="GW2:GW6" si="204">GW3</f>
        <v>1.7499999999999998E-5</v>
      </c>
      <c r="GX2" s="10">
        <f t="shared" ref="GX2:GX6" si="205">GX3</f>
        <v>1.73E-5</v>
      </c>
      <c r="GY2" s="10">
        <f t="shared" ref="GY2:GY6" si="206">GY3</f>
        <v>1.7E-5</v>
      </c>
      <c r="GZ2" s="10">
        <f t="shared" ref="GZ2:GZ6" si="207">GZ3</f>
        <v>1.6799999999999998E-5</v>
      </c>
      <c r="HA2" s="10">
        <f t="shared" ref="HA2:HA6" si="208">HA3</f>
        <v>1.66E-5</v>
      </c>
      <c r="HB2" s="10">
        <f t="shared" ref="HB2:HB6" si="209">HB3</f>
        <v>1.6399999999999999E-5</v>
      </c>
      <c r="HC2" s="10">
        <f t="shared" ref="HC2:HC6" si="210">HC3</f>
        <v>1.6099999999999998E-5</v>
      </c>
      <c r="HD2" s="10">
        <f t="shared" ref="HD2:HD6" si="211">HD3</f>
        <v>1.59E-5</v>
      </c>
      <c r="HE2" s="10">
        <f t="shared" ref="HE2:HE6" si="212">HE3</f>
        <v>1.5699999999999999E-5</v>
      </c>
      <c r="HF2" s="10">
        <f t="shared" ref="HF2:HF6" si="213">HF3</f>
        <v>1.5500000000000001E-5</v>
      </c>
      <c r="HG2" s="10">
        <f t="shared" ref="HG2:HG6" si="214">HG3</f>
        <v>1.5299999999999999E-5</v>
      </c>
      <c r="HH2" s="10">
        <f t="shared" ref="HH2:HH6" si="215">HH3</f>
        <v>1.5099999999999999E-5</v>
      </c>
      <c r="HI2" s="10">
        <f t="shared" ref="HI2:HI6" si="216">HI3</f>
        <v>1.49E-5</v>
      </c>
      <c r="HJ2" s="10">
        <f t="shared" ref="HJ2:HJ6" si="217">HJ3</f>
        <v>1.47E-5</v>
      </c>
      <c r="HK2" s="10">
        <f t="shared" ref="HK2:HK6" si="218">HK3</f>
        <v>1.45E-5</v>
      </c>
      <c r="HL2" s="10">
        <f t="shared" ref="HL2:HL6" si="219">HL3</f>
        <v>1.43E-5</v>
      </c>
      <c r="HM2" s="10">
        <f t="shared" ref="HM2:HM6" si="220">HM3</f>
        <v>1.4100000000000001E-5</v>
      </c>
      <c r="HN2" s="10">
        <f t="shared" ref="HN2:HN6" si="221">HN3</f>
        <v>1.3900000000000001E-5</v>
      </c>
      <c r="HO2" s="10">
        <f t="shared" ref="HO2:HO6" si="222">HO3</f>
        <v>1.3699999999999999E-5</v>
      </c>
      <c r="HP2" s="10">
        <f t="shared" ref="HP2:HP6" si="223">HP3</f>
        <v>1.3499999999999999E-5</v>
      </c>
      <c r="HQ2" s="10">
        <f t="shared" ref="HQ2:HQ6" si="224">HQ3</f>
        <v>1.33E-5</v>
      </c>
      <c r="HR2" s="10">
        <f t="shared" ref="HR2:HR6" si="225">HR3</f>
        <v>1.31E-5</v>
      </c>
      <c r="HS2" s="10">
        <f t="shared" ref="HS2:HS6" si="226">HS3</f>
        <v>1.2999999999999999E-5</v>
      </c>
      <c r="HT2" s="10">
        <f t="shared" ref="HT2:HT6" si="227">HT3</f>
        <v>1.2799999999999999E-5</v>
      </c>
      <c r="HU2" s="10">
        <f t="shared" ref="HU2:HU6" si="228">HU3</f>
        <v>1.26E-5</v>
      </c>
      <c r="HV2" s="10">
        <f t="shared" ref="HV2:HV6" si="229">HV3</f>
        <v>1.24E-5</v>
      </c>
      <c r="HW2" s="10">
        <f t="shared" ref="HW2:HW6" si="230">HW3</f>
        <v>1.2300000000000001E-5</v>
      </c>
      <c r="HX2" s="10">
        <f t="shared" ref="HX2:HX6" si="231">HX3</f>
        <v>1.2099999999999999E-5</v>
      </c>
      <c r="HY2" s="10">
        <f t="shared" ref="HY2:HY6" si="232">HY3</f>
        <v>1.19E-5</v>
      </c>
      <c r="HZ2" s="10">
        <f t="shared" ref="HZ2:HZ6" si="233">HZ3</f>
        <v>1.1800000000000001E-5</v>
      </c>
      <c r="IA2" s="10">
        <f t="shared" ref="IA2:IA6" si="234">IA3</f>
        <v>1.1600000000000001E-5</v>
      </c>
      <c r="IB2" s="10">
        <f t="shared" ref="IB2:IB6" si="235">IB3</f>
        <v>1.1399999999999999E-5</v>
      </c>
      <c r="IC2" s="10">
        <f t="shared" ref="IC2:IC6" si="236">IC3</f>
        <v>1.13E-5</v>
      </c>
      <c r="ID2" s="10">
        <f t="shared" ref="ID2:ID6" si="237">ID3</f>
        <v>1.11E-5</v>
      </c>
      <c r="IE2" s="10">
        <f t="shared" ref="IE2:IE6" si="238">IE3</f>
        <v>1.1E-5</v>
      </c>
      <c r="IF2" s="10">
        <f t="shared" ref="IF2:IF6" si="239">IF3</f>
        <v>1.08E-5</v>
      </c>
      <c r="IG2" s="10">
        <f t="shared" ref="IG2:IG6" si="240">IG3</f>
        <v>7.5480000000000002E-4</v>
      </c>
      <c r="JK2"/>
      <c r="JL2"/>
      <c r="JM2"/>
      <c r="JN2"/>
      <c r="JO2"/>
      <c r="JP2"/>
      <c r="JQ2"/>
      <c r="JR2"/>
      <c r="JS2"/>
    </row>
    <row r="3" spans="1:279" s="1" customFormat="1" x14ac:dyDescent="0.35">
      <c r="A3" s="1">
        <f t="shared" si="0"/>
        <v>-5</v>
      </c>
      <c r="B3" s="10">
        <f t="shared" si="1"/>
        <v>1.0654E-2</v>
      </c>
      <c r="C3" s="10">
        <f t="shared" si="2"/>
        <v>1.0654E-2</v>
      </c>
      <c r="D3" s="10">
        <f t="shared" si="3"/>
        <v>1.06058E-2</v>
      </c>
      <c r="E3" s="10">
        <f t="shared" si="4"/>
        <v>1.04361E-2</v>
      </c>
      <c r="F3" s="10">
        <f t="shared" si="5"/>
        <v>9.7535E-3</v>
      </c>
      <c r="G3" s="10">
        <f t="shared" si="6"/>
        <v>9.1403999999999999E-3</v>
      </c>
      <c r="H3" s="10">
        <f t="shared" si="7"/>
        <v>8.5669000000000006E-3</v>
      </c>
      <c r="I3" s="10">
        <f t="shared" si="8"/>
        <v>7.9711000000000001E-3</v>
      </c>
      <c r="J3" s="10">
        <f t="shared" si="9"/>
        <v>7.4428000000000003E-3</v>
      </c>
      <c r="K3" s="10">
        <f t="shared" si="10"/>
        <v>6.9601000000000003E-3</v>
      </c>
      <c r="L3" s="10">
        <f t="shared" si="11"/>
        <v>6.5317999999999999E-3</v>
      </c>
      <c r="M3" s="10">
        <f t="shared" si="12"/>
        <v>6.1491999999999996E-3</v>
      </c>
      <c r="N3" s="10">
        <f t="shared" si="13"/>
        <v>5.8079999999999998E-3</v>
      </c>
      <c r="O3" s="10">
        <f t="shared" si="14"/>
        <v>5.5024999999999996E-3</v>
      </c>
      <c r="P3" s="10">
        <f t="shared" si="15"/>
        <v>5.2283E-3</v>
      </c>
      <c r="Q3" s="10">
        <f t="shared" si="16"/>
        <v>4.9813000000000001E-3</v>
      </c>
      <c r="R3" s="10">
        <f t="shared" si="17"/>
        <v>4.7580000000000001E-3</v>
      </c>
      <c r="S3" s="10">
        <f t="shared" si="18"/>
        <v>4.5554000000000002E-3</v>
      </c>
      <c r="T3" s="10">
        <f t="shared" si="19"/>
        <v>4.3709999999999999E-3</v>
      </c>
      <c r="U3" s="10">
        <f t="shared" si="20"/>
        <v>4.2025999999999999E-3</v>
      </c>
      <c r="V3" s="10">
        <f t="shared" si="21"/>
        <v>4.0480999999999998E-3</v>
      </c>
      <c r="W3" s="10">
        <f t="shared" si="22"/>
        <v>3.9061E-3</v>
      </c>
      <c r="X3" s="10">
        <f t="shared" si="23"/>
        <v>3.7750000000000001E-3</v>
      </c>
      <c r="Y3" s="10">
        <f t="shared" si="24"/>
        <v>3.6537000000000002E-3</v>
      </c>
      <c r="Z3" s="10">
        <f t="shared" si="25"/>
        <v>3.5412E-3</v>
      </c>
      <c r="AA3" s="10">
        <f t="shared" si="26"/>
        <v>3.4364E-3</v>
      </c>
      <c r="AB3" s="10">
        <f t="shared" si="27"/>
        <v>3.3384999999999999E-3</v>
      </c>
      <c r="AC3" s="10">
        <f t="shared" si="28"/>
        <v>3.2468000000000002E-3</v>
      </c>
      <c r="AD3" s="10">
        <f t="shared" si="29"/>
        <v>3.1606999999999998E-3</v>
      </c>
      <c r="AE3" s="10">
        <f t="shared" si="30"/>
        <v>3.0796999999999999E-3</v>
      </c>
      <c r="AF3" s="10">
        <f t="shared" si="31"/>
        <v>3.0030999999999999E-3</v>
      </c>
      <c r="AG3" s="10">
        <f t="shared" si="32"/>
        <v>2.9307000000000001E-3</v>
      </c>
      <c r="AH3" s="10">
        <f t="shared" si="33"/>
        <v>2.8620999999999998E-3</v>
      </c>
      <c r="AI3" s="10">
        <f t="shared" si="34"/>
        <v>2.7969000000000002E-3</v>
      </c>
      <c r="AJ3" s="10">
        <f t="shared" si="35"/>
        <v>2.7349000000000002E-3</v>
      </c>
      <c r="AK3" s="10">
        <f t="shared" si="36"/>
        <v>2.6759000000000002E-3</v>
      </c>
      <c r="AL3" s="10">
        <f t="shared" si="37"/>
        <v>2.6194999999999999E-3</v>
      </c>
      <c r="AM3" s="10">
        <f t="shared" si="38"/>
        <v>2.5657000000000002E-3</v>
      </c>
      <c r="AN3" s="10">
        <f t="shared" si="39"/>
        <v>2.5143000000000001E-3</v>
      </c>
      <c r="AO3" s="10">
        <f t="shared" si="40"/>
        <v>2.4650000000000002E-3</v>
      </c>
      <c r="AP3" s="10">
        <f t="shared" si="41"/>
        <v>2.4177000000000001E-3</v>
      </c>
      <c r="AQ3" s="10">
        <f t="shared" si="42"/>
        <v>2.3722999999999999E-3</v>
      </c>
      <c r="AR3" s="10">
        <f t="shared" si="43"/>
        <v>2.3287E-3</v>
      </c>
      <c r="AS3" s="10">
        <f t="shared" si="44"/>
        <v>2.2867E-3</v>
      </c>
      <c r="AT3" s="10">
        <f t="shared" si="45"/>
        <v>2.2461999999999998E-3</v>
      </c>
      <c r="AU3" s="10">
        <f t="shared" si="46"/>
        <v>2.2071999999999999E-3</v>
      </c>
      <c r="AV3" s="10">
        <f t="shared" si="47"/>
        <v>2.1695E-3</v>
      </c>
      <c r="AW3" s="10">
        <f t="shared" si="48"/>
        <v>2.1329999999999999E-3</v>
      </c>
      <c r="AX3" s="10">
        <f t="shared" si="49"/>
        <v>2.0977000000000001E-3</v>
      </c>
      <c r="AY3" s="10">
        <f t="shared" si="50"/>
        <v>2.0634E-3</v>
      </c>
      <c r="AZ3" s="10">
        <f t="shared" si="51"/>
        <v>2.0301999999999998E-3</v>
      </c>
      <c r="BA3" s="10">
        <f t="shared" si="52"/>
        <v>1.9980000000000002E-3</v>
      </c>
      <c r="BB3" s="10">
        <f t="shared" si="53"/>
        <v>1.9666000000000002E-3</v>
      </c>
      <c r="BC3" s="10">
        <f t="shared" si="54"/>
        <v>1.9361000000000001E-3</v>
      </c>
      <c r="BD3" s="10">
        <f t="shared" si="55"/>
        <v>1.9063000000000001E-3</v>
      </c>
      <c r="BE3" s="10">
        <f t="shared" si="56"/>
        <v>1.8772999999999999E-3</v>
      </c>
      <c r="BF3" s="10">
        <f t="shared" si="57"/>
        <v>1.8489999999999999E-3</v>
      </c>
      <c r="BG3" s="10">
        <f t="shared" si="58"/>
        <v>1.8213000000000001E-3</v>
      </c>
      <c r="BH3" s="10">
        <f t="shared" si="59"/>
        <v>1.7943E-3</v>
      </c>
      <c r="BI3" s="10">
        <f t="shared" si="60"/>
        <v>1.7677999999999999E-3</v>
      </c>
      <c r="BJ3" s="10">
        <f t="shared" si="61"/>
        <v>1.7419E-3</v>
      </c>
      <c r="BK3" s="10">
        <f t="shared" si="62"/>
        <v>1.7166E-3</v>
      </c>
      <c r="BL3" s="10">
        <f t="shared" si="63"/>
        <v>1.6917E-3</v>
      </c>
      <c r="BM3" s="10">
        <f t="shared" si="64"/>
        <v>1.6673E-3</v>
      </c>
      <c r="BN3" s="10">
        <f t="shared" si="65"/>
        <v>1.6433999999999999E-3</v>
      </c>
      <c r="BO3" s="10">
        <f t="shared" si="66"/>
        <v>1.6199000000000001E-3</v>
      </c>
      <c r="BP3" s="10">
        <f t="shared" si="67"/>
        <v>1.5968E-3</v>
      </c>
      <c r="BQ3" s="10">
        <f t="shared" si="68"/>
        <v>1.5740999999999999E-3</v>
      </c>
      <c r="BR3" s="10">
        <f t="shared" si="69"/>
        <v>1.5518000000000001E-3</v>
      </c>
      <c r="BS3" s="10">
        <f t="shared" si="70"/>
        <v>1.5299000000000001E-3</v>
      </c>
      <c r="BT3" s="10">
        <f t="shared" si="71"/>
        <v>1.5083E-3</v>
      </c>
      <c r="BU3" s="10">
        <f t="shared" si="72"/>
        <v>1.4871000000000001E-3</v>
      </c>
      <c r="BV3" s="10">
        <f t="shared" si="73"/>
        <v>1.4662E-3</v>
      </c>
      <c r="BW3" s="10">
        <f t="shared" si="74"/>
        <v>1.4457000000000001E-3</v>
      </c>
      <c r="BX3" s="10">
        <f t="shared" si="75"/>
        <v>1.4254000000000001E-3</v>
      </c>
      <c r="BY3" s="10">
        <f t="shared" si="76"/>
        <v>1.4055000000000001E-3</v>
      </c>
      <c r="BZ3" s="10">
        <f t="shared" si="77"/>
        <v>1.3858E-3</v>
      </c>
      <c r="CA3" s="10">
        <f t="shared" si="78"/>
        <v>1.3664E-3</v>
      </c>
      <c r="CB3" s="10">
        <f t="shared" si="79"/>
        <v>1.3473999999999999E-3</v>
      </c>
      <c r="CC3" s="10">
        <f t="shared" si="80"/>
        <v>1.3285E-3</v>
      </c>
      <c r="CD3" s="10">
        <f t="shared" si="81"/>
        <v>1.31E-3</v>
      </c>
      <c r="CE3" s="10">
        <f t="shared" si="82"/>
        <v>1.2917E-3</v>
      </c>
      <c r="CF3" s="10">
        <f t="shared" si="83"/>
        <v>1.2737E-3</v>
      </c>
      <c r="CG3" s="10">
        <f t="shared" si="84"/>
        <v>1.2558999999999999E-3</v>
      </c>
      <c r="CH3" s="10">
        <f t="shared" si="85"/>
        <v>1.2384E-3</v>
      </c>
      <c r="CI3" s="10">
        <f t="shared" si="86"/>
        <v>1.2210999999999999E-3</v>
      </c>
      <c r="CJ3" s="10">
        <f t="shared" si="87"/>
        <v>1.2041E-3</v>
      </c>
      <c r="CK3" s="10">
        <f t="shared" si="88"/>
        <v>1.1873000000000001E-3</v>
      </c>
      <c r="CL3" s="10">
        <f t="shared" si="89"/>
        <v>1.1707E-3</v>
      </c>
      <c r="CM3" s="10">
        <f t="shared" si="90"/>
        <v>1.1543E-3</v>
      </c>
      <c r="CN3" s="10">
        <f t="shared" si="91"/>
        <v>1.1382E-3</v>
      </c>
      <c r="CO3" s="10">
        <f t="shared" si="92"/>
        <v>1.1222999999999999E-3</v>
      </c>
      <c r="CP3" s="10">
        <f t="shared" si="93"/>
        <v>1.1065999999999999E-3</v>
      </c>
      <c r="CQ3" s="10">
        <f t="shared" si="94"/>
        <v>1.0911E-3</v>
      </c>
      <c r="CR3" s="10">
        <f t="shared" si="95"/>
        <v>1.0759000000000001E-3</v>
      </c>
      <c r="CS3" s="10">
        <f t="shared" si="96"/>
        <v>1.0608E-3</v>
      </c>
      <c r="CT3" s="10">
        <f t="shared" si="97"/>
        <v>1.0459E-3</v>
      </c>
      <c r="CU3" s="10">
        <f t="shared" si="98"/>
        <v>1.0313E-3</v>
      </c>
      <c r="CV3" s="10">
        <f t="shared" si="99"/>
        <v>1.0168E-3</v>
      </c>
      <c r="CW3" s="10">
        <f t="shared" si="100"/>
        <v>1.0026E-3</v>
      </c>
      <c r="CX3" s="10">
        <f t="shared" si="101"/>
        <v>9.8850000000000001E-4</v>
      </c>
      <c r="CY3" s="10">
        <f t="shared" si="102"/>
        <v>9.7460000000000005E-4</v>
      </c>
      <c r="CZ3" s="10">
        <f t="shared" si="103"/>
        <v>9.6089999999999999E-4</v>
      </c>
      <c r="DA3" s="10">
        <f t="shared" si="104"/>
        <v>9.4740000000000004E-4</v>
      </c>
      <c r="DB3" s="10">
        <f t="shared" si="105"/>
        <v>9.3409999999999999E-4</v>
      </c>
      <c r="DC3" s="10">
        <f t="shared" si="106"/>
        <v>9.2100000000000005E-4</v>
      </c>
      <c r="DD3" s="10">
        <f t="shared" si="107"/>
        <v>9.0799999999999995E-4</v>
      </c>
      <c r="DE3" s="10">
        <f t="shared" si="108"/>
        <v>8.9519999999999997E-4</v>
      </c>
      <c r="DF3" s="10">
        <f t="shared" si="109"/>
        <v>8.8259999999999999E-4</v>
      </c>
      <c r="DG3" s="10">
        <f t="shared" si="110"/>
        <v>8.7020000000000001E-4</v>
      </c>
      <c r="DH3" s="10">
        <f t="shared" si="111"/>
        <v>8.5789999999999998E-4</v>
      </c>
      <c r="DI3" s="10">
        <f t="shared" si="112"/>
        <v>8.4579999999999996E-4</v>
      </c>
      <c r="DJ3" s="10">
        <f t="shared" si="113"/>
        <v>8.3390000000000005E-4</v>
      </c>
      <c r="DK3" s="10">
        <f t="shared" si="114"/>
        <v>8.2209999999999998E-4</v>
      </c>
      <c r="DL3" s="10">
        <f t="shared" si="115"/>
        <v>8.1050000000000002E-4</v>
      </c>
      <c r="DM3" s="10">
        <f t="shared" si="116"/>
        <v>7.9909999999999996E-4</v>
      </c>
      <c r="DN3" s="10">
        <f t="shared" si="117"/>
        <v>7.8779999999999996E-4</v>
      </c>
      <c r="DO3" s="10">
        <f t="shared" si="118"/>
        <v>7.7669999999999996E-4</v>
      </c>
      <c r="DP3" s="10">
        <f t="shared" si="119"/>
        <v>7.6570000000000002E-4</v>
      </c>
      <c r="DQ3" s="10">
        <f t="shared" si="120"/>
        <v>5.3164200000000002E-2</v>
      </c>
      <c r="DR3" s="10">
        <f t="shared" si="121"/>
        <v>0</v>
      </c>
      <c r="DS3" s="10">
        <f t="shared" si="122"/>
        <v>4.8199999999999999E-5</v>
      </c>
      <c r="DT3" s="10">
        <f t="shared" si="123"/>
        <v>1.697E-4</v>
      </c>
      <c r="DU3" s="10">
        <f t="shared" si="124"/>
        <v>6.826E-4</v>
      </c>
      <c r="DV3" s="10">
        <f t="shared" si="125"/>
        <v>6.1309999999999999E-4</v>
      </c>
      <c r="DW3" s="10">
        <f t="shared" si="126"/>
        <v>5.7359999999999996E-4</v>
      </c>
      <c r="DX3" s="10">
        <f t="shared" si="127"/>
        <v>5.9579999999999995E-4</v>
      </c>
      <c r="DY3" s="10">
        <f t="shared" si="128"/>
        <v>5.2820000000000005E-4</v>
      </c>
      <c r="DZ3" s="10">
        <f t="shared" si="129"/>
        <v>4.8280000000000003E-4</v>
      </c>
      <c r="EA3" s="10">
        <f t="shared" si="130"/>
        <v>4.283E-4</v>
      </c>
      <c r="EB3" s="10">
        <f t="shared" si="131"/>
        <v>3.8259999999999998E-4</v>
      </c>
      <c r="EC3" s="10">
        <f t="shared" si="132"/>
        <v>3.412E-4</v>
      </c>
      <c r="ED3" s="10">
        <f t="shared" si="133"/>
        <v>3.055E-4</v>
      </c>
      <c r="EE3" s="10">
        <f t="shared" si="134"/>
        <v>2.742E-4</v>
      </c>
      <c r="EF3" s="10">
        <f t="shared" si="135"/>
        <v>2.4699999999999999E-4</v>
      </c>
      <c r="EG3" s="10">
        <f t="shared" si="136"/>
        <v>2.2330000000000001E-4</v>
      </c>
      <c r="EH3" s="10">
        <f t="shared" si="137"/>
        <v>2.0259999999999999E-4</v>
      </c>
      <c r="EI3" s="10">
        <f t="shared" si="138"/>
        <v>1.8440000000000001E-4</v>
      </c>
      <c r="EJ3" s="10">
        <f t="shared" si="139"/>
        <v>1.685E-4</v>
      </c>
      <c r="EK3" s="10">
        <f t="shared" si="140"/>
        <v>1.5440000000000001E-4</v>
      </c>
      <c r="EL3" s="10">
        <f t="shared" si="141"/>
        <v>1.4200000000000001E-4</v>
      </c>
      <c r="EM3" s="10">
        <f t="shared" si="142"/>
        <v>1.3100000000000001E-4</v>
      </c>
      <c r="EN3" s="10">
        <f t="shared" si="143"/>
        <v>1.2129999999999999E-4</v>
      </c>
      <c r="EO3" s="10">
        <f t="shared" si="144"/>
        <v>1.126E-4</v>
      </c>
      <c r="EP3" s="10">
        <f t="shared" si="145"/>
        <v>1.048E-4</v>
      </c>
      <c r="EQ3" s="10">
        <f t="shared" si="146"/>
        <v>9.7899999999999994E-5</v>
      </c>
      <c r="ER3" s="10">
        <f t="shared" si="147"/>
        <v>9.1700000000000006E-5</v>
      </c>
      <c r="ES3" s="10">
        <f t="shared" si="148"/>
        <v>8.6100000000000006E-5</v>
      </c>
      <c r="ET3" s="10">
        <f t="shared" si="149"/>
        <v>8.1100000000000006E-5</v>
      </c>
      <c r="EU3" s="10">
        <f t="shared" si="150"/>
        <v>7.6500000000000003E-5</v>
      </c>
      <c r="EV3" s="10">
        <f t="shared" si="151"/>
        <v>7.2399999999999998E-5</v>
      </c>
      <c r="EW3" s="10">
        <f t="shared" si="152"/>
        <v>6.86E-5</v>
      </c>
      <c r="EX3" s="10">
        <f t="shared" si="153"/>
        <v>6.5199999999999999E-5</v>
      </c>
      <c r="EY3" s="10">
        <f t="shared" si="154"/>
        <v>6.2000000000000003E-5</v>
      </c>
      <c r="EZ3" s="10">
        <f t="shared" si="155"/>
        <v>5.8999999999999998E-5</v>
      </c>
      <c r="FA3" s="10">
        <f t="shared" si="156"/>
        <v>5.63E-5</v>
      </c>
      <c r="FB3" s="10">
        <f t="shared" si="157"/>
        <v>5.38E-5</v>
      </c>
      <c r="FC3" s="10">
        <f t="shared" si="158"/>
        <v>5.1499999999999998E-5</v>
      </c>
      <c r="FD3" s="10">
        <f t="shared" si="159"/>
        <v>4.9299999999999999E-5</v>
      </c>
      <c r="FE3" s="10">
        <f t="shared" si="160"/>
        <v>4.7299999999999998E-5</v>
      </c>
      <c r="FF3" s="10">
        <f t="shared" si="161"/>
        <v>4.5399999999999999E-5</v>
      </c>
      <c r="FG3" s="10">
        <f t="shared" si="162"/>
        <v>4.3600000000000003E-5</v>
      </c>
      <c r="FH3" s="10">
        <f t="shared" si="163"/>
        <v>4.1999999999999998E-5</v>
      </c>
      <c r="FI3" s="10">
        <f t="shared" si="164"/>
        <v>4.0500000000000002E-5</v>
      </c>
      <c r="FJ3" s="10">
        <f t="shared" si="165"/>
        <v>3.8999999999999999E-5</v>
      </c>
      <c r="FK3" s="10">
        <f t="shared" si="166"/>
        <v>3.7700000000000002E-5</v>
      </c>
      <c r="FL3" s="10">
        <f t="shared" si="167"/>
        <v>3.65E-5</v>
      </c>
      <c r="FM3" s="10">
        <f t="shared" si="168"/>
        <v>3.5299999999999997E-5</v>
      </c>
      <c r="FN3" s="10">
        <f t="shared" si="169"/>
        <v>3.4199999999999998E-5</v>
      </c>
      <c r="FO3" s="10">
        <f t="shared" si="170"/>
        <v>3.3200000000000001E-5</v>
      </c>
      <c r="FP3" s="10">
        <f t="shared" si="171"/>
        <v>3.2299999999999999E-5</v>
      </c>
      <c r="FQ3" s="10">
        <f t="shared" si="172"/>
        <v>3.1399999999999998E-5</v>
      </c>
      <c r="FR3" s="10">
        <f t="shared" si="173"/>
        <v>3.0499999999999999E-5</v>
      </c>
      <c r="FS3" s="10">
        <f t="shared" si="174"/>
        <v>2.9799999999999999E-5</v>
      </c>
      <c r="FT3" s="10">
        <f t="shared" si="175"/>
        <v>2.9E-5</v>
      </c>
      <c r="FU3" s="10">
        <f t="shared" si="176"/>
        <v>2.83E-5</v>
      </c>
      <c r="FV3" s="10">
        <f t="shared" si="177"/>
        <v>2.7699999999999999E-5</v>
      </c>
      <c r="FW3" s="10">
        <f t="shared" si="178"/>
        <v>2.6999999999999999E-5</v>
      </c>
      <c r="FX3" s="10">
        <f t="shared" si="179"/>
        <v>2.65E-5</v>
      </c>
      <c r="FY3" s="10">
        <f t="shared" si="180"/>
        <v>2.5899999999999999E-5</v>
      </c>
      <c r="FZ3" s="10">
        <f t="shared" si="181"/>
        <v>2.5400000000000001E-5</v>
      </c>
      <c r="GA3" s="10">
        <f t="shared" si="182"/>
        <v>2.4899999999999999E-5</v>
      </c>
      <c r="GB3" s="10">
        <f t="shared" si="183"/>
        <v>2.44E-5</v>
      </c>
      <c r="GC3" s="10">
        <f t="shared" si="184"/>
        <v>2.3900000000000002E-5</v>
      </c>
      <c r="GD3" s="10">
        <f t="shared" si="185"/>
        <v>2.3499999999999999E-5</v>
      </c>
      <c r="GE3" s="10">
        <f t="shared" si="186"/>
        <v>2.3099999999999999E-5</v>
      </c>
      <c r="GF3" s="10">
        <f t="shared" si="187"/>
        <v>2.27E-5</v>
      </c>
      <c r="GG3" s="10">
        <f t="shared" si="188"/>
        <v>2.23E-5</v>
      </c>
      <c r="GH3" s="10">
        <f t="shared" si="189"/>
        <v>2.19E-5</v>
      </c>
      <c r="GI3" s="10">
        <f t="shared" si="190"/>
        <v>2.16E-5</v>
      </c>
      <c r="GJ3" s="10">
        <f t="shared" si="191"/>
        <v>2.12E-5</v>
      </c>
      <c r="GK3" s="10">
        <f t="shared" si="192"/>
        <v>2.09E-5</v>
      </c>
      <c r="GL3" s="10">
        <f t="shared" si="193"/>
        <v>2.0599999999999999E-5</v>
      </c>
      <c r="GM3" s="10">
        <f t="shared" si="194"/>
        <v>2.0299999999999999E-5</v>
      </c>
      <c r="GN3" s="10">
        <f t="shared" si="195"/>
        <v>1.9899999999999999E-5</v>
      </c>
      <c r="GO3" s="10">
        <f t="shared" si="196"/>
        <v>1.9700000000000001E-5</v>
      </c>
      <c r="GP3" s="10">
        <f t="shared" si="197"/>
        <v>1.9400000000000001E-5</v>
      </c>
      <c r="GQ3" s="10">
        <f t="shared" si="198"/>
        <v>1.91E-5</v>
      </c>
      <c r="GR3" s="10">
        <f t="shared" si="199"/>
        <v>1.88E-5</v>
      </c>
      <c r="GS3" s="10">
        <f t="shared" si="200"/>
        <v>1.8499999999999999E-5</v>
      </c>
      <c r="GT3" s="10">
        <f t="shared" si="201"/>
        <v>1.8300000000000001E-5</v>
      </c>
      <c r="GU3" s="10">
        <f t="shared" si="202"/>
        <v>1.8E-5</v>
      </c>
      <c r="GV3" s="10">
        <f t="shared" si="203"/>
        <v>1.7799999999999999E-5</v>
      </c>
      <c r="GW3" s="10">
        <f t="shared" si="204"/>
        <v>1.7499999999999998E-5</v>
      </c>
      <c r="GX3" s="10">
        <f t="shared" si="205"/>
        <v>1.73E-5</v>
      </c>
      <c r="GY3" s="10">
        <f t="shared" si="206"/>
        <v>1.7E-5</v>
      </c>
      <c r="GZ3" s="10">
        <f t="shared" si="207"/>
        <v>1.6799999999999998E-5</v>
      </c>
      <c r="HA3" s="10">
        <f t="shared" si="208"/>
        <v>1.66E-5</v>
      </c>
      <c r="HB3" s="10">
        <f t="shared" si="209"/>
        <v>1.6399999999999999E-5</v>
      </c>
      <c r="HC3" s="10">
        <f t="shared" si="210"/>
        <v>1.6099999999999998E-5</v>
      </c>
      <c r="HD3" s="10">
        <f t="shared" si="211"/>
        <v>1.59E-5</v>
      </c>
      <c r="HE3" s="10">
        <f t="shared" si="212"/>
        <v>1.5699999999999999E-5</v>
      </c>
      <c r="HF3" s="10">
        <f t="shared" si="213"/>
        <v>1.5500000000000001E-5</v>
      </c>
      <c r="HG3" s="10">
        <f t="shared" si="214"/>
        <v>1.5299999999999999E-5</v>
      </c>
      <c r="HH3" s="10">
        <f t="shared" si="215"/>
        <v>1.5099999999999999E-5</v>
      </c>
      <c r="HI3" s="10">
        <f t="shared" si="216"/>
        <v>1.49E-5</v>
      </c>
      <c r="HJ3" s="10">
        <f t="shared" si="217"/>
        <v>1.47E-5</v>
      </c>
      <c r="HK3" s="10">
        <f t="shared" si="218"/>
        <v>1.45E-5</v>
      </c>
      <c r="HL3" s="10">
        <f t="shared" si="219"/>
        <v>1.43E-5</v>
      </c>
      <c r="HM3" s="10">
        <f t="shared" si="220"/>
        <v>1.4100000000000001E-5</v>
      </c>
      <c r="HN3" s="10">
        <f t="shared" si="221"/>
        <v>1.3900000000000001E-5</v>
      </c>
      <c r="HO3" s="10">
        <f t="shared" si="222"/>
        <v>1.3699999999999999E-5</v>
      </c>
      <c r="HP3" s="10">
        <f t="shared" si="223"/>
        <v>1.3499999999999999E-5</v>
      </c>
      <c r="HQ3" s="10">
        <f t="shared" si="224"/>
        <v>1.33E-5</v>
      </c>
      <c r="HR3" s="10">
        <f t="shared" si="225"/>
        <v>1.31E-5</v>
      </c>
      <c r="HS3" s="10">
        <f t="shared" si="226"/>
        <v>1.2999999999999999E-5</v>
      </c>
      <c r="HT3" s="10">
        <f t="shared" si="227"/>
        <v>1.2799999999999999E-5</v>
      </c>
      <c r="HU3" s="10">
        <f t="shared" si="228"/>
        <v>1.26E-5</v>
      </c>
      <c r="HV3" s="10">
        <f t="shared" si="229"/>
        <v>1.24E-5</v>
      </c>
      <c r="HW3" s="10">
        <f t="shared" si="230"/>
        <v>1.2300000000000001E-5</v>
      </c>
      <c r="HX3" s="10">
        <f t="shared" si="231"/>
        <v>1.2099999999999999E-5</v>
      </c>
      <c r="HY3" s="10">
        <f t="shared" si="232"/>
        <v>1.19E-5</v>
      </c>
      <c r="HZ3" s="10">
        <f t="shared" si="233"/>
        <v>1.1800000000000001E-5</v>
      </c>
      <c r="IA3" s="10">
        <f t="shared" si="234"/>
        <v>1.1600000000000001E-5</v>
      </c>
      <c r="IB3" s="10">
        <f t="shared" si="235"/>
        <v>1.1399999999999999E-5</v>
      </c>
      <c r="IC3" s="10">
        <f t="shared" si="236"/>
        <v>1.13E-5</v>
      </c>
      <c r="ID3" s="10">
        <f t="shared" si="237"/>
        <v>1.11E-5</v>
      </c>
      <c r="IE3" s="10">
        <f t="shared" si="238"/>
        <v>1.1E-5</v>
      </c>
      <c r="IF3" s="10">
        <f t="shared" si="239"/>
        <v>1.08E-5</v>
      </c>
      <c r="IG3" s="10">
        <f t="shared" si="240"/>
        <v>7.5480000000000002E-4</v>
      </c>
      <c r="JK3"/>
      <c r="JL3"/>
      <c r="JM3"/>
      <c r="JN3"/>
      <c r="JO3"/>
      <c r="JP3"/>
      <c r="JQ3"/>
      <c r="JR3"/>
      <c r="JS3"/>
    </row>
    <row r="4" spans="1:279" s="1" customFormat="1" x14ac:dyDescent="0.35">
      <c r="A4" s="1">
        <f t="shared" si="0"/>
        <v>-4</v>
      </c>
      <c r="B4" s="10">
        <f t="shared" si="1"/>
        <v>1.0654E-2</v>
      </c>
      <c r="C4" s="10">
        <f t="shared" si="2"/>
        <v>1.0654E-2</v>
      </c>
      <c r="D4" s="10">
        <f t="shared" si="3"/>
        <v>1.06058E-2</v>
      </c>
      <c r="E4" s="10">
        <f t="shared" si="4"/>
        <v>1.04361E-2</v>
      </c>
      <c r="F4" s="10">
        <f t="shared" si="5"/>
        <v>9.7535E-3</v>
      </c>
      <c r="G4" s="10">
        <f t="shared" si="6"/>
        <v>9.1403999999999999E-3</v>
      </c>
      <c r="H4" s="10">
        <f t="shared" si="7"/>
        <v>8.5669000000000006E-3</v>
      </c>
      <c r="I4" s="10">
        <f t="shared" si="8"/>
        <v>7.9711000000000001E-3</v>
      </c>
      <c r="J4" s="10">
        <f t="shared" si="9"/>
        <v>7.4428000000000003E-3</v>
      </c>
      <c r="K4" s="10">
        <f t="shared" si="10"/>
        <v>6.9601000000000003E-3</v>
      </c>
      <c r="L4" s="10">
        <f t="shared" si="11"/>
        <v>6.5317999999999999E-3</v>
      </c>
      <c r="M4" s="10">
        <f t="shared" si="12"/>
        <v>6.1491999999999996E-3</v>
      </c>
      <c r="N4" s="10">
        <f t="shared" si="13"/>
        <v>5.8079999999999998E-3</v>
      </c>
      <c r="O4" s="10">
        <f t="shared" si="14"/>
        <v>5.5024999999999996E-3</v>
      </c>
      <c r="P4" s="10">
        <f t="shared" si="15"/>
        <v>5.2283E-3</v>
      </c>
      <c r="Q4" s="10">
        <f t="shared" si="16"/>
        <v>4.9813000000000001E-3</v>
      </c>
      <c r="R4" s="10">
        <f t="shared" si="17"/>
        <v>4.7580000000000001E-3</v>
      </c>
      <c r="S4" s="10">
        <f t="shared" si="18"/>
        <v>4.5554000000000002E-3</v>
      </c>
      <c r="T4" s="10">
        <f t="shared" si="19"/>
        <v>4.3709999999999999E-3</v>
      </c>
      <c r="U4" s="10">
        <f t="shared" si="20"/>
        <v>4.2025999999999999E-3</v>
      </c>
      <c r="V4" s="10">
        <f t="shared" si="21"/>
        <v>4.0480999999999998E-3</v>
      </c>
      <c r="W4" s="10">
        <f t="shared" si="22"/>
        <v>3.9061E-3</v>
      </c>
      <c r="X4" s="10">
        <f t="shared" si="23"/>
        <v>3.7750000000000001E-3</v>
      </c>
      <c r="Y4" s="10">
        <f t="shared" si="24"/>
        <v>3.6537000000000002E-3</v>
      </c>
      <c r="Z4" s="10">
        <f t="shared" si="25"/>
        <v>3.5412E-3</v>
      </c>
      <c r="AA4" s="10">
        <f t="shared" si="26"/>
        <v>3.4364E-3</v>
      </c>
      <c r="AB4" s="10">
        <f t="shared" si="27"/>
        <v>3.3384999999999999E-3</v>
      </c>
      <c r="AC4" s="10">
        <f t="shared" si="28"/>
        <v>3.2468000000000002E-3</v>
      </c>
      <c r="AD4" s="10">
        <f t="shared" si="29"/>
        <v>3.1606999999999998E-3</v>
      </c>
      <c r="AE4" s="10">
        <f t="shared" si="30"/>
        <v>3.0796999999999999E-3</v>
      </c>
      <c r="AF4" s="10">
        <f t="shared" si="31"/>
        <v>3.0030999999999999E-3</v>
      </c>
      <c r="AG4" s="10">
        <f t="shared" si="32"/>
        <v>2.9307000000000001E-3</v>
      </c>
      <c r="AH4" s="10">
        <f t="shared" si="33"/>
        <v>2.8620999999999998E-3</v>
      </c>
      <c r="AI4" s="10">
        <f t="shared" si="34"/>
        <v>2.7969000000000002E-3</v>
      </c>
      <c r="AJ4" s="10">
        <f t="shared" si="35"/>
        <v>2.7349000000000002E-3</v>
      </c>
      <c r="AK4" s="10">
        <f t="shared" si="36"/>
        <v>2.6759000000000002E-3</v>
      </c>
      <c r="AL4" s="10">
        <f t="shared" si="37"/>
        <v>2.6194999999999999E-3</v>
      </c>
      <c r="AM4" s="10">
        <f t="shared" si="38"/>
        <v>2.5657000000000002E-3</v>
      </c>
      <c r="AN4" s="10">
        <f t="shared" si="39"/>
        <v>2.5143000000000001E-3</v>
      </c>
      <c r="AO4" s="10">
        <f t="shared" si="40"/>
        <v>2.4650000000000002E-3</v>
      </c>
      <c r="AP4" s="10">
        <f t="shared" si="41"/>
        <v>2.4177000000000001E-3</v>
      </c>
      <c r="AQ4" s="10">
        <f t="shared" si="42"/>
        <v>2.3722999999999999E-3</v>
      </c>
      <c r="AR4" s="10">
        <f t="shared" si="43"/>
        <v>2.3287E-3</v>
      </c>
      <c r="AS4" s="10">
        <f t="shared" si="44"/>
        <v>2.2867E-3</v>
      </c>
      <c r="AT4" s="10">
        <f t="shared" si="45"/>
        <v>2.2461999999999998E-3</v>
      </c>
      <c r="AU4" s="10">
        <f t="shared" si="46"/>
        <v>2.2071999999999999E-3</v>
      </c>
      <c r="AV4" s="10">
        <f t="shared" si="47"/>
        <v>2.1695E-3</v>
      </c>
      <c r="AW4" s="10">
        <f t="shared" si="48"/>
        <v>2.1329999999999999E-3</v>
      </c>
      <c r="AX4" s="10">
        <f t="shared" si="49"/>
        <v>2.0977000000000001E-3</v>
      </c>
      <c r="AY4" s="10">
        <f t="shared" si="50"/>
        <v>2.0634E-3</v>
      </c>
      <c r="AZ4" s="10">
        <f t="shared" si="51"/>
        <v>2.0301999999999998E-3</v>
      </c>
      <c r="BA4" s="10">
        <f t="shared" si="52"/>
        <v>1.9980000000000002E-3</v>
      </c>
      <c r="BB4" s="10">
        <f t="shared" si="53"/>
        <v>1.9666000000000002E-3</v>
      </c>
      <c r="BC4" s="10">
        <f t="shared" si="54"/>
        <v>1.9361000000000001E-3</v>
      </c>
      <c r="BD4" s="10">
        <f t="shared" si="55"/>
        <v>1.9063000000000001E-3</v>
      </c>
      <c r="BE4" s="10">
        <f t="shared" si="56"/>
        <v>1.8772999999999999E-3</v>
      </c>
      <c r="BF4" s="10">
        <f t="shared" si="57"/>
        <v>1.8489999999999999E-3</v>
      </c>
      <c r="BG4" s="10">
        <f t="shared" si="58"/>
        <v>1.8213000000000001E-3</v>
      </c>
      <c r="BH4" s="10">
        <f t="shared" si="59"/>
        <v>1.7943E-3</v>
      </c>
      <c r="BI4" s="10">
        <f t="shared" si="60"/>
        <v>1.7677999999999999E-3</v>
      </c>
      <c r="BJ4" s="10">
        <f t="shared" si="61"/>
        <v>1.7419E-3</v>
      </c>
      <c r="BK4" s="10">
        <f t="shared" si="62"/>
        <v>1.7166E-3</v>
      </c>
      <c r="BL4" s="10">
        <f t="shared" si="63"/>
        <v>1.6917E-3</v>
      </c>
      <c r="BM4" s="10">
        <f t="shared" si="64"/>
        <v>1.6673E-3</v>
      </c>
      <c r="BN4" s="10">
        <f t="shared" si="65"/>
        <v>1.6433999999999999E-3</v>
      </c>
      <c r="BO4" s="10">
        <f t="shared" si="66"/>
        <v>1.6199000000000001E-3</v>
      </c>
      <c r="BP4" s="10">
        <f t="shared" si="67"/>
        <v>1.5968E-3</v>
      </c>
      <c r="BQ4" s="10">
        <f t="shared" si="68"/>
        <v>1.5740999999999999E-3</v>
      </c>
      <c r="BR4" s="10">
        <f t="shared" si="69"/>
        <v>1.5518000000000001E-3</v>
      </c>
      <c r="BS4" s="10">
        <f t="shared" si="70"/>
        <v>1.5299000000000001E-3</v>
      </c>
      <c r="BT4" s="10">
        <f t="shared" si="71"/>
        <v>1.5083E-3</v>
      </c>
      <c r="BU4" s="10">
        <f t="shared" si="72"/>
        <v>1.4871000000000001E-3</v>
      </c>
      <c r="BV4" s="10">
        <f t="shared" si="73"/>
        <v>1.4662E-3</v>
      </c>
      <c r="BW4" s="10">
        <f t="shared" si="74"/>
        <v>1.4457000000000001E-3</v>
      </c>
      <c r="BX4" s="10">
        <f t="shared" si="75"/>
        <v>1.4254000000000001E-3</v>
      </c>
      <c r="BY4" s="10">
        <f t="shared" si="76"/>
        <v>1.4055000000000001E-3</v>
      </c>
      <c r="BZ4" s="10">
        <f t="shared" si="77"/>
        <v>1.3858E-3</v>
      </c>
      <c r="CA4" s="10">
        <f t="shared" si="78"/>
        <v>1.3664E-3</v>
      </c>
      <c r="CB4" s="10">
        <f t="shared" si="79"/>
        <v>1.3473999999999999E-3</v>
      </c>
      <c r="CC4" s="10">
        <f t="shared" si="80"/>
        <v>1.3285E-3</v>
      </c>
      <c r="CD4" s="10">
        <f t="shared" si="81"/>
        <v>1.31E-3</v>
      </c>
      <c r="CE4" s="10">
        <f t="shared" si="82"/>
        <v>1.2917E-3</v>
      </c>
      <c r="CF4" s="10">
        <f t="shared" si="83"/>
        <v>1.2737E-3</v>
      </c>
      <c r="CG4" s="10">
        <f t="shared" si="84"/>
        <v>1.2558999999999999E-3</v>
      </c>
      <c r="CH4" s="10">
        <f t="shared" si="85"/>
        <v>1.2384E-3</v>
      </c>
      <c r="CI4" s="10">
        <f t="shared" si="86"/>
        <v>1.2210999999999999E-3</v>
      </c>
      <c r="CJ4" s="10">
        <f t="shared" si="87"/>
        <v>1.2041E-3</v>
      </c>
      <c r="CK4" s="10">
        <f t="shared" si="88"/>
        <v>1.1873000000000001E-3</v>
      </c>
      <c r="CL4" s="10">
        <f t="shared" si="89"/>
        <v>1.1707E-3</v>
      </c>
      <c r="CM4" s="10">
        <f t="shared" si="90"/>
        <v>1.1543E-3</v>
      </c>
      <c r="CN4" s="10">
        <f t="shared" si="91"/>
        <v>1.1382E-3</v>
      </c>
      <c r="CO4" s="10">
        <f t="shared" si="92"/>
        <v>1.1222999999999999E-3</v>
      </c>
      <c r="CP4" s="10">
        <f t="shared" si="93"/>
        <v>1.1065999999999999E-3</v>
      </c>
      <c r="CQ4" s="10">
        <f t="shared" si="94"/>
        <v>1.0911E-3</v>
      </c>
      <c r="CR4" s="10">
        <f t="shared" si="95"/>
        <v>1.0759000000000001E-3</v>
      </c>
      <c r="CS4" s="10">
        <f t="shared" si="96"/>
        <v>1.0608E-3</v>
      </c>
      <c r="CT4" s="10">
        <f t="shared" si="97"/>
        <v>1.0459E-3</v>
      </c>
      <c r="CU4" s="10">
        <f t="shared" si="98"/>
        <v>1.0313E-3</v>
      </c>
      <c r="CV4" s="10">
        <f t="shared" si="99"/>
        <v>1.0168E-3</v>
      </c>
      <c r="CW4" s="10">
        <f t="shared" si="100"/>
        <v>1.0026E-3</v>
      </c>
      <c r="CX4" s="10">
        <f t="shared" si="101"/>
        <v>9.8850000000000001E-4</v>
      </c>
      <c r="CY4" s="10">
        <f t="shared" si="102"/>
        <v>9.7460000000000005E-4</v>
      </c>
      <c r="CZ4" s="10">
        <f t="shared" si="103"/>
        <v>9.6089999999999999E-4</v>
      </c>
      <c r="DA4" s="10">
        <f t="shared" si="104"/>
        <v>9.4740000000000004E-4</v>
      </c>
      <c r="DB4" s="10">
        <f t="shared" si="105"/>
        <v>9.3409999999999999E-4</v>
      </c>
      <c r="DC4" s="10">
        <f t="shared" si="106"/>
        <v>9.2100000000000005E-4</v>
      </c>
      <c r="DD4" s="10">
        <f t="shared" si="107"/>
        <v>9.0799999999999995E-4</v>
      </c>
      <c r="DE4" s="10">
        <f t="shared" si="108"/>
        <v>8.9519999999999997E-4</v>
      </c>
      <c r="DF4" s="10">
        <f t="shared" si="109"/>
        <v>8.8259999999999999E-4</v>
      </c>
      <c r="DG4" s="10">
        <f t="shared" si="110"/>
        <v>8.7020000000000001E-4</v>
      </c>
      <c r="DH4" s="10">
        <f t="shared" si="111"/>
        <v>8.5789999999999998E-4</v>
      </c>
      <c r="DI4" s="10">
        <f t="shared" si="112"/>
        <v>8.4579999999999996E-4</v>
      </c>
      <c r="DJ4" s="10">
        <f t="shared" si="113"/>
        <v>8.3390000000000005E-4</v>
      </c>
      <c r="DK4" s="10">
        <f t="shared" si="114"/>
        <v>8.2209999999999998E-4</v>
      </c>
      <c r="DL4" s="10">
        <f t="shared" si="115"/>
        <v>8.1050000000000002E-4</v>
      </c>
      <c r="DM4" s="10">
        <f t="shared" si="116"/>
        <v>7.9909999999999996E-4</v>
      </c>
      <c r="DN4" s="10">
        <f t="shared" si="117"/>
        <v>7.8779999999999996E-4</v>
      </c>
      <c r="DO4" s="10">
        <f t="shared" si="118"/>
        <v>7.7669999999999996E-4</v>
      </c>
      <c r="DP4" s="10">
        <f t="shared" si="119"/>
        <v>7.6570000000000002E-4</v>
      </c>
      <c r="DQ4" s="10">
        <f t="shared" si="120"/>
        <v>5.3164200000000002E-2</v>
      </c>
      <c r="DR4" s="10">
        <f t="shared" si="121"/>
        <v>0</v>
      </c>
      <c r="DS4" s="10">
        <f t="shared" si="122"/>
        <v>4.8199999999999999E-5</v>
      </c>
      <c r="DT4" s="10">
        <f t="shared" si="123"/>
        <v>1.697E-4</v>
      </c>
      <c r="DU4" s="10">
        <f t="shared" si="124"/>
        <v>6.826E-4</v>
      </c>
      <c r="DV4" s="10">
        <f t="shared" si="125"/>
        <v>6.1309999999999999E-4</v>
      </c>
      <c r="DW4" s="10">
        <f t="shared" si="126"/>
        <v>5.7359999999999996E-4</v>
      </c>
      <c r="DX4" s="10">
        <f t="shared" si="127"/>
        <v>5.9579999999999995E-4</v>
      </c>
      <c r="DY4" s="10">
        <f t="shared" si="128"/>
        <v>5.2820000000000005E-4</v>
      </c>
      <c r="DZ4" s="10">
        <f t="shared" si="129"/>
        <v>4.8280000000000003E-4</v>
      </c>
      <c r="EA4" s="10">
        <f t="shared" si="130"/>
        <v>4.283E-4</v>
      </c>
      <c r="EB4" s="10">
        <f t="shared" si="131"/>
        <v>3.8259999999999998E-4</v>
      </c>
      <c r="EC4" s="10">
        <f t="shared" si="132"/>
        <v>3.412E-4</v>
      </c>
      <c r="ED4" s="10">
        <f t="shared" si="133"/>
        <v>3.055E-4</v>
      </c>
      <c r="EE4" s="10">
        <f t="shared" si="134"/>
        <v>2.742E-4</v>
      </c>
      <c r="EF4" s="10">
        <f t="shared" si="135"/>
        <v>2.4699999999999999E-4</v>
      </c>
      <c r="EG4" s="10">
        <f t="shared" si="136"/>
        <v>2.2330000000000001E-4</v>
      </c>
      <c r="EH4" s="10">
        <f t="shared" si="137"/>
        <v>2.0259999999999999E-4</v>
      </c>
      <c r="EI4" s="10">
        <f t="shared" si="138"/>
        <v>1.8440000000000001E-4</v>
      </c>
      <c r="EJ4" s="10">
        <f t="shared" si="139"/>
        <v>1.685E-4</v>
      </c>
      <c r="EK4" s="10">
        <f t="shared" si="140"/>
        <v>1.5440000000000001E-4</v>
      </c>
      <c r="EL4" s="10">
        <f t="shared" si="141"/>
        <v>1.4200000000000001E-4</v>
      </c>
      <c r="EM4" s="10">
        <f t="shared" si="142"/>
        <v>1.3100000000000001E-4</v>
      </c>
      <c r="EN4" s="10">
        <f t="shared" si="143"/>
        <v>1.2129999999999999E-4</v>
      </c>
      <c r="EO4" s="10">
        <f t="shared" si="144"/>
        <v>1.126E-4</v>
      </c>
      <c r="EP4" s="10">
        <f t="shared" si="145"/>
        <v>1.048E-4</v>
      </c>
      <c r="EQ4" s="10">
        <f t="shared" si="146"/>
        <v>9.7899999999999994E-5</v>
      </c>
      <c r="ER4" s="10">
        <f t="shared" si="147"/>
        <v>9.1700000000000006E-5</v>
      </c>
      <c r="ES4" s="10">
        <f t="shared" si="148"/>
        <v>8.6100000000000006E-5</v>
      </c>
      <c r="ET4" s="10">
        <f t="shared" si="149"/>
        <v>8.1100000000000006E-5</v>
      </c>
      <c r="EU4" s="10">
        <f t="shared" si="150"/>
        <v>7.6500000000000003E-5</v>
      </c>
      <c r="EV4" s="10">
        <f t="shared" si="151"/>
        <v>7.2399999999999998E-5</v>
      </c>
      <c r="EW4" s="10">
        <f t="shared" si="152"/>
        <v>6.86E-5</v>
      </c>
      <c r="EX4" s="10">
        <f t="shared" si="153"/>
        <v>6.5199999999999999E-5</v>
      </c>
      <c r="EY4" s="10">
        <f t="shared" si="154"/>
        <v>6.2000000000000003E-5</v>
      </c>
      <c r="EZ4" s="10">
        <f t="shared" si="155"/>
        <v>5.8999999999999998E-5</v>
      </c>
      <c r="FA4" s="10">
        <f t="shared" si="156"/>
        <v>5.63E-5</v>
      </c>
      <c r="FB4" s="10">
        <f t="shared" si="157"/>
        <v>5.38E-5</v>
      </c>
      <c r="FC4" s="10">
        <f t="shared" si="158"/>
        <v>5.1499999999999998E-5</v>
      </c>
      <c r="FD4" s="10">
        <f t="shared" si="159"/>
        <v>4.9299999999999999E-5</v>
      </c>
      <c r="FE4" s="10">
        <f t="shared" si="160"/>
        <v>4.7299999999999998E-5</v>
      </c>
      <c r="FF4" s="10">
        <f t="shared" si="161"/>
        <v>4.5399999999999999E-5</v>
      </c>
      <c r="FG4" s="10">
        <f t="shared" si="162"/>
        <v>4.3600000000000003E-5</v>
      </c>
      <c r="FH4" s="10">
        <f t="shared" si="163"/>
        <v>4.1999999999999998E-5</v>
      </c>
      <c r="FI4" s="10">
        <f t="shared" si="164"/>
        <v>4.0500000000000002E-5</v>
      </c>
      <c r="FJ4" s="10">
        <f t="shared" si="165"/>
        <v>3.8999999999999999E-5</v>
      </c>
      <c r="FK4" s="10">
        <f t="shared" si="166"/>
        <v>3.7700000000000002E-5</v>
      </c>
      <c r="FL4" s="10">
        <f t="shared" si="167"/>
        <v>3.65E-5</v>
      </c>
      <c r="FM4" s="10">
        <f t="shared" si="168"/>
        <v>3.5299999999999997E-5</v>
      </c>
      <c r="FN4" s="10">
        <f t="shared" si="169"/>
        <v>3.4199999999999998E-5</v>
      </c>
      <c r="FO4" s="10">
        <f t="shared" si="170"/>
        <v>3.3200000000000001E-5</v>
      </c>
      <c r="FP4" s="10">
        <f t="shared" si="171"/>
        <v>3.2299999999999999E-5</v>
      </c>
      <c r="FQ4" s="10">
        <f t="shared" si="172"/>
        <v>3.1399999999999998E-5</v>
      </c>
      <c r="FR4" s="10">
        <f t="shared" si="173"/>
        <v>3.0499999999999999E-5</v>
      </c>
      <c r="FS4" s="10">
        <f t="shared" si="174"/>
        <v>2.9799999999999999E-5</v>
      </c>
      <c r="FT4" s="10">
        <f t="shared" si="175"/>
        <v>2.9E-5</v>
      </c>
      <c r="FU4" s="10">
        <f t="shared" si="176"/>
        <v>2.83E-5</v>
      </c>
      <c r="FV4" s="10">
        <f t="shared" si="177"/>
        <v>2.7699999999999999E-5</v>
      </c>
      <c r="FW4" s="10">
        <f t="shared" si="178"/>
        <v>2.6999999999999999E-5</v>
      </c>
      <c r="FX4" s="10">
        <f t="shared" si="179"/>
        <v>2.65E-5</v>
      </c>
      <c r="FY4" s="10">
        <f t="shared" si="180"/>
        <v>2.5899999999999999E-5</v>
      </c>
      <c r="FZ4" s="10">
        <f t="shared" si="181"/>
        <v>2.5400000000000001E-5</v>
      </c>
      <c r="GA4" s="10">
        <f t="shared" si="182"/>
        <v>2.4899999999999999E-5</v>
      </c>
      <c r="GB4" s="10">
        <f t="shared" si="183"/>
        <v>2.44E-5</v>
      </c>
      <c r="GC4" s="10">
        <f t="shared" si="184"/>
        <v>2.3900000000000002E-5</v>
      </c>
      <c r="GD4" s="10">
        <f t="shared" si="185"/>
        <v>2.3499999999999999E-5</v>
      </c>
      <c r="GE4" s="10">
        <f t="shared" si="186"/>
        <v>2.3099999999999999E-5</v>
      </c>
      <c r="GF4" s="10">
        <f t="shared" si="187"/>
        <v>2.27E-5</v>
      </c>
      <c r="GG4" s="10">
        <f t="shared" si="188"/>
        <v>2.23E-5</v>
      </c>
      <c r="GH4" s="10">
        <f t="shared" si="189"/>
        <v>2.19E-5</v>
      </c>
      <c r="GI4" s="10">
        <f t="shared" si="190"/>
        <v>2.16E-5</v>
      </c>
      <c r="GJ4" s="10">
        <f t="shared" si="191"/>
        <v>2.12E-5</v>
      </c>
      <c r="GK4" s="10">
        <f t="shared" si="192"/>
        <v>2.09E-5</v>
      </c>
      <c r="GL4" s="10">
        <f t="shared" si="193"/>
        <v>2.0599999999999999E-5</v>
      </c>
      <c r="GM4" s="10">
        <f t="shared" si="194"/>
        <v>2.0299999999999999E-5</v>
      </c>
      <c r="GN4" s="10">
        <f t="shared" si="195"/>
        <v>1.9899999999999999E-5</v>
      </c>
      <c r="GO4" s="10">
        <f t="shared" si="196"/>
        <v>1.9700000000000001E-5</v>
      </c>
      <c r="GP4" s="10">
        <f t="shared" si="197"/>
        <v>1.9400000000000001E-5</v>
      </c>
      <c r="GQ4" s="10">
        <f t="shared" si="198"/>
        <v>1.91E-5</v>
      </c>
      <c r="GR4" s="10">
        <f t="shared" si="199"/>
        <v>1.88E-5</v>
      </c>
      <c r="GS4" s="10">
        <f t="shared" si="200"/>
        <v>1.8499999999999999E-5</v>
      </c>
      <c r="GT4" s="10">
        <f t="shared" si="201"/>
        <v>1.8300000000000001E-5</v>
      </c>
      <c r="GU4" s="10">
        <f t="shared" si="202"/>
        <v>1.8E-5</v>
      </c>
      <c r="GV4" s="10">
        <f t="shared" si="203"/>
        <v>1.7799999999999999E-5</v>
      </c>
      <c r="GW4" s="10">
        <f t="shared" si="204"/>
        <v>1.7499999999999998E-5</v>
      </c>
      <c r="GX4" s="10">
        <f t="shared" si="205"/>
        <v>1.73E-5</v>
      </c>
      <c r="GY4" s="10">
        <f t="shared" si="206"/>
        <v>1.7E-5</v>
      </c>
      <c r="GZ4" s="10">
        <f t="shared" si="207"/>
        <v>1.6799999999999998E-5</v>
      </c>
      <c r="HA4" s="10">
        <f t="shared" si="208"/>
        <v>1.66E-5</v>
      </c>
      <c r="HB4" s="10">
        <f t="shared" si="209"/>
        <v>1.6399999999999999E-5</v>
      </c>
      <c r="HC4" s="10">
        <f t="shared" si="210"/>
        <v>1.6099999999999998E-5</v>
      </c>
      <c r="HD4" s="10">
        <f t="shared" si="211"/>
        <v>1.59E-5</v>
      </c>
      <c r="HE4" s="10">
        <f t="shared" si="212"/>
        <v>1.5699999999999999E-5</v>
      </c>
      <c r="HF4" s="10">
        <f t="shared" si="213"/>
        <v>1.5500000000000001E-5</v>
      </c>
      <c r="HG4" s="10">
        <f t="shared" si="214"/>
        <v>1.5299999999999999E-5</v>
      </c>
      <c r="HH4" s="10">
        <f t="shared" si="215"/>
        <v>1.5099999999999999E-5</v>
      </c>
      <c r="HI4" s="10">
        <f t="shared" si="216"/>
        <v>1.49E-5</v>
      </c>
      <c r="HJ4" s="10">
        <f t="shared" si="217"/>
        <v>1.47E-5</v>
      </c>
      <c r="HK4" s="10">
        <f t="shared" si="218"/>
        <v>1.45E-5</v>
      </c>
      <c r="HL4" s="10">
        <f t="shared" si="219"/>
        <v>1.43E-5</v>
      </c>
      <c r="HM4" s="10">
        <f t="shared" si="220"/>
        <v>1.4100000000000001E-5</v>
      </c>
      <c r="HN4" s="10">
        <f t="shared" si="221"/>
        <v>1.3900000000000001E-5</v>
      </c>
      <c r="HO4" s="10">
        <f t="shared" si="222"/>
        <v>1.3699999999999999E-5</v>
      </c>
      <c r="HP4" s="10">
        <f t="shared" si="223"/>
        <v>1.3499999999999999E-5</v>
      </c>
      <c r="HQ4" s="10">
        <f t="shared" si="224"/>
        <v>1.33E-5</v>
      </c>
      <c r="HR4" s="10">
        <f t="shared" si="225"/>
        <v>1.31E-5</v>
      </c>
      <c r="HS4" s="10">
        <f t="shared" si="226"/>
        <v>1.2999999999999999E-5</v>
      </c>
      <c r="HT4" s="10">
        <f t="shared" si="227"/>
        <v>1.2799999999999999E-5</v>
      </c>
      <c r="HU4" s="10">
        <f t="shared" si="228"/>
        <v>1.26E-5</v>
      </c>
      <c r="HV4" s="10">
        <f t="shared" si="229"/>
        <v>1.24E-5</v>
      </c>
      <c r="HW4" s="10">
        <f t="shared" si="230"/>
        <v>1.2300000000000001E-5</v>
      </c>
      <c r="HX4" s="10">
        <f t="shared" si="231"/>
        <v>1.2099999999999999E-5</v>
      </c>
      <c r="HY4" s="10">
        <f t="shared" si="232"/>
        <v>1.19E-5</v>
      </c>
      <c r="HZ4" s="10">
        <f t="shared" si="233"/>
        <v>1.1800000000000001E-5</v>
      </c>
      <c r="IA4" s="10">
        <f t="shared" si="234"/>
        <v>1.1600000000000001E-5</v>
      </c>
      <c r="IB4" s="10">
        <f t="shared" si="235"/>
        <v>1.1399999999999999E-5</v>
      </c>
      <c r="IC4" s="10">
        <f t="shared" si="236"/>
        <v>1.13E-5</v>
      </c>
      <c r="ID4" s="10">
        <f t="shared" si="237"/>
        <v>1.11E-5</v>
      </c>
      <c r="IE4" s="10">
        <f t="shared" si="238"/>
        <v>1.1E-5</v>
      </c>
      <c r="IF4" s="10">
        <f t="shared" si="239"/>
        <v>1.08E-5</v>
      </c>
      <c r="IG4" s="10">
        <f t="shared" si="240"/>
        <v>7.5480000000000002E-4</v>
      </c>
      <c r="JK4"/>
      <c r="JL4"/>
      <c r="JM4"/>
      <c r="JN4"/>
      <c r="JO4"/>
      <c r="JP4"/>
      <c r="JQ4"/>
      <c r="JR4"/>
      <c r="JS4"/>
    </row>
    <row r="5" spans="1:279" s="1" customFormat="1" x14ac:dyDescent="0.35">
      <c r="A5" s="1">
        <f t="shared" si="0"/>
        <v>-3</v>
      </c>
      <c r="B5" s="10">
        <f t="shared" si="1"/>
        <v>1.0654E-2</v>
      </c>
      <c r="C5" s="10">
        <f t="shared" si="2"/>
        <v>1.0654E-2</v>
      </c>
      <c r="D5" s="10">
        <f t="shared" si="3"/>
        <v>1.06058E-2</v>
      </c>
      <c r="E5" s="10">
        <f t="shared" si="4"/>
        <v>1.04361E-2</v>
      </c>
      <c r="F5" s="10">
        <f t="shared" si="5"/>
        <v>9.7535E-3</v>
      </c>
      <c r="G5" s="10">
        <f t="shared" si="6"/>
        <v>9.1403999999999999E-3</v>
      </c>
      <c r="H5" s="10">
        <f t="shared" si="7"/>
        <v>8.5669000000000006E-3</v>
      </c>
      <c r="I5" s="10">
        <f t="shared" si="8"/>
        <v>7.9711000000000001E-3</v>
      </c>
      <c r="J5" s="10">
        <f t="shared" si="9"/>
        <v>7.4428000000000003E-3</v>
      </c>
      <c r="K5" s="10">
        <f t="shared" si="10"/>
        <v>6.9601000000000003E-3</v>
      </c>
      <c r="L5" s="10">
        <f t="shared" si="11"/>
        <v>6.5317999999999999E-3</v>
      </c>
      <c r="M5" s="10">
        <f t="shared" si="12"/>
        <v>6.1491999999999996E-3</v>
      </c>
      <c r="N5" s="10">
        <f t="shared" si="13"/>
        <v>5.8079999999999998E-3</v>
      </c>
      <c r="O5" s="10">
        <f t="shared" si="14"/>
        <v>5.5024999999999996E-3</v>
      </c>
      <c r="P5" s="10">
        <f t="shared" si="15"/>
        <v>5.2283E-3</v>
      </c>
      <c r="Q5" s="10">
        <f t="shared" si="16"/>
        <v>4.9813000000000001E-3</v>
      </c>
      <c r="R5" s="10">
        <f t="shared" si="17"/>
        <v>4.7580000000000001E-3</v>
      </c>
      <c r="S5" s="10">
        <f t="shared" si="18"/>
        <v>4.5554000000000002E-3</v>
      </c>
      <c r="T5" s="10">
        <f t="shared" si="19"/>
        <v>4.3709999999999999E-3</v>
      </c>
      <c r="U5" s="10">
        <f t="shared" si="20"/>
        <v>4.2025999999999999E-3</v>
      </c>
      <c r="V5" s="10">
        <f t="shared" si="21"/>
        <v>4.0480999999999998E-3</v>
      </c>
      <c r="W5" s="10">
        <f t="shared" si="22"/>
        <v>3.9061E-3</v>
      </c>
      <c r="X5" s="10">
        <f t="shared" si="23"/>
        <v>3.7750000000000001E-3</v>
      </c>
      <c r="Y5" s="10">
        <f t="shared" si="24"/>
        <v>3.6537000000000002E-3</v>
      </c>
      <c r="Z5" s="10">
        <f t="shared" si="25"/>
        <v>3.5412E-3</v>
      </c>
      <c r="AA5" s="10">
        <f t="shared" si="26"/>
        <v>3.4364E-3</v>
      </c>
      <c r="AB5" s="10">
        <f t="shared" si="27"/>
        <v>3.3384999999999999E-3</v>
      </c>
      <c r="AC5" s="10">
        <f t="shared" si="28"/>
        <v>3.2468000000000002E-3</v>
      </c>
      <c r="AD5" s="10">
        <f t="shared" si="29"/>
        <v>3.1606999999999998E-3</v>
      </c>
      <c r="AE5" s="10">
        <f t="shared" si="30"/>
        <v>3.0796999999999999E-3</v>
      </c>
      <c r="AF5" s="10">
        <f t="shared" si="31"/>
        <v>3.0030999999999999E-3</v>
      </c>
      <c r="AG5" s="10">
        <f t="shared" si="32"/>
        <v>2.9307000000000001E-3</v>
      </c>
      <c r="AH5" s="10">
        <f t="shared" si="33"/>
        <v>2.8620999999999998E-3</v>
      </c>
      <c r="AI5" s="10">
        <f t="shared" si="34"/>
        <v>2.7969000000000002E-3</v>
      </c>
      <c r="AJ5" s="10">
        <f t="shared" si="35"/>
        <v>2.7349000000000002E-3</v>
      </c>
      <c r="AK5" s="10">
        <f t="shared" si="36"/>
        <v>2.6759000000000002E-3</v>
      </c>
      <c r="AL5" s="10">
        <f t="shared" si="37"/>
        <v>2.6194999999999999E-3</v>
      </c>
      <c r="AM5" s="10">
        <f t="shared" si="38"/>
        <v>2.5657000000000002E-3</v>
      </c>
      <c r="AN5" s="10">
        <f t="shared" si="39"/>
        <v>2.5143000000000001E-3</v>
      </c>
      <c r="AO5" s="10">
        <f t="shared" si="40"/>
        <v>2.4650000000000002E-3</v>
      </c>
      <c r="AP5" s="10">
        <f t="shared" si="41"/>
        <v>2.4177000000000001E-3</v>
      </c>
      <c r="AQ5" s="10">
        <f t="shared" si="42"/>
        <v>2.3722999999999999E-3</v>
      </c>
      <c r="AR5" s="10">
        <f t="shared" si="43"/>
        <v>2.3287E-3</v>
      </c>
      <c r="AS5" s="10">
        <f t="shared" si="44"/>
        <v>2.2867E-3</v>
      </c>
      <c r="AT5" s="10">
        <f t="shared" si="45"/>
        <v>2.2461999999999998E-3</v>
      </c>
      <c r="AU5" s="10">
        <f t="shared" si="46"/>
        <v>2.2071999999999999E-3</v>
      </c>
      <c r="AV5" s="10">
        <f t="shared" si="47"/>
        <v>2.1695E-3</v>
      </c>
      <c r="AW5" s="10">
        <f t="shared" si="48"/>
        <v>2.1329999999999999E-3</v>
      </c>
      <c r="AX5" s="10">
        <f t="shared" si="49"/>
        <v>2.0977000000000001E-3</v>
      </c>
      <c r="AY5" s="10">
        <f t="shared" si="50"/>
        <v>2.0634E-3</v>
      </c>
      <c r="AZ5" s="10">
        <f t="shared" si="51"/>
        <v>2.0301999999999998E-3</v>
      </c>
      <c r="BA5" s="10">
        <f t="shared" si="52"/>
        <v>1.9980000000000002E-3</v>
      </c>
      <c r="BB5" s="10">
        <f t="shared" si="53"/>
        <v>1.9666000000000002E-3</v>
      </c>
      <c r="BC5" s="10">
        <f t="shared" si="54"/>
        <v>1.9361000000000001E-3</v>
      </c>
      <c r="BD5" s="10">
        <f t="shared" si="55"/>
        <v>1.9063000000000001E-3</v>
      </c>
      <c r="BE5" s="10">
        <f t="shared" si="56"/>
        <v>1.8772999999999999E-3</v>
      </c>
      <c r="BF5" s="10">
        <f t="shared" si="57"/>
        <v>1.8489999999999999E-3</v>
      </c>
      <c r="BG5" s="10">
        <f t="shared" si="58"/>
        <v>1.8213000000000001E-3</v>
      </c>
      <c r="BH5" s="10">
        <f t="shared" si="59"/>
        <v>1.7943E-3</v>
      </c>
      <c r="BI5" s="10">
        <f t="shared" si="60"/>
        <v>1.7677999999999999E-3</v>
      </c>
      <c r="BJ5" s="10">
        <f t="shared" si="61"/>
        <v>1.7419E-3</v>
      </c>
      <c r="BK5" s="10">
        <f t="shared" si="62"/>
        <v>1.7166E-3</v>
      </c>
      <c r="BL5" s="10">
        <f t="shared" si="63"/>
        <v>1.6917E-3</v>
      </c>
      <c r="BM5" s="10">
        <f t="shared" si="64"/>
        <v>1.6673E-3</v>
      </c>
      <c r="BN5" s="10">
        <f t="shared" si="65"/>
        <v>1.6433999999999999E-3</v>
      </c>
      <c r="BO5" s="10">
        <f t="shared" si="66"/>
        <v>1.6199000000000001E-3</v>
      </c>
      <c r="BP5" s="10">
        <f t="shared" si="67"/>
        <v>1.5968E-3</v>
      </c>
      <c r="BQ5" s="10">
        <f t="shared" si="68"/>
        <v>1.5740999999999999E-3</v>
      </c>
      <c r="BR5" s="10">
        <f t="shared" si="69"/>
        <v>1.5518000000000001E-3</v>
      </c>
      <c r="BS5" s="10">
        <f t="shared" si="70"/>
        <v>1.5299000000000001E-3</v>
      </c>
      <c r="BT5" s="10">
        <f t="shared" si="71"/>
        <v>1.5083E-3</v>
      </c>
      <c r="BU5" s="10">
        <f t="shared" si="72"/>
        <v>1.4871000000000001E-3</v>
      </c>
      <c r="BV5" s="10">
        <f t="shared" si="73"/>
        <v>1.4662E-3</v>
      </c>
      <c r="BW5" s="10">
        <f t="shared" si="74"/>
        <v>1.4457000000000001E-3</v>
      </c>
      <c r="BX5" s="10">
        <f t="shared" si="75"/>
        <v>1.4254000000000001E-3</v>
      </c>
      <c r="BY5" s="10">
        <f t="shared" si="76"/>
        <v>1.4055000000000001E-3</v>
      </c>
      <c r="BZ5" s="10">
        <f t="shared" si="77"/>
        <v>1.3858E-3</v>
      </c>
      <c r="CA5" s="10">
        <f t="shared" si="78"/>
        <v>1.3664E-3</v>
      </c>
      <c r="CB5" s="10">
        <f t="shared" si="79"/>
        <v>1.3473999999999999E-3</v>
      </c>
      <c r="CC5" s="10">
        <f t="shared" si="80"/>
        <v>1.3285E-3</v>
      </c>
      <c r="CD5" s="10">
        <f t="shared" si="81"/>
        <v>1.31E-3</v>
      </c>
      <c r="CE5" s="10">
        <f t="shared" si="82"/>
        <v>1.2917E-3</v>
      </c>
      <c r="CF5" s="10">
        <f t="shared" si="83"/>
        <v>1.2737E-3</v>
      </c>
      <c r="CG5" s="10">
        <f t="shared" si="84"/>
        <v>1.2558999999999999E-3</v>
      </c>
      <c r="CH5" s="10">
        <f t="shared" si="85"/>
        <v>1.2384E-3</v>
      </c>
      <c r="CI5" s="10">
        <f t="shared" si="86"/>
        <v>1.2210999999999999E-3</v>
      </c>
      <c r="CJ5" s="10">
        <f t="shared" si="87"/>
        <v>1.2041E-3</v>
      </c>
      <c r="CK5" s="10">
        <f t="shared" si="88"/>
        <v>1.1873000000000001E-3</v>
      </c>
      <c r="CL5" s="10">
        <f t="shared" si="89"/>
        <v>1.1707E-3</v>
      </c>
      <c r="CM5" s="10">
        <f t="shared" si="90"/>
        <v>1.1543E-3</v>
      </c>
      <c r="CN5" s="10">
        <f t="shared" si="91"/>
        <v>1.1382E-3</v>
      </c>
      <c r="CO5" s="10">
        <f t="shared" si="92"/>
        <v>1.1222999999999999E-3</v>
      </c>
      <c r="CP5" s="10">
        <f t="shared" si="93"/>
        <v>1.1065999999999999E-3</v>
      </c>
      <c r="CQ5" s="10">
        <f t="shared" si="94"/>
        <v>1.0911E-3</v>
      </c>
      <c r="CR5" s="10">
        <f t="shared" si="95"/>
        <v>1.0759000000000001E-3</v>
      </c>
      <c r="CS5" s="10">
        <f t="shared" si="96"/>
        <v>1.0608E-3</v>
      </c>
      <c r="CT5" s="10">
        <f t="shared" si="97"/>
        <v>1.0459E-3</v>
      </c>
      <c r="CU5" s="10">
        <f t="shared" si="98"/>
        <v>1.0313E-3</v>
      </c>
      <c r="CV5" s="10">
        <f t="shared" si="99"/>
        <v>1.0168E-3</v>
      </c>
      <c r="CW5" s="10">
        <f t="shared" si="100"/>
        <v>1.0026E-3</v>
      </c>
      <c r="CX5" s="10">
        <f t="shared" si="101"/>
        <v>9.8850000000000001E-4</v>
      </c>
      <c r="CY5" s="10">
        <f t="shared" si="102"/>
        <v>9.7460000000000005E-4</v>
      </c>
      <c r="CZ5" s="10">
        <f t="shared" si="103"/>
        <v>9.6089999999999999E-4</v>
      </c>
      <c r="DA5" s="10">
        <f t="shared" si="104"/>
        <v>9.4740000000000004E-4</v>
      </c>
      <c r="DB5" s="10">
        <f t="shared" si="105"/>
        <v>9.3409999999999999E-4</v>
      </c>
      <c r="DC5" s="10">
        <f t="shared" si="106"/>
        <v>9.2100000000000005E-4</v>
      </c>
      <c r="DD5" s="10">
        <f t="shared" si="107"/>
        <v>9.0799999999999995E-4</v>
      </c>
      <c r="DE5" s="10">
        <f t="shared" si="108"/>
        <v>8.9519999999999997E-4</v>
      </c>
      <c r="DF5" s="10">
        <f t="shared" si="109"/>
        <v>8.8259999999999999E-4</v>
      </c>
      <c r="DG5" s="10">
        <f t="shared" si="110"/>
        <v>8.7020000000000001E-4</v>
      </c>
      <c r="DH5" s="10">
        <f t="shared" si="111"/>
        <v>8.5789999999999998E-4</v>
      </c>
      <c r="DI5" s="10">
        <f t="shared" si="112"/>
        <v>8.4579999999999996E-4</v>
      </c>
      <c r="DJ5" s="10">
        <f t="shared" si="113"/>
        <v>8.3390000000000005E-4</v>
      </c>
      <c r="DK5" s="10">
        <f t="shared" si="114"/>
        <v>8.2209999999999998E-4</v>
      </c>
      <c r="DL5" s="10">
        <f t="shared" si="115"/>
        <v>8.1050000000000002E-4</v>
      </c>
      <c r="DM5" s="10">
        <f t="shared" si="116"/>
        <v>7.9909999999999996E-4</v>
      </c>
      <c r="DN5" s="10">
        <f t="shared" si="117"/>
        <v>7.8779999999999996E-4</v>
      </c>
      <c r="DO5" s="10">
        <f t="shared" si="118"/>
        <v>7.7669999999999996E-4</v>
      </c>
      <c r="DP5" s="10">
        <f t="shared" si="119"/>
        <v>7.6570000000000002E-4</v>
      </c>
      <c r="DQ5" s="10">
        <f t="shared" si="120"/>
        <v>5.3164200000000002E-2</v>
      </c>
      <c r="DR5" s="10">
        <f t="shared" si="121"/>
        <v>0</v>
      </c>
      <c r="DS5" s="10">
        <f t="shared" si="122"/>
        <v>4.8199999999999999E-5</v>
      </c>
      <c r="DT5" s="10">
        <f t="shared" si="123"/>
        <v>1.697E-4</v>
      </c>
      <c r="DU5" s="10">
        <f t="shared" si="124"/>
        <v>6.826E-4</v>
      </c>
      <c r="DV5" s="10">
        <f t="shared" si="125"/>
        <v>6.1309999999999999E-4</v>
      </c>
      <c r="DW5" s="10">
        <f t="shared" si="126"/>
        <v>5.7359999999999996E-4</v>
      </c>
      <c r="DX5" s="10">
        <f t="shared" si="127"/>
        <v>5.9579999999999995E-4</v>
      </c>
      <c r="DY5" s="10">
        <f t="shared" si="128"/>
        <v>5.2820000000000005E-4</v>
      </c>
      <c r="DZ5" s="10">
        <f t="shared" si="129"/>
        <v>4.8280000000000003E-4</v>
      </c>
      <c r="EA5" s="10">
        <f t="shared" si="130"/>
        <v>4.283E-4</v>
      </c>
      <c r="EB5" s="10">
        <f t="shared" si="131"/>
        <v>3.8259999999999998E-4</v>
      </c>
      <c r="EC5" s="10">
        <f t="shared" si="132"/>
        <v>3.412E-4</v>
      </c>
      <c r="ED5" s="10">
        <f t="shared" si="133"/>
        <v>3.055E-4</v>
      </c>
      <c r="EE5" s="10">
        <f t="shared" si="134"/>
        <v>2.742E-4</v>
      </c>
      <c r="EF5" s="10">
        <f t="shared" si="135"/>
        <v>2.4699999999999999E-4</v>
      </c>
      <c r="EG5" s="10">
        <f t="shared" si="136"/>
        <v>2.2330000000000001E-4</v>
      </c>
      <c r="EH5" s="10">
        <f t="shared" si="137"/>
        <v>2.0259999999999999E-4</v>
      </c>
      <c r="EI5" s="10">
        <f t="shared" si="138"/>
        <v>1.8440000000000001E-4</v>
      </c>
      <c r="EJ5" s="10">
        <f t="shared" si="139"/>
        <v>1.685E-4</v>
      </c>
      <c r="EK5" s="10">
        <f t="shared" si="140"/>
        <v>1.5440000000000001E-4</v>
      </c>
      <c r="EL5" s="10">
        <f t="shared" si="141"/>
        <v>1.4200000000000001E-4</v>
      </c>
      <c r="EM5" s="10">
        <f t="shared" si="142"/>
        <v>1.3100000000000001E-4</v>
      </c>
      <c r="EN5" s="10">
        <f t="shared" si="143"/>
        <v>1.2129999999999999E-4</v>
      </c>
      <c r="EO5" s="10">
        <f t="shared" si="144"/>
        <v>1.126E-4</v>
      </c>
      <c r="EP5" s="10">
        <f t="shared" si="145"/>
        <v>1.048E-4</v>
      </c>
      <c r="EQ5" s="10">
        <f t="shared" si="146"/>
        <v>9.7899999999999994E-5</v>
      </c>
      <c r="ER5" s="10">
        <f t="shared" si="147"/>
        <v>9.1700000000000006E-5</v>
      </c>
      <c r="ES5" s="10">
        <f t="shared" si="148"/>
        <v>8.6100000000000006E-5</v>
      </c>
      <c r="ET5" s="10">
        <f t="shared" si="149"/>
        <v>8.1100000000000006E-5</v>
      </c>
      <c r="EU5" s="10">
        <f t="shared" si="150"/>
        <v>7.6500000000000003E-5</v>
      </c>
      <c r="EV5" s="10">
        <f t="shared" si="151"/>
        <v>7.2399999999999998E-5</v>
      </c>
      <c r="EW5" s="10">
        <f t="shared" si="152"/>
        <v>6.86E-5</v>
      </c>
      <c r="EX5" s="10">
        <f t="shared" si="153"/>
        <v>6.5199999999999999E-5</v>
      </c>
      <c r="EY5" s="10">
        <f t="shared" si="154"/>
        <v>6.2000000000000003E-5</v>
      </c>
      <c r="EZ5" s="10">
        <f t="shared" si="155"/>
        <v>5.8999999999999998E-5</v>
      </c>
      <c r="FA5" s="10">
        <f t="shared" si="156"/>
        <v>5.63E-5</v>
      </c>
      <c r="FB5" s="10">
        <f t="shared" si="157"/>
        <v>5.38E-5</v>
      </c>
      <c r="FC5" s="10">
        <f t="shared" si="158"/>
        <v>5.1499999999999998E-5</v>
      </c>
      <c r="FD5" s="10">
        <f t="shared" si="159"/>
        <v>4.9299999999999999E-5</v>
      </c>
      <c r="FE5" s="10">
        <f t="shared" si="160"/>
        <v>4.7299999999999998E-5</v>
      </c>
      <c r="FF5" s="10">
        <f t="shared" si="161"/>
        <v>4.5399999999999999E-5</v>
      </c>
      <c r="FG5" s="10">
        <f t="shared" si="162"/>
        <v>4.3600000000000003E-5</v>
      </c>
      <c r="FH5" s="10">
        <f t="shared" si="163"/>
        <v>4.1999999999999998E-5</v>
      </c>
      <c r="FI5" s="10">
        <f t="shared" si="164"/>
        <v>4.0500000000000002E-5</v>
      </c>
      <c r="FJ5" s="10">
        <f t="shared" si="165"/>
        <v>3.8999999999999999E-5</v>
      </c>
      <c r="FK5" s="10">
        <f t="shared" si="166"/>
        <v>3.7700000000000002E-5</v>
      </c>
      <c r="FL5" s="10">
        <f t="shared" si="167"/>
        <v>3.65E-5</v>
      </c>
      <c r="FM5" s="10">
        <f t="shared" si="168"/>
        <v>3.5299999999999997E-5</v>
      </c>
      <c r="FN5" s="10">
        <f t="shared" si="169"/>
        <v>3.4199999999999998E-5</v>
      </c>
      <c r="FO5" s="10">
        <f t="shared" si="170"/>
        <v>3.3200000000000001E-5</v>
      </c>
      <c r="FP5" s="10">
        <f t="shared" si="171"/>
        <v>3.2299999999999999E-5</v>
      </c>
      <c r="FQ5" s="10">
        <f t="shared" si="172"/>
        <v>3.1399999999999998E-5</v>
      </c>
      <c r="FR5" s="10">
        <f t="shared" si="173"/>
        <v>3.0499999999999999E-5</v>
      </c>
      <c r="FS5" s="10">
        <f t="shared" si="174"/>
        <v>2.9799999999999999E-5</v>
      </c>
      <c r="FT5" s="10">
        <f t="shared" si="175"/>
        <v>2.9E-5</v>
      </c>
      <c r="FU5" s="10">
        <f t="shared" si="176"/>
        <v>2.83E-5</v>
      </c>
      <c r="FV5" s="10">
        <f t="shared" si="177"/>
        <v>2.7699999999999999E-5</v>
      </c>
      <c r="FW5" s="10">
        <f t="shared" si="178"/>
        <v>2.6999999999999999E-5</v>
      </c>
      <c r="FX5" s="10">
        <f t="shared" si="179"/>
        <v>2.65E-5</v>
      </c>
      <c r="FY5" s="10">
        <f t="shared" si="180"/>
        <v>2.5899999999999999E-5</v>
      </c>
      <c r="FZ5" s="10">
        <f t="shared" si="181"/>
        <v>2.5400000000000001E-5</v>
      </c>
      <c r="GA5" s="10">
        <f t="shared" si="182"/>
        <v>2.4899999999999999E-5</v>
      </c>
      <c r="GB5" s="10">
        <f t="shared" si="183"/>
        <v>2.44E-5</v>
      </c>
      <c r="GC5" s="10">
        <f t="shared" si="184"/>
        <v>2.3900000000000002E-5</v>
      </c>
      <c r="GD5" s="10">
        <f t="shared" si="185"/>
        <v>2.3499999999999999E-5</v>
      </c>
      <c r="GE5" s="10">
        <f t="shared" si="186"/>
        <v>2.3099999999999999E-5</v>
      </c>
      <c r="GF5" s="10">
        <f t="shared" si="187"/>
        <v>2.27E-5</v>
      </c>
      <c r="GG5" s="10">
        <f t="shared" si="188"/>
        <v>2.23E-5</v>
      </c>
      <c r="GH5" s="10">
        <f t="shared" si="189"/>
        <v>2.19E-5</v>
      </c>
      <c r="GI5" s="10">
        <f t="shared" si="190"/>
        <v>2.16E-5</v>
      </c>
      <c r="GJ5" s="10">
        <f t="shared" si="191"/>
        <v>2.12E-5</v>
      </c>
      <c r="GK5" s="10">
        <f t="shared" si="192"/>
        <v>2.09E-5</v>
      </c>
      <c r="GL5" s="10">
        <f t="shared" si="193"/>
        <v>2.0599999999999999E-5</v>
      </c>
      <c r="GM5" s="10">
        <f t="shared" si="194"/>
        <v>2.0299999999999999E-5</v>
      </c>
      <c r="GN5" s="10">
        <f t="shared" si="195"/>
        <v>1.9899999999999999E-5</v>
      </c>
      <c r="GO5" s="10">
        <f t="shared" si="196"/>
        <v>1.9700000000000001E-5</v>
      </c>
      <c r="GP5" s="10">
        <f t="shared" si="197"/>
        <v>1.9400000000000001E-5</v>
      </c>
      <c r="GQ5" s="10">
        <f t="shared" si="198"/>
        <v>1.91E-5</v>
      </c>
      <c r="GR5" s="10">
        <f t="shared" si="199"/>
        <v>1.88E-5</v>
      </c>
      <c r="GS5" s="10">
        <f t="shared" si="200"/>
        <v>1.8499999999999999E-5</v>
      </c>
      <c r="GT5" s="10">
        <f t="shared" si="201"/>
        <v>1.8300000000000001E-5</v>
      </c>
      <c r="GU5" s="10">
        <f t="shared" si="202"/>
        <v>1.8E-5</v>
      </c>
      <c r="GV5" s="10">
        <f t="shared" si="203"/>
        <v>1.7799999999999999E-5</v>
      </c>
      <c r="GW5" s="10">
        <f t="shared" si="204"/>
        <v>1.7499999999999998E-5</v>
      </c>
      <c r="GX5" s="10">
        <f t="shared" si="205"/>
        <v>1.73E-5</v>
      </c>
      <c r="GY5" s="10">
        <f t="shared" si="206"/>
        <v>1.7E-5</v>
      </c>
      <c r="GZ5" s="10">
        <f t="shared" si="207"/>
        <v>1.6799999999999998E-5</v>
      </c>
      <c r="HA5" s="10">
        <f t="shared" si="208"/>
        <v>1.66E-5</v>
      </c>
      <c r="HB5" s="10">
        <f t="shared" si="209"/>
        <v>1.6399999999999999E-5</v>
      </c>
      <c r="HC5" s="10">
        <f t="shared" si="210"/>
        <v>1.6099999999999998E-5</v>
      </c>
      <c r="HD5" s="10">
        <f t="shared" si="211"/>
        <v>1.59E-5</v>
      </c>
      <c r="HE5" s="10">
        <f t="shared" si="212"/>
        <v>1.5699999999999999E-5</v>
      </c>
      <c r="HF5" s="10">
        <f t="shared" si="213"/>
        <v>1.5500000000000001E-5</v>
      </c>
      <c r="HG5" s="10">
        <f t="shared" si="214"/>
        <v>1.5299999999999999E-5</v>
      </c>
      <c r="HH5" s="10">
        <f t="shared" si="215"/>
        <v>1.5099999999999999E-5</v>
      </c>
      <c r="HI5" s="10">
        <f t="shared" si="216"/>
        <v>1.49E-5</v>
      </c>
      <c r="HJ5" s="10">
        <f t="shared" si="217"/>
        <v>1.47E-5</v>
      </c>
      <c r="HK5" s="10">
        <f t="shared" si="218"/>
        <v>1.45E-5</v>
      </c>
      <c r="HL5" s="10">
        <f t="shared" si="219"/>
        <v>1.43E-5</v>
      </c>
      <c r="HM5" s="10">
        <f t="shared" si="220"/>
        <v>1.4100000000000001E-5</v>
      </c>
      <c r="HN5" s="10">
        <f t="shared" si="221"/>
        <v>1.3900000000000001E-5</v>
      </c>
      <c r="HO5" s="10">
        <f t="shared" si="222"/>
        <v>1.3699999999999999E-5</v>
      </c>
      <c r="HP5" s="10">
        <f t="shared" si="223"/>
        <v>1.3499999999999999E-5</v>
      </c>
      <c r="HQ5" s="10">
        <f t="shared" si="224"/>
        <v>1.33E-5</v>
      </c>
      <c r="HR5" s="10">
        <f t="shared" si="225"/>
        <v>1.31E-5</v>
      </c>
      <c r="HS5" s="10">
        <f t="shared" si="226"/>
        <v>1.2999999999999999E-5</v>
      </c>
      <c r="HT5" s="10">
        <f t="shared" si="227"/>
        <v>1.2799999999999999E-5</v>
      </c>
      <c r="HU5" s="10">
        <f t="shared" si="228"/>
        <v>1.26E-5</v>
      </c>
      <c r="HV5" s="10">
        <f t="shared" si="229"/>
        <v>1.24E-5</v>
      </c>
      <c r="HW5" s="10">
        <f t="shared" si="230"/>
        <v>1.2300000000000001E-5</v>
      </c>
      <c r="HX5" s="10">
        <f t="shared" si="231"/>
        <v>1.2099999999999999E-5</v>
      </c>
      <c r="HY5" s="10">
        <f t="shared" si="232"/>
        <v>1.19E-5</v>
      </c>
      <c r="HZ5" s="10">
        <f t="shared" si="233"/>
        <v>1.1800000000000001E-5</v>
      </c>
      <c r="IA5" s="10">
        <f t="shared" si="234"/>
        <v>1.1600000000000001E-5</v>
      </c>
      <c r="IB5" s="10">
        <f t="shared" si="235"/>
        <v>1.1399999999999999E-5</v>
      </c>
      <c r="IC5" s="10">
        <f t="shared" si="236"/>
        <v>1.13E-5</v>
      </c>
      <c r="ID5" s="10">
        <f t="shared" si="237"/>
        <v>1.11E-5</v>
      </c>
      <c r="IE5" s="10">
        <f t="shared" si="238"/>
        <v>1.1E-5</v>
      </c>
      <c r="IF5" s="10">
        <f t="shared" si="239"/>
        <v>1.08E-5</v>
      </c>
      <c r="IG5" s="10">
        <f t="shared" si="240"/>
        <v>7.5480000000000002E-4</v>
      </c>
      <c r="JK5"/>
      <c r="JL5"/>
      <c r="JM5"/>
      <c r="JN5"/>
      <c r="JO5"/>
      <c r="JP5"/>
      <c r="JQ5"/>
      <c r="JR5"/>
      <c r="JS5"/>
    </row>
    <row r="6" spans="1:279" s="1" customFormat="1" x14ac:dyDescent="0.35">
      <c r="A6" s="1">
        <f t="shared" si="0"/>
        <v>-2</v>
      </c>
      <c r="B6" s="10">
        <f t="shared" si="1"/>
        <v>1.0654E-2</v>
      </c>
      <c r="C6" s="10">
        <f t="shared" si="2"/>
        <v>1.0654E-2</v>
      </c>
      <c r="D6" s="10">
        <f t="shared" si="3"/>
        <v>1.06058E-2</v>
      </c>
      <c r="E6" s="10">
        <f t="shared" si="4"/>
        <v>1.04361E-2</v>
      </c>
      <c r="F6" s="10">
        <f t="shared" si="5"/>
        <v>9.7535E-3</v>
      </c>
      <c r="G6" s="10">
        <f t="shared" si="6"/>
        <v>9.1403999999999999E-3</v>
      </c>
      <c r="H6" s="10">
        <f t="shared" si="7"/>
        <v>8.5669000000000006E-3</v>
      </c>
      <c r="I6" s="10">
        <f t="shared" si="8"/>
        <v>7.9711000000000001E-3</v>
      </c>
      <c r="J6" s="10">
        <f t="shared" si="9"/>
        <v>7.4428000000000003E-3</v>
      </c>
      <c r="K6" s="10">
        <f t="shared" si="10"/>
        <v>6.9601000000000003E-3</v>
      </c>
      <c r="L6" s="10">
        <f t="shared" si="11"/>
        <v>6.5317999999999999E-3</v>
      </c>
      <c r="M6" s="10">
        <f t="shared" si="12"/>
        <v>6.1491999999999996E-3</v>
      </c>
      <c r="N6" s="10">
        <f t="shared" si="13"/>
        <v>5.8079999999999998E-3</v>
      </c>
      <c r="O6" s="10">
        <f t="shared" si="14"/>
        <v>5.5024999999999996E-3</v>
      </c>
      <c r="P6" s="10">
        <f t="shared" si="15"/>
        <v>5.2283E-3</v>
      </c>
      <c r="Q6" s="10">
        <f t="shared" si="16"/>
        <v>4.9813000000000001E-3</v>
      </c>
      <c r="R6" s="10">
        <f t="shared" si="17"/>
        <v>4.7580000000000001E-3</v>
      </c>
      <c r="S6" s="10">
        <f t="shared" si="18"/>
        <v>4.5554000000000002E-3</v>
      </c>
      <c r="T6" s="10">
        <f t="shared" si="19"/>
        <v>4.3709999999999999E-3</v>
      </c>
      <c r="U6" s="10">
        <f t="shared" si="20"/>
        <v>4.2025999999999999E-3</v>
      </c>
      <c r="V6" s="10">
        <f t="shared" si="21"/>
        <v>4.0480999999999998E-3</v>
      </c>
      <c r="W6" s="10">
        <f t="shared" si="22"/>
        <v>3.9061E-3</v>
      </c>
      <c r="X6" s="10">
        <f t="shared" si="23"/>
        <v>3.7750000000000001E-3</v>
      </c>
      <c r="Y6" s="10">
        <f t="shared" si="24"/>
        <v>3.6537000000000002E-3</v>
      </c>
      <c r="Z6" s="10">
        <f t="shared" si="25"/>
        <v>3.5412E-3</v>
      </c>
      <c r="AA6" s="10">
        <f t="shared" si="26"/>
        <v>3.4364E-3</v>
      </c>
      <c r="AB6" s="10">
        <f t="shared" si="27"/>
        <v>3.3384999999999999E-3</v>
      </c>
      <c r="AC6" s="10">
        <f t="shared" si="28"/>
        <v>3.2468000000000002E-3</v>
      </c>
      <c r="AD6" s="10">
        <f t="shared" si="29"/>
        <v>3.1606999999999998E-3</v>
      </c>
      <c r="AE6" s="10">
        <f t="shared" si="30"/>
        <v>3.0796999999999999E-3</v>
      </c>
      <c r="AF6" s="10">
        <f t="shared" si="31"/>
        <v>3.0030999999999999E-3</v>
      </c>
      <c r="AG6" s="10">
        <f t="shared" si="32"/>
        <v>2.9307000000000001E-3</v>
      </c>
      <c r="AH6" s="10">
        <f t="shared" si="33"/>
        <v>2.8620999999999998E-3</v>
      </c>
      <c r="AI6" s="10">
        <f t="shared" si="34"/>
        <v>2.7969000000000002E-3</v>
      </c>
      <c r="AJ6" s="10">
        <f t="shared" si="35"/>
        <v>2.7349000000000002E-3</v>
      </c>
      <c r="AK6" s="10">
        <f t="shared" si="36"/>
        <v>2.6759000000000002E-3</v>
      </c>
      <c r="AL6" s="10">
        <f t="shared" si="37"/>
        <v>2.6194999999999999E-3</v>
      </c>
      <c r="AM6" s="10">
        <f t="shared" si="38"/>
        <v>2.5657000000000002E-3</v>
      </c>
      <c r="AN6" s="10">
        <f t="shared" si="39"/>
        <v>2.5143000000000001E-3</v>
      </c>
      <c r="AO6" s="10">
        <f t="shared" si="40"/>
        <v>2.4650000000000002E-3</v>
      </c>
      <c r="AP6" s="10">
        <f t="shared" si="41"/>
        <v>2.4177000000000001E-3</v>
      </c>
      <c r="AQ6" s="10">
        <f t="shared" si="42"/>
        <v>2.3722999999999999E-3</v>
      </c>
      <c r="AR6" s="10">
        <f t="shared" si="43"/>
        <v>2.3287E-3</v>
      </c>
      <c r="AS6" s="10">
        <f t="shared" si="44"/>
        <v>2.2867E-3</v>
      </c>
      <c r="AT6" s="10">
        <f t="shared" si="45"/>
        <v>2.2461999999999998E-3</v>
      </c>
      <c r="AU6" s="10">
        <f t="shared" si="46"/>
        <v>2.2071999999999999E-3</v>
      </c>
      <c r="AV6" s="10">
        <f t="shared" si="47"/>
        <v>2.1695E-3</v>
      </c>
      <c r="AW6" s="10">
        <f t="shared" si="48"/>
        <v>2.1329999999999999E-3</v>
      </c>
      <c r="AX6" s="10">
        <f t="shared" si="49"/>
        <v>2.0977000000000001E-3</v>
      </c>
      <c r="AY6" s="10">
        <f t="shared" si="50"/>
        <v>2.0634E-3</v>
      </c>
      <c r="AZ6" s="10">
        <f t="shared" si="51"/>
        <v>2.0301999999999998E-3</v>
      </c>
      <c r="BA6" s="10">
        <f t="shared" si="52"/>
        <v>1.9980000000000002E-3</v>
      </c>
      <c r="BB6" s="10">
        <f t="shared" si="53"/>
        <v>1.9666000000000002E-3</v>
      </c>
      <c r="BC6" s="10">
        <f t="shared" si="54"/>
        <v>1.9361000000000001E-3</v>
      </c>
      <c r="BD6" s="10">
        <f t="shared" si="55"/>
        <v>1.9063000000000001E-3</v>
      </c>
      <c r="BE6" s="10">
        <f t="shared" si="56"/>
        <v>1.8772999999999999E-3</v>
      </c>
      <c r="BF6" s="10">
        <f t="shared" si="57"/>
        <v>1.8489999999999999E-3</v>
      </c>
      <c r="BG6" s="10">
        <f t="shared" si="58"/>
        <v>1.8213000000000001E-3</v>
      </c>
      <c r="BH6" s="10">
        <f t="shared" si="59"/>
        <v>1.7943E-3</v>
      </c>
      <c r="BI6" s="10">
        <f t="shared" si="60"/>
        <v>1.7677999999999999E-3</v>
      </c>
      <c r="BJ6" s="10">
        <f t="shared" si="61"/>
        <v>1.7419E-3</v>
      </c>
      <c r="BK6" s="10">
        <f t="shared" si="62"/>
        <v>1.7166E-3</v>
      </c>
      <c r="BL6" s="10">
        <f t="shared" si="63"/>
        <v>1.6917E-3</v>
      </c>
      <c r="BM6" s="10">
        <f t="shared" si="64"/>
        <v>1.6673E-3</v>
      </c>
      <c r="BN6" s="10">
        <f t="shared" si="65"/>
        <v>1.6433999999999999E-3</v>
      </c>
      <c r="BO6" s="10">
        <f t="shared" si="66"/>
        <v>1.6199000000000001E-3</v>
      </c>
      <c r="BP6" s="10">
        <f t="shared" si="67"/>
        <v>1.5968E-3</v>
      </c>
      <c r="BQ6" s="10">
        <f t="shared" si="68"/>
        <v>1.5740999999999999E-3</v>
      </c>
      <c r="BR6" s="10">
        <f t="shared" si="69"/>
        <v>1.5518000000000001E-3</v>
      </c>
      <c r="BS6" s="10">
        <f t="shared" si="70"/>
        <v>1.5299000000000001E-3</v>
      </c>
      <c r="BT6" s="10">
        <f t="shared" si="71"/>
        <v>1.5083E-3</v>
      </c>
      <c r="BU6" s="10">
        <f t="shared" si="72"/>
        <v>1.4871000000000001E-3</v>
      </c>
      <c r="BV6" s="10">
        <f t="shared" si="73"/>
        <v>1.4662E-3</v>
      </c>
      <c r="BW6" s="10">
        <f t="shared" si="74"/>
        <v>1.4457000000000001E-3</v>
      </c>
      <c r="BX6" s="10">
        <f t="shared" si="75"/>
        <v>1.4254000000000001E-3</v>
      </c>
      <c r="BY6" s="10">
        <f t="shared" si="76"/>
        <v>1.4055000000000001E-3</v>
      </c>
      <c r="BZ6" s="10">
        <f t="shared" si="77"/>
        <v>1.3858E-3</v>
      </c>
      <c r="CA6" s="10">
        <f t="shared" si="78"/>
        <v>1.3664E-3</v>
      </c>
      <c r="CB6" s="10">
        <f t="shared" si="79"/>
        <v>1.3473999999999999E-3</v>
      </c>
      <c r="CC6" s="10">
        <f t="shared" si="80"/>
        <v>1.3285E-3</v>
      </c>
      <c r="CD6" s="10">
        <f t="shared" si="81"/>
        <v>1.31E-3</v>
      </c>
      <c r="CE6" s="10">
        <f t="shared" si="82"/>
        <v>1.2917E-3</v>
      </c>
      <c r="CF6" s="10">
        <f t="shared" si="83"/>
        <v>1.2737E-3</v>
      </c>
      <c r="CG6" s="10">
        <f t="shared" si="84"/>
        <v>1.2558999999999999E-3</v>
      </c>
      <c r="CH6" s="10">
        <f t="shared" si="85"/>
        <v>1.2384E-3</v>
      </c>
      <c r="CI6" s="10">
        <f t="shared" si="86"/>
        <v>1.2210999999999999E-3</v>
      </c>
      <c r="CJ6" s="10">
        <f t="shared" si="87"/>
        <v>1.2041E-3</v>
      </c>
      <c r="CK6" s="10">
        <f t="shared" si="88"/>
        <v>1.1873000000000001E-3</v>
      </c>
      <c r="CL6" s="10">
        <f t="shared" si="89"/>
        <v>1.1707E-3</v>
      </c>
      <c r="CM6" s="10">
        <f t="shared" si="90"/>
        <v>1.1543E-3</v>
      </c>
      <c r="CN6" s="10">
        <f t="shared" si="91"/>
        <v>1.1382E-3</v>
      </c>
      <c r="CO6" s="10">
        <f t="shared" si="92"/>
        <v>1.1222999999999999E-3</v>
      </c>
      <c r="CP6" s="10">
        <f t="shared" si="93"/>
        <v>1.1065999999999999E-3</v>
      </c>
      <c r="CQ6" s="10">
        <f t="shared" si="94"/>
        <v>1.0911E-3</v>
      </c>
      <c r="CR6" s="10">
        <f t="shared" si="95"/>
        <v>1.0759000000000001E-3</v>
      </c>
      <c r="CS6" s="10">
        <f t="shared" si="96"/>
        <v>1.0608E-3</v>
      </c>
      <c r="CT6" s="10">
        <f t="shared" si="97"/>
        <v>1.0459E-3</v>
      </c>
      <c r="CU6" s="10">
        <f t="shared" si="98"/>
        <v>1.0313E-3</v>
      </c>
      <c r="CV6" s="10">
        <f t="shared" si="99"/>
        <v>1.0168E-3</v>
      </c>
      <c r="CW6" s="10">
        <f t="shared" si="100"/>
        <v>1.0026E-3</v>
      </c>
      <c r="CX6" s="10">
        <f t="shared" si="101"/>
        <v>9.8850000000000001E-4</v>
      </c>
      <c r="CY6" s="10">
        <f t="shared" si="102"/>
        <v>9.7460000000000005E-4</v>
      </c>
      <c r="CZ6" s="10">
        <f t="shared" si="103"/>
        <v>9.6089999999999999E-4</v>
      </c>
      <c r="DA6" s="10">
        <f t="shared" si="104"/>
        <v>9.4740000000000004E-4</v>
      </c>
      <c r="DB6" s="10">
        <f t="shared" si="105"/>
        <v>9.3409999999999999E-4</v>
      </c>
      <c r="DC6" s="10">
        <f t="shared" si="106"/>
        <v>9.2100000000000005E-4</v>
      </c>
      <c r="DD6" s="10">
        <f t="shared" si="107"/>
        <v>9.0799999999999995E-4</v>
      </c>
      <c r="DE6" s="10">
        <f t="shared" si="108"/>
        <v>8.9519999999999997E-4</v>
      </c>
      <c r="DF6" s="10">
        <f t="shared" si="109"/>
        <v>8.8259999999999999E-4</v>
      </c>
      <c r="DG6" s="10">
        <f t="shared" si="110"/>
        <v>8.7020000000000001E-4</v>
      </c>
      <c r="DH6" s="10">
        <f t="shared" si="111"/>
        <v>8.5789999999999998E-4</v>
      </c>
      <c r="DI6" s="10">
        <f t="shared" si="112"/>
        <v>8.4579999999999996E-4</v>
      </c>
      <c r="DJ6" s="10">
        <f t="shared" si="113"/>
        <v>8.3390000000000005E-4</v>
      </c>
      <c r="DK6" s="10">
        <f t="shared" si="114"/>
        <v>8.2209999999999998E-4</v>
      </c>
      <c r="DL6" s="10">
        <f t="shared" si="115"/>
        <v>8.1050000000000002E-4</v>
      </c>
      <c r="DM6" s="10">
        <f t="shared" si="116"/>
        <v>7.9909999999999996E-4</v>
      </c>
      <c r="DN6" s="10">
        <f t="shared" si="117"/>
        <v>7.8779999999999996E-4</v>
      </c>
      <c r="DO6" s="10">
        <f t="shared" si="118"/>
        <v>7.7669999999999996E-4</v>
      </c>
      <c r="DP6" s="10">
        <f t="shared" si="119"/>
        <v>7.6570000000000002E-4</v>
      </c>
      <c r="DQ6" s="10">
        <f t="shared" si="120"/>
        <v>5.3164200000000002E-2</v>
      </c>
      <c r="DR6" s="10">
        <f t="shared" si="121"/>
        <v>0</v>
      </c>
      <c r="DS6" s="10">
        <f t="shared" si="122"/>
        <v>4.8199999999999999E-5</v>
      </c>
      <c r="DT6" s="10">
        <f t="shared" si="123"/>
        <v>1.697E-4</v>
      </c>
      <c r="DU6" s="10">
        <f t="shared" si="124"/>
        <v>6.826E-4</v>
      </c>
      <c r="DV6" s="10">
        <f t="shared" si="125"/>
        <v>6.1309999999999999E-4</v>
      </c>
      <c r="DW6" s="10">
        <f t="shared" si="126"/>
        <v>5.7359999999999996E-4</v>
      </c>
      <c r="DX6" s="10">
        <f t="shared" si="127"/>
        <v>5.9579999999999995E-4</v>
      </c>
      <c r="DY6" s="10">
        <f t="shared" si="128"/>
        <v>5.2820000000000005E-4</v>
      </c>
      <c r="DZ6" s="10">
        <f t="shared" si="129"/>
        <v>4.8280000000000003E-4</v>
      </c>
      <c r="EA6" s="10">
        <f t="shared" si="130"/>
        <v>4.283E-4</v>
      </c>
      <c r="EB6" s="10">
        <f t="shared" si="131"/>
        <v>3.8259999999999998E-4</v>
      </c>
      <c r="EC6" s="10">
        <f t="shared" si="132"/>
        <v>3.412E-4</v>
      </c>
      <c r="ED6" s="10">
        <f t="shared" si="133"/>
        <v>3.055E-4</v>
      </c>
      <c r="EE6" s="10">
        <f t="shared" si="134"/>
        <v>2.742E-4</v>
      </c>
      <c r="EF6" s="10">
        <f t="shared" si="135"/>
        <v>2.4699999999999999E-4</v>
      </c>
      <c r="EG6" s="10">
        <f t="shared" si="136"/>
        <v>2.2330000000000001E-4</v>
      </c>
      <c r="EH6" s="10">
        <f t="shared" si="137"/>
        <v>2.0259999999999999E-4</v>
      </c>
      <c r="EI6" s="10">
        <f t="shared" si="138"/>
        <v>1.8440000000000001E-4</v>
      </c>
      <c r="EJ6" s="10">
        <f t="shared" si="139"/>
        <v>1.685E-4</v>
      </c>
      <c r="EK6" s="10">
        <f t="shared" si="140"/>
        <v>1.5440000000000001E-4</v>
      </c>
      <c r="EL6" s="10">
        <f t="shared" si="141"/>
        <v>1.4200000000000001E-4</v>
      </c>
      <c r="EM6" s="10">
        <f t="shared" si="142"/>
        <v>1.3100000000000001E-4</v>
      </c>
      <c r="EN6" s="10">
        <f t="shared" si="143"/>
        <v>1.2129999999999999E-4</v>
      </c>
      <c r="EO6" s="10">
        <f t="shared" si="144"/>
        <v>1.126E-4</v>
      </c>
      <c r="EP6" s="10">
        <f t="shared" si="145"/>
        <v>1.048E-4</v>
      </c>
      <c r="EQ6" s="10">
        <f t="shared" si="146"/>
        <v>9.7899999999999994E-5</v>
      </c>
      <c r="ER6" s="10">
        <f t="shared" si="147"/>
        <v>9.1700000000000006E-5</v>
      </c>
      <c r="ES6" s="10">
        <f t="shared" si="148"/>
        <v>8.6100000000000006E-5</v>
      </c>
      <c r="ET6" s="10">
        <f t="shared" si="149"/>
        <v>8.1100000000000006E-5</v>
      </c>
      <c r="EU6" s="10">
        <f t="shared" si="150"/>
        <v>7.6500000000000003E-5</v>
      </c>
      <c r="EV6" s="10">
        <f t="shared" si="151"/>
        <v>7.2399999999999998E-5</v>
      </c>
      <c r="EW6" s="10">
        <f t="shared" si="152"/>
        <v>6.86E-5</v>
      </c>
      <c r="EX6" s="10">
        <f t="shared" si="153"/>
        <v>6.5199999999999999E-5</v>
      </c>
      <c r="EY6" s="10">
        <f t="shared" si="154"/>
        <v>6.2000000000000003E-5</v>
      </c>
      <c r="EZ6" s="10">
        <f t="shared" si="155"/>
        <v>5.8999999999999998E-5</v>
      </c>
      <c r="FA6" s="10">
        <f t="shared" si="156"/>
        <v>5.63E-5</v>
      </c>
      <c r="FB6" s="10">
        <f t="shared" si="157"/>
        <v>5.38E-5</v>
      </c>
      <c r="FC6" s="10">
        <f t="shared" si="158"/>
        <v>5.1499999999999998E-5</v>
      </c>
      <c r="FD6" s="10">
        <f t="shared" si="159"/>
        <v>4.9299999999999999E-5</v>
      </c>
      <c r="FE6" s="10">
        <f t="shared" si="160"/>
        <v>4.7299999999999998E-5</v>
      </c>
      <c r="FF6" s="10">
        <f t="shared" si="161"/>
        <v>4.5399999999999999E-5</v>
      </c>
      <c r="FG6" s="10">
        <f t="shared" si="162"/>
        <v>4.3600000000000003E-5</v>
      </c>
      <c r="FH6" s="10">
        <f t="shared" si="163"/>
        <v>4.1999999999999998E-5</v>
      </c>
      <c r="FI6" s="10">
        <f t="shared" si="164"/>
        <v>4.0500000000000002E-5</v>
      </c>
      <c r="FJ6" s="10">
        <f t="shared" si="165"/>
        <v>3.8999999999999999E-5</v>
      </c>
      <c r="FK6" s="10">
        <f t="shared" si="166"/>
        <v>3.7700000000000002E-5</v>
      </c>
      <c r="FL6" s="10">
        <f t="shared" si="167"/>
        <v>3.65E-5</v>
      </c>
      <c r="FM6" s="10">
        <f t="shared" si="168"/>
        <v>3.5299999999999997E-5</v>
      </c>
      <c r="FN6" s="10">
        <f t="shared" si="169"/>
        <v>3.4199999999999998E-5</v>
      </c>
      <c r="FO6" s="10">
        <f t="shared" si="170"/>
        <v>3.3200000000000001E-5</v>
      </c>
      <c r="FP6" s="10">
        <f t="shared" si="171"/>
        <v>3.2299999999999999E-5</v>
      </c>
      <c r="FQ6" s="10">
        <f t="shared" si="172"/>
        <v>3.1399999999999998E-5</v>
      </c>
      <c r="FR6" s="10">
        <f t="shared" si="173"/>
        <v>3.0499999999999999E-5</v>
      </c>
      <c r="FS6" s="10">
        <f t="shared" si="174"/>
        <v>2.9799999999999999E-5</v>
      </c>
      <c r="FT6" s="10">
        <f t="shared" si="175"/>
        <v>2.9E-5</v>
      </c>
      <c r="FU6" s="10">
        <f t="shared" si="176"/>
        <v>2.83E-5</v>
      </c>
      <c r="FV6" s="10">
        <f t="shared" si="177"/>
        <v>2.7699999999999999E-5</v>
      </c>
      <c r="FW6" s="10">
        <f t="shared" si="178"/>
        <v>2.6999999999999999E-5</v>
      </c>
      <c r="FX6" s="10">
        <f t="shared" si="179"/>
        <v>2.65E-5</v>
      </c>
      <c r="FY6" s="10">
        <f t="shared" si="180"/>
        <v>2.5899999999999999E-5</v>
      </c>
      <c r="FZ6" s="10">
        <f t="shared" si="181"/>
        <v>2.5400000000000001E-5</v>
      </c>
      <c r="GA6" s="10">
        <f t="shared" si="182"/>
        <v>2.4899999999999999E-5</v>
      </c>
      <c r="GB6" s="10">
        <f t="shared" si="183"/>
        <v>2.44E-5</v>
      </c>
      <c r="GC6" s="10">
        <f t="shared" si="184"/>
        <v>2.3900000000000002E-5</v>
      </c>
      <c r="GD6" s="10">
        <f t="shared" si="185"/>
        <v>2.3499999999999999E-5</v>
      </c>
      <c r="GE6" s="10">
        <f t="shared" si="186"/>
        <v>2.3099999999999999E-5</v>
      </c>
      <c r="GF6" s="10">
        <f t="shared" si="187"/>
        <v>2.27E-5</v>
      </c>
      <c r="GG6" s="10">
        <f t="shared" si="188"/>
        <v>2.23E-5</v>
      </c>
      <c r="GH6" s="10">
        <f t="shared" si="189"/>
        <v>2.19E-5</v>
      </c>
      <c r="GI6" s="10">
        <f t="shared" si="190"/>
        <v>2.16E-5</v>
      </c>
      <c r="GJ6" s="10">
        <f t="shared" si="191"/>
        <v>2.12E-5</v>
      </c>
      <c r="GK6" s="10">
        <f t="shared" si="192"/>
        <v>2.09E-5</v>
      </c>
      <c r="GL6" s="10">
        <f t="shared" si="193"/>
        <v>2.0599999999999999E-5</v>
      </c>
      <c r="GM6" s="10">
        <f t="shared" si="194"/>
        <v>2.0299999999999999E-5</v>
      </c>
      <c r="GN6" s="10">
        <f t="shared" si="195"/>
        <v>1.9899999999999999E-5</v>
      </c>
      <c r="GO6" s="10">
        <f t="shared" si="196"/>
        <v>1.9700000000000001E-5</v>
      </c>
      <c r="GP6" s="10">
        <f t="shared" si="197"/>
        <v>1.9400000000000001E-5</v>
      </c>
      <c r="GQ6" s="10">
        <f t="shared" si="198"/>
        <v>1.91E-5</v>
      </c>
      <c r="GR6" s="10">
        <f t="shared" si="199"/>
        <v>1.88E-5</v>
      </c>
      <c r="GS6" s="10">
        <f t="shared" si="200"/>
        <v>1.8499999999999999E-5</v>
      </c>
      <c r="GT6" s="10">
        <f t="shared" si="201"/>
        <v>1.8300000000000001E-5</v>
      </c>
      <c r="GU6" s="10">
        <f t="shared" si="202"/>
        <v>1.8E-5</v>
      </c>
      <c r="GV6" s="10">
        <f t="shared" si="203"/>
        <v>1.7799999999999999E-5</v>
      </c>
      <c r="GW6" s="10">
        <f t="shared" si="204"/>
        <v>1.7499999999999998E-5</v>
      </c>
      <c r="GX6" s="10">
        <f t="shared" si="205"/>
        <v>1.73E-5</v>
      </c>
      <c r="GY6" s="10">
        <f t="shared" si="206"/>
        <v>1.7E-5</v>
      </c>
      <c r="GZ6" s="10">
        <f t="shared" si="207"/>
        <v>1.6799999999999998E-5</v>
      </c>
      <c r="HA6" s="10">
        <f t="shared" si="208"/>
        <v>1.66E-5</v>
      </c>
      <c r="HB6" s="10">
        <f t="shared" si="209"/>
        <v>1.6399999999999999E-5</v>
      </c>
      <c r="HC6" s="10">
        <f t="shared" si="210"/>
        <v>1.6099999999999998E-5</v>
      </c>
      <c r="HD6" s="10">
        <f t="shared" si="211"/>
        <v>1.59E-5</v>
      </c>
      <c r="HE6" s="10">
        <f t="shared" si="212"/>
        <v>1.5699999999999999E-5</v>
      </c>
      <c r="HF6" s="10">
        <f t="shared" si="213"/>
        <v>1.5500000000000001E-5</v>
      </c>
      <c r="HG6" s="10">
        <f t="shared" si="214"/>
        <v>1.5299999999999999E-5</v>
      </c>
      <c r="HH6" s="10">
        <f t="shared" si="215"/>
        <v>1.5099999999999999E-5</v>
      </c>
      <c r="HI6" s="10">
        <f t="shared" si="216"/>
        <v>1.49E-5</v>
      </c>
      <c r="HJ6" s="10">
        <f t="shared" si="217"/>
        <v>1.47E-5</v>
      </c>
      <c r="HK6" s="10">
        <f t="shared" si="218"/>
        <v>1.45E-5</v>
      </c>
      <c r="HL6" s="10">
        <f t="shared" si="219"/>
        <v>1.43E-5</v>
      </c>
      <c r="HM6" s="10">
        <f t="shared" si="220"/>
        <v>1.4100000000000001E-5</v>
      </c>
      <c r="HN6" s="10">
        <f t="shared" si="221"/>
        <v>1.3900000000000001E-5</v>
      </c>
      <c r="HO6" s="10">
        <f t="shared" si="222"/>
        <v>1.3699999999999999E-5</v>
      </c>
      <c r="HP6" s="10">
        <f t="shared" si="223"/>
        <v>1.3499999999999999E-5</v>
      </c>
      <c r="HQ6" s="10">
        <f t="shared" si="224"/>
        <v>1.33E-5</v>
      </c>
      <c r="HR6" s="10">
        <f t="shared" si="225"/>
        <v>1.31E-5</v>
      </c>
      <c r="HS6" s="10">
        <f t="shared" si="226"/>
        <v>1.2999999999999999E-5</v>
      </c>
      <c r="HT6" s="10">
        <f t="shared" si="227"/>
        <v>1.2799999999999999E-5</v>
      </c>
      <c r="HU6" s="10">
        <f t="shared" si="228"/>
        <v>1.26E-5</v>
      </c>
      <c r="HV6" s="10">
        <f t="shared" si="229"/>
        <v>1.24E-5</v>
      </c>
      <c r="HW6" s="10">
        <f t="shared" si="230"/>
        <v>1.2300000000000001E-5</v>
      </c>
      <c r="HX6" s="10">
        <f t="shared" si="231"/>
        <v>1.2099999999999999E-5</v>
      </c>
      <c r="HY6" s="10">
        <f t="shared" si="232"/>
        <v>1.19E-5</v>
      </c>
      <c r="HZ6" s="10">
        <f t="shared" si="233"/>
        <v>1.1800000000000001E-5</v>
      </c>
      <c r="IA6" s="10">
        <f t="shared" si="234"/>
        <v>1.1600000000000001E-5</v>
      </c>
      <c r="IB6" s="10">
        <f t="shared" si="235"/>
        <v>1.1399999999999999E-5</v>
      </c>
      <c r="IC6" s="10">
        <f t="shared" si="236"/>
        <v>1.13E-5</v>
      </c>
      <c r="ID6" s="10">
        <f t="shared" si="237"/>
        <v>1.11E-5</v>
      </c>
      <c r="IE6" s="10">
        <f t="shared" si="238"/>
        <v>1.1E-5</v>
      </c>
      <c r="IF6" s="10">
        <f t="shared" si="239"/>
        <v>1.08E-5</v>
      </c>
      <c r="IG6" s="10">
        <f t="shared" si="240"/>
        <v>7.5480000000000002E-4</v>
      </c>
      <c r="JK6"/>
      <c r="JL6"/>
      <c r="JM6"/>
      <c r="JN6"/>
      <c r="JO6"/>
      <c r="JP6"/>
      <c r="JQ6"/>
      <c r="JR6"/>
      <c r="JS6"/>
    </row>
    <row r="7" spans="1:279" s="1" customFormat="1" x14ac:dyDescent="0.35">
      <c r="A7" s="1">
        <f>A8-1</f>
        <v>-1</v>
      </c>
      <c r="B7" s="10">
        <f>B8</f>
        <v>1.0654E-2</v>
      </c>
      <c r="C7" s="10">
        <f t="shared" ref="C7:BN7" si="241">C8</f>
        <v>1.0654E-2</v>
      </c>
      <c r="D7" s="10">
        <f t="shared" si="241"/>
        <v>1.06058E-2</v>
      </c>
      <c r="E7" s="10">
        <f t="shared" si="241"/>
        <v>1.04361E-2</v>
      </c>
      <c r="F7" s="10">
        <f t="shared" si="241"/>
        <v>9.7535E-3</v>
      </c>
      <c r="G7" s="10">
        <f t="shared" si="241"/>
        <v>9.1403999999999999E-3</v>
      </c>
      <c r="H7" s="10">
        <f t="shared" si="241"/>
        <v>8.5669000000000006E-3</v>
      </c>
      <c r="I7" s="10">
        <f t="shared" si="241"/>
        <v>7.9711000000000001E-3</v>
      </c>
      <c r="J7" s="10">
        <f t="shared" si="241"/>
        <v>7.4428000000000003E-3</v>
      </c>
      <c r="K7" s="10">
        <f t="shared" si="241"/>
        <v>6.9601000000000003E-3</v>
      </c>
      <c r="L7" s="10">
        <f t="shared" si="241"/>
        <v>6.5317999999999999E-3</v>
      </c>
      <c r="M7" s="10">
        <f t="shared" si="241"/>
        <v>6.1491999999999996E-3</v>
      </c>
      <c r="N7" s="10">
        <f t="shared" si="241"/>
        <v>5.8079999999999998E-3</v>
      </c>
      <c r="O7" s="10">
        <f t="shared" si="241"/>
        <v>5.5024999999999996E-3</v>
      </c>
      <c r="P7" s="10">
        <f t="shared" si="241"/>
        <v>5.2283E-3</v>
      </c>
      <c r="Q7" s="10">
        <f t="shared" si="241"/>
        <v>4.9813000000000001E-3</v>
      </c>
      <c r="R7" s="10">
        <f t="shared" si="241"/>
        <v>4.7580000000000001E-3</v>
      </c>
      <c r="S7" s="10">
        <f t="shared" si="241"/>
        <v>4.5554000000000002E-3</v>
      </c>
      <c r="T7" s="10">
        <f t="shared" si="241"/>
        <v>4.3709999999999999E-3</v>
      </c>
      <c r="U7" s="10">
        <f t="shared" si="241"/>
        <v>4.2025999999999999E-3</v>
      </c>
      <c r="V7" s="10">
        <f t="shared" si="241"/>
        <v>4.0480999999999998E-3</v>
      </c>
      <c r="W7" s="10">
        <f t="shared" si="241"/>
        <v>3.9061E-3</v>
      </c>
      <c r="X7" s="10">
        <f t="shared" si="241"/>
        <v>3.7750000000000001E-3</v>
      </c>
      <c r="Y7" s="10">
        <f t="shared" si="241"/>
        <v>3.6537000000000002E-3</v>
      </c>
      <c r="Z7" s="10">
        <f t="shared" si="241"/>
        <v>3.5412E-3</v>
      </c>
      <c r="AA7" s="10">
        <f t="shared" si="241"/>
        <v>3.4364E-3</v>
      </c>
      <c r="AB7" s="10">
        <f t="shared" si="241"/>
        <v>3.3384999999999999E-3</v>
      </c>
      <c r="AC7" s="10">
        <f t="shared" si="241"/>
        <v>3.2468000000000002E-3</v>
      </c>
      <c r="AD7" s="10">
        <f t="shared" si="241"/>
        <v>3.1606999999999998E-3</v>
      </c>
      <c r="AE7" s="10">
        <f t="shared" si="241"/>
        <v>3.0796999999999999E-3</v>
      </c>
      <c r="AF7" s="10">
        <f t="shared" si="241"/>
        <v>3.0030999999999999E-3</v>
      </c>
      <c r="AG7" s="10">
        <f t="shared" si="241"/>
        <v>2.9307000000000001E-3</v>
      </c>
      <c r="AH7" s="10">
        <f t="shared" si="241"/>
        <v>2.8620999999999998E-3</v>
      </c>
      <c r="AI7" s="10">
        <f t="shared" si="241"/>
        <v>2.7969000000000002E-3</v>
      </c>
      <c r="AJ7" s="10">
        <f t="shared" si="241"/>
        <v>2.7349000000000002E-3</v>
      </c>
      <c r="AK7" s="10">
        <f t="shared" si="241"/>
        <v>2.6759000000000002E-3</v>
      </c>
      <c r="AL7" s="10">
        <f t="shared" si="241"/>
        <v>2.6194999999999999E-3</v>
      </c>
      <c r="AM7" s="10">
        <f t="shared" si="241"/>
        <v>2.5657000000000002E-3</v>
      </c>
      <c r="AN7" s="10">
        <f t="shared" si="241"/>
        <v>2.5143000000000001E-3</v>
      </c>
      <c r="AO7" s="10">
        <f t="shared" si="241"/>
        <v>2.4650000000000002E-3</v>
      </c>
      <c r="AP7" s="10">
        <f t="shared" si="241"/>
        <v>2.4177000000000001E-3</v>
      </c>
      <c r="AQ7" s="10">
        <f t="shared" si="241"/>
        <v>2.3722999999999999E-3</v>
      </c>
      <c r="AR7" s="10">
        <f t="shared" si="241"/>
        <v>2.3287E-3</v>
      </c>
      <c r="AS7" s="10">
        <f t="shared" si="241"/>
        <v>2.2867E-3</v>
      </c>
      <c r="AT7" s="10">
        <f t="shared" si="241"/>
        <v>2.2461999999999998E-3</v>
      </c>
      <c r="AU7" s="10">
        <f t="shared" si="241"/>
        <v>2.2071999999999999E-3</v>
      </c>
      <c r="AV7" s="10">
        <f t="shared" si="241"/>
        <v>2.1695E-3</v>
      </c>
      <c r="AW7" s="10">
        <f t="shared" si="241"/>
        <v>2.1329999999999999E-3</v>
      </c>
      <c r="AX7" s="10">
        <f t="shared" si="241"/>
        <v>2.0977000000000001E-3</v>
      </c>
      <c r="AY7" s="10">
        <f t="shared" si="241"/>
        <v>2.0634E-3</v>
      </c>
      <c r="AZ7" s="10">
        <f t="shared" si="241"/>
        <v>2.0301999999999998E-3</v>
      </c>
      <c r="BA7" s="10">
        <f t="shared" si="241"/>
        <v>1.9980000000000002E-3</v>
      </c>
      <c r="BB7" s="10">
        <f t="shared" si="241"/>
        <v>1.9666000000000002E-3</v>
      </c>
      <c r="BC7" s="10">
        <f t="shared" si="241"/>
        <v>1.9361000000000001E-3</v>
      </c>
      <c r="BD7" s="10">
        <f t="shared" si="241"/>
        <v>1.9063000000000001E-3</v>
      </c>
      <c r="BE7" s="10">
        <f t="shared" si="241"/>
        <v>1.8772999999999999E-3</v>
      </c>
      <c r="BF7" s="10">
        <f t="shared" si="241"/>
        <v>1.8489999999999999E-3</v>
      </c>
      <c r="BG7" s="10">
        <f t="shared" si="241"/>
        <v>1.8213000000000001E-3</v>
      </c>
      <c r="BH7" s="10">
        <f t="shared" si="241"/>
        <v>1.7943E-3</v>
      </c>
      <c r="BI7" s="10">
        <f t="shared" si="241"/>
        <v>1.7677999999999999E-3</v>
      </c>
      <c r="BJ7" s="10">
        <f t="shared" si="241"/>
        <v>1.7419E-3</v>
      </c>
      <c r="BK7" s="10">
        <f t="shared" si="241"/>
        <v>1.7166E-3</v>
      </c>
      <c r="BL7" s="10">
        <f t="shared" si="241"/>
        <v>1.6917E-3</v>
      </c>
      <c r="BM7" s="10">
        <f t="shared" si="241"/>
        <v>1.6673E-3</v>
      </c>
      <c r="BN7" s="10">
        <f t="shared" si="241"/>
        <v>1.6433999999999999E-3</v>
      </c>
      <c r="BO7" s="10">
        <f t="shared" ref="BO7:DZ7" si="242">BO8</f>
        <v>1.6199000000000001E-3</v>
      </c>
      <c r="BP7" s="10">
        <f t="shared" si="242"/>
        <v>1.5968E-3</v>
      </c>
      <c r="BQ7" s="10">
        <f t="shared" si="242"/>
        <v>1.5740999999999999E-3</v>
      </c>
      <c r="BR7" s="10">
        <f t="shared" si="242"/>
        <v>1.5518000000000001E-3</v>
      </c>
      <c r="BS7" s="10">
        <f t="shared" si="242"/>
        <v>1.5299000000000001E-3</v>
      </c>
      <c r="BT7" s="10">
        <f t="shared" si="242"/>
        <v>1.5083E-3</v>
      </c>
      <c r="BU7" s="10">
        <f t="shared" si="242"/>
        <v>1.4871000000000001E-3</v>
      </c>
      <c r="BV7" s="10">
        <f t="shared" si="242"/>
        <v>1.4662E-3</v>
      </c>
      <c r="BW7" s="10">
        <f t="shared" si="242"/>
        <v>1.4457000000000001E-3</v>
      </c>
      <c r="BX7" s="10">
        <f t="shared" si="242"/>
        <v>1.4254000000000001E-3</v>
      </c>
      <c r="BY7" s="10">
        <f t="shared" si="242"/>
        <v>1.4055000000000001E-3</v>
      </c>
      <c r="BZ7" s="10">
        <f t="shared" si="242"/>
        <v>1.3858E-3</v>
      </c>
      <c r="CA7" s="10">
        <f t="shared" si="242"/>
        <v>1.3664E-3</v>
      </c>
      <c r="CB7" s="10">
        <f t="shared" si="242"/>
        <v>1.3473999999999999E-3</v>
      </c>
      <c r="CC7" s="10">
        <f t="shared" si="242"/>
        <v>1.3285E-3</v>
      </c>
      <c r="CD7" s="10">
        <f t="shared" si="242"/>
        <v>1.31E-3</v>
      </c>
      <c r="CE7" s="10">
        <f t="shared" si="242"/>
        <v>1.2917E-3</v>
      </c>
      <c r="CF7" s="10">
        <f t="shared" si="242"/>
        <v>1.2737E-3</v>
      </c>
      <c r="CG7" s="10">
        <f t="shared" si="242"/>
        <v>1.2558999999999999E-3</v>
      </c>
      <c r="CH7" s="10">
        <f t="shared" si="242"/>
        <v>1.2384E-3</v>
      </c>
      <c r="CI7" s="10">
        <f t="shared" si="242"/>
        <v>1.2210999999999999E-3</v>
      </c>
      <c r="CJ7" s="10">
        <f t="shared" si="242"/>
        <v>1.2041E-3</v>
      </c>
      <c r="CK7" s="10">
        <f t="shared" si="242"/>
        <v>1.1873000000000001E-3</v>
      </c>
      <c r="CL7" s="10">
        <f t="shared" si="242"/>
        <v>1.1707E-3</v>
      </c>
      <c r="CM7" s="10">
        <f t="shared" si="242"/>
        <v>1.1543E-3</v>
      </c>
      <c r="CN7" s="10">
        <f t="shared" si="242"/>
        <v>1.1382E-3</v>
      </c>
      <c r="CO7" s="10">
        <f t="shared" si="242"/>
        <v>1.1222999999999999E-3</v>
      </c>
      <c r="CP7" s="10">
        <f t="shared" si="242"/>
        <v>1.1065999999999999E-3</v>
      </c>
      <c r="CQ7" s="10">
        <f t="shared" si="242"/>
        <v>1.0911E-3</v>
      </c>
      <c r="CR7" s="10">
        <f t="shared" si="242"/>
        <v>1.0759000000000001E-3</v>
      </c>
      <c r="CS7" s="10">
        <f t="shared" si="242"/>
        <v>1.0608E-3</v>
      </c>
      <c r="CT7" s="10">
        <f t="shared" si="242"/>
        <v>1.0459E-3</v>
      </c>
      <c r="CU7" s="10">
        <f t="shared" si="242"/>
        <v>1.0313E-3</v>
      </c>
      <c r="CV7" s="10">
        <f t="shared" si="242"/>
        <v>1.0168E-3</v>
      </c>
      <c r="CW7" s="10">
        <f t="shared" si="242"/>
        <v>1.0026E-3</v>
      </c>
      <c r="CX7" s="10">
        <f t="shared" si="242"/>
        <v>9.8850000000000001E-4</v>
      </c>
      <c r="CY7" s="10">
        <f t="shared" si="242"/>
        <v>9.7460000000000005E-4</v>
      </c>
      <c r="CZ7" s="10">
        <f t="shared" si="242"/>
        <v>9.6089999999999999E-4</v>
      </c>
      <c r="DA7" s="10">
        <f t="shared" si="242"/>
        <v>9.4740000000000004E-4</v>
      </c>
      <c r="DB7" s="10">
        <f t="shared" si="242"/>
        <v>9.3409999999999999E-4</v>
      </c>
      <c r="DC7" s="10">
        <f t="shared" si="242"/>
        <v>9.2100000000000005E-4</v>
      </c>
      <c r="DD7" s="10">
        <f t="shared" si="242"/>
        <v>9.0799999999999995E-4</v>
      </c>
      <c r="DE7" s="10">
        <f t="shared" si="242"/>
        <v>8.9519999999999997E-4</v>
      </c>
      <c r="DF7" s="10">
        <f t="shared" si="242"/>
        <v>8.8259999999999999E-4</v>
      </c>
      <c r="DG7" s="10">
        <f t="shared" si="242"/>
        <v>8.7020000000000001E-4</v>
      </c>
      <c r="DH7" s="10">
        <f t="shared" si="242"/>
        <v>8.5789999999999998E-4</v>
      </c>
      <c r="DI7" s="10">
        <f t="shared" si="242"/>
        <v>8.4579999999999996E-4</v>
      </c>
      <c r="DJ7" s="10">
        <f t="shared" si="242"/>
        <v>8.3390000000000005E-4</v>
      </c>
      <c r="DK7" s="10">
        <f t="shared" si="242"/>
        <v>8.2209999999999998E-4</v>
      </c>
      <c r="DL7" s="10">
        <f t="shared" si="242"/>
        <v>8.1050000000000002E-4</v>
      </c>
      <c r="DM7" s="10">
        <f t="shared" si="242"/>
        <v>7.9909999999999996E-4</v>
      </c>
      <c r="DN7" s="10">
        <f t="shared" si="242"/>
        <v>7.8779999999999996E-4</v>
      </c>
      <c r="DO7" s="10">
        <f t="shared" si="242"/>
        <v>7.7669999999999996E-4</v>
      </c>
      <c r="DP7" s="10">
        <f t="shared" si="242"/>
        <v>7.6570000000000002E-4</v>
      </c>
      <c r="DQ7" s="10">
        <f t="shared" si="242"/>
        <v>5.3164200000000002E-2</v>
      </c>
      <c r="DR7" s="10">
        <f t="shared" si="242"/>
        <v>0</v>
      </c>
      <c r="DS7" s="10">
        <f t="shared" si="242"/>
        <v>4.8199999999999999E-5</v>
      </c>
      <c r="DT7" s="10">
        <f t="shared" si="242"/>
        <v>1.697E-4</v>
      </c>
      <c r="DU7" s="10">
        <f t="shared" si="242"/>
        <v>6.826E-4</v>
      </c>
      <c r="DV7" s="10">
        <f t="shared" si="242"/>
        <v>6.1309999999999999E-4</v>
      </c>
      <c r="DW7" s="10">
        <f t="shared" si="242"/>
        <v>5.7359999999999996E-4</v>
      </c>
      <c r="DX7" s="10">
        <f t="shared" si="242"/>
        <v>5.9579999999999995E-4</v>
      </c>
      <c r="DY7" s="10">
        <f t="shared" si="242"/>
        <v>5.2820000000000005E-4</v>
      </c>
      <c r="DZ7" s="10">
        <f t="shared" si="242"/>
        <v>4.8280000000000003E-4</v>
      </c>
      <c r="EA7" s="10">
        <f t="shared" ref="EA7:GL7" si="243">EA8</f>
        <v>4.283E-4</v>
      </c>
      <c r="EB7" s="10">
        <f t="shared" si="243"/>
        <v>3.8259999999999998E-4</v>
      </c>
      <c r="EC7" s="10">
        <f t="shared" si="243"/>
        <v>3.412E-4</v>
      </c>
      <c r="ED7" s="10">
        <f t="shared" si="243"/>
        <v>3.055E-4</v>
      </c>
      <c r="EE7" s="10">
        <f t="shared" si="243"/>
        <v>2.742E-4</v>
      </c>
      <c r="EF7" s="10">
        <f t="shared" si="243"/>
        <v>2.4699999999999999E-4</v>
      </c>
      <c r="EG7" s="10">
        <f t="shared" si="243"/>
        <v>2.2330000000000001E-4</v>
      </c>
      <c r="EH7" s="10">
        <f t="shared" si="243"/>
        <v>2.0259999999999999E-4</v>
      </c>
      <c r="EI7" s="10">
        <f t="shared" si="243"/>
        <v>1.8440000000000001E-4</v>
      </c>
      <c r="EJ7" s="10">
        <f t="shared" si="243"/>
        <v>1.685E-4</v>
      </c>
      <c r="EK7" s="10">
        <f t="shared" si="243"/>
        <v>1.5440000000000001E-4</v>
      </c>
      <c r="EL7" s="10">
        <f t="shared" si="243"/>
        <v>1.4200000000000001E-4</v>
      </c>
      <c r="EM7" s="10">
        <f t="shared" si="243"/>
        <v>1.3100000000000001E-4</v>
      </c>
      <c r="EN7" s="10">
        <f t="shared" si="243"/>
        <v>1.2129999999999999E-4</v>
      </c>
      <c r="EO7" s="10">
        <f t="shared" si="243"/>
        <v>1.126E-4</v>
      </c>
      <c r="EP7" s="10">
        <f t="shared" si="243"/>
        <v>1.048E-4</v>
      </c>
      <c r="EQ7" s="10">
        <f t="shared" si="243"/>
        <v>9.7899999999999994E-5</v>
      </c>
      <c r="ER7" s="10">
        <f t="shared" si="243"/>
        <v>9.1700000000000006E-5</v>
      </c>
      <c r="ES7" s="10">
        <f t="shared" si="243"/>
        <v>8.6100000000000006E-5</v>
      </c>
      <c r="ET7" s="10">
        <f t="shared" si="243"/>
        <v>8.1100000000000006E-5</v>
      </c>
      <c r="EU7" s="10">
        <f t="shared" si="243"/>
        <v>7.6500000000000003E-5</v>
      </c>
      <c r="EV7" s="10">
        <f t="shared" si="243"/>
        <v>7.2399999999999998E-5</v>
      </c>
      <c r="EW7" s="10">
        <f t="shared" si="243"/>
        <v>6.86E-5</v>
      </c>
      <c r="EX7" s="10">
        <f t="shared" si="243"/>
        <v>6.5199999999999999E-5</v>
      </c>
      <c r="EY7" s="10">
        <f t="shared" si="243"/>
        <v>6.2000000000000003E-5</v>
      </c>
      <c r="EZ7" s="10">
        <f t="shared" si="243"/>
        <v>5.8999999999999998E-5</v>
      </c>
      <c r="FA7" s="10">
        <f t="shared" si="243"/>
        <v>5.63E-5</v>
      </c>
      <c r="FB7" s="10">
        <f t="shared" si="243"/>
        <v>5.38E-5</v>
      </c>
      <c r="FC7" s="10">
        <f t="shared" si="243"/>
        <v>5.1499999999999998E-5</v>
      </c>
      <c r="FD7" s="10">
        <f t="shared" si="243"/>
        <v>4.9299999999999999E-5</v>
      </c>
      <c r="FE7" s="10">
        <f t="shared" si="243"/>
        <v>4.7299999999999998E-5</v>
      </c>
      <c r="FF7" s="10">
        <f t="shared" si="243"/>
        <v>4.5399999999999999E-5</v>
      </c>
      <c r="FG7" s="10">
        <f t="shared" si="243"/>
        <v>4.3600000000000003E-5</v>
      </c>
      <c r="FH7" s="10">
        <f t="shared" si="243"/>
        <v>4.1999999999999998E-5</v>
      </c>
      <c r="FI7" s="10">
        <f t="shared" si="243"/>
        <v>4.0500000000000002E-5</v>
      </c>
      <c r="FJ7" s="10">
        <f t="shared" si="243"/>
        <v>3.8999999999999999E-5</v>
      </c>
      <c r="FK7" s="10">
        <f t="shared" si="243"/>
        <v>3.7700000000000002E-5</v>
      </c>
      <c r="FL7" s="10">
        <f t="shared" si="243"/>
        <v>3.65E-5</v>
      </c>
      <c r="FM7" s="10">
        <f t="shared" si="243"/>
        <v>3.5299999999999997E-5</v>
      </c>
      <c r="FN7" s="10">
        <f t="shared" si="243"/>
        <v>3.4199999999999998E-5</v>
      </c>
      <c r="FO7" s="10">
        <f t="shared" si="243"/>
        <v>3.3200000000000001E-5</v>
      </c>
      <c r="FP7" s="10">
        <f t="shared" si="243"/>
        <v>3.2299999999999999E-5</v>
      </c>
      <c r="FQ7" s="10">
        <f t="shared" si="243"/>
        <v>3.1399999999999998E-5</v>
      </c>
      <c r="FR7" s="10">
        <f t="shared" si="243"/>
        <v>3.0499999999999999E-5</v>
      </c>
      <c r="FS7" s="10">
        <f t="shared" si="243"/>
        <v>2.9799999999999999E-5</v>
      </c>
      <c r="FT7" s="10">
        <f t="shared" si="243"/>
        <v>2.9E-5</v>
      </c>
      <c r="FU7" s="10">
        <f t="shared" si="243"/>
        <v>2.83E-5</v>
      </c>
      <c r="FV7" s="10">
        <f t="shared" si="243"/>
        <v>2.7699999999999999E-5</v>
      </c>
      <c r="FW7" s="10">
        <f t="shared" si="243"/>
        <v>2.6999999999999999E-5</v>
      </c>
      <c r="FX7" s="10">
        <f t="shared" si="243"/>
        <v>2.65E-5</v>
      </c>
      <c r="FY7" s="10">
        <f t="shared" si="243"/>
        <v>2.5899999999999999E-5</v>
      </c>
      <c r="FZ7" s="10">
        <f t="shared" si="243"/>
        <v>2.5400000000000001E-5</v>
      </c>
      <c r="GA7" s="10">
        <f t="shared" si="243"/>
        <v>2.4899999999999999E-5</v>
      </c>
      <c r="GB7" s="10">
        <f t="shared" si="243"/>
        <v>2.44E-5</v>
      </c>
      <c r="GC7" s="10">
        <f t="shared" si="243"/>
        <v>2.3900000000000002E-5</v>
      </c>
      <c r="GD7" s="10">
        <f t="shared" si="243"/>
        <v>2.3499999999999999E-5</v>
      </c>
      <c r="GE7" s="10">
        <f t="shared" si="243"/>
        <v>2.3099999999999999E-5</v>
      </c>
      <c r="GF7" s="10">
        <f t="shared" si="243"/>
        <v>2.27E-5</v>
      </c>
      <c r="GG7" s="10">
        <f t="shared" si="243"/>
        <v>2.23E-5</v>
      </c>
      <c r="GH7" s="10">
        <f t="shared" si="243"/>
        <v>2.19E-5</v>
      </c>
      <c r="GI7" s="10">
        <f t="shared" si="243"/>
        <v>2.16E-5</v>
      </c>
      <c r="GJ7" s="10">
        <f t="shared" si="243"/>
        <v>2.12E-5</v>
      </c>
      <c r="GK7" s="10">
        <f t="shared" si="243"/>
        <v>2.09E-5</v>
      </c>
      <c r="GL7" s="10">
        <f t="shared" si="243"/>
        <v>2.0599999999999999E-5</v>
      </c>
      <c r="GM7" s="10">
        <f t="shared" ref="GM7:IG7" si="244">GM8</f>
        <v>2.0299999999999999E-5</v>
      </c>
      <c r="GN7" s="10">
        <f t="shared" si="244"/>
        <v>1.9899999999999999E-5</v>
      </c>
      <c r="GO7" s="10">
        <f t="shared" si="244"/>
        <v>1.9700000000000001E-5</v>
      </c>
      <c r="GP7" s="10">
        <f t="shared" si="244"/>
        <v>1.9400000000000001E-5</v>
      </c>
      <c r="GQ7" s="10">
        <f t="shared" si="244"/>
        <v>1.91E-5</v>
      </c>
      <c r="GR7" s="10">
        <f t="shared" si="244"/>
        <v>1.88E-5</v>
      </c>
      <c r="GS7" s="10">
        <f t="shared" si="244"/>
        <v>1.8499999999999999E-5</v>
      </c>
      <c r="GT7" s="10">
        <f t="shared" si="244"/>
        <v>1.8300000000000001E-5</v>
      </c>
      <c r="GU7" s="10">
        <f t="shared" si="244"/>
        <v>1.8E-5</v>
      </c>
      <c r="GV7" s="10">
        <f t="shared" si="244"/>
        <v>1.7799999999999999E-5</v>
      </c>
      <c r="GW7" s="10">
        <f t="shared" si="244"/>
        <v>1.7499999999999998E-5</v>
      </c>
      <c r="GX7" s="10">
        <f t="shared" si="244"/>
        <v>1.73E-5</v>
      </c>
      <c r="GY7" s="10">
        <f t="shared" si="244"/>
        <v>1.7E-5</v>
      </c>
      <c r="GZ7" s="10">
        <f t="shared" si="244"/>
        <v>1.6799999999999998E-5</v>
      </c>
      <c r="HA7" s="10">
        <f t="shared" si="244"/>
        <v>1.66E-5</v>
      </c>
      <c r="HB7" s="10">
        <f t="shared" si="244"/>
        <v>1.6399999999999999E-5</v>
      </c>
      <c r="HC7" s="10">
        <f t="shared" si="244"/>
        <v>1.6099999999999998E-5</v>
      </c>
      <c r="HD7" s="10">
        <f t="shared" si="244"/>
        <v>1.59E-5</v>
      </c>
      <c r="HE7" s="10">
        <f t="shared" si="244"/>
        <v>1.5699999999999999E-5</v>
      </c>
      <c r="HF7" s="10">
        <f t="shared" si="244"/>
        <v>1.5500000000000001E-5</v>
      </c>
      <c r="HG7" s="10">
        <f t="shared" si="244"/>
        <v>1.5299999999999999E-5</v>
      </c>
      <c r="HH7" s="10">
        <f t="shared" si="244"/>
        <v>1.5099999999999999E-5</v>
      </c>
      <c r="HI7" s="10">
        <f t="shared" si="244"/>
        <v>1.49E-5</v>
      </c>
      <c r="HJ7" s="10">
        <f t="shared" si="244"/>
        <v>1.47E-5</v>
      </c>
      <c r="HK7" s="10">
        <f t="shared" si="244"/>
        <v>1.45E-5</v>
      </c>
      <c r="HL7" s="10">
        <f t="shared" si="244"/>
        <v>1.43E-5</v>
      </c>
      <c r="HM7" s="10">
        <f t="shared" si="244"/>
        <v>1.4100000000000001E-5</v>
      </c>
      <c r="HN7" s="10">
        <f t="shared" si="244"/>
        <v>1.3900000000000001E-5</v>
      </c>
      <c r="HO7" s="10">
        <f t="shared" si="244"/>
        <v>1.3699999999999999E-5</v>
      </c>
      <c r="HP7" s="10">
        <f t="shared" si="244"/>
        <v>1.3499999999999999E-5</v>
      </c>
      <c r="HQ7" s="10">
        <f t="shared" si="244"/>
        <v>1.33E-5</v>
      </c>
      <c r="HR7" s="10">
        <f t="shared" si="244"/>
        <v>1.31E-5</v>
      </c>
      <c r="HS7" s="10">
        <f t="shared" si="244"/>
        <v>1.2999999999999999E-5</v>
      </c>
      <c r="HT7" s="10">
        <f t="shared" si="244"/>
        <v>1.2799999999999999E-5</v>
      </c>
      <c r="HU7" s="10">
        <f t="shared" si="244"/>
        <v>1.26E-5</v>
      </c>
      <c r="HV7" s="10">
        <f t="shared" si="244"/>
        <v>1.24E-5</v>
      </c>
      <c r="HW7" s="10">
        <f t="shared" si="244"/>
        <v>1.2300000000000001E-5</v>
      </c>
      <c r="HX7" s="10">
        <f t="shared" si="244"/>
        <v>1.2099999999999999E-5</v>
      </c>
      <c r="HY7" s="10">
        <f t="shared" si="244"/>
        <v>1.19E-5</v>
      </c>
      <c r="HZ7" s="10">
        <f t="shared" si="244"/>
        <v>1.1800000000000001E-5</v>
      </c>
      <c r="IA7" s="10">
        <f t="shared" si="244"/>
        <v>1.1600000000000001E-5</v>
      </c>
      <c r="IB7" s="10">
        <f t="shared" si="244"/>
        <v>1.1399999999999999E-5</v>
      </c>
      <c r="IC7" s="10">
        <f t="shared" si="244"/>
        <v>1.13E-5</v>
      </c>
      <c r="ID7" s="10">
        <f t="shared" si="244"/>
        <v>1.11E-5</v>
      </c>
      <c r="IE7" s="10">
        <f t="shared" si="244"/>
        <v>1.1E-5</v>
      </c>
      <c r="IF7" s="10">
        <f t="shared" si="244"/>
        <v>1.08E-5</v>
      </c>
      <c r="IG7" s="10">
        <f t="shared" si="244"/>
        <v>7.5480000000000002E-4</v>
      </c>
      <c r="JK7"/>
      <c r="JL7"/>
      <c r="JM7"/>
      <c r="JN7"/>
      <c r="JO7"/>
      <c r="JP7"/>
      <c r="JQ7"/>
      <c r="JR7"/>
      <c r="JS7"/>
    </row>
    <row r="8" spans="1:279" x14ac:dyDescent="0.35">
      <c r="A8" s="1">
        <v>0</v>
      </c>
      <c r="B8" s="4">
        <v>1.0654E-2</v>
      </c>
      <c r="C8" s="4">
        <v>1.0654E-2</v>
      </c>
      <c r="D8" s="4">
        <v>1.06058E-2</v>
      </c>
      <c r="E8" s="4">
        <v>1.04361E-2</v>
      </c>
      <c r="F8" s="4">
        <v>9.7535E-3</v>
      </c>
      <c r="G8" s="4">
        <v>9.1403999999999999E-3</v>
      </c>
      <c r="H8" s="4">
        <v>8.5669000000000006E-3</v>
      </c>
      <c r="I8" s="4">
        <v>7.9711000000000001E-3</v>
      </c>
      <c r="J8" s="4">
        <v>7.4428000000000003E-3</v>
      </c>
      <c r="K8" s="4">
        <v>6.9601000000000003E-3</v>
      </c>
      <c r="L8" s="4">
        <v>6.5317999999999999E-3</v>
      </c>
      <c r="M8" s="4">
        <v>6.1491999999999996E-3</v>
      </c>
      <c r="N8" s="4">
        <v>5.8079999999999998E-3</v>
      </c>
      <c r="O8" s="4">
        <v>5.5024999999999996E-3</v>
      </c>
      <c r="P8" s="4">
        <v>5.2283E-3</v>
      </c>
      <c r="Q8" s="4">
        <v>4.9813000000000001E-3</v>
      </c>
      <c r="R8" s="4">
        <v>4.7580000000000001E-3</v>
      </c>
      <c r="S8" s="4">
        <v>4.5554000000000002E-3</v>
      </c>
      <c r="T8" s="4">
        <v>4.3709999999999999E-3</v>
      </c>
      <c r="U8" s="4">
        <v>4.2025999999999999E-3</v>
      </c>
      <c r="V8" s="4">
        <v>4.0480999999999998E-3</v>
      </c>
      <c r="W8" s="4">
        <v>3.9061E-3</v>
      </c>
      <c r="X8" s="4">
        <v>3.7750000000000001E-3</v>
      </c>
      <c r="Y8" s="4">
        <v>3.6537000000000002E-3</v>
      </c>
      <c r="Z8" s="4">
        <v>3.5412E-3</v>
      </c>
      <c r="AA8" s="4">
        <v>3.4364E-3</v>
      </c>
      <c r="AB8" s="4">
        <v>3.3384999999999999E-3</v>
      </c>
      <c r="AC8" s="4">
        <v>3.2468000000000002E-3</v>
      </c>
      <c r="AD8" s="4">
        <v>3.1606999999999998E-3</v>
      </c>
      <c r="AE8" s="4">
        <v>3.0796999999999999E-3</v>
      </c>
      <c r="AF8" s="4">
        <v>3.0030999999999999E-3</v>
      </c>
      <c r="AG8" s="4">
        <v>2.9307000000000001E-3</v>
      </c>
      <c r="AH8" s="4">
        <v>2.8620999999999998E-3</v>
      </c>
      <c r="AI8" s="4">
        <v>2.7969000000000002E-3</v>
      </c>
      <c r="AJ8" s="4">
        <v>2.7349000000000002E-3</v>
      </c>
      <c r="AK8" s="4">
        <v>2.6759000000000002E-3</v>
      </c>
      <c r="AL8" s="4">
        <v>2.6194999999999999E-3</v>
      </c>
      <c r="AM8" s="4">
        <v>2.5657000000000002E-3</v>
      </c>
      <c r="AN8" s="4">
        <v>2.5143000000000001E-3</v>
      </c>
      <c r="AO8" s="4">
        <v>2.4650000000000002E-3</v>
      </c>
      <c r="AP8" s="4">
        <v>2.4177000000000001E-3</v>
      </c>
      <c r="AQ8" s="4">
        <v>2.3722999999999999E-3</v>
      </c>
      <c r="AR8" s="4">
        <v>2.3287E-3</v>
      </c>
      <c r="AS8" s="4">
        <v>2.2867E-3</v>
      </c>
      <c r="AT8" s="4">
        <v>2.2461999999999998E-3</v>
      </c>
      <c r="AU8" s="4">
        <v>2.2071999999999999E-3</v>
      </c>
      <c r="AV8" s="4">
        <v>2.1695E-3</v>
      </c>
      <c r="AW8" s="4">
        <v>2.1329999999999999E-3</v>
      </c>
      <c r="AX8" s="4">
        <v>2.0977000000000001E-3</v>
      </c>
      <c r="AY8" s="4">
        <v>2.0634E-3</v>
      </c>
      <c r="AZ8" s="4">
        <v>2.0301999999999998E-3</v>
      </c>
      <c r="BA8" s="4">
        <v>1.9980000000000002E-3</v>
      </c>
      <c r="BB8" s="4">
        <v>1.9666000000000002E-3</v>
      </c>
      <c r="BC8" s="4">
        <v>1.9361000000000001E-3</v>
      </c>
      <c r="BD8" s="4">
        <v>1.9063000000000001E-3</v>
      </c>
      <c r="BE8" s="4">
        <v>1.8772999999999999E-3</v>
      </c>
      <c r="BF8" s="4">
        <v>1.8489999999999999E-3</v>
      </c>
      <c r="BG8" s="4">
        <v>1.8213000000000001E-3</v>
      </c>
      <c r="BH8" s="4">
        <v>1.7943E-3</v>
      </c>
      <c r="BI8" s="4">
        <v>1.7677999999999999E-3</v>
      </c>
      <c r="BJ8" s="4">
        <v>1.7419E-3</v>
      </c>
      <c r="BK8" s="4">
        <v>1.7166E-3</v>
      </c>
      <c r="BL8" s="4">
        <v>1.6917E-3</v>
      </c>
      <c r="BM8" s="4">
        <v>1.6673E-3</v>
      </c>
      <c r="BN8" s="4">
        <v>1.6433999999999999E-3</v>
      </c>
      <c r="BO8" s="4">
        <v>1.6199000000000001E-3</v>
      </c>
      <c r="BP8" s="4">
        <v>1.5968E-3</v>
      </c>
      <c r="BQ8" s="4">
        <v>1.5740999999999999E-3</v>
      </c>
      <c r="BR8" s="4">
        <v>1.5518000000000001E-3</v>
      </c>
      <c r="BS8" s="4">
        <v>1.5299000000000001E-3</v>
      </c>
      <c r="BT8" s="4">
        <v>1.5083E-3</v>
      </c>
      <c r="BU8" s="4">
        <v>1.4871000000000001E-3</v>
      </c>
      <c r="BV8" s="4">
        <v>1.4662E-3</v>
      </c>
      <c r="BW8" s="4">
        <v>1.4457000000000001E-3</v>
      </c>
      <c r="BX8" s="4">
        <v>1.4254000000000001E-3</v>
      </c>
      <c r="BY8" s="4">
        <v>1.4055000000000001E-3</v>
      </c>
      <c r="BZ8" s="4">
        <v>1.3858E-3</v>
      </c>
      <c r="CA8" s="4">
        <v>1.3664E-3</v>
      </c>
      <c r="CB8" s="4">
        <v>1.3473999999999999E-3</v>
      </c>
      <c r="CC8" s="4">
        <v>1.3285E-3</v>
      </c>
      <c r="CD8" s="4">
        <v>1.31E-3</v>
      </c>
      <c r="CE8" s="4">
        <v>1.2917E-3</v>
      </c>
      <c r="CF8" s="4">
        <v>1.2737E-3</v>
      </c>
      <c r="CG8" s="4">
        <v>1.2558999999999999E-3</v>
      </c>
      <c r="CH8" s="4">
        <v>1.2384E-3</v>
      </c>
      <c r="CI8" s="4">
        <v>1.2210999999999999E-3</v>
      </c>
      <c r="CJ8" s="4">
        <v>1.2041E-3</v>
      </c>
      <c r="CK8" s="4">
        <v>1.1873000000000001E-3</v>
      </c>
      <c r="CL8" s="4">
        <v>1.1707E-3</v>
      </c>
      <c r="CM8" s="4">
        <v>1.1543E-3</v>
      </c>
      <c r="CN8" s="4">
        <v>1.1382E-3</v>
      </c>
      <c r="CO8" s="4">
        <v>1.1222999999999999E-3</v>
      </c>
      <c r="CP8" s="4">
        <v>1.1065999999999999E-3</v>
      </c>
      <c r="CQ8" s="4">
        <v>1.0911E-3</v>
      </c>
      <c r="CR8" s="4">
        <v>1.0759000000000001E-3</v>
      </c>
      <c r="CS8" s="4">
        <v>1.0608E-3</v>
      </c>
      <c r="CT8" s="4">
        <v>1.0459E-3</v>
      </c>
      <c r="CU8" s="4">
        <v>1.0313E-3</v>
      </c>
      <c r="CV8" s="4">
        <v>1.0168E-3</v>
      </c>
      <c r="CW8" s="4">
        <v>1.0026E-3</v>
      </c>
      <c r="CX8" s="4">
        <v>9.8850000000000001E-4</v>
      </c>
      <c r="CY8" s="4">
        <v>9.7460000000000005E-4</v>
      </c>
      <c r="CZ8" s="4">
        <v>9.6089999999999999E-4</v>
      </c>
      <c r="DA8" s="4">
        <v>9.4740000000000004E-4</v>
      </c>
      <c r="DB8" s="4">
        <v>9.3409999999999999E-4</v>
      </c>
      <c r="DC8" s="4">
        <v>9.2100000000000005E-4</v>
      </c>
      <c r="DD8" s="4">
        <v>9.0799999999999995E-4</v>
      </c>
      <c r="DE8" s="4">
        <v>8.9519999999999997E-4</v>
      </c>
      <c r="DF8" s="4">
        <v>8.8259999999999999E-4</v>
      </c>
      <c r="DG8" s="4">
        <v>8.7020000000000001E-4</v>
      </c>
      <c r="DH8" s="4">
        <v>8.5789999999999998E-4</v>
      </c>
      <c r="DI8" s="4">
        <v>8.4579999999999996E-4</v>
      </c>
      <c r="DJ8" s="4">
        <v>8.3390000000000005E-4</v>
      </c>
      <c r="DK8" s="4">
        <v>8.2209999999999998E-4</v>
      </c>
      <c r="DL8" s="4">
        <v>8.1050000000000002E-4</v>
      </c>
      <c r="DM8" s="4">
        <v>7.9909999999999996E-4</v>
      </c>
      <c r="DN8" s="4">
        <v>7.8779999999999996E-4</v>
      </c>
      <c r="DO8" s="4">
        <v>7.7669999999999996E-4</v>
      </c>
      <c r="DP8" s="4">
        <v>7.6570000000000002E-4</v>
      </c>
      <c r="DQ8" s="4">
        <v>5.3164200000000002E-2</v>
      </c>
      <c r="DR8" s="4">
        <v>0</v>
      </c>
      <c r="DS8" s="4">
        <v>4.8199999999999999E-5</v>
      </c>
      <c r="DT8" s="4">
        <v>1.697E-4</v>
      </c>
      <c r="DU8" s="4">
        <v>6.826E-4</v>
      </c>
      <c r="DV8" s="4">
        <v>6.1309999999999999E-4</v>
      </c>
      <c r="DW8" s="4">
        <v>5.7359999999999996E-4</v>
      </c>
      <c r="DX8" s="4">
        <v>5.9579999999999995E-4</v>
      </c>
      <c r="DY8" s="4">
        <v>5.2820000000000005E-4</v>
      </c>
      <c r="DZ8" s="4">
        <v>4.8280000000000003E-4</v>
      </c>
      <c r="EA8" s="4">
        <v>4.283E-4</v>
      </c>
      <c r="EB8" s="4">
        <v>3.8259999999999998E-4</v>
      </c>
      <c r="EC8" s="4">
        <v>3.412E-4</v>
      </c>
      <c r="ED8" s="4">
        <v>3.055E-4</v>
      </c>
      <c r="EE8" s="4">
        <v>2.742E-4</v>
      </c>
      <c r="EF8" s="4">
        <v>2.4699999999999999E-4</v>
      </c>
      <c r="EG8" s="4">
        <v>2.2330000000000001E-4</v>
      </c>
      <c r="EH8" s="4">
        <v>2.0259999999999999E-4</v>
      </c>
      <c r="EI8" s="4">
        <v>1.8440000000000001E-4</v>
      </c>
      <c r="EJ8" s="4">
        <v>1.685E-4</v>
      </c>
      <c r="EK8" s="4">
        <v>1.5440000000000001E-4</v>
      </c>
      <c r="EL8" s="4">
        <v>1.4200000000000001E-4</v>
      </c>
      <c r="EM8" s="4">
        <v>1.3100000000000001E-4</v>
      </c>
      <c r="EN8" s="4">
        <v>1.2129999999999999E-4</v>
      </c>
      <c r="EO8" s="4">
        <v>1.126E-4</v>
      </c>
      <c r="EP8" s="4">
        <v>1.048E-4</v>
      </c>
      <c r="EQ8" s="4">
        <v>9.7899999999999994E-5</v>
      </c>
      <c r="ER8" s="4">
        <v>9.1700000000000006E-5</v>
      </c>
      <c r="ES8" s="4">
        <v>8.6100000000000006E-5</v>
      </c>
      <c r="ET8" s="4">
        <v>8.1100000000000006E-5</v>
      </c>
      <c r="EU8" s="4">
        <v>7.6500000000000003E-5</v>
      </c>
      <c r="EV8" s="4">
        <v>7.2399999999999998E-5</v>
      </c>
      <c r="EW8" s="4">
        <v>6.86E-5</v>
      </c>
      <c r="EX8" s="4">
        <v>6.5199999999999999E-5</v>
      </c>
      <c r="EY8" s="4">
        <v>6.2000000000000003E-5</v>
      </c>
      <c r="EZ8" s="4">
        <v>5.8999999999999998E-5</v>
      </c>
      <c r="FA8" s="4">
        <v>5.63E-5</v>
      </c>
      <c r="FB8" s="4">
        <v>5.38E-5</v>
      </c>
      <c r="FC8" s="4">
        <v>5.1499999999999998E-5</v>
      </c>
      <c r="FD8" s="4">
        <v>4.9299999999999999E-5</v>
      </c>
      <c r="FE8" s="4">
        <v>4.7299999999999998E-5</v>
      </c>
      <c r="FF8" s="4">
        <v>4.5399999999999999E-5</v>
      </c>
      <c r="FG8" s="4">
        <v>4.3600000000000003E-5</v>
      </c>
      <c r="FH8" s="4">
        <v>4.1999999999999998E-5</v>
      </c>
      <c r="FI8" s="4">
        <v>4.0500000000000002E-5</v>
      </c>
      <c r="FJ8" s="4">
        <v>3.8999999999999999E-5</v>
      </c>
      <c r="FK8" s="4">
        <v>3.7700000000000002E-5</v>
      </c>
      <c r="FL8" s="4">
        <v>3.65E-5</v>
      </c>
      <c r="FM8" s="4">
        <v>3.5299999999999997E-5</v>
      </c>
      <c r="FN8" s="4">
        <v>3.4199999999999998E-5</v>
      </c>
      <c r="FO8" s="4">
        <v>3.3200000000000001E-5</v>
      </c>
      <c r="FP8" s="4">
        <v>3.2299999999999999E-5</v>
      </c>
      <c r="FQ8" s="4">
        <v>3.1399999999999998E-5</v>
      </c>
      <c r="FR8" s="4">
        <v>3.0499999999999999E-5</v>
      </c>
      <c r="FS8" s="4">
        <v>2.9799999999999999E-5</v>
      </c>
      <c r="FT8" s="4">
        <v>2.9E-5</v>
      </c>
      <c r="FU8" s="4">
        <v>2.83E-5</v>
      </c>
      <c r="FV8" s="4">
        <v>2.7699999999999999E-5</v>
      </c>
      <c r="FW8" s="4">
        <v>2.6999999999999999E-5</v>
      </c>
      <c r="FX8" s="4">
        <v>2.65E-5</v>
      </c>
      <c r="FY8" s="4">
        <v>2.5899999999999999E-5</v>
      </c>
      <c r="FZ8" s="4">
        <v>2.5400000000000001E-5</v>
      </c>
      <c r="GA8" s="4">
        <v>2.4899999999999999E-5</v>
      </c>
      <c r="GB8" s="4">
        <v>2.44E-5</v>
      </c>
      <c r="GC8" s="4">
        <v>2.3900000000000002E-5</v>
      </c>
      <c r="GD8" s="4">
        <v>2.3499999999999999E-5</v>
      </c>
      <c r="GE8" s="4">
        <v>2.3099999999999999E-5</v>
      </c>
      <c r="GF8" s="4">
        <v>2.27E-5</v>
      </c>
      <c r="GG8" s="4">
        <v>2.23E-5</v>
      </c>
      <c r="GH8" s="4">
        <v>2.19E-5</v>
      </c>
      <c r="GI8" s="4">
        <v>2.16E-5</v>
      </c>
      <c r="GJ8" s="4">
        <v>2.12E-5</v>
      </c>
      <c r="GK8" s="4">
        <v>2.09E-5</v>
      </c>
      <c r="GL8" s="4">
        <v>2.0599999999999999E-5</v>
      </c>
      <c r="GM8" s="4">
        <v>2.0299999999999999E-5</v>
      </c>
      <c r="GN8" s="4">
        <v>1.9899999999999999E-5</v>
      </c>
      <c r="GO8" s="4">
        <v>1.9700000000000001E-5</v>
      </c>
      <c r="GP8" s="4">
        <v>1.9400000000000001E-5</v>
      </c>
      <c r="GQ8" s="4">
        <v>1.91E-5</v>
      </c>
      <c r="GR8" s="4">
        <v>1.88E-5</v>
      </c>
      <c r="GS8" s="4">
        <v>1.8499999999999999E-5</v>
      </c>
      <c r="GT8" s="4">
        <v>1.8300000000000001E-5</v>
      </c>
      <c r="GU8" s="4">
        <v>1.8E-5</v>
      </c>
      <c r="GV8" s="4">
        <v>1.7799999999999999E-5</v>
      </c>
      <c r="GW8" s="4">
        <v>1.7499999999999998E-5</v>
      </c>
      <c r="GX8" s="4">
        <v>1.73E-5</v>
      </c>
      <c r="GY8" s="4">
        <v>1.7E-5</v>
      </c>
      <c r="GZ8" s="4">
        <v>1.6799999999999998E-5</v>
      </c>
      <c r="HA8" s="4">
        <v>1.66E-5</v>
      </c>
      <c r="HB8" s="4">
        <v>1.6399999999999999E-5</v>
      </c>
      <c r="HC8" s="4">
        <v>1.6099999999999998E-5</v>
      </c>
      <c r="HD8" s="4">
        <v>1.59E-5</v>
      </c>
      <c r="HE8" s="4">
        <v>1.5699999999999999E-5</v>
      </c>
      <c r="HF8" s="4">
        <v>1.5500000000000001E-5</v>
      </c>
      <c r="HG8" s="4">
        <v>1.5299999999999999E-5</v>
      </c>
      <c r="HH8" s="4">
        <v>1.5099999999999999E-5</v>
      </c>
      <c r="HI8" s="4">
        <v>1.49E-5</v>
      </c>
      <c r="HJ8" s="4">
        <v>1.47E-5</v>
      </c>
      <c r="HK8" s="4">
        <v>1.45E-5</v>
      </c>
      <c r="HL8" s="4">
        <v>1.43E-5</v>
      </c>
      <c r="HM8" s="4">
        <v>1.4100000000000001E-5</v>
      </c>
      <c r="HN8" s="4">
        <v>1.3900000000000001E-5</v>
      </c>
      <c r="HO8" s="4">
        <v>1.3699999999999999E-5</v>
      </c>
      <c r="HP8" s="4">
        <v>1.3499999999999999E-5</v>
      </c>
      <c r="HQ8" s="4">
        <v>1.33E-5</v>
      </c>
      <c r="HR8" s="4">
        <v>1.31E-5</v>
      </c>
      <c r="HS8" s="4">
        <v>1.2999999999999999E-5</v>
      </c>
      <c r="HT8" s="4">
        <v>1.2799999999999999E-5</v>
      </c>
      <c r="HU8" s="4">
        <v>1.26E-5</v>
      </c>
      <c r="HV8" s="4">
        <v>1.24E-5</v>
      </c>
      <c r="HW8" s="4">
        <v>1.2300000000000001E-5</v>
      </c>
      <c r="HX8" s="4">
        <v>1.2099999999999999E-5</v>
      </c>
      <c r="HY8" s="4">
        <v>1.19E-5</v>
      </c>
      <c r="HZ8" s="4">
        <v>1.1800000000000001E-5</v>
      </c>
      <c r="IA8" s="4">
        <v>1.1600000000000001E-5</v>
      </c>
      <c r="IB8" s="4">
        <v>1.1399999999999999E-5</v>
      </c>
      <c r="IC8" s="4">
        <v>1.13E-5</v>
      </c>
      <c r="ID8" s="4">
        <v>1.11E-5</v>
      </c>
      <c r="IE8" s="4">
        <v>1.1E-5</v>
      </c>
      <c r="IF8" s="4">
        <v>1.08E-5</v>
      </c>
      <c r="IG8" s="4">
        <v>7.5480000000000002E-4</v>
      </c>
      <c r="IH8" s="4"/>
      <c r="II8" s="4">
        <f t="shared" ref="II8:II47" si="245">(SUM(C5:DQ5)-SUM(G9:DQ9))/IJ8</f>
        <v>0.11498167756396181</v>
      </c>
      <c r="IJ8">
        <f t="shared" ref="IJ8:IJ39" si="246">SUM(C2:DQ9)/8</f>
        <v>0.36048700000000011</v>
      </c>
      <c r="IM8" s="4"/>
      <c r="IN8" s="4"/>
      <c r="IO8" s="4"/>
      <c r="IP8" s="4"/>
      <c r="IQ8" s="4"/>
      <c r="IR8" s="4"/>
      <c r="IS8" s="4"/>
      <c r="IT8" s="4"/>
      <c r="IU8" s="4"/>
      <c r="IV8" s="4"/>
      <c r="JJ8" s="1"/>
    </row>
    <row r="9" spans="1:279" x14ac:dyDescent="0.35">
      <c r="A9" s="1">
        <v>1</v>
      </c>
      <c r="B9" s="4">
        <v>8.2175000000000008E-3</v>
      </c>
      <c r="C9" s="4">
        <v>1.0654E-2</v>
      </c>
      <c r="D9" s="4">
        <v>1.06058E-2</v>
      </c>
      <c r="E9" s="4">
        <v>1.04361E-2</v>
      </c>
      <c r="F9" s="4">
        <v>9.7535E-3</v>
      </c>
      <c r="G9" s="4">
        <v>9.1403999999999999E-3</v>
      </c>
      <c r="H9" s="4">
        <v>8.5669000000000006E-3</v>
      </c>
      <c r="I9" s="4">
        <v>7.9711000000000001E-3</v>
      </c>
      <c r="J9" s="4">
        <v>7.4428000000000003E-3</v>
      </c>
      <c r="K9" s="4">
        <v>6.9601000000000003E-3</v>
      </c>
      <c r="L9" s="4">
        <v>6.5317999999999999E-3</v>
      </c>
      <c r="M9" s="4">
        <v>6.1491999999999996E-3</v>
      </c>
      <c r="N9" s="4">
        <v>5.8079999999999998E-3</v>
      </c>
      <c r="O9" s="4">
        <v>5.5024999999999996E-3</v>
      </c>
      <c r="P9" s="4">
        <v>5.2283E-3</v>
      </c>
      <c r="Q9" s="4">
        <v>4.9813000000000001E-3</v>
      </c>
      <c r="R9" s="4">
        <v>4.7580000000000001E-3</v>
      </c>
      <c r="S9" s="4">
        <v>4.5554000000000002E-3</v>
      </c>
      <c r="T9" s="4">
        <v>4.3709999999999999E-3</v>
      </c>
      <c r="U9" s="4">
        <v>4.2025999999999999E-3</v>
      </c>
      <c r="V9" s="4">
        <v>4.0480999999999998E-3</v>
      </c>
      <c r="W9" s="4">
        <v>3.9061E-3</v>
      </c>
      <c r="X9" s="4">
        <v>3.7750000000000001E-3</v>
      </c>
      <c r="Y9" s="4">
        <v>3.6537000000000002E-3</v>
      </c>
      <c r="Z9" s="4">
        <v>3.5412E-3</v>
      </c>
      <c r="AA9" s="4">
        <v>3.4364E-3</v>
      </c>
      <c r="AB9" s="4">
        <v>3.3384999999999999E-3</v>
      </c>
      <c r="AC9" s="4">
        <v>3.2468000000000002E-3</v>
      </c>
      <c r="AD9" s="4">
        <v>3.1606999999999998E-3</v>
      </c>
      <c r="AE9" s="4">
        <v>3.0796999999999999E-3</v>
      </c>
      <c r="AF9" s="4">
        <v>3.0030999999999999E-3</v>
      </c>
      <c r="AG9" s="4">
        <v>2.9307000000000001E-3</v>
      </c>
      <c r="AH9" s="4">
        <v>2.8620999999999998E-3</v>
      </c>
      <c r="AI9" s="4">
        <v>2.7969000000000002E-3</v>
      </c>
      <c r="AJ9" s="4">
        <v>2.7349000000000002E-3</v>
      </c>
      <c r="AK9" s="4">
        <v>2.6759000000000002E-3</v>
      </c>
      <c r="AL9" s="4">
        <v>2.6194999999999999E-3</v>
      </c>
      <c r="AM9" s="4">
        <v>2.5657000000000002E-3</v>
      </c>
      <c r="AN9" s="4">
        <v>2.5143000000000001E-3</v>
      </c>
      <c r="AO9" s="4">
        <v>2.4650000000000002E-3</v>
      </c>
      <c r="AP9" s="4">
        <v>2.4177000000000001E-3</v>
      </c>
      <c r="AQ9" s="4">
        <v>2.3722999999999999E-3</v>
      </c>
      <c r="AR9" s="4">
        <v>2.3287E-3</v>
      </c>
      <c r="AS9" s="4">
        <v>2.2867E-3</v>
      </c>
      <c r="AT9" s="4">
        <v>2.2461999999999998E-3</v>
      </c>
      <c r="AU9" s="4">
        <v>2.2071999999999999E-3</v>
      </c>
      <c r="AV9" s="4">
        <v>2.1695E-3</v>
      </c>
      <c r="AW9" s="4">
        <v>2.1329999999999999E-3</v>
      </c>
      <c r="AX9" s="4">
        <v>2.0977000000000001E-3</v>
      </c>
      <c r="AY9" s="4">
        <v>2.0634E-3</v>
      </c>
      <c r="AZ9" s="4">
        <v>2.0301999999999998E-3</v>
      </c>
      <c r="BA9" s="4">
        <v>1.9980000000000002E-3</v>
      </c>
      <c r="BB9" s="4">
        <v>1.9666000000000002E-3</v>
      </c>
      <c r="BC9" s="4">
        <v>1.9361000000000001E-3</v>
      </c>
      <c r="BD9" s="4">
        <v>1.9063000000000001E-3</v>
      </c>
      <c r="BE9" s="4">
        <v>1.8772999999999999E-3</v>
      </c>
      <c r="BF9" s="4">
        <v>1.8489999999999999E-3</v>
      </c>
      <c r="BG9" s="4">
        <v>1.8213000000000001E-3</v>
      </c>
      <c r="BH9" s="4">
        <v>1.7943E-3</v>
      </c>
      <c r="BI9" s="4">
        <v>1.7677999999999999E-3</v>
      </c>
      <c r="BJ9" s="4">
        <v>1.7419E-3</v>
      </c>
      <c r="BK9" s="4">
        <v>1.7166E-3</v>
      </c>
      <c r="BL9" s="4">
        <v>1.6917E-3</v>
      </c>
      <c r="BM9" s="4">
        <v>1.6673E-3</v>
      </c>
      <c r="BN9" s="4">
        <v>1.6433999999999999E-3</v>
      </c>
      <c r="BO9" s="4">
        <v>1.6199000000000001E-3</v>
      </c>
      <c r="BP9" s="4">
        <v>1.5968E-3</v>
      </c>
      <c r="BQ9" s="4">
        <v>1.5740999999999999E-3</v>
      </c>
      <c r="BR9" s="4">
        <v>1.5518000000000001E-3</v>
      </c>
      <c r="BS9" s="4">
        <v>1.5299000000000001E-3</v>
      </c>
      <c r="BT9" s="4">
        <v>1.5083E-3</v>
      </c>
      <c r="BU9" s="4">
        <v>1.4871000000000001E-3</v>
      </c>
      <c r="BV9" s="4">
        <v>1.4662E-3</v>
      </c>
      <c r="BW9" s="4">
        <v>1.4457000000000001E-3</v>
      </c>
      <c r="BX9" s="4">
        <v>1.4254000000000001E-3</v>
      </c>
      <c r="BY9" s="4">
        <v>1.4055000000000001E-3</v>
      </c>
      <c r="BZ9" s="4">
        <v>1.3858E-3</v>
      </c>
      <c r="CA9" s="4">
        <v>1.3664E-3</v>
      </c>
      <c r="CB9" s="4">
        <v>1.3473999999999999E-3</v>
      </c>
      <c r="CC9" s="4">
        <v>1.3285E-3</v>
      </c>
      <c r="CD9" s="4">
        <v>1.31E-3</v>
      </c>
      <c r="CE9" s="4">
        <v>1.2917E-3</v>
      </c>
      <c r="CF9" s="4">
        <v>1.2737E-3</v>
      </c>
      <c r="CG9" s="4">
        <v>1.2558999999999999E-3</v>
      </c>
      <c r="CH9" s="4">
        <v>1.2384E-3</v>
      </c>
      <c r="CI9" s="4">
        <v>1.2210999999999999E-3</v>
      </c>
      <c r="CJ9" s="4">
        <v>1.2041E-3</v>
      </c>
      <c r="CK9" s="4">
        <v>1.1873000000000001E-3</v>
      </c>
      <c r="CL9" s="4">
        <v>1.1707E-3</v>
      </c>
      <c r="CM9" s="4">
        <v>1.1543E-3</v>
      </c>
      <c r="CN9" s="4">
        <v>1.1382E-3</v>
      </c>
      <c r="CO9" s="4">
        <v>1.1222999999999999E-3</v>
      </c>
      <c r="CP9" s="4">
        <v>1.1065999999999999E-3</v>
      </c>
      <c r="CQ9" s="4">
        <v>1.0911E-3</v>
      </c>
      <c r="CR9" s="4">
        <v>1.0759000000000001E-3</v>
      </c>
      <c r="CS9" s="4">
        <v>1.0608E-3</v>
      </c>
      <c r="CT9" s="4">
        <v>1.0459E-3</v>
      </c>
      <c r="CU9" s="4">
        <v>1.0313E-3</v>
      </c>
      <c r="CV9" s="4">
        <v>1.0168E-3</v>
      </c>
      <c r="CW9" s="4">
        <v>1.0026E-3</v>
      </c>
      <c r="CX9" s="4">
        <v>9.8850000000000001E-4</v>
      </c>
      <c r="CY9" s="4">
        <v>9.7460000000000005E-4</v>
      </c>
      <c r="CZ9" s="4">
        <v>9.6089999999999999E-4</v>
      </c>
      <c r="DA9" s="4">
        <v>9.4740000000000004E-4</v>
      </c>
      <c r="DB9" s="4">
        <v>9.3409999999999999E-4</v>
      </c>
      <c r="DC9" s="4">
        <v>9.2100000000000005E-4</v>
      </c>
      <c r="DD9" s="4">
        <v>9.0799999999999995E-4</v>
      </c>
      <c r="DE9" s="4">
        <v>8.9519999999999997E-4</v>
      </c>
      <c r="DF9" s="4">
        <v>8.8259999999999999E-4</v>
      </c>
      <c r="DG9" s="4">
        <v>8.7020000000000001E-4</v>
      </c>
      <c r="DH9" s="4">
        <v>8.5789999999999998E-4</v>
      </c>
      <c r="DI9" s="4">
        <v>8.4579999999999996E-4</v>
      </c>
      <c r="DJ9" s="4">
        <v>8.3390000000000005E-4</v>
      </c>
      <c r="DK9" s="4">
        <v>8.2209999999999998E-4</v>
      </c>
      <c r="DL9" s="4">
        <v>8.1050000000000002E-4</v>
      </c>
      <c r="DM9" s="4">
        <v>7.9909999999999996E-4</v>
      </c>
      <c r="DN9" s="4">
        <v>7.8779999999999996E-4</v>
      </c>
      <c r="DO9" s="4">
        <v>7.7669999999999996E-4</v>
      </c>
      <c r="DP9" s="4">
        <v>7.6570000000000002E-4</v>
      </c>
      <c r="DQ9" s="4">
        <v>5.3164200000000002E-2</v>
      </c>
      <c r="DR9" s="4">
        <v>0</v>
      </c>
      <c r="DS9" s="4">
        <v>5.934E-4</v>
      </c>
      <c r="DT9" s="4">
        <v>1.0996000000000001E-3</v>
      </c>
      <c r="DU9" s="4">
        <v>1.6927999999999999E-3</v>
      </c>
      <c r="DV9" s="4">
        <v>1.6808999999999999E-3</v>
      </c>
      <c r="DW9" s="4">
        <v>1.616E-3</v>
      </c>
      <c r="DX9" s="4">
        <v>1.5435E-3</v>
      </c>
      <c r="DY9" s="4">
        <v>1.3776999999999999E-3</v>
      </c>
      <c r="DZ9" s="4">
        <v>1.2398000000000001E-3</v>
      </c>
      <c r="EA9" s="4">
        <v>1.1016999999999999E-3</v>
      </c>
      <c r="EB9" s="4">
        <v>9.8250000000000008E-4</v>
      </c>
      <c r="EC9" s="4">
        <v>8.7640000000000005E-4</v>
      </c>
      <c r="ED9" s="4">
        <v>7.8419999999999998E-4</v>
      </c>
      <c r="EE9" s="4">
        <v>7.0339999999999997E-4</v>
      </c>
      <c r="EF9" s="4">
        <v>6.3279999999999999E-4</v>
      </c>
      <c r="EG9" s="4">
        <v>5.708E-4</v>
      </c>
      <c r="EH9" s="4">
        <v>5.1630000000000003E-4</v>
      </c>
      <c r="EI9" s="4">
        <v>4.683E-4</v>
      </c>
      <c r="EJ9" s="4">
        <v>4.258E-4</v>
      </c>
      <c r="EK9" s="4">
        <v>3.88E-4</v>
      </c>
      <c r="EL9" s="4">
        <v>3.5429999999999999E-4</v>
      </c>
      <c r="EM9" s="4">
        <v>3.2430000000000002E-4</v>
      </c>
      <c r="EN9" s="4">
        <v>2.9730000000000002E-4</v>
      </c>
      <c r="EO9" s="4">
        <v>2.7310000000000002E-4</v>
      </c>
      <c r="EP9" s="4">
        <v>2.5129999999999998E-4</v>
      </c>
      <c r="EQ9" s="4">
        <v>2.3169999999999999E-4</v>
      </c>
      <c r="ER9" s="4">
        <v>2.14E-4</v>
      </c>
      <c r="ES9" s="4">
        <v>1.9799999999999999E-4</v>
      </c>
      <c r="ET9" s="4">
        <v>1.8359999999999999E-4</v>
      </c>
      <c r="EU9" s="4">
        <v>1.705E-4</v>
      </c>
      <c r="EV9" s="4">
        <v>1.5870000000000001E-4</v>
      </c>
      <c r="EW9" s="4">
        <v>1.4789999999999999E-4</v>
      </c>
      <c r="EX9" s="4">
        <v>1.382E-4</v>
      </c>
      <c r="EY9" s="4">
        <v>1.293E-4</v>
      </c>
      <c r="EZ9" s="4">
        <v>1.2129999999999999E-4</v>
      </c>
      <c r="FA9" s="4">
        <v>1.139E-4</v>
      </c>
      <c r="FB9" s="4">
        <v>1.0730000000000001E-4</v>
      </c>
      <c r="FC9" s="4">
        <v>1.0119999999999999E-4</v>
      </c>
      <c r="FD9" s="4">
        <v>9.5699999999999995E-5</v>
      </c>
      <c r="FE9" s="4">
        <v>9.0699999999999996E-5</v>
      </c>
      <c r="FF9" s="4">
        <v>8.6100000000000006E-5</v>
      </c>
      <c r="FG9" s="4">
        <v>8.2000000000000001E-5</v>
      </c>
      <c r="FH9" s="4">
        <v>7.8100000000000001E-5</v>
      </c>
      <c r="FI9" s="4">
        <v>7.4599999999999997E-5</v>
      </c>
      <c r="FJ9" s="4">
        <v>7.1400000000000001E-5</v>
      </c>
      <c r="FK9" s="4">
        <v>6.8499999999999998E-5</v>
      </c>
      <c r="FL9" s="4">
        <v>6.58E-5</v>
      </c>
      <c r="FM9" s="4">
        <v>6.3299999999999994E-5</v>
      </c>
      <c r="FN9" s="4">
        <v>6.0999999999999999E-5</v>
      </c>
      <c r="FO9" s="4">
        <v>5.8799999999999999E-5</v>
      </c>
      <c r="FP9" s="4">
        <v>5.6900000000000001E-5</v>
      </c>
      <c r="FQ9" s="4">
        <v>5.5000000000000002E-5</v>
      </c>
      <c r="FR9" s="4">
        <v>5.3300000000000001E-5</v>
      </c>
      <c r="FS9" s="4">
        <v>5.1700000000000003E-5</v>
      </c>
      <c r="FT9" s="4">
        <v>5.02E-5</v>
      </c>
      <c r="FU9" s="4">
        <v>4.88E-5</v>
      </c>
      <c r="FV9" s="4">
        <v>4.7500000000000003E-5</v>
      </c>
      <c r="FW9" s="4">
        <v>4.6199999999999998E-5</v>
      </c>
      <c r="FX9" s="4">
        <v>4.5000000000000003E-5</v>
      </c>
      <c r="FY9" s="4">
        <v>4.3900000000000003E-5</v>
      </c>
      <c r="FZ9" s="4">
        <v>4.2799999999999997E-5</v>
      </c>
      <c r="GA9" s="4">
        <v>4.18E-5</v>
      </c>
      <c r="GB9" s="4">
        <v>4.0899999999999998E-5</v>
      </c>
      <c r="GC9" s="4">
        <v>3.9900000000000001E-5</v>
      </c>
      <c r="GD9" s="4">
        <v>3.8999999999999999E-5</v>
      </c>
      <c r="GE9" s="4">
        <v>3.82E-5</v>
      </c>
      <c r="GF9" s="4">
        <v>3.7400000000000001E-5</v>
      </c>
      <c r="GG9" s="4">
        <v>3.6600000000000002E-5</v>
      </c>
      <c r="GH9" s="4">
        <v>3.5800000000000003E-5</v>
      </c>
      <c r="GI9" s="4">
        <v>3.5099999999999999E-5</v>
      </c>
      <c r="GJ9" s="4">
        <v>3.4400000000000003E-5</v>
      </c>
      <c r="GK9" s="4">
        <v>3.3699999999999999E-5</v>
      </c>
      <c r="GL9" s="4">
        <v>3.3000000000000003E-5</v>
      </c>
      <c r="GM9" s="4">
        <v>3.2400000000000001E-5</v>
      </c>
      <c r="GN9" s="4">
        <v>3.1699999999999998E-5</v>
      </c>
      <c r="GO9" s="4">
        <v>3.1099999999999997E-5</v>
      </c>
      <c r="GP9" s="4">
        <v>3.0499999999999999E-5</v>
      </c>
      <c r="GQ9" s="4">
        <v>3.0000000000000001E-5</v>
      </c>
      <c r="GR9" s="4">
        <v>2.94E-5</v>
      </c>
      <c r="GS9" s="4">
        <v>2.8799999999999999E-5</v>
      </c>
      <c r="GT9" s="4">
        <v>2.83E-5</v>
      </c>
      <c r="GU9" s="4">
        <v>2.7800000000000001E-5</v>
      </c>
      <c r="GV9" s="4">
        <v>2.73E-5</v>
      </c>
      <c r="GW9" s="4">
        <v>2.6800000000000001E-5</v>
      </c>
      <c r="GX9" s="4">
        <v>2.6299999999999999E-5</v>
      </c>
      <c r="GY9" s="4">
        <v>2.58E-5</v>
      </c>
      <c r="GZ9" s="4">
        <v>2.5400000000000001E-5</v>
      </c>
      <c r="HA9" s="4">
        <v>2.4899999999999999E-5</v>
      </c>
      <c r="HB9" s="4">
        <v>2.4499999999999999E-5</v>
      </c>
      <c r="HC9" s="4">
        <v>2.4000000000000001E-5</v>
      </c>
      <c r="HD9" s="4">
        <v>2.3600000000000001E-5</v>
      </c>
      <c r="HE9" s="4">
        <v>2.3200000000000001E-5</v>
      </c>
      <c r="HF9" s="4">
        <v>2.2799999999999999E-5</v>
      </c>
      <c r="HG9" s="4">
        <v>2.2399999999999999E-5</v>
      </c>
      <c r="HH9" s="4">
        <v>2.1999999999999999E-5</v>
      </c>
      <c r="HI9" s="4">
        <v>2.16E-5</v>
      </c>
      <c r="HJ9" s="4">
        <v>2.12E-5</v>
      </c>
      <c r="HK9" s="4">
        <v>2.09E-5</v>
      </c>
      <c r="HL9" s="4">
        <v>2.05E-5</v>
      </c>
      <c r="HM9" s="4">
        <v>2.02E-5</v>
      </c>
      <c r="HN9" s="4">
        <v>1.98E-5</v>
      </c>
      <c r="HO9" s="4">
        <v>1.95E-5</v>
      </c>
      <c r="HP9" s="4">
        <v>1.9199999999999999E-5</v>
      </c>
      <c r="HQ9" s="4">
        <v>1.8899999999999999E-5</v>
      </c>
      <c r="HR9" s="4">
        <v>1.8499999999999999E-5</v>
      </c>
      <c r="HS9" s="4">
        <v>1.8199999999999999E-5</v>
      </c>
      <c r="HT9" s="4">
        <v>1.7900000000000001E-5</v>
      </c>
      <c r="HU9" s="4">
        <v>1.7600000000000001E-5</v>
      </c>
      <c r="HV9" s="4">
        <v>1.73E-5</v>
      </c>
      <c r="HW9" s="4">
        <v>1.7099999999999999E-5</v>
      </c>
      <c r="HX9" s="4">
        <v>1.6799999999999998E-5</v>
      </c>
      <c r="HY9" s="4">
        <v>1.6500000000000001E-5</v>
      </c>
      <c r="HZ9" s="4">
        <v>1.6200000000000001E-5</v>
      </c>
      <c r="IA9" s="4">
        <v>1.5999999999999999E-5</v>
      </c>
      <c r="IB9" s="4">
        <v>1.5699999999999999E-5</v>
      </c>
      <c r="IC9" s="4">
        <v>1.5500000000000001E-5</v>
      </c>
      <c r="ID9" s="4">
        <v>1.52E-5</v>
      </c>
      <c r="IE9" s="4">
        <v>1.5E-5</v>
      </c>
      <c r="IF9" s="4">
        <v>1.47E-5</v>
      </c>
      <c r="IG9" s="4">
        <v>9.9189999999999999E-4</v>
      </c>
      <c r="IH9" s="4"/>
      <c r="II9" s="4">
        <f t="shared" si="245"/>
        <v>0.15074969392024792</v>
      </c>
      <c r="IJ9">
        <f t="shared" si="246"/>
        <v>0.35830122500000039</v>
      </c>
      <c r="IM9" s="4"/>
      <c r="IN9" s="4"/>
      <c r="IO9" s="4"/>
      <c r="IP9" s="4"/>
      <c r="IQ9" s="4"/>
      <c r="IR9" s="4"/>
      <c r="IS9" s="4"/>
      <c r="IT9" s="4"/>
      <c r="IU9" s="4"/>
      <c r="IV9" s="4"/>
      <c r="JJ9" s="1"/>
    </row>
    <row r="10" spans="1:279" x14ac:dyDescent="0.35">
      <c r="A10" s="1">
        <v>2</v>
      </c>
      <c r="B10" s="4">
        <v>9.7630000000000008E-3</v>
      </c>
      <c r="C10" s="4">
        <v>8.2175000000000008E-3</v>
      </c>
      <c r="D10" s="4">
        <v>1.0060599999999999E-2</v>
      </c>
      <c r="E10" s="4">
        <v>9.5061999999999994E-3</v>
      </c>
      <c r="F10" s="4">
        <v>8.7433000000000007E-3</v>
      </c>
      <c r="G10" s="4">
        <v>8.0727000000000004E-3</v>
      </c>
      <c r="H10" s="4">
        <v>7.5243999999999997E-3</v>
      </c>
      <c r="I10" s="4">
        <v>7.0234E-3</v>
      </c>
      <c r="J10" s="4">
        <v>6.5934000000000001E-3</v>
      </c>
      <c r="K10" s="4">
        <v>6.2030999999999996E-3</v>
      </c>
      <c r="L10" s="4">
        <v>5.8583999999999997E-3</v>
      </c>
      <c r="M10" s="4">
        <v>5.5493000000000001E-3</v>
      </c>
      <c r="N10" s="4">
        <v>5.2728000000000002E-3</v>
      </c>
      <c r="O10" s="4">
        <v>5.0238000000000001E-3</v>
      </c>
      <c r="P10" s="4">
        <v>4.7990999999999997E-3</v>
      </c>
      <c r="Q10" s="4">
        <v>4.5954999999999998E-3</v>
      </c>
      <c r="R10" s="4">
        <v>4.4105000000000004E-3</v>
      </c>
      <c r="S10" s="4">
        <v>4.2417000000000002E-3</v>
      </c>
      <c r="T10" s="4">
        <v>4.0872E-3</v>
      </c>
      <c r="U10" s="4">
        <v>3.9452999999999997E-3</v>
      </c>
      <c r="V10" s="4">
        <v>3.8146E-3</v>
      </c>
      <c r="W10" s="4">
        <v>3.6938000000000001E-3</v>
      </c>
      <c r="X10" s="4">
        <v>3.5818E-3</v>
      </c>
      <c r="Y10" s="4">
        <v>3.4776999999999998E-3</v>
      </c>
      <c r="Z10" s="4">
        <v>3.3806999999999999E-3</v>
      </c>
      <c r="AA10" s="4">
        <v>3.2899000000000001E-3</v>
      </c>
      <c r="AB10" s="4">
        <v>3.2047E-3</v>
      </c>
      <c r="AC10" s="4">
        <v>3.1245000000000001E-3</v>
      </c>
      <c r="AD10" s="4">
        <v>3.0487999999999999E-3</v>
      </c>
      <c r="AE10" s="4">
        <v>2.9770999999999999E-3</v>
      </c>
      <c r="AF10" s="4">
        <v>2.9091E-3</v>
      </c>
      <c r="AG10" s="4">
        <v>2.8444999999999998E-3</v>
      </c>
      <c r="AH10" s="4">
        <v>2.7828000000000002E-3</v>
      </c>
      <c r="AI10" s="4">
        <v>2.7239E-3</v>
      </c>
      <c r="AJ10" s="4">
        <v>2.6676E-3</v>
      </c>
      <c r="AK10" s="4">
        <v>2.6137000000000001E-3</v>
      </c>
      <c r="AL10" s="4">
        <v>2.5619000000000002E-3</v>
      </c>
      <c r="AM10" s="4">
        <v>2.5122E-3</v>
      </c>
      <c r="AN10" s="4">
        <v>2.4645000000000001E-3</v>
      </c>
      <c r="AO10" s="4">
        <v>2.4185000000000001E-3</v>
      </c>
      <c r="AP10" s="4">
        <v>2.3743000000000002E-3</v>
      </c>
      <c r="AQ10" s="4">
        <v>2.3316000000000001E-3</v>
      </c>
      <c r="AR10" s="4">
        <v>2.2904000000000002E-3</v>
      </c>
      <c r="AS10" s="4">
        <v>2.2504999999999999E-3</v>
      </c>
      <c r="AT10" s="4">
        <v>2.212E-3</v>
      </c>
      <c r="AU10" s="4">
        <v>2.1748000000000002E-3</v>
      </c>
      <c r="AV10" s="4">
        <v>2.1386999999999999E-3</v>
      </c>
      <c r="AW10" s="4">
        <v>2.1037E-3</v>
      </c>
      <c r="AX10" s="4">
        <v>2.0696999999999998E-3</v>
      </c>
      <c r="AY10" s="4">
        <v>2.0366999999999998E-3</v>
      </c>
      <c r="AZ10" s="4">
        <v>2.0046E-3</v>
      </c>
      <c r="BA10" s="4">
        <v>1.9734000000000002E-3</v>
      </c>
      <c r="BB10" s="4">
        <v>1.9429E-3</v>
      </c>
      <c r="BC10" s="4">
        <v>1.9132999999999999E-3</v>
      </c>
      <c r="BD10" s="4">
        <v>1.8844000000000001E-3</v>
      </c>
      <c r="BE10" s="4">
        <v>1.8561000000000001E-3</v>
      </c>
      <c r="BF10" s="4">
        <v>1.8285E-3</v>
      </c>
      <c r="BG10" s="4">
        <v>1.8014999999999999E-3</v>
      </c>
      <c r="BH10" s="4">
        <v>1.7750999999999999E-3</v>
      </c>
      <c r="BI10" s="4">
        <v>1.7492E-3</v>
      </c>
      <c r="BJ10" s="4">
        <v>1.7239E-3</v>
      </c>
      <c r="BK10" s="4">
        <v>1.6991E-3</v>
      </c>
      <c r="BL10" s="4">
        <v>1.6747000000000001E-3</v>
      </c>
      <c r="BM10" s="4">
        <v>1.6508E-3</v>
      </c>
      <c r="BN10" s="4">
        <v>1.6274E-3</v>
      </c>
      <c r="BO10" s="4">
        <v>1.6042999999999999E-3</v>
      </c>
      <c r="BP10" s="4">
        <v>1.5816999999999999E-3</v>
      </c>
      <c r="BQ10" s="4">
        <v>1.5594000000000001E-3</v>
      </c>
      <c r="BR10" s="4">
        <v>1.5375E-3</v>
      </c>
      <c r="BS10" s="4">
        <v>1.516E-3</v>
      </c>
      <c r="BT10" s="4">
        <v>1.4947999999999999E-3</v>
      </c>
      <c r="BU10" s="4">
        <v>1.474E-3</v>
      </c>
      <c r="BV10" s="4">
        <v>1.4534000000000001E-3</v>
      </c>
      <c r="BW10" s="4">
        <v>1.4331999999999999E-3</v>
      </c>
      <c r="BX10" s="4">
        <v>1.4132999999999999E-3</v>
      </c>
      <c r="BY10" s="4">
        <v>1.3937000000000001E-3</v>
      </c>
      <c r="BZ10" s="4">
        <v>1.3743E-3</v>
      </c>
      <c r="CA10" s="4">
        <v>1.3553E-3</v>
      </c>
      <c r="CB10" s="4">
        <v>1.3365E-3</v>
      </c>
      <c r="CC10" s="4">
        <v>1.3179999999999999E-3</v>
      </c>
      <c r="CD10" s="4">
        <v>1.2997E-3</v>
      </c>
      <c r="CE10" s="4">
        <v>1.2817E-3</v>
      </c>
      <c r="CF10" s="4">
        <v>1.2639000000000001E-3</v>
      </c>
      <c r="CG10" s="4">
        <v>1.2463999999999999E-3</v>
      </c>
      <c r="CH10" s="4">
        <v>1.2292E-3</v>
      </c>
      <c r="CI10" s="4">
        <v>1.2121E-3</v>
      </c>
      <c r="CJ10" s="4">
        <v>1.1953000000000001E-3</v>
      </c>
      <c r="CK10" s="4">
        <v>1.1787E-3</v>
      </c>
      <c r="CL10" s="4">
        <v>1.1624000000000001E-3</v>
      </c>
      <c r="CM10" s="4">
        <v>1.1462E-3</v>
      </c>
      <c r="CN10" s="4">
        <v>1.1303000000000001E-3</v>
      </c>
      <c r="CO10" s="4">
        <v>1.1146000000000001E-3</v>
      </c>
      <c r="CP10" s="4">
        <v>1.0991E-3</v>
      </c>
      <c r="CQ10" s="4">
        <v>1.0838E-3</v>
      </c>
      <c r="CR10" s="4">
        <v>1.0686999999999999E-3</v>
      </c>
      <c r="CS10" s="4">
        <v>1.0539E-3</v>
      </c>
      <c r="CT10" s="4">
        <v>1.0392000000000001E-3</v>
      </c>
      <c r="CU10" s="4">
        <v>1.0246999999999999E-3</v>
      </c>
      <c r="CV10" s="4">
        <v>1.0104000000000001E-3</v>
      </c>
      <c r="CW10" s="4">
        <v>9.9630000000000009E-4</v>
      </c>
      <c r="CX10" s="4">
        <v>9.8240000000000003E-4</v>
      </c>
      <c r="CY10" s="4">
        <v>9.6869999999999996E-4</v>
      </c>
      <c r="CZ10" s="4">
        <v>9.5509999999999996E-4</v>
      </c>
      <c r="DA10" s="4">
        <v>9.4169999999999996E-4</v>
      </c>
      <c r="DB10" s="4">
        <v>9.2860000000000002E-4</v>
      </c>
      <c r="DC10" s="4">
        <v>9.1560000000000003E-4</v>
      </c>
      <c r="DD10" s="4">
        <v>9.0269999999999999E-4</v>
      </c>
      <c r="DE10" s="4">
        <v>8.9010000000000001E-4</v>
      </c>
      <c r="DF10" s="4">
        <v>8.7759999999999997E-4</v>
      </c>
      <c r="DG10" s="4">
        <v>8.6530000000000005E-4</v>
      </c>
      <c r="DH10" s="4">
        <v>8.5309999999999997E-4</v>
      </c>
      <c r="DI10" s="4">
        <v>8.4110000000000001E-4</v>
      </c>
      <c r="DJ10" s="4">
        <v>8.2930000000000005E-4</v>
      </c>
      <c r="DK10" s="4">
        <v>8.1760000000000003E-4</v>
      </c>
      <c r="DL10" s="4">
        <v>8.0610000000000002E-4</v>
      </c>
      <c r="DM10" s="4">
        <v>7.9480000000000002E-4</v>
      </c>
      <c r="DN10" s="4">
        <v>7.8359999999999996E-4</v>
      </c>
      <c r="DO10" s="4">
        <v>7.7260000000000002E-4</v>
      </c>
      <c r="DP10" s="4">
        <v>7.6170000000000003E-4</v>
      </c>
      <c r="DQ10" s="4">
        <v>5.29233E-2</v>
      </c>
      <c r="DR10" s="4">
        <v>0</v>
      </c>
      <c r="DS10" s="4">
        <v>1.3310000000000001E-4</v>
      </c>
      <c r="DT10" s="4">
        <v>5.5409999999999997E-4</v>
      </c>
      <c r="DU10" s="4">
        <v>7.7300000000000003E-4</v>
      </c>
      <c r="DV10" s="4">
        <v>6.3619999999999996E-4</v>
      </c>
      <c r="DW10" s="4">
        <v>5.4160000000000005E-4</v>
      </c>
      <c r="DX10" s="4">
        <v>4.7980000000000001E-4</v>
      </c>
      <c r="DY10" s="4">
        <v>4.1669999999999999E-4</v>
      </c>
      <c r="DZ10" s="4">
        <v>3.6749999999999999E-4</v>
      </c>
      <c r="EA10" s="4">
        <v>3.1940000000000001E-4</v>
      </c>
      <c r="EB10" s="4">
        <v>2.7910000000000001E-4</v>
      </c>
      <c r="EC10" s="4">
        <v>2.4350000000000001E-4</v>
      </c>
      <c r="ED10" s="4">
        <v>2.128E-4</v>
      </c>
      <c r="EE10" s="4">
        <v>1.861E-4</v>
      </c>
      <c r="EF10" s="4">
        <v>1.6310000000000001E-4</v>
      </c>
      <c r="EG10" s="4">
        <v>1.4320000000000001E-4</v>
      </c>
      <c r="EH10" s="4">
        <v>1.261E-4</v>
      </c>
      <c r="EI10" s="4">
        <v>1.114E-4</v>
      </c>
      <c r="EJ10" s="4">
        <v>9.8900000000000005E-5</v>
      </c>
      <c r="EK10" s="4">
        <v>8.8200000000000003E-5</v>
      </c>
      <c r="EL10" s="4">
        <v>7.9099999999999998E-5</v>
      </c>
      <c r="EM10" s="4">
        <v>7.1500000000000003E-5</v>
      </c>
      <c r="EN10" s="4">
        <v>6.5099999999999997E-5</v>
      </c>
      <c r="EO10" s="4">
        <v>5.9799999999999997E-5</v>
      </c>
      <c r="EP10" s="4">
        <v>5.5399999999999998E-5</v>
      </c>
      <c r="EQ10" s="4">
        <v>5.1700000000000003E-5</v>
      </c>
      <c r="ER10" s="4">
        <v>4.88E-5</v>
      </c>
      <c r="ES10" s="4">
        <v>4.6300000000000001E-5</v>
      </c>
      <c r="ET10" s="4">
        <v>4.4199999999999997E-5</v>
      </c>
      <c r="EU10" s="4">
        <v>4.2500000000000003E-5</v>
      </c>
      <c r="EV10" s="4">
        <v>4.1100000000000003E-5</v>
      </c>
      <c r="EW10" s="4">
        <v>3.9900000000000001E-5</v>
      </c>
      <c r="EX10" s="4">
        <v>3.8800000000000001E-5</v>
      </c>
      <c r="EY10" s="4">
        <v>3.7799999999999997E-5</v>
      </c>
      <c r="EZ10" s="4">
        <v>3.68E-5</v>
      </c>
      <c r="FA10" s="4">
        <v>3.6000000000000001E-5</v>
      </c>
      <c r="FB10" s="4">
        <v>3.5099999999999999E-5</v>
      </c>
      <c r="FC10" s="4">
        <v>3.43E-5</v>
      </c>
      <c r="FD10" s="4">
        <v>3.3500000000000001E-5</v>
      </c>
      <c r="FE10" s="4">
        <v>3.2700000000000002E-5</v>
      </c>
      <c r="FF10" s="4">
        <v>3.1900000000000003E-5</v>
      </c>
      <c r="FG10" s="4">
        <v>3.1099999999999997E-5</v>
      </c>
      <c r="FH10" s="4">
        <v>3.04E-5</v>
      </c>
      <c r="FI10" s="4">
        <v>2.9600000000000001E-5</v>
      </c>
      <c r="FJ10" s="4">
        <v>2.8799999999999999E-5</v>
      </c>
      <c r="FK10" s="4">
        <v>2.8099999999999999E-5</v>
      </c>
      <c r="FL10" s="4">
        <v>2.7399999999999999E-5</v>
      </c>
      <c r="FM10" s="4">
        <v>2.6599999999999999E-5</v>
      </c>
      <c r="FN10" s="4">
        <v>2.5899999999999999E-5</v>
      </c>
      <c r="FO10" s="4">
        <v>2.5299999999999998E-5</v>
      </c>
      <c r="FP10" s="4">
        <v>2.4600000000000002E-5</v>
      </c>
      <c r="FQ10" s="4">
        <v>2.4000000000000001E-5</v>
      </c>
      <c r="FR10" s="4">
        <v>2.3300000000000001E-5</v>
      </c>
      <c r="FS10" s="4">
        <v>2.27E-5</v>
      </c>
      <c r="FT10" s="4">
        <v>2.2099999999999998E-5</v>
      </c>
      <c r="FU10" s="4">
        <v>2.16E-5</v>
      </c>
      <c r="FV10" s="4">
        <v>2.0999999999999999E-5</v>
      </c>
      <c r="FW10" s="4">
        <v>2.05E-5</v>
      </c>
      <c r="FX10" s="4">
        <v>2.0000000000000002E-5</v>
      </c>
      <c r="FY10" s="4">
        <v>1.95E-5</v>
      </c>
      <c r="FZ10" s="4">
        <v>1.91E-5</v>
      </c>
      <c r="GA10" s="4">
        <v>1.8600000000000001E-5</v>
      </c>
      <c r="GB10" s="4">
        <v>1.8199999999999999E-5</v>
      </c>
      <c r="GC10" s="4">
        <v>1.7799999999999999E-5</v>
      </c>
      <c r="GD10" s="4">
        <v>1.7399999999999999E-5</v>
      </c>
      <c r="GE10" s="4">
        <v>1.7E-5</v>
      </c>
      <c r="GF10" s="4">
        <v>1.6699999999999999E-5</v>
      </c>
      <c r="GG10" s="4">
        <v>1.63E-5</v>
      </c>
      <c r="GH10" s="4">
        <v>1.5999999999999999E-5</v>
      </c>
      <c r="GI10" s="4">
        <v>1.5699999999999999E-5</v>
      </c>
      <c r="GJ10" s="4">
        <v>1.5400000000000002E-5</v>
      </c>
      <c r="GK10" s="4">
        <v>1.5099999999999999E-5</v>
      </c>
      <c r="GL10" s="4">
        <v>1.4800000000000001E-5</v>
      </c>
      <c r="GM10" s="4">
        <v>1.45E-5</v>
      </c>
      <c r="GN10" s="4">
        <v>1.43E-5</v>
      </c>
      <c r="GO10" s="4">
        <v>1.4E-5</v>
      </c>
      <c r="GP10" s="4">
        <v>1.38E-5</v>
      </c>
      <c r="GQ10" s="4">
        <v>1.3499999999999999E-5</v>
      </c>
      <c r="GR10" s="4">
        <v>1.33E-5</v>
      </c>
      <c r="GS10" s="4">
        <v>1.31E-5</v>
      </c>
      <c r="GT10" s="4">
        <v>1.29E-5</v>
      </c>
      <c r="GU10" s="4">
        <v>1.27E-5</v>
      </c>
      <c r="GV10" s="4">
        <v>1.2500000000000001E-5</v>
      </c>
      <c r="GW10" s="4">
        <v>1.2300000000000001E-5</v>
      </c>
      <c r="GX10" s="4">
        <v>1.2099999999999999E-5</v>
      </c>
      <c r="GY10" s="4">
        <v>1.19E-5</v>
      </c>
      <c r="GZ10" s="4">
        <v>1.1800000000000001E-5</v>
      </c>
      <c r="HA10" s="4">
        <v>1.1600000000000001E-5</v>
      </c>
      <c r="HB10" s="4">
        <v>1.1399999999999999E-5</v>
      </c>
      <c r="HC10" s="4">
        <v>1.13E-5</v>
      </c>
      <c r="HD10" s="4">
        <v>1.11E-5</v>
      </c>
      <c r="HE10" s="4">
        <v>1.1E-5</v>
      </c>
      <c r="HF10" s="4">
        <v>1.08E-5</v>
      </c>
      <c r="HG10" s="4">
        <v>1.0699999999999999E-5</v>
      </c>
      <c r="HH10" s="4">
        <v>1.0499999999999999E-5</v>
      </c>
      <c r="HI10" s="4">
        <v>1.04E-5</v>
      </c>
      <c r="HJ10" s="4">
        <v>1.03E-5</v>
      </c>
      <c r="HK10" s="4">
        <v>1.01E-5</v>
      </c>
      <c r="HL10" s="4">
        <v>1.0000000000000001E-5</v>
      </c>
      <c r="HM10" s="4">
        <v>9.9000000000000001E-6</v>
      </c>
      <c r="HN10" s="4">
        <v>9.7000000000000003E-6</v>
      </c>
      <c r="HO10" s="4">
        <v>9.5999999999999996E-6</v>
      </c>
      <c r="HP10" s="4">
        <v>9.5000000000000005E-6</v>
      </c>
      <c r="HQ10" s="4">
        <v>9.3000000000000007E-6</v>
      </c>
      <c r="HR10" s="4">
        <v>9.2E-6</v>
      </c>
      <c r="HS10" s="4">
        <v>9.0999999999999993E-6</v>
      </c>
      <c r="HT10" s="4">
        <v>9.0000000000000002E-6</v>
      </c>
      <c r="HU10" s="4">
        <v>8.8999999999999995E-6</v>
      </c>
      <c r="HV10" s="4">
        <v>8.8000000000000004E-6</v>
      </c>
      <c r="HW10" s="4">
        <v>8.6000000000000007E-6</v>
      </c>
      <c r="HX10" s="4">
        <v>8.4999999999999999E-6</v>
      </c>
      <c r="HY10" s="4">
        <v>8.3999999999999992E-6</v>
      </c>
      <c r="HZ10" s="4">
        <v>8.3000000000000002E-6</v>
      </c>
      <c r="IA10" s="4">
        <v>8.1999999999999994E-6</v>
      </c>
      <c r="IB10" s="4">
        <v>8.1000000000000004E-6</v>
      </c>
      <c r="IC10" s="4">
        <v>7.9999999999999996E-6</v>
      </c>
      <c r="ID10" s="4">
        <v>7.9000000000000006E-6</v>
      </c>
      <c r="IE10" s="4">
        <v>7.7999999999999999E-6</v>
      </c>
      <c r="IF10" s="4">
        <v>7.7000000000000008E-6</v>
      </c>
      <c r="IG10" s="4">
        <v>5.4580000000000004E-4</v>
      </c>
      <c r="IH10" s="4"/>
      <c r="II10" s="4">
        <f t="shared" si="245"/>
        <v>0.1469972442279667</v>
      </c>
      <c r="IJ10">
        <f t="shared" si="246"/>
        <v>0.3562658625000007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</row>
    <row r="11" spans="1:279" x14ac:dyDescent="0.35">
      <c r="A11" s="1">
        <v>3</v>
      </c>
      <c r="B11" s="4">
        <v>1.0503200000000001E-2</v>
      </c>
      <c r="C11" s="4">
        <v>9.7630000000000008E-3</v>
      </c>
      <c r="D11" s="4">
        <v>8.0844999999999997E-3</v>
      </c>
      <c r="E11" s="4">
        <v>9.5064999999999993E-3</v>
      </c>
      <c r="F11" s="4">
        <v>8.7332E-3</v>
      </c>
      <c r="G11" s="4">
        <v>8.1071000000000008E-3</v>
      </c>
      <c r="H11" s="4">
        <v>7.5310000000000004E-3</v>
      </c>
      <c r="I11" s="4">
        <v>7.0445999999999998E-3</v>
      </c>
      <c r="J11" s="4">
        <v>6.6067000000000001E-3</v>
      </c>
      <c r="K11" s="4">
        <v>6.2259000000000004E-3</v>
      </c>
      <c r="L11" s="4">
        <v>5.8837000000000004E-3</v>
      </c>
      <c r="M11" s="4">
        <v>5.5792999999999997E-3</v>
      </c>
      <c r="N11" s="4">
        <v>5.3058000000000003E-3</v>
      </c>
      <c r="O11" s="4">
        <v>5.0599E-3</v>
      </c>
      <c r="P11" s="4">
        <v>4.8376000000000001E-3</v>
      </c>
      <c r="Q11" s="4">
        <v>4.6360000000000004E-3</v>
      </c>
      <c r="R11" s="4">
        <v>4.4523000000000002E-3</v>
      </c>
      <c r="S11" s="4">
        <v>4.2843999999999998E-3</v>
      </c>
      <c r="T11" s="4">
        <v>4.1302999999999999E-3</v>
      </c>
      <c r="U11" s="4">
        <v>3.9883000000000002E-3</v>
      </c>
      <c r="V11" s="4">
        <v>3.8571E-3</v>
      </c>
      <c r="W11" s="4">
        <v>3.7353999999999998E-3</v>
      </c>
      <c r="X11" s="4">
        <v>3.6223000000000002E-3</v>
      </c>
      <c r="Y11" s="4">
        <v>3.5167000000000002E-3</v>
      </c>
      <c r="Z11" s="4">
        <v>3.4179000000000002E-3</v>
      </c>
      <c r="AA11" s="4">
        <v>3.3252999999999998E-3</v>
      </c>
      <c r="AB11" s="4">
        <v>3.2380999999999998E-3</v>
      </c>
      <c r="AC11" s="4">
        <v>3.1559000000000001E-3</v>
      </c>
      <c r="AD11" s="4">
        <v>3.0782000000000001E-3</v>
      </c>
      <c r="AE11" s="4">
        <v>3.0044999999999998E-3</v>
      </c>
      <c r="AF11" s="4">
        <v>2.9345999999999999E-3</v>
      </c>
      <c r="AG11" s="4">
        <v>2.8679999999999999E-3</v>
      </c>
      <c r="AH11" s="4">
        <v>2.8046E-3</v>
      </c>
      <c r="AI11" s="4">
        <v>2.7439999999999999E-3</v>
      </c>
      <c r="AJ11" s="4">
        <v>2.6862000000000001E-3</v>
      </c>
      <c r="AK11" s="4">
        <v>2.6308E-3</v>
      </c>
      <c r="AL11" s="4">
        <v>2.5777E-3</v>
      </c>
      <c r="AM11" s="4">
        <v>2.5268000000000001E-3</v>
      </c>
      <c r="AN11" s="4">
        <v>2.4778999999999999E-3</v>
      </c>
      <c r="AO11" s="4">
        <v>2.431E-3</v>
      </c>
      <c r="AP11" s="4">
        <v>2.3858E-3</v>
      </c>
      <c r="AQ11" s="4">
        <v>2.3422999999999999E-3</v>
      </c>
      <c r="AR11" s="4">
        <v>2.3004000000000002E-3</v>
      </c>
      <c r="AS11" s="4">
        <v>2.2599999999999999E-3</v>
      </c>
      <c r="AT11" s="4">
        <v>2.2209E-3</v>
      </c>
      <c r="AU11" s="4">
        <v>2.1832000000000002E-3</v>
      </c>
      <c r="AV11" s="4">
        <v>2.1467000000000001E-3</v>
      </c>
      <c r="AW11" s="4">
        <v>2.1113E-3</v>
      </c>
      <c r="AX11" s="4">
        <v>2.0769999999999999E-3</v>
      </c>
      <c r="AY11" s="4">
        <v>2.0438000000000001E-3</v>
      </c>
      <c r="AZ11" s="4">
        <v>2.0114E-3</v>
      </c>
      <c r="BA11" s="4">
        <v>1.98E-3</v>
      </c>
      <c r="BB11" s="4">
        <v>1.9494E-3</v>
      </c>
      <c r="BC11" s="4">
        <v>1.9196E-3</v>
      </c>
      <c r="BD11" s="4">
        <v>1.8906000000000001E-3</v>
      </c>
      <c r="BE11" s="4">
        <v>1.8622000000000001E-3</v>
      </c>
      <c r="BF11" s="4">
        <v>1.8345E-3</v>
      </c>
      <c r="BG11" s="4">
        <v>1.8075000000000001E-3</v>
      </c>
      <c r="BH11" s="4">
        <v>1.781E-3</v>
      </c>
      <c r="BI11" s="4">
        <v>1.7551000000000001E-3</v>
      </c>
      <c r="BJ11" s="4">
        <v>1.7297E-3</v>
      </c>
      <c r="BK11" s="4">
        <v>1.7049000000000001E-3</v>
      </c>
      <c r="BL11" s="4">
        <v>1.6804999999999999E-3</v>
      </c>
      <c r="BM11" s="4">
        <v>1.6565E-3</v>
      </c>
      <c r="BN11" s="4">
        <v>1.6331E-3</v>
      </c>
      <c r="BO11" s="4">
        <v>1.6100000000000001E-3</v>
      </c>
      <c r="BP11" s="4">
        <v>1.5873E-3</v>
      </c>
      <c r="BQ11" s="4">
        <v>1.565E-3</v>
      </c>
      <c r="BR11" s="4">
        <v>1.5430999999999999E-3</v>
      </c>
      <c r="BS11" s="4">
        <v>1.5215999999999999E-3</v>
      </c>
      <c r="BT11" s="4">
        <v>1.5003E-3</v>
      </c>
      <c r="BU11" s="4">
        <v>1.4794999999999999E-3</v>
      </c>
      <c r="BV11" s="4">
        <v>1.4589E-3</v>
      </c>
      <c r="BW11" s="4">
        <v>1.4385999999999999E-3</v>
      </c>
      <c r="BX11" s="4">
        <v>1.4187E-3</v>
      </c>
      <c r="BY11" s="4">
        <v>1.3990000000000001E-3</v>
      </c>
      <c r="BZ11" s="4">
        <v>1.3795999999999999E-3</v>
      </c>
      <c r="CA11" s="4">
        <v>1.3606E-3</v>
      </c>
      <c r="CB11" s="4">
        <v>1.3416999999999999E-3</v>
      </c>
      <c r="CC11" s="4">
        <v>1.3232000000000001E-3</v>
      </c>
      <c r="CD11" s="4">
        <v>1.3048999999999999E-3</v>
      </c>
      <c r="CE11" s="4">
        <v>1.2868000000000001E-3</v>
      </c>
      <c r="CF11" s="4">
        <v>1.2689999999999999E-3</v>
      </c>
      <c r="CG11" s="4">
        <v>1.2514E-3</v>
      </c>
      <c r="CH11" s="4">
        <v>1.2340999999999999E-3</v>
      </c>
      <c r="CI11" s="4">
        <v>1.217E-3</v>
      </c>
      <c r="CJ11" s="4">
        <v>1.2002E-3</v>
      </c>
      <c r="CK11" s="4">
        <v>1.1835000000000001E-3</v>
      </c>
      <c r="CL11" s="4">
        <v>1.1670999999999999E-3</v>
      </c>
      <c r="CM11" s="4">
        <v>1.1509000000000001E-3</v>
      </c>
      <c r="CN11" s="4">
        <v>1.1349999999999999E-3</v>
      </c>
      <c r="CO11" s="4">
        <v>1.1192000000000001E-3</v>
      </c>
      <c r="CP11" s="4">
        <v>1.1035999999999999E-3</v>
      </c>
      <c r="CQ11" s="4">
        <v>1.0882999999999999E-3</v>
      </c>
      <c r="CR11" s="4">
        <v>1.0732000000000001E-3</v>
      </c>
      <c r="CS11" s="4">
        <v>1.0582E-3</v>
      </c>
      <c r="CT11" s="4">
        <v>1.0434999999999999E-3</v>
      </c>
      <c r="CU11" s="4">
        <v>1.0288999999999999E-3</v>
      </c>
      <c r="CV11" s="4">
        <v>1.0146000000000001E-3</v>
      </c>
      <c r="CW11" s="4">
        <v>1.0004E-3</v>
      </c>
      <c r="CX11" s="4">
        <v>9.8639999999999991E-4</v>
      </c>
      <c r="CY11" s="4">
        <v>9.7269999999999995E-4</v>
      </c>
      <c r="CZ11" s="4">
        <v>9.5909999999999995E-4</v>
      </c>
      <c r="DA11" s="4">
        <v>9.456E-4</v>
      </c>
      <c r="DB11" s="4">
        <v>9.324E-4</v>
      </c>
      <c r="DC11" s="4">
        <v>9.1929999999999996E-4</v>
      </c>
      <c r="DD11" s="4">
        <v>9.0640000000000002E-4</v>
      </c>
      <c r="DE11" s="4">
        <v>8.9369999999999998E-4</v>
      </c>
      <c r="DF11" s="4">
        <v>8.8119999999999995E-4</v>
      </c>
      <c r="DG11" s="4">
        <v>8.6879999999999998E-4</v>
      </c>
      <c r="DH11" s="4">
        <v>8.566E-4</v>
      </c>
      <c r="DI11" s="4">
        <v>8.4460000000000004E-4</v>
      </c>
      <c r="DJ11" s="4">
        <v>8.3270000000000002E-4</v>
      </c>
      <c r="DK11" s="4">
        <v>8.2100000000000001E-4</v>
      </c>
      <c r="DL11" s="4">
        <v>8.0940000000000005E-4</v>
      </c>
      <c r="DM11" s="4">
        <v>7.9799999999999999E-4</v>
      </c>
      <c r="DN11" s="4">
        <v>7.8680000000000004E-4</v>
      </c>
      <c r="DO11" s="4">
        <v>7.7570000000000004E-4</v>
      </c>
      <c r="DP11" s="4">
        <v>7.6480000000000005E-4</v>
      </c>
      <c r="DQ11" s="4">
        <v>5.3131499999999998E-2</v>
      </c>
      <c r="DR11" s="4">
        <v>0</v>
      </c>
      <c r="DS11" s="4">
        <v>1.013E-4</v>
      </c>
      <c r="DT11" s="4">
        <v>2.4369999999999999E-4</v>
      </c>
      <c r="DU11" s="4">
        <v>5.6159999999999999E-4</v>
      </c>
      <c r="DV11" s="4">
        <v>5.0779999999999998E-4</v>
      </c>
      <c r="DW11" s="4">
        <v>4.2480000000000003E-4</v>
      </c>
      <c r="DX11" s="4">
        <v>3.723E-4</v>
      </c>
      <c r="DY11" s="4">
        <v>3.3119999999999997E-4</v>
      </c>
      <c r="DZ11" s="4">
        <v>2.9129999999999998E-4</v>
      </c>
      <c r="EA11" s="4">
        <v>2.6029999999999998E-4</v>
      </c>
      <c r="EB11" s="4">
        <v>2.3350000000000001E-4</v>
      </c>
      <c r="EC11" s="4">
        <v>2.106E-4</v>
      </c>
      <c r="ED11" s="4">
        <v>1.908E-4</v>
      </c>
      <c r="EE11" s="4">
        <v>1.738E-4</v>
      </c>
      <c r="EF11" s="4">
        <v>1.5909999999999999E-4</v>
      </c>
      <c r="EG11" s="4">
        <v>1.4630000000000001E-4</v>
      </c>
      <c r="EH11" s="4">
        <v>1.351E-4</v>
      </c>
      <c r="EI11" s="4">
        <v>1.2530000000000001E-4</v>
      </c>
      <c r="EJ11" s="4">
        <v>1.166E-4</v>
      </c>
      <c r="EK11" s="4">
        <v>1.0900000000000001E-4</v>
      </c>
      <c r="EL11" s="4">
        <v>1.022E-4</v>
      </c>
      <c r="EM11" s="4">
        <v>9.6100000000000005E-5</v>
      </c>
      <c r="EN11" s="4">
        <v>9.0699999999999996E-5</v>
      </c>
      <c r="EO11" s="4">
        <v>8.5799999999999998E-5</v>
      </c>
      <c r="EP11" s="4">
        <v>8.14E-5</v>
      </c>
      <c r="EQ11" s="4">
        <v>7.7399999999999998E-5</v>
      </c>
      <c r="ER11" s="4">
        <v>7.3700000000000002E-5</v>
      </c>
      <c r="ES11" s="4">
        <v>7.0400000000000004E-5</v>
      </c>
      <c r="ET11" s="4">
        <v>6.7399999999999998E-5</v>
      </c>
      <c r="EU11" s="4">
        <v>6.4599999999999998E-5</v>
      </c>
      <c r="EV11" s="4">
        <v>6.2000000000000003E-5</v>
      </c>
      <c r="EW11" s="4">
        <v>5.9500000000000003E-5</v>
      </c>
      <c r="EX11" s="4">
        <v>5.7200000000000001E-5</v>
      </c>
      <c r="EY11" s="4">
        <v>5.5000000000000002E-5</v>
      </c>
      <c r="EZ11" s="4">
        <v>5.2800000000000003E-5</v>
      </c>
      <c r="FA11" s="4">
        <v>5.0800000000000002E-5</v>
      </c>
      <c r="FB11" s="4">
        <v>4.8900000000000003E-5</v>
      </c>
      <c r="FC11" s="4">
        <v>4.71E-5</v>
      </c>
      <c r="FD11" s="4">
        <v>4.5300000000000003E-5</v>
      </c>
      <c r="FE11" s="4">
        <v>4.3699999999999998E-5</v>
      </c>
      <c r="FF11" s="4">
        <v>4.21E-5</v>
      </c>
      <c r="FG11" s="4">
        <v>4.0599999999999998E-5</v>
      </c>
      <c r="FH11" s="4">
        <v>3.9100000000000002E-5</v>
      </c>
      <c r="FI11" s="4">
        <v>3.7799999999999997E-5</v>
      </c>
      <c r="FJ11" s="4">
        <v>3.65E-5</v>
      </c>
      <c r="FK11" s="4">
        <v>3.5299999999999997E-5</v>
      </c>
      <c r="FL11" s="4">
        <v>3.4100000000000002E-5</v>
      </c>
      <c r="FM11" s="4">
        <v>3.3000000000000003E-5</v>
      </c>
      <c r="FN11" s="4">
        <v>3.1999999999999999E-5</v>
      </c>
      <c r="FO11" s="4">
        <v>3.1000000000000001E-5</v>
      </c>
      <c r="FP11" s="4">
        <v>3.01E-5</v>
      </c>
      <c r="FQ11" s="4">
        <v>2.9300000000000001E-5</v>
      </c>
      <c r="FR11" s="4">
        <v>2.8500000000000002E-5</v>
      </c>
      <c r="FS11" s="4">
        <v>2.7699999999999999E-5</v>
      </c>
      <c r="FT11" s="4">
        <v>2.6999999999999999E-5</v>
      </c>
      <c r="FU11" s="4">
        <v>2.6400000000000001E-5</v>
      </c>
      <c r="FV11" s="4">
        <v>2.5700000000000001E-5</v>
      </c>
      <c r="FW11" s="4">
        <v>2.51E-5</v>
      </c>
      <c r="FX11" s="4">
        <v>2.4600000000000002E-5</v>
      </c>
      <c r="FY11" s="4">
        <v>2.41E-5</v>
      </c>
      <c r="FZ11" s="4">
        <v>2.3600000000000001E-5</v>
      </c>
      <c r="GA11" s="4">
        <v>2.3099999999999999E-5</v>
      </c>
      <c r="GB11" s="4">
        <v>2.26E-5</v>
      </c>
      <c r="GC11" s="4">
        <v>2.2200000000000001E-5</v>
      </c>
      <c r="GD11" s="4">
        <v>2.1800000000000001E-5</v>
      </c>
      <c r="GE11" s="4">
        <v>2.1399999999999998E-5</v>
      </c>
      <c r="GF11" s="4">
        <v>2.1100000000000001E-5</v>
      </c>
      <c r="GG11" s="4">
        <v>2.0699999999999998E-5</v>
      </c>
      <c r="GH11" s="4">
        <v>2.0400000000000001E-5</v>
      </c>
      <c r="GI11" s="4">
        <v>2.0100000000000001E-5</v>
      </c>
      <c r="GJ11" s="4">
        <v>1.98E-5</v>
      </c>
      <c r="GK11" s="4">
        <v>1.95E-5</v>
      </c>
      <c r="GL11" s="4">
        <v>1.9199999999999999E-5</v>
      </c>
      <c r="GM11" s="4">
        <v>1.8899999999999999E-5</v>
      </c>
      <c r="GN11" s="4">
        <v>1.8700000000000001E-5</v>
      </c>
      <c r="GO11" s="4">
        <v>1.84E-5</v>
      </c>
      <c r="GP11" s="4">
        <v>1.8199999999999999E-5</v>
      </c>
      <c r="GQ11" s="4">
        <v>1.7900000000000001E-5</v>
      </c>
      <c r="GR11" s="4">
        <v>1.77E-5</v>
      </c>
      <c r="GS11" s="4">
        <v>1.7399999999999999E-5</v>
      </c>
      <c r="GT11" s="4">
        <v>1.7200000000000001E-5</v>
      </c>
      <c r="GU11" s="4">
        <v>1.7E-5</v>
      </c>
      <c r="GV11" s="4">
        <v>1.6799999999999998E-5</v>
      </c>
      <c r="GW11" s="4">
        <v>1.66E-5</v>
      </c>
      <c r="GX11" s="4">
        <v>1.6399999999999999E-5</v>
      </c>
      <c r="GY11" s="4">
        <v>1.6200000000000001E-5</v>
      </c>
      <c r="GZ11" s="4">
        <v>1.5999999999999999E-5</v>
      </c>
      <c r="HA11" s="4">
        <v>1.5800000000000001E-5</v>
      </c>
      <c r="HB11" s="4">
        <v>1.56E-5</v>
      </c>
      <c r="HC11" s="4">
        <v>1.5400000000000002E-5</v>
      </c>
      <c r="HD11" s="4">
        <v>1.52E-5</v>
      </c>
      <c r="HE11" s="4">
        <v>1.5E-5</v>
      </c>
      <c r="HF11" s="4">
        <v>1.4800000000000001E-5</v>
      </c>
      <c r="HG11" s="4">
        <v>1.4600000000000001E-5</v>
      </c>
      <c r="HH11" s="4">
        <v>1.45E-5</v>
      </c>
      <c r="HI11" s="4">
        <v>1.43E-5</v>
      </c>
      <c r="HJ11" s="4">
        <v>1.4100000000000001E-5</v>
      </c>
      <c r="HK11" s="4">
        <v>1.3900000000000001E-5</v>
      </c>
      <c r="HL11" s="4">
        <v>1.3699999999999999E-5</v>
      </c>
      <c r="HM11" s="4">
        <v>1.36E-5</v>
      </c>
      <c r="HN11" s="4">
        <v>1.34E-5</v>
      </c>
      <c r="HO11" s="4">
        <v>1.3200000000000001E-5</v>
      </c>
      <c r="HP11" s="4">
        <v>1.31E-5</v>
      </c>
      <c r="HQ11" s="4">
        <v>1.29E-5</v>
      </c>
      <c r="HR11" s="4">
        <v>1.27E-5</v>
      </c>
      <c r="HS11" s="4">
        <v>1.26E-5</v>
      </c>
      <c r="HT11" s="4">
        <v>1.24E-5</v>
      </c>
      <c r="HU11" s="4">
        <v>1.2300000000000001E-5</v>
      </c>
      <c r="HV11" s="4">
        <v>1.2099999999999999E-5</v>
      </c>
      <c r="HW11" s="4">
        <v>1.19E-5</v>
      </c>
      <c r="HX11" s="4">
        <v>1.1800000000000001E-5</v>
      </c>
      <c r="HY11" s="4">
        <v>1.1600000000000001E-5</v>
      </c>
      <c r="HZ11" s="4">
        <v>1.15E-5</v>
      </c>
      <c r="IA11" s="4">
        <v>1.13E-5</v>
      </c>
      <c r="IB11" s="4">
        <v>1.1199999999999999E-5</v>
      </c>
      <c r="IC11" s="4">
        <v>1.1E-5</v>
      </c>
      <c r="ID11" s="4">
        <v>1.0900000000000001E-5</v>
      </c>
      <c r="IE11" s="4">
        <v>1.0699999999999999E-5</v>
      </c>
      <c r="IF11" s="4">
        <v>1.06E-5</v>
      </c>
      <c r="IG11" s="4">
        <v>7.4600000000000003E-4</v>
      </c>
      <c r="IH11" s="4"/>
      <c r="II11" s="4">
        <f t="shared" si="245"/>
        <v>0.14405851942762063</v>
      </c>
      <c r="IJ11">
        <f t="shared" si="246"/>
        <v>0.3545010750000005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</row>
    <row r="12" spans="1:279" x14ac:dyDescent="0.35">
      <c r="A12" s="1">
        <v>4</v>
      </c>
      <c r="B12" s="4">
        <v>1.1070999999999999E-2</v>
      </c>
      <c r="C12" s="4">
        <v>1.0503200000000001E-2</v>
      </c>
      <c r="D12" s="4">
        <v>9.6617000000000005E-3</v>
      </c>
      <c r="E12" s="4">
        <v>7.8408000000000002E-3</v>
      </c>
      <c r="F12" s="4">
        <v>8.9449000000000004E-3</v>
      </c>
      <c r="G12" s="4">
        <v>8.2254000000000008E-3</v>
      </c>
      <c r="H12" s="4">
        <v>7.6823000000000004E-3</v>
      </c>
      <c r="I12" s="4">
        <v>7.1586999999999996E-3</v>
      </c>
      <c r="J12" s="4">
        <v>6.7133999999999996E-3</v>
      </c>
      <c r="K12" s="4">
        <v>6.3153999999999997E-3</v>
      </c>
      <c r="L12" s="4">
        <v>5.9655999999999997E-3</v>
      </c>
      <c r="M12" s="4">
        <v>5.6502000000000002E-3</v>
      </c>
      <c r="N12" s="4">
        <v>5.3686999999999997E-3</v>
      </c>
      <c r="O12" s="4">
        <v>5.1149999999999998E-3</v>
      </c>
      <c r="P12" s="4">
        <v>4.8861E-3</v>
      </c>
      <c r="Q12" s="4">
        <v>4.6785000000000004E-3</v>
      </c>
      <c r="R12" s="4">
        <v>4.4897000000000001E-3</v>
      </c>
      <c r="S12" s="4">
        <v>4.3172000000000002E-3</v>
      </c>
      <c r="T12" s="4">
        <v>4.1590999999999998E-3</v>
      </c>
      <c r="U12" s="4">
        <v>4.0137000000000003E-3</v>
      </c>
      <c r="V12" s="4">
        <v>3.8793E-3</v>
      </c>
      <c r="W12" s="4">
        <v>3.7548999999999998E-3</v>
      </c>
      <c r="X12" s="4">
        <v>3.6392999999999998E-3</v>
      </c>
      <c r="Y12" s="4">
        <v>3.5316000000000002E-3</v>
      </c>
      <c r="Z12" s="4">
        <v>3.4309000000000002E-3</v>
      </c>
      <c r="AA12" s="4">
        <v>3.3365999999999999E-3</v>
      </c>
      <c r="AB12" s="4">
        <v>3.2479000000000002E-3</v>
      </c>
      <c r="AC12" s="4">
        <v>3.1643999999999999E-3</v>
      </c>
      <c r="AD12" s="4">
        <v>3.0855000000000001E-3</v>
      </c>
      <c r="AE12" s="4">
        <v>3.0108000000000001E-3</v>
      </c>
      <c r="AF12" s="4">
        <v>2.9399999999999999E-3</v>
      </c>
      <c r="AG12" s="4">
        <v>2.8725999999999999E-3</v>
      </c>
      <c r="AH12" s="4">
        <v>2.8084999999999998E-3</v>
      </c>
      <c r="AI12" s="4">
        <v>2.7474000000000001E-3</v>
      </c>
      <c r="AJ12" s="4">
        <v>2.6890999999999998E-3</v>
      </c>
      <c r="AK12" s="4">
        <v>2.6332999999999999E-3</v>
      </c>
      <c r="AL12" s="4">
        <v>2.5799E-3</v>
      </c>
      <c r="AM12" s="4">
        <v>2.5287999999999999E-3</v>
      </c>
      <c r="AN12" s="4">
        <v>2.4797E-3</v>
      </c>
      <c r="AO12" s="4">
        <v>2.4326E-3</v>
      </c>
      <c r="AP12" s="4">
        <v>2.3873000000000002E-3</v>
      </c>
      <c r="AQ12" s="4">
        <v>2.3437000000000002E-3</v>
      </c>
      <c r="AR12" s="4">
        <v>2.3018000000000001E-3</v>
      </c>
      <c r="AS12" s="4">
        <v>2.2612999999999999E-3</v>
      </c>
      <c r="AT12" s="4">
        <v>2.2222000000000001E-3</v>
      </c>
      <c r="AU12" s="4">
        <v>2.1844999999999998E-3</v>
      </c>
      <c r="AV12" s="4">
        <v>2.1478999999999999E-3</v>
      </c>
      <c r="AW12" s="4">
        <v>2.1126000000000001E-3</v>
      </c>
      <c r="AX12" s="4">
        <v>2.0782999999999999E-3</v>
      </c>
      <c r="AY12" s="4">
        <v>2.0449999999999999E-3</v>
      </c>
      <c r="AZ12" s="4">
        <v>2.0127000000000001E-3</v>
      </c>
      <c r="BA12" s="4">
        <v>1.9813000000000001E-3</v>
      </c>
      <c r="BB12" s="4">
        <v>1.9507000000000001E-3</v>
      </c>
      <c r="BC12" s="4">
        <v>1.9208999999999999E-3</v>
      </c>
      <c r="BD12" s="4">
        <v>1.8919E-3</v>
      </c>
      <c r="BE12" s="4">
        <v>1.8634999999999999E-3</v>
      </c>
      <c r="BF12" s="4">
        <v>1.8358999999999999E-3</v>
      </c>
      <c r="BG12" s="4">
        <v>1.8087999999999999E-3</v>
      </c>
      <c r="BH12" s="4">
        <v>1.7822999999999999E-3</v>
      </c>
      <c r="BI12" s="4">
        <v>1.7564E-3</v>
      </c>
      <c r="BJ12" s="4">
        <v>1.7309999999999999E-3</v>
      </c>
      <c r="BK12" s="4">
        <v>1.7061999999999999E-3</v>
      </c>
      <c r="BL12" s="4">
        <v>1.6818E-3</v>
      </c>
      <c r="BM12" s="4">
        <v>1.6578000000000001E-3</v>
      </c>
      <c r="BN12" s="4">
        <v>1.6343E-3</v>
      </c>
      <c r="BO12" s="4">
        <v>1.6111999999999999E-3</v>
      </c>
      <c r="BP12" s="4">
        <v>1.5885000000000001E-3</v>
      </c>
      <c r="BQ12" s="4">
        <v>1.5662E-3</v>
      </c>
      <c r="BR12" s="4">
        <v>1.5443E-3</v>
      </c>
      <c r="BS12" s="4">
        <v>1.5227000000000001E-3</v>
      </c>
      <c r="BT12" s="4">
        <v>1.5015E-3</v>
      </c>
      <c r="BU12" s="4">
        <v>1.4806000000000001E-3</v>
      </c>
      <c r="BV12" s="4">
        <v>1.4599999999999999E-3</v>
      </c>
      <c r="BW12" s="4">
        <v>1.4396999999999999E-3</v>
      </c>
      <c r="BX12" s="4">
        <v>1.4197000000000001E-3</v>
      </c>
      <c r="BY12" s="4">
        <v>1.4E-3</v>
      </c>
      <c r="BZ12" s="4">
        <v>1.3806000000000001E-3</v>
      </c>
      <c r="CA12" s="4">
        <v>1.3615000000000001E-3</v>
      </c>
      <c r="CB12" s="4">
        <v>1.3426E-3</v>
      </c>
      <c r="CC12" s="4">
        <v>1.3240000000000001E-3</v>
      </c>
      <c r="CD12" s="4">
        <v>1.3056999999999999E-3</v>
      </c>
      <c r="CE12" s="4">
        <v>1.2876000000000001E-3</v>
      </c>
      <c r="CF12" s="4">
        <v>1.2698E-3</v>
      </c>
      <c r="CG12" s="4">
        <v>1.2522E-3</v>
      </c>
      <c r="CH12" s="4">
        <v>1.2348999999999999E-3</v>
      </c>
      <c r="CI12" s="4">
        <v>1.2176999999999999E-3</v>
      </c>
      <c r="CJ12" s="4">
        <v>1.2009E-3</v>
      </c>
      <c r="CK12" s="4">
        <v>1.1842000000000001E-3</v>
      </c>
      <c r="CL12" s="4">
        <v>1.1678000000000001E-3</v>
      </c>
      <c r="CM12" s="4">
        <v>1.1516E-3</v>
      </c>
      <c r="CN12" s="4">
        <v>1.1356000000000001E-3</v>
      </c>
      <c r="CO12" s="4">
        <v>1.1198E-3</v>
      </c>
      <c r="CP12" s="4">
        <v>1.1042000000000001E-3</v>
      </c>
      <c r="CQ12" s="4">
        <v>1.0888E-3</v>
      </c>
      <c r="CR12" s="4">
        <v>1.0736999999999999E-3</v>
      </c>
      <c r="CS12" s="4">
        <v>1.0587000000000001E-3</v>
      </c>
      <c r="CT12" s="4">
        <v>1.0438999999999999E-3</v>
      </c>
      <c r="CU12" s="4">
        <v>1.0294E-3</v>
      </c>
      <c r="CV12" s="4">
        <v>1.0150000000000001E-3</v>
      </c>
      <c r="CW12" s="4">
        <v>1.0008E-3</v>
      </c>
      <c r="CX12" s="4">
        <v>9.8679999999999992E-4</v>
      </c>
      <c r="CY12" s="4">
        <v>9.7300000000000002E-4</v>
      </c>
      <c r="CZ12" s="4">
        <v>9.5940000000000001E-4</v>
      </c>
      <c r="DA12" s="4">
        <v>9.4600000000000001E-4</v>
      </c>
      <c r="DB12" s="4">
        <v>9.3269999999999996E-4</v>
      </c>
      <c r="DC12" s="4">
        <v>9.1969999999999997E-4</v>
      </c>
      <c r="DD12" s="4">
        <v>9.0680000000000003E-4</v>
      </c>
      <c r="DE12" s="4">
        <v>8.9400000000000005E-4</v>
      </c>
      <c r="DF12" s="4">
        <v>8.8150000000000001E-4</v>
      </c>
      <c r="DG12" s="4">
        <v>8.6910000000000004E-4</v>
      </c>
      <c r="DH12" s="4">
        <v>8.5689999999999996E-4</v>
      </c>
      <c r="DI12" s="4">
        <v>8.4480000000000004E-4</v>
      </c>
      <c r="DJ12" s="4">
        <v>8.3299999999999997E-4</v>
      </c>
      <c r="DK12" s="4">
        <v>8.2120000000000001E-4</v>
      </c>
      <c r="DL12" s="4">
        <v>8.097E-4</v>
      </c>
      <c r="DM12" s="4">
        <v>7.9830000000000005E-4</v>
      </c>
      <c r="DN12" s="4">
        <v>7.8700000000000005E-4</v>
      </c>
      <c r="DO12" s="4">
        <v>7.7590000000000005E-4</v>
      </c>
      <c r="DP12" s="4">
        <v>7.6499999999999995E-4</v>
      </c>
      <c r="DQ12" s="4">
        <v>5.3139699999999998E-2</v>
      </c>
      <c r="DR12" s="4">
        <v>0</v>
      </c>
      <c r="DS12" s="4">
        <v>1.2430000000000001E-4</v>
      </c>
      <c r="DT12" s="4">
        <v>2.3369999999999999E-4</v>
      </c>
      <c r="DU12" s="4">
        <v>2.9710000000000001E-4</v>
      </c>
      <c r="DV12" s="4">
        <v>4.1810000000000003E-4</v>
      </c>
      <c r="DW12" s="4">
        <v>3.9550000000000002E-4</v>
      </c>
      <c r="DX12" s="4">
        <v>4.1110000000000002E-4</v>
      </c>
      <c r="DY12" s="4">
        <v>3.7159999999999998E-4</v>
      </c>
      <c r="DZ12" s="4">
        <v>3.3809999999999998E-4</v>
      </c>
      <c r="EA12" s="4">
        <v>3.0739999999999999E-4</v>
      </c>
      <c r="EB12" s="4">
        <v>2.7950000000000002E-4</v>
      </c>
      <c r="EC12" s="4">
        <v>2.5369999999999999E-4</v>
      </c>
      <c r="ED12" s="4">
        <v>2.31E-4</v>
      </c>
      <c r="EE12" s="4">
        <v>2.107E-4</v>
      </c>
      <c r="EF12" s="4">
        <v>1.929E-4</v>
      </c>
      <c r="EG12" s="4">
        <v>1.7699999999999999E-4</v>
      </c>
      <c r="EH12" s="4">
        <v>1.6310000000000001E-4</v>
      </c>
      <c r="EI12" s="4">
        <v>1.507E-4</v>
      </c>
      <c r="EJ12" s="4">
        <v>1.3960000000000001E-4</v>
      </c>
      <c r="EK12" s="4">
        <v>1.2970000000000001E-4</v>
      </c>
      <c r="EL12" s="4">
        <v>1.209E-4</v>
      </c>
      <c r="EM12" s="4">
        <v>1.128E-4</v>
      </c>
      <c r="EN12" s="4">
        <v>1.0560000000000001E-4</v>
      </c>
      <c r="EO12" s="4">
        <v>9.8999999999999994E-5</v>
      </c>
      <c r="EP12" s="4">
        <v>9.2999999999999997E-5</v>
      </c>
      <c r="EQ12" s="4">
        <v>8.7499999999999999E-5</v>
      </c>
      <c r="ER12" s="4">
        <v>8.2600000000000002E-5</v>
      </c>
      <c r="ES12" s="4">
        <v>7.8100000000000001E-5</v>
      </c>
      <c r="ET12" s="4">
        <v>7.3899999999999994E-5</v>
      </c>
      <c r="EU12" s="4">
        <v>7.0099999999999996E-5</v>
      </c>
      <c r="EV12" s="4">
        <v>6.6600000000000006E-5</v>
      </c>
      <c r="EW12" s="4">
        <v>6.3399999999999996E-5</v>
      </c>
      <c r="EX12" s="4">
        <v>6.0399999999999998E-5</v>
      </c>
      <c r="EY12" s="4">
        <v>5.7599999999999997E-5</v>
      </c>
      <c r="EZ12" s="4">
        <v>5.5000000000000002E-5</v>
      </c>
      <c r="FA12" s="4">
        <v>5.2599999999999998E-5</v>
      </c>
      <c r="FB12" s="4">
        <v>5.0300000000000003E-5</v>
      </c>
      <c r="FC12" s="4">
        <v>4.8099999999999997E-5</v>
      </c>
      <c r="FD12" s="4">
        <v>4.6199999999999998E-5</v>
      </c>
      <c r="FE12" s="4">
        <v>4.4299999999999999E-5</v>
      </c>
      <c r="FF12" s="4">
        <v>4.2500000000000003E-5</v>
      </c>
      <c r="FG12" s="4">
        <v>4.0899999999999998E-5</v>
      </c>
      <c r="FH12" s="4">
        <v>3.9400000000000002E-5</v>
      </c>
      <c r="FI12" s="4">
        <v>3.79E-5</v>
      </c>
      <c r="FJ12" s="4">
        <v>3.6600000000000002E-5</v>
      </c>
      <c r="FK12" s="4">
        <v>3.54E-5</v>
      </c>
      <c r="FL12" s="4">
        <v>3.4199999999999998E-5</v>
      </c>
      <c r="FM12" s="4">
        <v>3.3099999999999998E-5</v>
      </c>
      <c r="FN12" s="4">
        <v>3.2100000000000001E-5</v>
      </c>
      <c r="FO12" s="4">
        <v>3.1099999999999997E-5</v>
      </c>
      <c r="FP12" s="4">
        <v>3.0199999999999999E-5</v>
      </c>
      <c r="FQ12" s="4">
        <v>2.94E-5</v>
      </c>
      <c r="FR12" s="4">
        <v>2.8600000000000001E-5</v>
      </c>
      <c r="FS12" s="4">
        <v>2.7900000000000001E-5</v>
      </c>
      <c r="FT12" s="4">
        <v>2.72E-5</v>
      </c>
      <c r="FU12" s="4">
        <v>2.6599999999999999E-5</v>
      </c>
      <c r="FV12" s="4">
        <v>2.5999999999999998E-5</v>
      </c>
      <c r="FW12" s="4">
        <v>2.5400000000000001E-5</v>
      </c>
      <c r="FX12" s="4">
        <v>2.4899999999999999E-5</v>
      </c>
      <c r="FY12" s="4">
        <v>2.44E-5</v>
      </c>
      <c r="FZ12" s="4">
        <v>2.3900000000000002E-5</v>
      </c>
      <c r="GA12" s="4">
        <v>2.34E-5</v>
      </c>
      <c r="GB12" s="4">
        <v>2.3E-5</v>
      </c>
      <c r="GC12" s="4">
        <v>2.26E-5</v>
      </c>
      <c r="GD12" s="4">
        <v>2.2200000000000001E-5</v>
      </c>
      <c r="GE12" s="4">
        <v>2.1800000000000001E-5</v>
      </c>
      <c r="GF12" s="4">
        <v>2.1500000000000001E-5</v>
      </c>
      <c r="GG12" s="4">
        <v>2.1100000000000001E-5</v>
      </c>
      <c r="GH12" s="4">
        <v>2.0800000000000001E-5</v>
      </c>
      <c r="GI12" s="4">
        <v>2.05E-5</v>
      </c>
      <c r="GJ12" s="4">
        <v>2.02E-5</v>
      </c>
      <c r="GK12" s="4">
        <v>1.9899999999999999E-5</v>
      </c>
      <c r="GL12" s="4">
        <v>1.9599999999999999E-5</v>
      </c>
      <c r="GM12" s="4">
        <v>1.9300000000000002E-5</v>
      </c>
      <c r="GN12" s="4">
        <v>1.91E-5</v>
      </c>
      <c r="GO12" s="4">
        <v>1.88E-5</v>
      </c>
      <c r="GP12" s="4">
        <v>1.8600000000000001E-5</v>
      </c>
      <c r="GQ12" s="4">
        <v>1.8300000000000001E-5</v>
      </c>
      <c r="GR12" s="4">
        <v>1.8099999999999999E-5</v>
      </c>
      <c r="GS12" s="4">
        <v>1.7799999999999999E-5</v>
      </c>
      <c r="GT12" s="4">
        <v>1.7600000000000001E-5</v>
      </c>
      <c r="GU12" s="4">
        <v>1.7399999999999999E-5</v>
      </c>
      <c r="GV12" s="4">
        <v>1.7099999999999999E-5</v>
      </c>
      <c r="GW12" s="4">
        <v>1.6900000000000001E-5</v>
      </c>
      <c r="GX12" s="4">
        <v>1.6699999999999999E-5</v>
      </c>
      <c r="GY12" s="4">
        <v>1.6500000000000001E-5</v>
      </c>
      <c r="GZ12" s="4">
        <v>1.63E-5</v>
      </c>
      <c r="HA12" s="4">
        <v>1.6099999999999998E-5</v>
      </c>
      <c r="HB12" s="4">
        <v>1.59E-5</v>
      </c>
      <c r="HC12" s="4">
        <v>1.5699999999999999E-5</v>
      </c>
      <c r="HD12" s="4">
        <v>1.5500000000000001E-5</v>
      </c>
      <c r="HE12" s="4">
        <v>1.5299999999999999E-5</v>
      </c>
      <c r="HF12" s="4">
        <v>1.5099999999999999E-5</v>
      </c>
      <c r="HG12" s="4">
        <v>1.49E-5</v>
      </c>
      <c r="HH12" s="4">
        <v>1.47E-5</v>
      </c>
      <c r="HI12" s="4">
        <v>1.45E-5</v>
      </c>
      <c r="HJ12" s="4">
        <v>1.43E-5</v>
      </c>
      <c r="HK12" s="4">
        <v>1.4100000000000001E-5</v>
      </c>
      <c r="HL12" s="4">
        <v>1.4E-5</v>
      </c>
      <c r="HM12" s="4">
        <v>1.38E-5</v>
      </c>
      <c r="HN12" s="4">
        <v>1.36E-5</v>
      </c>
      <c r="HO12" s="4">
        <v>1.34E-5</v>
      </c>
      <c r="HP12" s="4">
        <v>1.3200000000000001E-5</v>
      </c>
      <c r="HQ12" s="4">
        <v>1.31E-5</v>
      </c>
      <c r="HR12" s="4">
        <v>1.29E-5</v>
      </c>
      <c r="HS12" s="4">
        <v>1.27E-5</v>
      </c>
      <c r="HT12" s="4">
        <v>1.26E-5</v>
      </c>
      <c r="HU12" s="4">
        <v>1.24E-5</v>
      </c>
      <c r="HV12" s="4">
        <v>1.22E-5</v>
      </c>
      <c r="HW12" s="4">
        <v>1.2099999999999999E-5</v>
      </c>
      <c r="HX12" s="4">
        <v>1.19E-5</v>
      </c>
      <c r="HY12" s="4">
        <v>1.1800000000000001E-5</v>
      </c>
      <c r="HZ12" s="4">
        <v>1.1600000000000001E-5</v>
      </c>
      <c r="IA12" s="4">
        <v>1.1399999999999999E-5</v>
      </c>
      <c r="IB12" s="4">
        <v>1.13E-5</v>
      </c>
      <c r="IC12" s="4">
        <v>1.11E-5</v>
      </c>
      <c r="ID12" s="4">
        <v>1.1E-5</v>
      </c>
      <c r="IE12" s="4">
        <v>1.08E-5</v>
      </c>
      <c r="IF12" s="4">
        <v>1.0699999999999999E-5</v>
      </c>
      <c r="IG12" s="4">
        <v>7.492E-4</v>
      </c>
      <c r="IH12" s="4"/>
      <c r="II12" s="4">
        <f t="shared" si="245"/>
        <v>0.14190110932736599</v>
      </c>
      <c r="IJ12">
        <f t="shared" si="246"/>
        <v>0.35304163750000017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</row>
    <row r="13" spans="1:279" x14ac:dyDescent="0.35">
      <c r="A13" s="1">
        <v>5</v>
      </c>
      <c r="B13" s="4">
        <v>1.10854E-2</v>
      </c>
      <c r="C13" s="4">
        <v>1.1070999999999999E-2</v>
      </c>
      <c r="D13" s="4">
        <v>1.03789E-2</v>
      </c>
      <c r="E13" s="4">
        <v>9.4280000000000006E-3</v>
      </c>
      <c r="F13" s="4">
        <v>7.5436000000000001E-3</v>
      </c>
      <c r="G13" s="4">
        <v>8.5267999999999993E-3</v>
      </c>
      <c r="H13" s="4">
        <v>7.8299000000000007E-3</v>
      </c>
      <c r="I13" s="4">
        <v>7.2712000000000002E-3</v>
      </c>
      <c r="J13" s="4">
        <v>6.7872000000000002E-3</v>
      </c>
      <c r="K13" s="4">
        <v>6.3753000000000004E-3</v>
      </c>
      <c r="L13" s="4">
        <v>6.0080000000000003E-3</v>
      </c>
      <c r="M13" s="4">
        <v>5.6860000000000001E-3</v>
      </c>
      <c r="N13" s="4">
        <v>5.3965000000000003E-3</v>
      </c>
      <c r="O13" s="4">
        <v>5.1377000000000003E-3</v>
      </c>
      <c r="P13" s="4">
        <v>4.9043000000000003E-3</v>
      </c>
      <c r="Q13" s="4">
        <v>4.6933000000000001E-3</v>
      </c>
      <c r="R13" s="4">
        <v>4.5015000000000003E-3</v>
      </c>
      <c r="S13" s="4">
        <v>4.3267000000000002E-3</v>
      </c>
      <c r="T13" s="4">
        <v>4.1666000000000003E-3</v>
      </c>
      <c r="U13" s="4">
        <v>4.0194999999999996E-3</v>
      </c>
      <c r="V13" s="4">
        <v>3.8839E-3</v>
      </c>
      <c r="W13" s="4">
        <v>3.7585000000000001E-3</v>
      </c>
      <c r="X13" s="4">
        <v>3.6421000000000001E-3</v>
      </c>
      <c r="Y13" s="4">
        <v>3.5338000000000001E-3</v>
      </c>
      <c r="Z13" s="4">
        <v>3.4326000000000001E-3</v>
      </c>
      <c r="AA13" s="4">
        <v>3.3379E-3</v>
      </c>
      <c r="AB13" s="4">
        <v>3.2490000000000002E-3</v>
      </c>
      <c r="AC13" s="4">
        <v>3.1652999999999998E-3</v>
      </c>
      <c r="AD13" s="4">
        <v>3.0863000000000002E-3</v>
      </c>
      <c r="AE13" s="4">
        <v>3.0116000000000001E-3</v>
      </c>
      <c r="AF13" s="4">
        <v>2.9407000000000001E-3</v>
      </c>
      <c r="AG13" s="4">
        <v>2.8733000000000001E-3</v>
      </c>
      <c r="AH13" s="4">
        <v>2.8092E-3</v>
      </c>
      <c r="AI13" s="4">
        <v>2.7480999999999998E-3</v>
      </c>
      <c r="AJ13" s="4">
        <v>2.6898E-3</v>
      </c>
      <c r="AK13" s="4">
        <v>2.6340999999999999E-3</v>
      </c>
      <c r="AL13" s="4">
        <v>2.5807E-3</v>
      </c>
      <c r="AM13" s="4">
        <v>2.5295999999999999E-3</v>
      </c>
      <c r="AN13" s="4">
        <v>2.4805999999999999E-3</v>
      </c>
      <c r="AO13" s="4">
        <v>2.4336000000000002E-3</v>
      </c>
      <c r="AP13" s="4">
        <v>2.3882999999999999E-3</v>
      </c>
      <c r="AQ13" s="4">
        <v>2.3448000000000002E-3</v>
      </c>
      <c r="AR13" s="4">
        <v>2.3027999999999998E-3</v>
      </c>
      <c r="AS13" s="4">
        <v>2.2623999999999999E-3</v>
      </c>
      <c r="AT13" s="4">
        <v>2.2233999999999999E-3</v>
      </c>
      <c r="AU13" s="4">
        <v>2.1856000000000002E-3</v>
      </c>
      <c r="AV13" s="4">
        <v>2.1491000000000001E-3</v>
      </c>
      <c r="AW13" s="4">
        <v>2.1137999999999999E-3</v>
      </c>
      <c r="AX13" s="4">
        <v>2.0795000000000002E-3</v>
      </c>
      <c r="AY13" s="4">
        <v>2.0462000000000002E-3</v>
      </c>
      <c r="AZ13" s="4">
        <v>2.0138999999999999E-3</v>
      </c>
      <c r="BA13" s="4">
        <v>1.9824999999999999E-3</v>
      </c>
      <c r="BB13" s="4">
        <v>1.9518999999999999E-3</v>
      </c>
      <c r="BC13" s="4">
        <v>1.9220999999999999E-3</v>
      </c>
      <c r="BD13" s="4">
        <v>1.8929999999999999E-3</v>
      </c>
      <c r="BE13" s="4">
        <v>1.8647E-3</v>
      </c>
      <c r="BF13" s="4">
        <v>1.8370000000000001E-3</v>
      </c>
      <c r="BG13" s="4">
        <v>1.8098999999999999E-3</v>
      </c>
      <c r="BH13" s="4">
        <v>1.7834000000000001E-3</v>
      </c>
      <c r="BI13" s="4">
        <v>1.7574999999999999E-3</v>
      </c>
      <c r="BJ13" s="4">
        <v>1.732E-3</v>
      </c>
      <c r="BK13" s="4">
        <v>1.7071E-3</v>
      </c>
      <c r="BL13" s="4">
        <v>1.6827000000000001E-3</v>
      </c>
      <c r="BM13" s="4">
        <v>1.6588E-3</v>
      </c>
      <c r="BN13" s="4">
        <v>1.6352000000000001E-3</v>
      </c>
      <c r="BO13" s="4">
        <v>1.6121E-3</v>
      </c>
      <c r="BP13" s="4">
        <v>1.5893999999999999E-3</v>
      </c>
      <c r="BQ13" s="4">
        <v>1.5671000000000001E-3</v>
      </c>
      <c r="BR13" s="4">
        <v>1.5451E-3</v>
      </c>
      <c r="BS13" s="4">
        <v>1.5234999999999999E-3</v>
      </c>
      <c r="BT13" s="4">
        <v>1.5022E-3</v>
      </c>
      <c r="BU13" s="4">
        <v>1.4813000000000001E-3</v>
      </c>
      <c r="BV13" s="4">
        <v>1.4607000000000001E-3</v>
      </c>
      <c r="BW13" s="4">
        <v>1.4403E-3</v>
      </c>
      <c r="BX13" s="4">
        <v>1.4203E-3</v>
      </c>
      <c r="BY13" s="4">
        <v>1.4005999999999999E-3</v>
      </c>
      <c r="BZ13" s="4">
        <v>1.3812E-3</v>
      </c>
      <c r="CA13" s="4">
        <v>1.3621E-3</v>
      </c>
      <c r="CB13" s="4">
        <v>1.3431999999999999E-3</v>
      </c>
      <c r="CC13" s="4">
        <v>1.3246E-3</v>
      </c>
      <c r="CD13" s="4">
        <v>1.3062E-3</v>
      </c>
      <c r="CE13" s="4">
        <v>1.2880999999999999E-3</v>
      </c>
      <c r="CF13" s="4">
        <v>1.2703E-3</v>
      </c>
      <c r="CG13" s="4">
        <v>1.2527E-3</v>
      </c>
      <c r="CH13" s="4">
        <v>1.2352999999999999E-3</v>
      </c>
      <c r="CI13" s="4">
        <v>1.2182E-3</v>
      </c>
      <c r="CJ13" s="4">
        <v>1.2011999999999999E-3</v>
      </c>
      <c r="CK13" s="4">
        <v>1.1846000000000001E-3</v>
      </c>
      <c r="CL13" s="4">
        <v>1.1681E-3</v>
      </c>
      <c r="CM13" s="4">
        <v>1.1519E-3</v>
      </c>
      <c r="CN13" s="4">
        <v>1.1359E-3</v>
      </c>
      <c r="CO13" s="4">
        <v>1.1201E-3</v>
      </c>
      <c r="CP13" s="4">
        <v>1.1045E-3</v>
      </c>
      <c r="CQ13" s="4">
        <v>1.0891E-3</v>
      </c>
      <c r="CR13" s="4">
        <v>1.0739E-3</v>
      </c>
      <c r="CS13" s="4">
        <v>1.059E-3</v>
      </c>
      <c r="CT13" s="4">
        <v>1.0441999999999999E-3</v>
      </c>
      <c r="CU13" s="4">
        <v>1.0296000000000001E-3</v>
      </c>
      <c r="CV13" s="4">
        <v>1.0152E-3</v>
      </c>
      <c r="CW13" s="4">
        <v>1.0009999999999999E-3</v>
      </c>
      <c r="CX13" s="4">
        <v>9.8710000000000009E-4</v>
      </c>
      <c r="CY13" s="4">
        <v>9.7320000000000002E-4</v>
      </c>
      <c r="CZ13" s="4">
        <v>9.5960000000000001E-4</v>
      </c>
      <c r="DA13" s="4">
        <v>9.4620000000000001E-4</v>
      </c>
      <c r="DB13" s="4">
        <v>9.3289999999999996E-4</v>
      </c>
      <c r="DC13" s="4">
        <v>9.1980000000000002E-4</v>
      </c>
      <c r="DD13" s="4">
        <v>9.0689999999999998E-4</v>
      </c>
      <c r="DE13" s="4">
        <v>8.9420000000000005E-4</v>
      </c>
      <c r="DF13" s="4">
        <v>8.8159999999999996E-4</v>
      </c>
      <c r="DG13" s="4">
        <v>8.6919999999999999E-4</v>
      </c>
      <c r="DH13" s="4">
        <v>8.5700000000000001E-4</v>
      </c>
      <c r="DI13" s="4">
        <v>8.4500000000000005E-4</v>
      </c>
      <c r="DJ13" s="4">
        <v>8.3310000000000003E-4</v>
      </c>
      <c r="DK13" s="4">
        <v>8.2140000000000002E-4</v>
      </c>
      <c r="DL13" s="4">
        <v>8.0979999999999995E-4</v>
      </c>
      <c r="DM13" s="4">
        <v>7.984E-4</v>
      </c>
      <c r="DN13" s="4">
        <v>7.871E-4</v>
      </c>
      <c r="DO13" s="4">
        <v>7.76E-4</v>
      </c>
      <c r="DP13" s="4">
        <v>7.651E-4</v>
      </c>
      <c r="DQ13" s="4">
        <v>5.3144799999999999E-2</v>
      </c>
      <c r="DR13" s="4">
        <v>0</v>
      </c>
      <c r="DS13" s="4">
        <v>6.0600000000000003E-5</v>
      </c>
      <c r="DT13" s="4">
        <v>1.539E-4</v>
      </c>
      <c r="DU13" s="4">
        <v>4.7100000000000001E-4</v>
      </c>
      <c r="DV13" s="4">
        <v>4.2999999999999999E-4</v>
      </c>
      <c r="DW13" s="4">
        <v>6.3069999999999999E-4</v>
      </c>
      <c r="DX13" s="4">
        <v>5.6030000000000001E-4</v>
      </c>
      <c r="DY13" s="4">
        <v>4.9100000000000001E-4</v>
      </c>
      <c r="DZ13" s="4">
        <v>4.393E-4</v>
      </c>
      <c r="EA13" s="4">
        <v>3.9120000000000002E-4</v>
      </c>
      <c r="EB13" s="4">
        <v>3.4850000000000001E-4</v>
      </c>
      <c r="EC13" s="4">
        <v>3.1149999999999998E-4</v>
      </c>
      <c r="ED13" s="4">
        <v>2.789E-4</v>
      </c>
      <c r="EE13" s="4">
        <v>2.5070000000000002E-4</v>
      </c>
      <c r="EF13" s="4">
        <v>2.2609999999999999E-4</v>
      </c>
      <c r="EG13" s="4">
        <v>2.0469999999999999E-4</v>
      </c>
      <c r="EH13" s="4">
        <v>1.8589999999999999E-4</v>
      </c>
      <c r="EI13" s="4">
        <v>1.696E-4</v>
      </c>
      <c r="EJ13" s="4">
        <v>1.552E-4</v>
      </c>
      <c r="EK13" s="4">
        <v>1.426E-4</v>
      </c>
      <c r="EL13" s="4">
        <v>1.314E-4</v>
      </c>
      <c r="EM13" s="4">
        <v>1.216E-4</v>
      </c>
      <c r="EN13" s="4">
        <v>1.128E-4</v>
      </c>
      <c r="EO13" s="4">
        <v>1.05E-4</v>
      </c>
      <c r="EP13" s="4">
        <v>9.7999999999999997E-5</v>
      </c>
      <c r="EQ13" s="4">
        <v>9.1700000000000006E-5</v>
      </c>
      <c r="ER13" s="4">
        <v>8.6100000000000006E-5</v>
      </c>
      <c r="ES13" s="4">
        <v>8.1100000000000006E-5</v>
      </c>
      <c r="ET13" s="4">
        <v>7.6500000000000003E-5</v>
      </c>
      <c r="EU13" s="4">
        <v>7.2399999999999998E-5</v>
      </c>
      <c r="EV13" s="4">
        <v>6.86E-5</v>
      </c>
      <c r="EW13" s="4">
        <v>6.5099999999999997E-5</v>
      </c>
      <c r="EX13" s="4">
        <v>6.19E-5</v>
      </c>
      <c r="EY13" s="4">
        <v>5.8999999999999998E-5</v>
      </c>
      <c r="EZ13" s="4">
        <v>5.6199999999999997E-5</v>
      </c>
      <c r="FA13" s="4">
        <v>5.3699999999999997E-5</v>
      </c>
      <c r="FB13" s="4">
        <v>5.1400000000000003E-5</v>
      </c>
      <c r="FC13" s="4">
        <v>4.9200000000000003E-5</v>
      </c>
      <c r="FD13" s="4">
        <v>4.71E-5</v>
      </c>
      <c r="FE13" s="4">
        <v>4.5200000000000001E-5</v>
      </c>
      <c r="FF13" s="4">
        <v>4.3399999999999998E-5</v>
      </c>
      <c r="FG13" s="4">
        <v>4.1699999999999997E-5</v>
      </c>
      <c r="FH13" s="4">
        <v>4.0200000000000001E-5</v>
      </c>
      <c r="FI13" s="4">
        <v>3.8699999999999999E-5</v>
      </c>
      <c r="FJ13" s="4">
        <v>3.7400000000000001E-5</v>
      </c>
      <c r="FK13" s="4">
        <v>3.6100000000000003E-5</v>
      </c>
      <c r="FL13" s="4">
        <v>3.4900000000000001E-5</v>
      </c>
      <c r="FM13" s="4">
        <v>3.3800000000000002E-5</v>
      </c>
      <c r="FN13" s="4">
        <v>3.2799999999999998E-5</v>
      </c>
      <c r="FO13" s="4">
        <v>3.18E-5</v>
      </c>
      <c r="FP13" s="4">
        <v>3.0899999999999999E-5</v>
      </c>
      <c r="FQ13" s="4">
        <v>3.01E-5</v>
      </c>
      <c r="FR13" s="4">
        <v>2.9300000000000001E-5</v>
      </c>
      <c r="FS13" s="4">
        <v>2.8500000000000002E-5</v>
      </c>
      <c r="FT13" s="4">
        <v>2.7800000000000001E-5</v>
      </c>
      <c r="FU13" s="4">
        <v>2.72E-5</v>
      </c>
      <c r="FV13" s="4">
        <v>2.65E-5</v>
      </c>
      <c r="FW13" s="4">
        <v>2.5999999999999998E-5</v>
      </c>
      <c r="FX13" s="4">
        <v>2.5400000000000001E-5</v>
      </c>
      <c r="FY13" s="4">
        <v>2.4899999999999999E-5</v>
      </c>
      <c r="FZ13" s="4">
        <v>2.44E-5</v>
      </c>
      <c r="GA13" s="4">
        <v>2.3900000000000002E-5</v>
      </c>
      <c r="GB13" s="4">
        <v>2.3499999999999999E-5</v>
      </c>
      <c r="GC13" s="4">
        <v>2.3E-5</v>
      </c>
      <c r="GD13" s="4">
        <v>2.26E-5</v>
      </c>
      <c r="GE13" s="4">
        <v>2.2200000000000001E-5</v>
      </c>
      <c r="GF13" s="4">
        <v>2.19E-5</v>
      </c>
      <c r="GG13" s="4">
        <v>2.1500000000000001E-5</v>
      </c>
      <c r="GH13" s="4">
        <v>2.12E-5</v>
      </c>
      <c r="GI13" s="4">
        <v>2.0800000000000001E-5</v>
      </c>
      <c r="GJ13" s="4">
        <v>2.05E-5</v>
      </c>
      <c r="GK13" s="4">
        <v>2.02E-5</v>
      </c>
      <c r="GL13" s="4">
        <v>1.9899999999999999E-5</v>
      </c>
      <c r="GM13" s="4">
        <v>1.9599999999999999E-5</v>
      </c>
      <c r="GN13" s="4">
        <v>1.9400000000000001E-5</v>
      </c>
      <c r="GO13" s="4">
        <v>1.91E-5</v>
      </c>
      <c r="GP13" s="4">
        <v>1.88E-5</v>
      </c>
      <c r="GQ13" s="4">
        <v>1.8600000000000001E-5</v>
      </c>
      <c r="GR13" s="4">
        <v>1.8300000000000001E-5</v>
      </c>
      <c r="GS13" s="4">
        <v>1.8099999999999999E-5</v>
      </c>
      <c r="GT13" s="4">
        <v>1.7799999999999999E-5</v>
      </c>
      <c r="GU13" s="4">
        <v>1.7600000000000001E-5</v>
      </c>
      <c r="GV13" s="4">
        <v>1.73E-5</v>
      </c>
      <c r="GW13" s="4">
        <v>1.7099999999999999E-5</v>
      </c>
      <c r="GX13" s="4">
        <v>1.6900000000000001E-5</v>
      </c>
      <c r="GY13" s="4">
        <v>1.6699999999999999E-5</v>
      </c>
      <c r="GZ13" s="4">
        <v>1.6399999999999999E-5</v>
      </c>
      <c r="HA13" s="4">
        <v>1.6200000000000001E-5</v>
      </c>
      <c r="HB13" s="4">
        <v>1.5999999999999999E-5</v>
      </c>
      <c r="HC13" s="4">
        <v>1.5800000000000001E-5</v>
      </c>
      <c r="HD13" s="4">
        <v>1.56E-5</v>
      </c>
      <c r="HE13" s="4">
        <v>1.5400000000000002E-5</v>
      </c>
      <c r="HF13" s="4">
        <v>1.52E-5</v>
      </c>
      <c r="HG13" s="4">
        <v>1.5E-5</v>
      </c>
      <c r="HH13" s="4">
        <v>1.4800000000000001E-5</v>
      </c>
      <c r="HI13" s="4">
        <v>1.4600000000000001E-5</v>
      </c>
      <c r="HJ13" s="4">
        <v>1.4399999999999999E-5</v>
      </c>
      <c r="HK13" s="4">
        <v>1.42E-5</v>
      </c>
      <c r="HL13" s="4">
        <v>1.4E-5</v>
      </c>
      <c r="HM13" s="4">
        <v>1.3900000000000001E-5</v>
      </c>
      <c r="HN13" s="4">
        <v>1.3699999999999999E-5</v>
      </c>
      <c r="HO13" s="4">
        <v>1.3499999999999999E-5</v>
      </c>
      <c r="HP13" s="4">
        <v>1.33E-5</v>
      </c>
      <c r="HQ13" s="4">
        <v>1.31E-5</v>
      </c>
      <c r="HR13" s="4">
        <v>1.2999999999999999E-5</v>
      </c>
      <c r="HS13" s="4">
        <v>1.2799999999999999E-5</v>
      </c>
      <c r="HT13" s="4">
        <v>1.26E-5</v>
      </c>
      <c r="HU13" s="4">
        <v>1.2500000000000001E-5</v>
      </c>
      <c r="HV13" s="4">
        <v>1.2300000000000001E-5</v>
      </c>
      <c r="HW13" s="4">
        <v>1.2099999999999999E-5</v>
      </c>
      <c r="HX13" s="4">
        <v>1.2E-5</v>
      </c>
      <c r="HY13" s="4">
        <v>1.1800000000000001E-5</v>
      </c>
      <c r="HZ13" s="4">
        <v>1.1600000000000001E-5</v>
      </c>
      <c r="IA13" s="4">
        <v>1.15E-5</v>
      </c>
      <c r="IB13" s="4">
        <v>1.13E-5</v>
      </c>
      <c r="IC13" s="4">
        <v>1.1199999999999999E-5</v>
      </c>
      <c r="ID13" s="4">
        <v>1.1E-5</v>
      </c>
      <c r="IE13" s="4">
        <v>1.0900000000000001E-5</v>
      </c>
      <c r="IF13" s="4">
        <v>1.0699999999999999E-5</v>
      </c>
      <c r="IG13" s="4">
        <v>7.5049999999999997E-4</v>
      </c>
      <c r="IH13" s="4"/>
      <c r="II13" s="4">
        <f t="shared" si="245"/>
        <v>9.7170027327106223E-2</v>
      </c>
      <c r="IJ13">
        <f t="shared" si="246"/>
        <v>0.35174323749999975</v>
      </c>
      <c r="IN13" s="4"/>
      <c r="IO13" s="4"/>
      <c r="IP13" s="4"/>
      <c r="IQ13" s="4"/>
      <c r="IR13" s="4"/>
      <c r="IS13" s="4"/>
      <c r="IT13" s="4"/>
      <c r="IU13" s="4"/>
      <c r="IV13" s="4"/>
    </row>
    <row r="14" spans="1:279" x14ac:dyDescent="0.35">
      <c r="A14" s="1">
        <v>6</v>
      </c>
      <c r="B14" s="4">
        <v>1.10925E-2</v>
      </c>
      <c r="C14" s="4">
        <v>1.10854E-2</v>
      </c>
      <c r="D14" s="4">
        <v>1.1010499999999999E-2</v>
      </c>
      <c r="E14" s="4">
        <v>1.0225E-2</v>
      </c>
      <c r="F14" s="4">
        <v>8.9569999999999997E-3</v>
      </c>
      <c r="G14" s="4">
        <v>7.1136000000000003E-3</v>
      </c>
      <c r="H14" s="4">
        <v>7.8962000000000008E-3</v>
      </c>
      <c r="I14" s="4">
        <v>7.2694999999999999E-3</v>
      </c>
      <c r="J14" s="4">
        <v>6.7802000000000001E-3</v>
      </c>
      <c r="K14" s="4">
        <v>6.3477999999999998E-3</v>
      </c>
      <c r="L14" s="4">
        <v>5.9839999999999997E-3</v>
      </c>
      <c r="M14" s="4">
        <v>5.6594999999999996E-3</v>
      </c>
      <c r="N14" s="4">
        <v>5.3746000000000002E-3</v>
      </c>
      <c r="O14" s="4">
        <v>5.1175999999999999E-3</v>
      </c>
      <c r="P14" s="4">
        <v>4.8869999999999999E-3</v>
      </c>
      <c r="Q14" s="4">
        <v>4.6782000000000004E-3</v>
      </c>
      <c r="R14" s="4">
        <v>4.4885999999999997E-3</v>
      </c>
      <c r="S14" s="4">
        <v>4.3156000000000002E-3</v>
      </c>
      <c r="T14" s="4">
        <v>4.1571000000000004E-3</v>
      </c>
      <c r="U14" s="4">
        <v>4.0114E-3</v>
      </c>
      <c r="V14" s="4">
        <v>3.8769E-3</v>
      </c>
      <c r="W14" s="4">
        <v>3.7525000000000002E-3</v>
      </c>
      <c r="X14" s="4">
        <v>3.6369000000000002E-3</v>
      </c>
      <c r="Y14" s="4">
        <v>3.5293E-3</v>
      </c>
      <c r="Z14" s="4">
        <v>3.4288000000000001E-3</v>
      </c>
      <c r="AA14" s="4">
        <v>3.3346999999999999E-3</v>
      </c>
      <c r="AB14" s="4">
        <v>3.2461999999999999E-3</v>
      </c>
      <c r="AC14" s="4">
        <v>3.1629000000000002E-3</v>
      </c>
      <c r="AD14" s="4">
        <v>3.0842999999999999E-3</v>
      </c>
      <c r="AE14" s="4">
        <v>3.0098E-3</v>
      </c>
      <c r="AF14" s="4">
        <v>2.9391999999999999E-3</v>
      </c>
      <c r="AG14" s="4">
        <v>2.8720999999999998E-3</v>
      </c>
      <c r="AH14" s="4">
        <v>2.8081999999999998E-3</v>
      </c>
      <c r="AI14" s="4">
        <v>2.7472999999999998E-3</v>
      </c>
      <c r="AJ14" s="4">
        <v>2.6892000000000001E-3</v>
      </c>
      <c r="AK14" s="4">
        <v>2.6335999999999998E-3</v>
      </c>
      <c r="AL14" s="4">
        <v>2.5804000000000001E-3</v>
      </c>
      <c r="AM14" s="4">
        <v>2.5293999999999998E-3</v>
      </c>
      <c r="AN14" s="4">
        <v>2.4805000000000001E-3</v>
      </c>
      <c r="AO14" s="4">
        <v>2.4334999999999999E-3</v>
      </c>
      <c r="AP14" s="4">
        <v>2.3884000000000002E-3</v>
      </c>
      <c r="AQ14" s="4">
        <v>2.3449E-3</v>
      </c>
      <c r="AR14" s="4">
        <v>2.3029999999999999E-3</v>
      </c>
      <c r="AS14" s="4">
        <v>2.2626E-3</v>
      </c>
      <c r="AT14" s="4">
        <v>2.2236999999999999E-3</v>
      </c>
      <c r="AU14" s="4">
        <v>2.186E-3</v>
      </c>
      <c r="AV14" s="4">
        <v>2.1494999999999999E-3</v>
      </c>
      <c r="AW14" s="4">
        <v>2.1142000000000001E-3</v>
      </c>
      <c r="AX14" s="4">
        <v>2.0799E-3</v>
      </c>
      <c r="AY14" s="4">
        <v>2.0466999999999998E-3</v>
      </c>
      <c r="AZ14" s="4">
        <v>2.0144E-3</v>
      </c>
      <c r="BA14" s="4">
        <v>1.983E-3</v>
      </c>
      <c r="BB14" s="4">
        <v>1.9524E-3</v>
      </c>
      <c r="BC14" s="4">
        <v>1.9226E-3</v>
      </c>
      <c r="BD14" s="4">
        <v>1.8936000000000001E-3</v>
      </c>
      <c r="BE14" s="4">
        <v>1.8652E-3</v>
      </c>
      <c r="BF14" s="4">
        <v>1.8374999999999999E-3</v>
      </c>
      <c r="BG14" s="4">
        <v>1.8104E-3</v>
      </c>
      <c r="BH14" s="4">
        <v>1.7838999999999999E-3</v>
      </c>
      <c r="BI14" s="4">
        <v>1.758E-3</v>
      </c>
      <c r="BJ14" s="4">
        <v>1.7325999999999999E-3</v>
      </c>
      <c r="BK14" s="4">
        <v>1.7076999999999999E-3</v>
      </c>
      <c r="BL14" s="4">
        <v>1.6831999999999999E-3</v>
      </c>
      <c r="BM14" s="4">
        <v>1.6593000000000001E-3</v>
      </c>
      <c r="BN14" s="4">
        <v>1.6356999999999999E-3</v>
      </c>
      <c r="BO14" s="4">
        <v>1.6126000000000001E-3</v>
      </c>
      <c r="BP14" s="4">
        <v>1.5899E-3</v>
      </c>
      <c r="BQ14" s="4">
        <v>1.5675000000000001E-3</v>
      </c>
      <c r="BR14" s="4">
        <v>1.5455E-3</v>
      </c>
      <c r="BS14" s="4">
        <v>1.5238999999999999E-3</v>
      </c>
      <c r="BT14" s="4">
        <v>1.5026E-3</v>
      </c>
      <c r="BU14" s="4">
        <v>1.4817000000000001E-3</v>
      </c>
      <c r="BV14" s="4">
        <v>1.4610000000000001E-3</v>
      </c>
      <c r="BW14" s="4">
        <v>1.4407000000000001E-3</v>
      </c>
      <c r="BX14" s="4">
        <v>1.4207E-3</v>
      </c>
      <c r="BY14" s="4">
        <v>1.4009999999999999E-3</v>
      </c>
      <c r="BZ14" s="4">
        <v>1.3814999999999999E-3</v>
      </c>
      <c r="CA14" s="4">
        <v>1.3623999999999999E-3</v>
      </c>
      <c r="CB14" s="4">
        <v>1.3435000000000001E-3</v>
      </c>
      <c r="CC14" s="4">
        <v>1.3248999999999999E-3</v>
      </c>
      <c r="CD14" s="4">
        <v>1.3064999999999999E-3</v>
      </c>
      <c r="CE14" s="4">
        <v>1.2884000000000001E-3</v>
      </c>
      <c r="CF14" s="4">
        <v>1.2704999999999999E-3</v>
      </c>
      <c r="CG14" s="4">
        <v>1.2528999999999999E-3</v>
      </c>
      <c r="CH14" s="4">
        <v>1.2355000000000001E-3</v>
      </c>
      <c r="CI14" s="4">
        <v>1.2183999999999999E-3</v>
      </c>
      <c r="CJ14" s="4">
        <v>1.2015000000000001E-3</v>
      </c>
      <c r="CK14" s="4">
        <v>1.1848E-3</v>
      </c>
      <c r="CL14" s="4">
        <v>1.1682999999999999E-3</v>
      </c>
      <c r="CM14" s="4">
        <v>1.1521000000000001E-3</v>
      </c>
      <c r="CN14" s="4">
        <v>1.1360999999999999E-3</v>
      </c>
      <c r="CO14" s="4">
        <v>1.1203000000000001E-3</v>
      </c>
      <c r="CP14" s="4">
        <v>1.1046999999999999E-3</v>
      </c>
      <c r="CQ14" s="4">
        <v>1.0893000000000001E-3</v>
      </c>
      <c r="CR14" s="4">
        <v>1.0740999999999999E-3</v>
      </c>
      <c r="CS14" s="4">
        <v>1.0591000000000001E-3</v>
      </c>
      <c r="CT14" s="4">
        <v>1.0444E-3</v>
      </c>
      <c r="CU14" s="4">
        <v>1.0298E-3</v>
      </c>
      <c r="CV14" s="4">
        <v>1.0154000000000001E-3</v>
      </c>
      <c r="CW14" s="4">
        <v>1.0012E-3</v>
      </c>
      <c r="CX14" s="4">
        <v>9.8719999999999993E-4</v>
      </c>
      <c r="CY14" s="4">
        <v>9.7340000000000002E-4</v>
      </c>
      <c r="CZ14" s="4">
        <v>9.5969999999999996E-4</v>
      </c>
      <c r="DA14" s="4">
        <v>9.4629999999999996E-4</v>
      </c>
      <c r="DB14" s="4">
        <v>9.3300000000000002E-4</v>
      </c>
      <c r="DC14" s="4">
        <v>9.1989999999999997E-4</v>
      </c>
      <c r="DD14" s="4">
        <v>9.0700000000000004E-4</v>
      </c>
      <c r="DE14" s="4">
        <v>8.943E-4</v>
      </c>
      <c r="DF14" s="4">
        <v>8.8170000000000002E-4</v>
      </c>
      <c r="DG14" s="4">
        <v>8.6930000000000004E-4</v>
      </c>
      <c r="DH14" s="4">
        <v>8.5709999999999996E-4</v>
      </c>
      <c r="DI14" s="4">
        <v>8.451E-4</v>
      </c>
      <c r="DJ14" s="4">
        <v>8.3319999999999998E-4</v>
      </c>
      <c r="DK14" s="4">
        <v>8.2140000000000002E-4</v>
      </c>
      <c r="DL14" s="4">
        <v>8.0990000000000001E-4</v>
      </c>
      <c r="DM14" s="4">
        <v>7.9849999999999995E-4</v>
      </c>
      <c r="DN14" s="4">
        <v>7.8720000000000005E-4</v>
      </c>
      <c r="DO14" s="4">
        <v>7.7610000000000005E-4</v>
      </c>
      <c r="DP14" s="4">
        <v>7.6519999999999995E-4</v>
      </c>
      <c r="DQ14" s="4">
        <v>5.31487E-2</v>
      </c>
      <c r="DR14" s="4">
        <v>0</v>
      </c>
      <c r="DS14" s="4">
        <v>6.0000000000000002E-5</v>
      </c>
      <c r="DT14" s="4">
        <v>2.0430000000000001E-4</v>
      </c>
      <c r="DU14" s="4">
        <v>6.0939999999999996E-4</v>
      </c>
      <c r="DV14" s="4">
        <v>5.6150000000000004E-4</v>
      </c>
      <c r="DW14" s="4">
        <v>4.7790000000000002E-4</v>
      </c>
      <c r="DX14" s="4">
        <v>6.1660000000000003E-4</v>
      </c>
      <c r="DY14" s="4">
        <v>5.3510000000000005E-4</v>
      </c>
      <c r="DZ14" s="4">
        <v>4.7150000000000002E-4</v>
      </c>
      <c r="EA14" s="4">
        <v>4.1080000000000001E-4</v>
      </c>
      <c r="EB14" s="4">
        <v>3.6249999999999998E-4</v>
      </c>
      <c r="EC14" s="4">
        <v>3.2019999999999998E-4</v>
      </c>
      <c r="ED14" s="4">
        <v>2.8519999999999999E-4</v>
      </c>
      <c r="EE14" s="4">
        <v>2.5480000000000001E-4</v>
      </c>
      <c r="EF14" s="4">
        <v>2.2890000000000001E-4</v>
      </c>
      <c r="EG14" s="4">
        <v>2.065E-4</v>
      </c>
      <c r="EH14" s="4">
        <v>1.872E-4</v>
      </c>
      <c r="EI14" s="4">
        <v>1.7039999999999999E-4</v>
      </c>
      <c r="EJ14" s="4">
        <v>1.5569999999999999E-4</v>
      </c>
      <c r="EK14" s="4">
        <v>1.428E-4</v>
      </c>
      <c r="EL14" s="4">
        <v>1.315E-4</v>
      </c>
      <c r="EM14" s="4">
        <v>1.216E-4</v>
      </c>
      <c r="EN14" s="4">
        <v>1.127E-4</v>
      </c>
      <c r="EO14" s="4">
        <v>1.049E-4</v>
      </c>
      <c r="EP14" s="4">
        <v>9.7899999999999994E-5</v>
      </c>
      <c r="EQ14" s="4">
        <v>9.1600000000000004E-5</v>
      </c>
      <c r="ER14" s="4">
        <v>8.6100000000000006E-5</v>
      </c>
      <c r="ES14" s="4">
        <v>8.1000000000000004E-5</v>
      </c>
      <c r="ET14" s="4">
        <v>7.6500000000000003E-5</v>
      </c>
      <c r="EU14" s="4">
        <v>7.2399999999999998E-5</v>
      </c>
      <c r="EV14" s="4">
        <v>6.8700000000000003E-5</v>
      </c>
      <c r="EW14" s="4">
        <v>6.5199999999999999E-5</v>
      </c>
      <c r="EX14" s="4">
        <v>6.2000000000000003E-5</v>
      </c>
      <c r="EY14" s="4">
        <v>5.91E-5</v>
      </c>
      <c r="EZ14" s="4">
        <v>5.6400000000000002E-5</v>
      </c>
      <c r="FA14" s="4">
        <v>5.3900000000000002E-5</v>
      </c>
      <c r="FB14" s="4">
        <v>5.1499999999999998E-5</v>
      </c>
      <c r="FC14" s="4">
        <v>4.9400000000000001E-5</v>
      </c>
      <c r="FD14" s="4">
        <v>4.7299999999999998E-5</v>
      </c>
      <c r="FE14" s="4">
        <v>4.5399999999999999E-5</v>
      </c>
      <c r="FF14" s="4">
        <v>4.3600000000000003E-5</v>
      </c>
      <c r="FG14" s="4">
        <v>4.1999999999999998E-5</v>
      </c>
      <c r="FH14" s="4">
        <v>4.0399999999999999E-5</v>
      </c>
      <c r="FI14" s="4">
        <v>3.8999999999999999E-5</v>
      </c>
      <c r="FJ14" s="4">
        <v>3.7599999999999999E-5</v>
      </c>
      <c r="FK14" s="4">
        <v>3.6300000000000001E-5</v>
      </c>
      <c r="FL14" s="4">
        <v>3.5099999999999999E-5</v>
      </c>
      <c r="FM14" s="4">
        <v>3.4E-5</v>
      </c>
      <c r="FN14" s="4">
        <v>3.3000000000000003E-5</v>
      </c>
      <c r="FO14" s="4">
        <v>3.1999999999999999E-5</v>
      </c>
      <c r="FP14" s="4">
        <v>3.1099999999999997E-5</v>
      </c>
      <c r="FQ14" s="4">
        <v>3.0300000000000001E-5</v>
      </c>
      <c r="FR14" s="4">
        <v>2.9499999999999999E-5</v>
      </c>
      <c r="FS14" s="4">
        <v>2.87E-5</v>
      </c>
      <c r="FT14" s="4">
        <v>2.8E-5</v>
      </c>
      <c r="FU14" s="4">
        <v>2.73E-5</v>
      </c>
      <c r="FV14" s="4">
        <v>2.6699999999999998E-5</v>
      </c>
      <c r="FW14" s="4">
        <v>2.6100000000000001E-5</v>
      </c>
      <c r="FX14" s="4">
        <v>2.5599999999999999E-5</v>
      </c>
      <c r="FY14" s="4">
        <v>2.51E-5</v>
      </c>
      <c r="FZ14" s="4">
        <v>2.4600000000000002E-5</v>
      </c>
      <c r="GA14" s="4">
        <v>2.41E-5</v>
      </c>
      <c r="GB14" s="4">
        <v>2.3600000000000001E-5</v>
      </c>
      <c r="GC14" s="4">
        <v>2.3200000000000001E-5</v>
      </c>
      <c r="GD14" s="4">
        <v>2.2799999999999999E-5</v>
      </c>
      <c r="GE14" s="4">
        <v>2.2399999999999999E-5</v>
      </c>
      <c r="GF14" s="4">
        <v>2.1999999999999999E-5</v>
      </c>
      <c r="GG14" s="4">
        <v>2.1699999999999999E-5</v>
      </c>
      <c r="GH14" s="4">
        <v>2.1299999999999999E-5</v>
      </c>
      <c r="GI14" s="4">
        <v>2.0999999999999999E-5</v>
      </c>
      <c r="GJ14" s="4">
        <v>2.0699999999999998E-5</v>
      </c>
      <c r="GK14" s="4">
        <v>2.0299999999999999E-5</v>
      </c>
      <c r="GL14" s="4">
        <v>2.0000000000000002E-5</v>
      </c>
      <c r="GM14" s="4">
        <v>1.9700000000000001E-5</v>
      </c>
      <c r="GN14" s="4">
        <v>1.95E-5</v>
      </c>
      <c r="GO14" s="4">
        <v>1.9199999999999999E-5</v>
      </c>
      <c r="GP14" s="4">
        <v>1.8899999999999999E-5</v>
      </c>
      <c r="GQ14" s="4">
        <v>1.8700000000000001E-5</v>
      </c>
      <c r="GR14" s="4">
        <v>1.84E-5</v>
      </c>
      <c r="GS14" s="4">
        <v>1.8099999999999999E-5</v>
      </c>
      <c r="GT14" s="4">
        <v>1.7900000000000001E-5</v>
      </c>
      <c r="GU14" s="4">
        <v>1.77E-5</v>
      </c>
      <c r="GV14" s="4">
        <v>1.7399999999999999E-5</v>
      </c>
      <c r="GW14" s="4">
        <v>1.7200000000000001E-5</v>
      </c>
      <c r="GX14" s="4">
        <v>1.7E-5</v>
      </c>
      <c r="GY14" s="4">
        <v>1.6699999999999999E-5</v>
      </c>
      <c r="GZ14" s="4">
        <v>1.6500000000000001E-5</v>
      </c>
      <c r="HA14" s="4">
        <v>1.63E-5</v>
      </c>
      <c r="HB14" s="4">
        <v>1.6099999999999998E-5</v>
      </c>
      <c r="HC14" s="4">
        <v>1.59E-5</v>
      </c>
      <c r="HD14" s="4">
        <v>1.5699999999999999E-5</v>
      </c>
      <c r="HE14" s="4">
        <v>1.5500000000000001E-5</v>
      </c>
      <c r="HF14" s="4">
        <v>1.5299999999999999E-5</v>
      </c>
      <c r="HG14" s="4">
        <v>1.5099999999999999E-5</v>
      </c>
      <c r="HH14" s="4">
        <v>1.49E-5</v>
      </c>
      <c r="HI14" s="4">
        <v>1.47E-5</v>
      </c>
      <c r="HJ14" s="4">
        <v>1.45E-5</v>
      </c>
      <c r="HK14" s="4">
        <v>1.43E-5</v>
      </c>
      <c r="HL14" s="4">
        <v>1.4100000000000001E-5</v>
      </c>
      <c r="HM14" s="4">
        <v>1.3900000000000001E-5</v>
      </c>
      <c r="HN14" s="4">
        <v>1.3699999999999999E-5</v>
      </c>
      <c r="HO14" s="4">
        <v>1.3499999999999999E-5</v>
      </c>
      <c r="HP14" s="4">
        <v>1.34E-5</v>
      </c>
      <c r="HQ14" s="4">
        <v>1.3200000000000001E-5</v>
      </c>
      <c r="HR14" s="4">
        <v>1.2999999999999999E-5</v>
      </c>
      <c r="HS14" s="4">
        <v>1.2799999999999999E-5</v>
      </c>
      <c r="HT14" s="4">
        <v>1.27E-5</v>
      </c>
      <c r="HU14" s="4">
        <v>1.2500000000000001E-5</v>
      </c>
      <c r="HV14" s="4">
        <v>1.2300000000000001E-5</v>
      </c>
      <c r="HW14" s="4">
        <v>1.22E-5</v>
      </c>
      <c r="HX14" s="4">
        <v>1.2E-5</v>
      </c>
      <c r="HY14" s="4">
        <v>1.1800000000000001E-5</v>
      </c>
      <c r="HZ14" s="4">
        <v>1.17E-5</v>
      </c>
      <c r="IA14" s="4">
        <v>1.15E-5</v>
      </c>
      <c r="IB14" s="4">
        <v>1.1399999999999999E-5</v>
      </c>
      <c r="IC14" s="4">
        <v>1.1199999999999999E-5</v>
      </c>
      <c r="ID14" s="4">
        <v>1.1E-5</v>
      </c>
      <c r="IE14" s="4">
        <v>1.0900000000000001E-5</v>
      </c>
      <c r="IF14" s="4">
        <v>1.0699999999999999E-5</v>
      </c>
      <c r="IG14" s="4">
        <v>7.515E-4</v>
      </c>
      <c r="IH14" s="4"/>
      <c r="II14" s="4">
        <f t="shared" si="245"/>
        <v>0.10188968081902589</v>
      </c>
      <c r="IJ14">
        <f t="shared" si="246"/>
        <v>0.35056052500000007</v>
      </c>
      <c r="IN14" s="4"/>
      <c r="IO14" s="4"/>
      <c r="IP14" s="4"/>
      <c r="IQ14" s="4"/>
      <c r="IR14" s="4"/>
      <c r="IS14" s="4"/>
      <c r="IT14" s="4"/>
      <c r="IU14" s="4"/>
      <c r="IV14" s="4"/>
    </row>
    <row r="15" spans="1:279" x14ac:dyDescent="0.35">
      <c r="A15" s="1">
        <v>7</v>
      </c>
      <c r="B15" s="4">
        <v>1.1096099999999999E-2</v>
      </c>
      <c r="C15" s="4">
        <v>1.10925E-2</v>
      </c>
      <c r="D15" s="4">
        <v>1.1025399999999999E-2</v>
      </c>
      <c r="E15" s="4">
        <v>1.08062E-2</v>
      </c>
      <c r="F15" s="4">
        <v>9.6156000000000002E-3</v>
      </c>
      <c r="G15" s="4">
        <v>8.3955000000000002E-3</v>
      </c>
      <c r="H15" s="4">
        <v>6.6356999999999996E-3</v>
      </c>
      <c r="I15" s="4">
        <v>7.2795999999999998E-3</v>
      </c>
      <c r="J15" s="4">
        <v>6.7345E-3</v>
      </c>
      <c r="K15" s="4">
        <v>6.3087000000000004E-3</v>
      </c>
      <c r="L15" s="4">
        <v>5.9370999999999998E-3</v>
      </c>
      <c r="M15" s="4">
        <v>5.6216E-3</v>
      </c>
      <c r="N15" s="4">
        <v>5.3392999999999999E-3</v>
      </c>
      <c r="O15" s="4">
        <v>5.0894E-3</v>
      </c>
      <c r="P15" s="4">
        <v>4.8627999999999996E-3</v>
      </c>
      <c r="Q15" s="4">
        <v>4.6581000000000001E-3</v>
      </c>
      <c r="R15" s="4">
        <v>4.4717000000000003E-3</v>
      </c>
      <c r="S15" s="4">
        <v>4.3014000000000004E-3</v>
      </c>
      <c r="T15" s="4">
        <v>4.1451999999999999E-3</v>
      </c>
      <c r="U15" s="4">
        <v>4.0013999999999996E-3</v>
      </c>
      <c r="V15" s="4">
        <v>3.8685E-3</v>
      </c>
      <c r="W15" s="4">
        <v>3.7453999999999999E-3</v>
      </c>
      <c r="X15" s="4">
        <v>3.6308999999999998E-3</v>
      </c>
      <c r="Y15" s="4">
        <v>3.5241999999999999E-3</v>
      </c>
      <c r="Z15" s="4">
        <v>3.4244000000000002E-3</v>
      </c>
      <c r="AA15" s="4">
        <v>3.3308999999999999E-3</v>
      </c>
      <c r="AB15" s="4">
        <v>3.2429999999999998E-3</v>
      </c>
      <c r="AC15" s="4">
        <v>3.1602000000000002E-3</v>
      </c>
      <c r="AD15" s="4">
        <v>3.0818999999999998E-3</v>
      </c>
      <c r="AE15" s="4">
        <v>3.0078000000000001E-3</v>
      </c>
      <c r="AF15" s="4">
        <v>2.9374000000000002E-3</v>
      </c>
      <c r="AG15" s="4">
        <v>2.8706000000000001E-3</v>
      </c>
      <c r="AH15" s="4">
        <v>2.8069000000000002E-3</v>
      </c>
      <c r="AI15" s="4">
        <v>2.7461999999999999E-3</v>
      </c>
      <c r="AJ15" s="4">
        <v>2.6882E-3</v>
      </c>
      <c r="AK15" s="4">
        <v>2.6327999999999998E-3</v>
      </c>
      <c r="AL15" s="4">
        <v>2.5796999999999999E-3</v>
      </c>
      <c r="AM15" s="4">
        <v>2.5287999999999999E-3</v>
      </c>
      <c r="AN15" s="4">
        <v>2.48E-3</v>
      </c>
      <c r="AO15" s="4">
        <v>2.4331999999999999E-3</v>
      </c>
      <c r="AP15" s="4">
        <v>2.3881000000000002E-3</v>
      </c>
      <c r="AQ15" s="4">
        <v>2.3446999999999999E-3</v>
      </c>
      <c r="AR15" s="4">
        <v>2.3029000000000001E-3</v>
      </c>
      <c r="AS15" s="4">
        <v>2.2626E-3</v>
      </c>
      <c r="AT15" s="4">
        <v>2.2236999999999999E-3</v>
      </c>
      <c r="AU15" s="4">
        <v>2.1860999999999998E-3</v>
      </c>
      <c r="AV15" s="4">
        <v>2.1496000000000002E-3</v>
      </c>
      <c r="AW15" s="4">
        <v>2.1143999999999998E-3</v>
      </c>
      <c r="AX15" s="4">
        <v>2.0801999999999999E-3</v>
      </c>
      <c r="AY15" s="4">
        <v>2.0468999999999999E-3</v>
      </c>
      <c r="AZ15" s="4">
        <v>2.0146999999999999E-3</v>
      </c>
      <c r="BA15" s="4">
        <v>1.9832999999999999E-3</v>
      </c>
      <c r="BB15" s="4">
        <v>1.9526999999999999E-3</v>
      </c>
      <c r="BC15" s="4">
        <v>1.923E-3</v>
      </c>
      <c r="BD15" s="4">
        <v>1.8939E-3</v>
      </c>
      <c r="BE15" s="4">
        <v>1.8656E-3</v>
      </c>
      <c r="BF15" s="4">
        <v>1.8379E-3</v>
      </c>
      <c r="BG15" s="4">
        <v>1.8108E-3</v>
      </c>
      <c r="BH15" s="4">
        <v>1.7842999999999999E-3</v>
      </c>
      <c r="BI15" s="4">
        <v>1.7584E-3</v>
      </c>
      <c r="BJ15" s="4">
        <v>1.7328999999999999E-3</v>
      </c>
      <c r="BK15" s="4">
        <v>1.7080000000000001E-3</v>
      </c>
      <c r="BL15" s="4">
        <v>1.6835999999999999E-3</v>
      </c>
      <c r="BM15" s="4">
        <v>1.6596E-3</v>
      </c>
      <c r="BN15" s="4">
        <v>1.6360999999999999E-3</v>
      </c>
      <c r="BO15" s="4">
        <v>1.6129E-3</v>
      </c>
      <c r="BP15" s="4">
        <v>1.5901999999999999E-3</v>
      </c>
      <c r="BQ15" s="4">
        <v>1.5678000000000001E-3</v>
      </c>
      <c r="BR15" s="4">
        <v>1.5459E-3</v>
      </c>
      <c r="BS15" s="4">
        <v>1.5242000000000001E-3</v>
      </c>
      <c r="BT15" s="4">
        <v>1.5028999999999999E-3</v>
      </c>
      <c r="BU15" s="4">
        <v>1.482E-3</v>
      </c>
      <c r="BV15" s="4">
        <v>1.4613E-3</v>
      </c>
      <c r="BW15" s="4">
        <v>1.441E-3</v>
      </c>
      <c r="BX15" s="4">
        <v>1.421E-3</v>
      </c>
      <c r="BY15" s="4">
        <v>1.4012E-3</v>
      </c>
      <c r="BZ15" s="4">
        <v>1.3818000000000001E-3</v>
      </c>
      <c r="CA15" s="4">
        <v>1.3626000000000001E-3</v>
      </c>
      <c r="CB15" s="4">
        <v>1.3437E-3</v>
      </c>
      <c r="CC15" s="4">
        <v>1.3251000000000001E-3</v>
      </c>
      <c r="CD15" s="4">
        <v>1.3067E-3</v>
      </c>
      <c r="CE15" s="4">
        <v>1.2886E-3</v>
      </c>
      <c r="CF15" s="4">
        <v>1.2707E-3</v>
      </c>
      <c r="CG15" s="4">
        <v>1.2531E-3</v>
      </c>
      <c r="CH15" s="4">
        <v>1.2356999999999999E-3</v>
      </c>
      <c r="CI15" s="4">
        <v>1.2186E-3</v>
      </c>
      <c r="CJ15" s="4">
        <v>1.2017E-3</v>
      </c>
      <c r="CK15" s="4">
        <v>1.1850000000000001E-3</v>
      </c>
      <c r="CL15" s="4">
        <v>1.1685000000000001E-3</v>
      </c>
      <c r="CM15" s="4">
        <v>1.1523E-3</v>
      </c>
      <c r="CN15" s="4">
        <v>1.1362E-3</v>
      </c>
      <c r="CO15" s="4">
        <v>1.1203999999999999E-3</v>
      </c>
      <c r="CP15" s="4">
        <v>1.1048E-3</v>
      </c>
      <c r="CQ15" s="4">
        <v>1.0893999999999999E-3</v>
      </c>
      <c r="CR15" s="4">
        <v>1.0742E-3</v>
      </c>
      <c r="CS15" s="4">
        <v>1.0593E-3</v>
      </c>
      <c r="CT15" s="4">
        <v>1.0445000000000001E-3</v>
      </c>
      <c r="CU15" s="4">
        <v>1.0299E-3</v>
      </c>
      <c r="CV15" s="4">
        <v>1.0154999999999999E-3</v>
      </c>
      <c r="CW15" s="4">
        <v>1.0013000000000001E-3</v>
      </c>
      <c r="CX15" s="4">
        <v>9.8729999999999998E-4</v>
      </c>
      <c r="CY15" s="4">
        <v>9.7349999999999997E-4</v>
      </c>
      <c r="CZ15" s="4">
        <v>9.5980000000000002E-4</v>
      </c>
      <c r="DA15" s="4">
        <v>9.4640000000000002E-4</v>
      </c>
      <c r="DB15" s="4">
        <v>9.3309999999999997E-4</v>
      </c>
      <c r="DC15" s="4">
        <v>9.2000000000000003E-4</v>
      </c>
      <c r="DD15" s="4">
        <v>9.0709999999999999E-4</v>
      </c>
      <c r="DE15" s="4">
        <v>8.9439999999999995E-4</v>
      </c>
      <c r="DF15" s="4">
        <v>8.8179999999999997E-4</v>
      </c>
      <c r="DG15" s="4">
        <v>8.6939999999999999E-4</v>
      </c>
      <c r="DH15" s="4">
        <v>8.5720000000000002E-4</v>
      </c>
      <c r="DI15" s="4">
        <v>8.451E-4</v>
      </c>
      <c r="DJ15" s="4">
        <v>8.3319999999999998E-4</v>
      </c>
      <c r="DK15" s="4">
        <v>8.2149999999999996E-4</v>
      </c>
      <c r="DL15" s="4">
        <v>8.0990000000000001E-4</v>
      </c>
      <c r="DM15" s="4">
        <v>7.9849999999999995E-4</v>
      </c>
      <c r="DN15" s="4">
        <v>7.873E-4</v>
      </c>
      <c r="DO15" s="4">
        <v>7.762E-4</v>
      </c>
      <c r="DP15" s="4">
        <v>7.6519999999999995E-4</v>
      </c>
      <c r="DQ15" s="4">
        <v>5.3151700000000003E-2</v>
      </c>
      <c r="DR15" s="4">
        <v>0</v>
      </c>
      <c r="DS15" s="4">
        <v>5.9700000000000001E-5</v>
      </c>
      <c r="DT15" s="4">
        <v>1.964E-4</v>
      </c>
      <c r="DU15" s="4">
        <v>6.2290000000000002E-4</v>
      </c>
      <c r="DV15" s="4">
        <v>5.2050000000000002E-4</v>
      </c>
      <c r="DW15" s="4">
        <v>5.2709999999999996E-4</v>
      </c>
      <c r="DX15" s="4">
        <v>4.2999999999999999E-4</v>
      </c>
      <c r="DY15" s="4">
        <v>5.0819999999999999E-4</v>
      </c>
      <c r="DZ15" s="4">
        <v>4.414E-4</v>
      </c>
      <c r="EA15" s="4">
        <v>3.88E-4</v>
      </c>
      <c r="EB15" s="4">
        <v>3.4259999999999998E-4</v>
      </c>
      <c r="EC15" s="4">
        <v>3.057E-4</v>
      </c>
      <c r="ED15" s="4">
        <v>2.7349999999999998E-4</v>
      </c>
      <c r="EE15" s="4">
        <v>2.4640000000000003E-4</v>
      </c>
      <c r="EF15" s="4">
        <v>2.2279999999999999E-4</v>
      </c>
      <c r="EG15" s="4">
        <v>2.0249999999999999E-4</v>
      </c>
      <c r="EH15" s="4">
        <v>1.8469999999999999E-4</v>
      </c>
      <c r="EI15" s="4">
        <v>1.6909999999999999E-4</v>
      </c>
      <c r="EJ15" s="4">
        <v>1.5540000000000001E-4</v>
      </c>
      <c r="EK15" s="4">
        <v>1.4320000000000001E-4</v>
      </c>
      <c r="EL15" s="4">
        <v>1.3239999999999999E-4</v>
      </c>
      <c r="EM15" s="4">
        <v>1.228E-4</v>
      </c>
      <c r="EN15" s="4">
        <v>1.142E-4</v>
      </c>
      <c r="EO15" s="4">
        <v>1.064E-4</v>
      </c>
      <c r="EP15" s="4">
        <v>9.9500000000000006E-5</v>
      </c>
      <c r="EQ15" s="4">
        <v>9.3200000000000002E-5</v>
      </c>
      <c r="ER15" s="4">
        <v>8.7600000000000002E-5</v>
      </c>
      <c r="ES15" s="4">
        <v>8.25E-5</v>
      </c>
      <c r="ET15" s="4">
        <v>7.7899999999999996E-5</v>
      </c>
      <c r="EU15" s="4">
        <v>7.3700000000000002E-5</v>
      </c>
      <c r="EV15" s="4">
        <v>6.9900000000000005E-5</v>
      </c>
      <c r="EW15" s="4">
        <v>6.6299999999999999E-5</v>
      </c>
      <c r="EX15" s="4">
        <v>6.3100000000000002E-5</v>
      </c>
      <c r="EY15" s="4">
        <v>6.0099999999999997E-5</v>
      </c>
      <c r="EZ15" s="4">
        <v>5.7299999999999997E-5</v>
      </c>
      <c r="FA15" s="4">
        <v>5.4700000000000001E-5</v>
      </c>
      <c r="FB15" s="4">
        <v>5.2299999999999997E-5</v>
      </c>
      <c r="FC15" s="4">
        <v>5.0099999999999998E-5</v>
      </c>
      <c r="FD15" s="4">
        <v>4.8000000000000001E-5</v>
      </c>
      <c r="FE15" s="4">
        <v>4.6100000000000002E-5</v>
      </c>
      <c r="FF15" s="4">
        <v>4.4299999999999999E-5</v>
      </c>
      <c r="FG15" s="4">
        <v>4.2599999999999999E-5</v>
      </c>
      <c r="FH15" s="4">
        <v>4.1E-5</v>
      </c>
      <c r="FI15" s="4">
        <v>3.9499999999999998E-5</v>
      </c>
      <c r="FJ15" s="4">
        <v>3.8099999999999998E-5</v>
      </c>
      <c r="FK15" s="4">
        <v>3.68E-5</v>
      </c>
      <c r="FL15" s="4">
        <v>3.5599999999999998E-5</v>
      </c>
      <c r="FM15" s="4">
        <v>3.4499999999999998E-5</v>
      </c>
      <c r="FN15" s="4">
        <v>3.3399999999999999E-5</v>
      </c>
      <c r="FO15" s="4">
        <v>3.2499999999999997E-5</v>
      </c>
      <c r="FP15" s="4">
        <v>3.15E-5</v>
      </c>
      <c r="FQ15" s="4">
        <v>3.0700000000000001E-5</v>
      </c>
      <c r="FR15" s="4">
        <v>2.9899999999999998E-5</v>
      </c>
      <c r="FS15" s="4">
        <v>2.9099999999999999E-5</v>
      </c>
      <c r="FT15" s="4">
        <v>2.8399999999999999E-5</v>
      </c>
      <c r="FU15" s="4">
        <v>2.7699999999999999E-5</v>
      </c>
      <c r="FV15" s="4">
        <v>2.7100000000000001E-5</v>
      </c>
      <c r="FW15" s="4">
        <v>2.65E-5</v>
      </c>
      <c r="FX15" s="4">
        <v>2.5899999999999999E-5</v>
      </c>
      <c r="FY15" s="4">
        <v>2.5400000000000001E-5</v>
      </c>
      <c r="FZ15" s="4">
        <v>2.4899999999999999E-5</v>
      </c>
      <c r="GA15" s="4">
        <v>2.44E-5</v>
      </c>
      <c r="GB15" s="4">
        <v>2.3900000000000002E-5</v>
      </c>
      <c r="GC15" s="4">
        <v>2.3499999999999999E-5</v>
      </c>
      <c r="GD15" s="4">
        <v>2.3099999999999999E-5</v>
      </c>
      <c r="GE15" s="4">
        <v>2.27E-5</v>
      </c>
      <c r="GF15" s="4">
        <v>2.23E-5</v>
      </c>
      <c r="GG15" s="4">
        <v>2.19E-5</v>
      </c>
      <c r="GH15" s="4">
        <v>2.1500000000000001E-5</v>
      </c>
      <c r="GI15" s="4">
        <v>2.12E-5</v>
      </c>
      <c r="GJ15" s="4">
        <v>2.09E-5</v>
      </c>
      <c r="GK15" s="4">
        <v>2.05E-5</v>
      </c>
      <c r="GL15" s="4">
        <v>2.02E-5</v>
      </c>
      <c r="GM15" s="4">
        <v>1.9899999999999999E-5</v>
      </c>
      <c r="GN15" s="4">
        <v>1.9599999999999999E-5</v>
      </c>
      <c r="GO15" s="4">
        <v>1.9400000000000001E-5</v>
      </c>
      <c r="GP15" s="4">
        <v>1.91E-5</v>
      </c>
      <c r="GQ15" s="4">
        <v>1.88E-5</v>
      </c>
      <c r="GR15" s="4">
        <v>1.8499999999999999E-5</v>
      </c>
      <c r="GS15" s="4">
        <v>1.8300000000000001E-5</v>
      </c>
      <c r="GT15" s="4">
        <v>1.8E-5</v>
      </c>
      <c r="GU15" s="4">
        <v>1.7799999999999999E-5</v>
      </c>
      <c r="GV15" s="4">
        <v>1.7499999999999998E-5</v>
      </c>
      <c r="GW15" s="4">
        <v>1.73E-5</v>
      </c>
      <c r="GX15" s="4">
        <v>1.7099999999999999E-5</v>
      </c>
      <c r="GY15" s="4">
        <v>1.6799999999999998E-5</v>
      </c>
      <c r="GZ15" s="4">
        <v>1.66E-5</v>
      </c>
      <c r="HA15" s="4">
        <v>1.6399999999999999E-5</v>
      </c>
      <c r="HB15" s="4">
        <v>1.6200000000000001E-5</v>
      </c>
      <c r="HC15" s="4">
        <v>1.5999999999999999E-5</v>
      </c>
      <c r="HD15" s="4">
        <v>1.5800000000000001E-5</v>
      </c>
      <c r="HE15" s="4">
        <v>1.5500000000000001E-5</v>
      </c>
      <c r="HF15" s="4">
        <v>1.5299999999999999E-5</v>
      </c>
      <c r="HG15" s="4">
        <v>1.5099999999999999E-5</v>
      </c>
      <c r="HH15" s="4">
        <v>1.49E-5</v>
      </c>
      <c r="HI15" s="4">
        <v>1.47E-5</v>
      </c>
      <c r="HJ15" s="4">
        <v>1.45E-5</v>
      </c>
      <c r="HK15" s="4">
        <v>1.43E-5</v>
      </c>
      <c r="HL15" s="4">
        <v>1.4100000000000001E-5</v>
      </c>
      <c r="HM15" s="4">
        <v>1.4E-5</v>
      </c>
      <c r="HN15" s="4">
        <v>1.38E-5</v>
      </c>
      <c r="HO15" s="4">
        <v>1.36E-5</v>
      </c>
      <c r="HP15" s="4">
        <v>1.34E-5</v>
      </c>
      <c r="HQ15" s="4">
        <v>1.3200000000000001E-5</v>
      </c>
      <c r="HR15" s="4">
        <v>1.2999999999999999E-5</v>
      </c>
      <c r="HS15" s="4">
        <v>1.29E-5</v>
      </c>
      <c r="HT15" s="4">
        <v>1.27E-5</v>
      </c>
      <c r="HU15" s="4">
        <v>1.2500000000000001E-5</v>
      </c>
      <c r="HV15" s="4">
        <v>1.24E-5</v>
      </c>
      <c r="HW15" s="4">
        <v>1.22E-5</v>
      </c>
      <c r="HX15" s="4">
        <v>1.2E-5</v>
      </c>
      <c r="HY15" s="4">
        <v>1.19E-5</v>
      </c>
      <c r="HZ15" s="4">
        <v>1.17E-5</v>
      </c>
      <c r="IA15" s="4">
        <v>1.15E-5</v>
      </c>
      <c r="IB15" s="4">
        <v>1.1399999999999999E-5</v>
      </c>
      <c r="IC15" s="4">
        <v>1.1199999999999999E-5</v>
      </c>
      <c r="ID15" s="4">
        <v>1.11E-5</v>
      </c>
      <c r="IE15" s="4">
        <v>1.0900000000000001E-5</v>
      </c>
      <c r="IF15" s="4">
        <v>1.08E-5</v>
      </c>
      <c r="IG15" s="4">
        <v>7.5230000000000002E-4</v>
      </c>
      <c r="IH15" s="4"/>
      <c r="II15" s="4">
        <f t="shared" si="245"/>
        <v>0.1066414746783076</v>
      </c>
      <c r="IJ15">
        <f t="shared" si="246"/>
        <v>0.34952911250000013</v>
      </c>
      <c r="IN15" s="4"/>
      <c r="IO15" s="4"/>
      <c r="IP15" s="4"/>
      <c r="IQ15" s="4"/>
      <c r="IR15" s="4"/>
      <c r="IS15" s="4"/>
      <c r="IT15" s="4"/>
      <c r="IU15" s="4"/>
      <c r="IV15" s="4"/>
    </row>
    <row r="16" spans="1:279" x14ac:dyDescent="0.35">
      <c r="A16" s="1">
        <v>8</v>
      </c>
      <c r="B16" s="4">
        <v>1.1097900000000001E-2</v>
      </c>
      <c r="C16" s="4">
        <v>1.1096099999999999E-2</v>
      </c>
      <c r="D16" s="4">
        <v>1.10329E-2</v>
      </c>
      <c r="E16" s="4">
        <v>1.0829E-2</v>
      </c>
      <c r="F16" s="4">
        <v>1.0183299999999999E-2</v>
      </c>
      <c r="G16" s="4">
        <v>9.0951000000000001E-3</v>
      </c>
      <c r="H16" s="4">
        <v>7.8683999999999994E-3</v>
      </c>
      <c r="I16" s="4">
        <v>6.2056000000000004E-3</v>
      </c>
      <c r="J16" s="4">
        <v>6.7714000000000003E-3</v>
      </c>
      <c r="K16" s="4">
        <v>6.2931000000000003E-3</v>
      </c>
      <c r="L16" s="4">
        <v>5.9207000000000001E-3</v>
      </c>
      <c r="M16" s="4">
        <v>5.5944999999999996E-3</v>
      </c>
      <c r="N16" s="4">
        <v>5.3159000000000001E-3</v>
      </c>
      <c r="O16" s="4">
        <v>5.0657999999999996E-3</v>
      </c>
      <c r="P16" s="4">
        <v>4.8430000000000001E-3</v>
      </c>
      <c r="Q16" s="4">
        <v>4.64E-3</v>
      </c>
      <c r="R16" s="4">
        <v>4.4555999999999997E-3</v>
      </c>
      <c r="S16" s="4">
        <v>4.287E-3</v>
      </c>
      <c r="T16" s="4">
        <v>4.1323000000000002E-3</v>
      </c>
      <c r="U16" s="4">
        <v>3.9897999999999999E-3</v>
      </c>
      <c r="V16" s="4">
        <v>3.8582E-3</v>
      </c>
      <c r="W16" s="4">
        <v>3.7361E-3</v>
      </c>
      <c r="X16" s="4">
        <v>3.6226000000000001E-3</v>
      </c>
      <c r="Y16" s="4">
        <v>3.5168E-3</v>
      </c>
      <c r="Z16" s="4">
        <v>3.4177999999999999E-3</v>
      </c>
      <c r="AA16" s="4">
        <v>3.3249999999999998E-3</v>
      </c>
      <c r="AB16" s="4">
        <v>3.2377E-3</v>
      </c>
      <c r="AC16" s="4">
        <v>3.1554E-3</v>
      </c>
      <c r="AD16" s="4">
        <v>3.0776000000000002E-3</v>
      </c>
      <c r="AE16" s="4">
        <v>3.0040000000000002E-3</v>
      </c>
      <c r="AF16" s="4">
        <v>2.934E-3</v>
      </c>
      <c r="AG16" s="4">
        <v>2.8674999999999998E-3</v>
      </c>
      <c r="AH16" s="4">
        <v>2.8042000000000002E-3</v>
      </c>
      <c r="AI16" s="4">
        <v>2.7437999999999998E-3</v>
      </c>
      <c r="AJ16" s="4">
        <v>2.6860999999999999E-3</v>
      </c>
      <c r="AK16" s="4">
        <v>2.6308999999999998E-3</v>
      </c>
      <c r="AL16" s="4">
        <v>2.578E-3</v>
      </c>
      <c r="AM16" s="4">
        <v>2.5274E-3</v>
      </c>
      <c r="AN16" s="4">
        <v>2.4786999999999999E-3</v>
      </c>
      <c r="AO16" s="4">
        <v>2.4320000000000001E-3</v>
      </c>
      <c r="AP16" s="4">
        <v>2.3871000000000001E-3</v>
      </c>
      <c r="AQ16" s="4">
        <v>2.3438999999999999E-3</v>
      </c>
      <c r="AR16" s="4">
        <v>2.3021999999999999E-3</v>
      </c>
      <c r="AS16" s="4">
        <v>2.2620000000000001E-3</v>
      </c>
      <c r="AT16" s="4">
        <v>2.2231E-3</v>
      </c>
      <c r="AU16" s="4">
        <v>2.1856000000000002E-3</v>
      </c>
      <c r="AV16" s="4">
        <v>2.1492E-3</v>
      </c>
      <c r="AW16" s="4">
        <v>2.114E-3</v>
      </c>
      <c r="AX16" s="4">
        <v>2.0799E-3</v>
      </c>
      <c r="AY16" s="4">
        <v>2.0466999999999998E-3</v>
      </c>
      <c r="AZ16" s="4">
        <v>2.0144999999999998E-3</v>
      </c>
      <c r="BA16" s="4">
        <v>1.9830999999999998E-3</v>
      </c>
      <c r="BB16" s="4">
        <v>1.9526000000000001E-3</v>
      </c>
      <c r="BC16" s="4">
        <v>1.9229E-3</v>
      </c>
      <c r="BD16" s="4">
        <v>1.8939E-3</v>
      </c>
      <c r="BE16" s="4">
        <v>1.8655E-3</v>
      </c>
      <c r="BF16" s="4">
        <v>1.8379E-3</v>
      </c>
      <c r="BG16" s="4">
        <v>1.8108E-3</v>
      </c>
      <c r="BH16" s="4">
        <v>1.7842999999999999E-3</v>
      </c>
      <c r="BI16" s="4">
        <v>1.7584E-3</v>
      </c>
      <c r="BJ16" s="4">
        <v>1.7329999999999999E-3</v>
      </c>
      <c r="BK16" s="4">
        <v>1.7080999999999999E-3</v>
      </c>
      <c r="BL16" s="4">
        <v>1.6837E-3</v>
      </c>
      <c r="BM16" s="4">
        <v>1.6597000000000001E-3</v>
      </c>
      <c r="BN16" s="4">
        <v>1.6360999999999999E-3</v>
      </c>
      <c r="BO16" s="4">
        <v>1.6130000000000001E-3</v>
      </c>
      <c r="BP16" s="4">
        <v>1.5903E-3</v>
      </c>
      <c r="BQ16" s="4">
        <v>1.5678999999999999E-3</v>
      </c>
      <c r="BR16" s="4">
        <v>1.5459E-3</v>
      </c>
      <c r="BS16" s="4">
        <v>1.5242999999999999E-3</v>
      </c>
      <c r="BT16" s="4">
        <v>1.503E-3</v>
      </c>
      <c r="BU16" s="4">
        <v>1.4821000000000001E-3</v>
      </c>
      <c r="BV16" s="4">
        <v>1.4614000000000001E-3</v>
      </c>
      <c r="BW16" s="4">
        <v>1.4411000000000001E-3</v>
      </c>
      <c r="BX16" s="4">
        <v>1.4211E-3</v>
      </c>
      <c r="BY16" s="4">
        <v>1.4013000000000001E-3</v>
      </c>
      <c r="BZ16" s="4">
        <v>1.3818999999999999E-3</v>
      </c>
      <c r="CA16" s="4">
        <v>1.3626999999999999E-3</v>
      </c>
      <c r="CB16" s="4">
        <v>1.3438E-3</v>
      </c>
      <c r="CC16" s="4">
        <v>1.3251999999999999E-3</v>
      </c>
      <c r="CD16" s="4">
        <v>1.3068000000000001E-3</v>
      </c>
      <c r="CE16" s="4">
        <v>1.2887E-3</v>
      </c>
      <c r="CF16" s="4">
        <v>1.2708000000000001E-3</v>
      </c>
      <c r="CG16" s="4">
        <v>1.2532000000000001E-3</v>
      </c>
      <c r="CH16" s="4">
        <v>1.2358E-3</v>
      </c>
      <c r="CI16" s="4">
        <v>1.2186E-3</v>
      </c>
      <c r="CJ16" s="4">
        <v>1.2017E-3</v>
      </c>
      <c r="CK16" s="4">
        <v>1.1850000000000001E-3</v>
      </c>
      <c r="CL16" s="4">
        <v>1.1686000000000001E-3</v>
      </c>
      <c r="CM16" s="4">
        <v>1.1523E-3</v>
      </c>
      <c r="CN16" s="4">
        <v>1.1363E-3</v>
      </c>
      <c r="CO16" s="4">
        <v>1.1205E-3</v>
      </c>
      <c r="CP16" s="4">
        <v>1.1049E-3</v>
      </c>
      <c r="CQ16" s="4">
        <v>1.0895E-3</v>
      </c>
      <c r="CR16" s="4">
        <v>1.0743E-3</v>
      </c>
      <c r="CS16" s="4">
        <v>1.0593E-3</v>
      </c>
      <c r="CT16" s="4">
        <v>1.0445000000000001E-3</v>
      </c>
      <c r="CU16" s="4">
        <v>1.0299E-3</v>
      </c>
      <c r="CV16" s="4">
        <v>1.0154999999999999E-3</v>
      </c>
      <c r="CW16" s="4">
        <v>1.0013000000000001E-3</v>
      </c>
      <c r="CX16" s="4">
        <v>9.8729999999999998E-4</v>
      </c>
      <c r="CY16" s="4">
        <v>9.7349999999999997E-4</v>
      </c>
      <c r="CZ16" s="4">
        <v>9.5989999999999997E-4</v>
      </c>
      <c r="DA16" s="4">
        <v>9.4640000000000002E-4</v>
      </c>
      <c r="DB16" s="4">
        <v>9.3320000000000002E-4</v>
      </c>
      <c r="DC16" s="4">
        <v>9.2009999999999998E-4</v>
      </c>
      <c r="DD16" s="4">
        <v>9.0720000000000004E-4</v>
      </c>
      <c r="DE16" s="4">
        <v>8.9439999999999995E-4</v>
      </c>
      <c r="DF16" s="4">
        <v>8.8190000000000002E-4</v>
      </c>
      <c r="DG16" s="4">
        <v>8.6950000000000005E-4</v>
      </c>
      <c r="DH16" s="4">
        <v>8.5720000000000002E-4</v>
      </c>
      <c r="DI16" s="4">
        <v>8.4520000000000005E-4</v>
      </c>
      <c r="DJ16" s="4">
        <v>8.3330000000000003E-4</v>
      </c>
      <c r="DK16" s="4">
        <v>8.2149999999999996E-4</v>
      </c>
      <c r="DL16" s="4">
        <v>8.0999999999999996E-4</v>
      </c>
      <c r="DM16" s="4">
        <v>7.986E-4</v>
      </c>
      <c r="DN16" s="4">
        <v>7.873E-4</v>
      </c>
      <c r="DO16" s="4">
        <v>7.762E-4</v>
      </c>
      <c r="DP16" s="4">
        <v>7.6519999999999995E-4</v>
      </c>
      <c r="DQ16" s="4">
        <v>5.3153800000000001E-2</v>
      </c>
      <c r="DR16" s="4">
        <v>0</v>
      </c>
      <c r="DS16" s="4">
        <v>5.9500000000000003E-5</v>
      </c>
      <c r="DT16" s="4">
        <v>1.9259999999999999E-4</v>
      </c>
      <c r="DU16" s="4">
        <v>5.4710000000000002E-4</v>
      </c>
      <c r="DV16" s="4">
        <v>6.3349999999999995E-4</v>
      </c>
      <c r="DW16" s="4">
        <v>6.2859999999999999E-4</v>
      </c>
      <c r="DX16" s="4">
        <v>5.4759999999999997E-4</v>
      </c>
      <c r="DY16" s="4">
        <v>4.2059999999999998E-4</v>
      </c>
      <c r="DZ16" s="4">
        <v>4.8050000000000002E-4</v>
      </c>
      <c r="EA16" s="4">
        <v>4.1590000000000003E-4</v>
      </c>
      <c r="EB16" s="4">
        <v>3.6600000000000001E-4</v>
      </c>
      <c r="EC16" s="4">
        <v>3.2309999999999999E-4</v>
      </c>
      <c r="ED16" s="4">
        <v>2.8820000000000001E-4</v>
      </c>
      <c r="EE16" s="4">
        <v>2.5789999999999998E-4</v>
      </c>
      <c r="EF16" s="4">
        <v>2.3240000000000001E-4</v>
      </c>
      <c r="EG16" s="4">
        <v>2.1019999999999999E-4</v>
      </c>
      <c r="EH16" s="4">
        <v>1.9110000000000001E-4</v>
      </c>
      <c r="EI16" s="4">
        <v>1.7440000000000001E-4</v>
      </c>
      <c r="EJ16" s="4">
        <v>1.5970000000000001E-4</v>
      </c>
      <c r="EK16" s="4">
        <v>1.4679999999999999E-4</v>
      </c>
      <c r="EL16" s="4">
        <v>1.3540000000000001E-4</v>
      </c>
      <c r="EM16" s="4">
        <v>1.2530000000000001E-4</v>
      </c>
      <c r="EN16" s="4">
        <v>1.1620000000000001E-4</v>
      </c>
      <c r="EO16" s="4">
        <v>1.082E-4</v>
      </c>
      <c r="EP16" s="4">
        <v>1.01E-4</v>
      </c>
      <c r="EQ16" s="4">
        <v>9.4500000000000007E-5</v>
      </c>
      <c r="ER16" s="4">
        <v>8.8700000000000001E-5</v>
      </c>
      <c r="ES16" s="4">
        <v>8.3499999999999997E-5</v>
      </c>
      <c r="ET16" s="4">
        <v>7.8700000000000002E-5</v>
      </c>
      <c r="EU16" s="4">
        <v>7.4400000000000006E-5</v>
      </c>
      <c r="EV16" s="4">
        <v>7.0500000000000006E-5</v>
      </c>
      <c r="EW16" s="4">
        <v>6.69E-5</v>
      </c>
      <c r="EX16" s="4">
        <v>6.3600000000000001E-5</v>
      </c>
      <c r="EY16" s="4">
        <v>6.0600000000000003E-5</v>
      </c>
      <c r="EZ16" s="4">
        <v>5.7800000000000002E-5</v>
      </c>
      <c r="FA16" s="4">
        <v>5.52E-5</v>
      </c>
      <c r="FB16" s="4">
        <v>5.27E-5</v>
      </c>
      <c r="FC16" s="4">
        <v>5.0500000000000001E-5</v>
      </c>
      <c r="FD16" s="4">
        <v>4.8399999999999997E-5</v>
      </c>
      <c r="FE16" s="4">
        <v>4.6400000000000003E-5</v>
      </c>
      <c r="FF16" s="4">
        <v>4.46E-5</v>
      </c>
      <c r="FG16" s="4">
        <v>4.2899999999999999E-5</v>
      </c>
      <c r="FH16" s="4">
        <v>4.1300000000000001E-5</v>
      </c>
      <c r="FI16" s="4">
        <v>3.9799999999999998E-5</v>
      </c>
      <c r="FJ16" s="4">
        <v>3.8399999999999998E-5</v>
      </c>
      <c r="FK16" s="4">
        <v>3.7100000000000001E-5</v>
      </c>
      <c r="FL16" s="4">
        <v>3.5899999999999998E-5</v>
      </c>
      <c r="FM16" s="4">
        <v>3.4799999999999999E-5</v>
      </c>
      <c r="FN16" s="4">
        <v>3.3699999999999999E-5</v>
      </c>
      <c r="FO16" s="4">
        <v>3.2700000000000002E-5</v>
      </c>
      <c r="FP16" s="4">
        <v>3.18E-5</v>
      </c>
      <c r="FQ16" s="4">
        <v>3.0899999999999999E-5</v>
      </c>
      <c r="FR16" s="4">
        <v>3.01E-5</v>
      </c>
      <c r="FS16" s="4">
        <v>2.9300000000000001E-5</v>
      </c>
      <c r="FT16" s="4">
        <v>2.8600000000000001E-5</v>
      </c>
      <c r="FU16" s="4">
        <v>2.7900000000000001E-5</v>
      </c>
      <c r="FV16" s="4">
        <v>2.73E-5</v>
      </c>
      <c r="FW16" s="4">
        <v>2.6699999999999998E-5</v>
      </c>
      <c r="FX16" s="4">
        <v>2.6100000000000001E-5</v>
      </c>
      <c r="FY16" s="4">
        <v>2.55E-5</v>
      </c>
      <c r="FZ16" s="4">
        <v>2.5000000000000001E-5</v>
      </c>
      <c r="GA16" s="4">
        <v>2.4499999999999999E-5</v>
      </c>
      <c r="GB16" s="4">
        <v>2.41E-5</v>
      </c>
      <c r="GC16" s="4">
        <v>2.3600000000000001E-5</v>
      </c>
      <c r="GD16" s="4">
        <v>2.3200000000000001E-5</v>
      </c>
      <c r="GE16" s="4">
        <v>2.2799999999999999E-5</v>
      </c>
      <c r="GF16" s="4">
        <v>2.2399999999999999E-5</v>
      </c>
      <c r="GG16" s="4">
        <v>2.1999999999999999E-5</v>
      </c>
      <c r="GH16" s="4">
        <v>2.1699999999999999E-5</v>
      </c>
      <c r="GI16" s="4">
        <v>2.1299999999999999E-5</v>
      </c>
      <c r="GJ16" s="4">
        <v>2.0999999999999999E-5</v>
      </c>
      <c r="GK16" s="4">
        <v>2.0699999999999998E-5</v>
      </c>
      <c r="GL16" s="4">
        <v>2.0400000000000001E-5</v>
      </c>
      <c r="GM16" s="4">
        <v>2.0000000000000002E-5</v>
      </c>
      <c r="GN16" s="4">
        <v>1.9700000000000001E-5</v>
      </c>
      <c r="GO16" s="4">
        <v>1.95E-5</v>
      </c>
      <c r="GP16" s="4">
        <v>1.9199999999999999E-5</v>
      </c>
      <c r="GQ16" s="4">
        <v>1.8899999999999999E-5</v>
      </c>
      <c r="GR16" s="4">
        <v>1.8600000000000001E-5</v>
      </c>
      <c r="GS16" s="4">
        <v>1.84E-5</v>
      </c>
      <c r="GT16" s="4">
        <v>1.8099999999999999E-5</v>
      </c>
      <c r="GU16" s="4">
        <v>1.7900000000000001E-5</v>
      </c>
      <c r="GV16" s="4">
        <v>1.7600000000000001E-5</v>
      </c>
      <c r="GW16" s="4">
        <v>1.7399999999999999E-5</v>
      </c>
      <c r="GX16" s="4">
        <v>1.7099999999999999E-5</v>
      </c>
      <c r="GY16" s="4">
        <v>1.6900000000000001E-5</v>
      </c>
      <c r="GZ16" s="4">
        <v>1.6699999999999999E-5</v>
      </c>
      <c r="HA16" s="4">
        <v>1.6500000000000001E-5</v>
      </c>
      <c r="HB16" s="4">
        <v>1.6200000000000001E-5</v>
      </c>
      <c r="HC16" s="4">
        <v>1.5999999999999999E-5</v>
      </c>
      <c r="HD16" s="4">
        <v>1.5800000000000001E-5</v>
      </c>
      <c r="HE16" s="4">
        <v>1.56E-5</v>
      </c>
      <c r="HF16" s="4">
        <v>1.5400000000000002E-5</v>
      </c>
      <c r="HG16" s="4">
        <v>1.52E-5</v>
      </c>
      <c r="HH16" s="4">
        <v>1.5E-5</v>
      </c>
      <c r="HI16" s="4">
        <v>1.4800000000000001E-5</v>
      </c>
      <c r="HJ16" s="4">
        <v>1.4600000000000001E-5</v>
      </c>
      <c r="HK16" s="4">
        <v>1.4399999999999999E-5</v>
      </c>
      <c r="HL16" s="4">
        <v>1.42E-5</v>
      </c>
      <c r="HM16" s="4">
        <v>1.4E-5</v>
      </c>
      <c r="HN16" s="4">
        <v>1.38E-5</v>
      </c>
      <c r="HO16" s="4">
        <v>1.36E-5</v>
      </c>
      <c r="HP16" s="4">
        <v>1.34E-5</v>
      </c>
      <c r="HQ16" s="4">
        <v>1.33E-5</v>
      </c>
      <c r="HR16" s="4">
        <v>1.31E-5</v>
      </c>
      <c r="HS16" s="4">
        <v>1.29E-5</v>
      </c>
      <c r="HT16" s="4">
        <v>1.27E-5</v>
      </c>
      <c r="HU16" s="4">
        <v>1.26E-5</v>
      </c>
      <c r="HV16" s="4">
        <v>1.24E-5</v>
      </c>
      <c r="HW16" s="4">
        <v>1.22E-5</v>
      </c>
      <c r="HX16" s="4">
        <v>1.2E-5</v>
      </c>
      <c r="HY16" s="4">
        <v>1.19E-5</v>
      </c>
      <c r="HZ16" s="4">
        <v>1.17E-5</v>
      </c>
      <c r="IA16" s="4">
        <v>1.1600000000000001E-5</v>
      </c>
      <c r="IB16" s="4">
        <v>1.1399999999999999E-5</v>
      </c>
      <c r="IC16" s="4">
        <v>1.1199999999999999E-5</v>
      </c>
      <c r="ID16" s="4">
        <v>1.11E-5</v>
      </c>
      <c r="IE16" s="4">
        <v>1.0900000000000001E-5</v>
      </c>
      <c r="IF16" s="4">
        <v>1.08E-5</v>
      </c>
      <c r="IG16" s="4">
        <v>7.5310000000000004E-4</v>
      </c>
      <c r="IH16" s="4"/>
      <c r="II16" s="4">
        <f t="shared" si="245"/>
        <v>0.11183449737061663</v>
      </c>
      <c r="IJ16">
        <f t="shared" si="246"/>
        <v>0.34860352499999997</v>
      </c>
      <c r="IN16" s="4"/>
      <c r="IO16" s="4"/>
      <c r="IP16" s="4"/>
      <c r="IQ16" s="4"/>
      <c r="IR16" s="4"/>
      <c r="IS16" s="4"/>
      <c r="IT16" s="4"/>
      <c r="IU16" s="4"/>
      <c r="IV16" s="4"/>
    </row>
    <row r="17" spans="1:256" x14ac:dyDescent="0.35">
      <c r="A17" s="1">
        <v>9</v>
      </c>
      <c r="B17" s="4">
        <v>1.1098800000000001E-2</v>
      </c>
      <c r="C17" s="4">
        <v>1.1097900000000001E-2</v>
      </c>
      <c r="D17" s="4">
        <v>1.1036600000000001E-2</v>
      </c>
      <c r="E17" s="4">
        <v>1.0840300000000001E-2</v>
      </c>
      <c r="F17" s="4">
        <v>1.02819E-2</v>
      </c>
      <c r="G17" s="4">
        <v>9.5499000000000001E-3</v>
      </c>
      <c r="H17" s="4">
        <v>8.4665000000000001E-3</v>
      </c>
      <c r="I17" s="4">
        <v>7.3207999999999997E-3</v>
      </c>
      <c r="J17" s="4">
        <v>5.7850999999999996E-3</v>
      </c>
      <c r="K17" s="4">
        <v>6.2909000000000003E-3</v>
      </c>
      <c r="L17" s="4">
        <v>5.8772E-3</v>
      </c>
      <c r="M17" s="4">
        <v>5.5547000000000001E-3</v>
      </c>
      <c r="N17" s="4">
        <v>5.2713999999999999E-3</v>
      </c>
      <c r="O17" s="4">
        <v>5.0277000000000004E-3</v>
      </c>
      <c r="P17" s="4">
        <v>4.8079000000000004E-3</v>
      </c>
      <c r="Q17" s="4">
        <v>4.6106000000000003E-3</v>
      </c>
      <c r="R17" s="4">
        <v>4.4297E-3</v>
      </c>
      <c r="S17" s="4">
        <v>4.2645000000000001E-3</v>
      </c>
      <c r="T17" s="4">
        <v>4.1126000000000001E-3</v>
      </c>
      <c r="U17" s="4">
        <v>3.9725999999999997E-3</v>
      </c>
      <c r="V17" s="4">
        <v>3.8430000000000001E-3</v>
      </c>
      <c r="W17" s="4">
        <v>3.7228000000000001E-3</v>
      </c>
      <c r="X17" s="4">
        <v>3.6107999999999999E-3</v>
      </c>
      <c r="Y17" s="4">
        <v>3.5063999999999998E-3</v>
      </c>
      <c r="Z17" s="4">
        <v>3.4085999999999999E-3</v>
      </c>
      <c r="AA17" s="4">
        <v>3.3168E-3</v>
      </c>
      <c r="AB17" s="4">
        <v>3.2304999999999999E-3</v>
      </c>
      <c r="AC17" s="4">
        <v>3.1489999999999999E-3</v>
      </c>
      <c r="AD17" s="4">
        <v>3.0718999999999998E-3</v>
      </c>
      <c r="AE17" s="4">
        <v>2.9989000000000001E-3</v>
      </c>
      <c r="AF17" s="4">
        <v>2.9294999999999998E-3</v>
      </c>
      <c r="AG17" s="4">
        <v>2.8635000000000002E-3</v>
      </c>
      <c r="AH17" s="4">
        <v>2.8005999999999999E-3</v>
      </c>
      <c r="AI17" s="4">
        <v>2.7406000000000002E-3</v>
      </c>
      <c r="AJ17" s="4">
        <v>2.6832000000000002E-3</v>
      </c>
      <c r="AK17" s="4">
        <v>2.6283000000000001E-3</v>
      </c>
      <c r="AL17" s="4">
        <v>2.5757000000000002E-3</v>
      </c>
      <c r="AM17" s="4">
        <v>2.5252999999999999E-3</v>
      </c>
      <c r="AN17" s="4">
        <v>2.4769000000000002E-3</v>
      </c>
      <c r="AO17" s="4">
        <v>2.4304000000000001E-3</v>
      </c>
      <c r="AP17" s="4">
        <v>2.3855999999999999E-3</v>
      </c>
      <c r="AQ17" s="4">
        <v>2.3425E-3</v>
      </c>
      <c r="AR17" s="4">
        <v>2.3010000000000001E-3</v>
      </c>
      <c r="AS17" s="4">
        <v>2.2609000000000001E-3</v>
      </c>
      <c r="AT17" s="4">
        <v>2.2222000000000001E-3</v>
      </c>
      <c r="AU17" s="4">
        <v>2.1846999999999999E-3</v>
      </c>
      <c r="AV17" s="4">
        <v>2.1484999999999998E-3</v>
      </c>
      <c r="AW17" s="4">
        <v>2.1132999999999998E-3</v>
      </c>
      <c r="AX17" s="4">
        <v>2.0793000000000001E-3</v>
      </c>
      <c r="AY17" s="4">
        <v>2.0462000000000002E-3</v>
      </c>
      <c r="AZ17" s="4">
        <v>2.0140000000000002E-3</v>
      </c>
      <c r="BA17" s="4">
        <v>1.9827E-3</v>
      </c>
      <c r="BB17" s="4">
        <v>1.9522000000000001E-3</v>
      </c>
      <c r="BC17" s="4">
        <v>1.9224999999999999E-3</v>
      </c>
      <c r="BD17" s="4">
        <v>1.8936000000000001E-3</v>
      </c>
      <c r="BE17" s="4">
        <v>1.8653000000000001E-3</v>
      </c>
      <c r="BF17" s="4">
        <v>1.8376E-3</v>
      </c>
      <c r="BG17" s="4">
        <v>1.8106000000000001E-3</v>
      </c>
      <c r="BH17" s="4">
        <v>1.7841000000000001E-3</v>
      </c>
      <c r="BI17" s="4">
        <v>1.7581999999999999E-3</v>
      </c>
      <c r="BJ17" s="4">
        <v>1.7328000000000001E-3</v>
      </c>
      <c r="BK17" s="4">
        <v>1.7080000000000001E-3</v>
      </c>
      <c r="BL17" s="4">
        <v>1.6835000000000001E-3</v>
      </c>
      <c r="BM17" s="4">
        <v>1.6596E-3</v>
      </c>
      <c r="BN17" s="4">
        <v>1.6360000000000001E-3</v>
      </c>
      <c r="BO17" s="4">
        <v>1.6129E-3</v>
      </c>
      <c r="BP17" s="4">
        <v>1.5901999999999999E-3</v>
      </c>
      <c r="BQ17" s="4">
        <v>1.5678999999999999E-3</v>
      </c>
      <c r="BR17" s="4">
        <v>1.5459E-3</v>
      </c>
      <c r="BS17" s="4">
        <v>1.5242999999999999E-3</v>
      </c>
      <c r="BT17" s="4">
        <v>1.503E-3</v>
      </c>
      <c r="BU17" s="4">
        <v>1.482E-3</v>
      </c>
      <c r="BV17" s="4">
        <v>1.4614000000000001E-3</v>
      </c>
      <c r="BW17" s="4">
        <v>1.4411000000000001E-3</v>
      </c>
      <c r="BX17" s="4">
        <v>1.4211E-3</v>
      </c>
      <c r="BY17" s="4">
        <v>1.4013000000000001E-3</v>
      </c>
      <c r="BZ17" s="4">
        <v>1.3818999999999999E-3</v>
      </c>
      <c r="CA17" s="4">
        <v>1.3626999999999999E-3</v>
      </c>
      <c r="CB17" s="4">
        <v>1.3438E-3</v>
      </c>
      <c r="CC17" s="4">
        <v>1.3251999999999999E-3</v>
      </c>
      <c r="CD17" s="4">
        <v>1.3068000000000001E-3</v>
      </c>
      <c r="CE17" s="4">
        <v>1.2887E-3</v>
      </c>
      <c r="CF17" s="4">
        <v>1.2708000000000001E-3</v>
      </c>
      <c r="CG17" s="4">
        <v>1.2532000000000001E-3</v>
      </c>
      <c r="CH17" s="4">
        <v>1.2358E-3</v>
      </c>
      <c r="CI17" s="4">
        <v>1.2187000000000001E-3</v>
      </c>
      <c r="CJ17" s="4">
        <v>1.2017E-3</v>
      </c>
      <c r="CK17" s="4">
        <v>1.1850000000000001E-3</v>
      </c>
      <c r="CL17" s="4">
        <v>1.1686000000000001E-3</v>
      </c>
      <c r="CM17" s="4">
        <v>1.1523E-3</v>
      </c>
      <c r="CN17" s="4">
        <v>1.1363E-3</v>
      </c>
      <c r="CO17" s="4">
        <v>1.1205E-3</v>
      </c>
      <c r="CP17" s="4">
        <v>1.1049E-3</v>
      </c>
      <c r="CQ17" s="4">
        <v>1.0895E-3</v>
      </c>
      <c r="CR17" s="4">
        <v>1.0743E-3</v>
      </c>
      <c r="CS17" s="4">
        <v>1.0593E-3</v>
      </c>
      <c r="CT17" s="4">
        <v>1.0445000000000001E-3</v>
      </c>
      <c r="CU17" s="4">
        <v>1.0299E-3</v>
      </c>
      <c r="CV17" s="4">
        <v>1.0156E-3</v>
      </c>
      <c r="CW17" s="4">
        <v>1.0013999999999999E-3</v>
      </c>
      <c r="CX17" s="4">
        <v>9.8740000000000004E-4</v>
      </c>
      <c r="CY17" s="4">
        <v>9.7349999999999997E-4</v>
      </c>
      <c r="CZ17" s="4">
        <v>9.5989999999999997E-4</v>
      </c>
      <c r="DA17" s="4">
        <v>9.4640000000000002E-4</v>
      </c>
      <c r="DB17" s="4">
        <v>9.3320000000000002E-4</v>
      </c>
      <c r="DC17" s="4">
        <v>9.2009999999999998E-4</v>
      </c>
      <c r="DD17" s="4">
        <v>9.0720000000000004E-4</v>
      </c>
      <c r="DE17" s="4">
        <v>8.9439999999999995E-4</v>
      </c>
      <c r="DF17" s="4">
        <v>8.8190000000000002E-4</v>
      </c>
      <c r="DG17" s="4">
        <v>8.6950000000000005E-4</v>
      </c>
      <c r="DH17" s="4">
        <v>8.5720000000000002E-4</v>
      </c>
      <c r="DI17" s="4">
        <v>8.4520000000000005E-4</v>
      </c>
      <c r="DJ17" s="4">
        <v>8.3330000000000003E-4</v>
      </c>
      <c r="DK17" s="4">
        <v>8.2160000000000002E-4</v>
      </c>
      <c r="DL17" s="4">
        <v>8.0999999999999996E-4</v>
      </c>
      <c r="DM17" s="4">
        <v>7.986E-4</v>
      </c>
      <c r="DN17" s="4">
        <v>7.873E-4</v>
      </c>
      <c r="DO17" s="4">
        <v>7.762E-4</v>
      </c>
      <c r="DP17" s="4">
        <v>7.6530000000000001E-4</v>
      </c>
      <c r="DQ17" s="4">
        <v>5.31552E-2</v>
      </c>
      <c r="DR17" s="4">
        <v>0</v>
      </c>
      <c r="DS17" s="4">
        <v>5.9500000000000003E-5</v>
      </c>
      <c r="DT17" s="4">
        <v>1.9100000000000001E-4</v>
      </c>
      <c r="DU17" s="4">
        <v>5.4230000000000001E-4</v>
      </c>
      <c r="DV17" s="4">
        <v>6.759E-4</v>
      </c>
      <c r="DW17" s="4">
        <v>6.6040000000000001E-4</v>
      </c>
      <c r="DX17" s="4">
        <v>5.8779999999999998E-4</v>
      </c>
      <c r="DY17" s="4">
        <v>4.9200000000000003E-4</v>
      </c>
      <c r="DZ17" s="4">
        <v>3.7579999999999997E-4</v>
      </c>
      <c r="EA17" s="4">
        <v>4.1899999999999999E-4</v>
      </c>
      <c r="EB17" s="4">
        <v>3.6400000000000001E-4</v>
      </c>
      <c r="EC17" s="4">
        <v>3.2140000000000001E-4</v>
      </c>
      <c r="ED17" s="4">
        <v>2.855E-4</v>
      </c>
      <c r="EE17" s="4">
        <v>2.5609999999999999E-4</v>
      </c>
      <c r="EF17" s="4">
        <v>2.3059999999999999E-4</v>
      </c>
      <c r="EG17" s="4">
        <v>2.0900000000000001E-4</v>
      </c>
      <c r="EH17" s="4">
        <v>1.9000000000000001E-4</v>
      </c>
      <c r="EI17" s="4">
        <v>1.7359999999999999E-4</v>
      </c>
      <c r="EJ17" s="4">
        <v>1.5919999999999999E-4</v>
      </c>
      <c r="EK17" s="4">
        <v>1.4650000000000001E-4</v>
      </c>
      <c r="EL17" s="4">
        <v>1.3520000000000001E-4</v>
      </c>
      <c r="EM17" s="4">
        <v>1.2530000000000001E-4</v>
      </c>
      <c r="EN17" s="4">
        <v>1.164E-4</v>
      </c>
      <c r="EO17" s="4">
        <v>1.0840000000000001E-4</v>
      </c>
      <c r="EP17" s="4">
        <v>1.013E-4</v>
      </c>
      <c r="EQ17" s="4">
        <v>9.4900000000000003E-5</v>
      </c>
      <c r="ER17" s="4">
        <v>8.9099999999999997E-5</v>
      </c>
      <c r="ES17" s="4">
        <v>8.3900000000000006E-5</v>
      </c>
      <c r="ET17" s="4">
        <v>7.9200000000000001E-5</v>
      </c>
      <c r="EU17" s="4">
        <v>7.4999999999999993E-5</v>
      </c>
      <c r="EV17" s="4">
        <v>7.1000000000000005E-5</v>
      </c>
      <c r="EW17" s="4">
        <v>6.7500000000000001E-5</v>
      </c>
      <c r="EX17" s="4">
        <v>6.4200000000000002E-5</v>
      </c>
      <c r="EY17" s="4">
        <v>6.1099999999999994E-5</v>
      </c>
      <c r="EZ17" s="4">
        <v>5.8300000000000001E-5</v>
      </c>
      <c r="FA17" s="4">
        <v>5.5600000000000003E-5</v>
      </c>
      <c r="FB17" s="4">
        <v>5.3199999999999999E-5</v>
      </c>
      <c r="FC17" s="4">
        <v>5.0899999999999997E-5</v>
      </c>
      <c r="FD17" s="4">
        <v>4.88E-5</v>
      </c>
      <c r="FE17" s="4">
        <v>4.6799999999999999E-5</v>
      </c>
      <c r="FF17" s="4">
        <v>4.5000000000000003E-5</v>
      </c>
      <c r="FG17" s="4">
        <v>4.3300000000000002E-5</v>
      </c>
      <c r="FH17" s="4">
        <v>4.1600000000000002E-5</v>
      </c>
      <c r="FI17" s="4">
        <v>4.0099999999999999E-5</v>
      </c>
      <c r="FJ17" s="4">
        <v>3.8699999999999999E-5</v>
      </c>
      <c r="FK17" s="4">
        <v>3.7400000000000001E-5</v>
      </c>
      <c r="FL17" s="4">
        <v>3.6199999999999999E-5</v>
      </c>
      <c r="FM17" s="4">
        <v>3.5099999999999999E-5</v>
      </c>
      <c r="FN17" s="4">
        <v>3.4E-5</v>
      </c>
      <c r="FO17" s="4">
        <v>3.3000000000000003E-5</v>
      </c>
      <c r="FP17" s="4">
        <v>3.1999999999999999E-5</v>
      </c>
      <c r="FQ17" s="4">
        <v>3.1099999999999997E-5</v>
      </c>
      <c r="FR17" s="4">
        <v>3.0300000000000001E-5</v>
      </c>
      <c r="FS17" s="4">
        <v>2.9499999999999999E-5</v>
      </c>
      <c r="FT17" s="4">
        <v>2.8799999999999999E-5</v>
      </c>
      <c r="FU17" s="4">
        <v>2.8099999999999999E-5</v>
      </c>
      <c r="FV17" s="4">
        <v>2.7500000000000001E-5</v>
      </c>
      <c r="FW17" s="4">
        <v>2.6800000000000001E-5</v>
      </c>
      <c r="FX17" s="4">
        <v>2.6299999999999999E-5</v>
      </c>
      <c r="FY17" s="4">
        <v>2.5700000000000001E-5</v>
      </c>
      <c r="FZ17" s="4">
        <v>2.5199999999999999E-5</v>
      </c>
      <c r="GA17" s="4">
        <v>2.4700000000000001E-5</v>
      </c>
      <c r="GB17" s="4">
        <v>2.4199999999999999E-5</v>
      </c>
      <c r="GC17" s="4">
        <v>2.3799999999999999E-5</v>
      </c>
      <c r="GD17" s="4">
        <v>2.3300000000000001E-5</v>
      </c>
      <c r="GE17" s="4">
        <v>2.2900000000000001E-5</v>
      </c>
      <c r="GF17" s="4">
        <v>2.2500000000000001E-5</v>
      </c>
      <c r="GG17" s="4">
        <v>2.2099999999999998E-5</v>
      </c>
      <c r="GH17" s="4">
        <v>2.1800000000000001E-5</v>
      </c>
      <c r="GI17" s="4">
        <v>2.1399999999999998E-5</v>
      </c>
      <c r="GJ17" s="4">
        <v>2.1100000000000001E-5</v>
      </c>
      <c r="GK17" s="4">
        <v>2.0800000000000001E-5</v>
      </c>
      <c r="GL17" s="4">
        <v>2.0400000000000001E-5</v>
      </c>
      <c r="GM17" s="4">
        <v>2.0100000000000001E-5</v>
      </c>
      <c r="GN17" s="4">
        <v>1.98E-5</v>
      </c>
      <c r="GO17" s="4">
        <v>1.95E-5</v>
      </c>
      <c r="GP17" s="4">
        <v>1.9300000000000002E-5</v>
      </c>
      <c r="GQ17" s="4">
        <v>1.9000000000000001E-5</v>
      </c>
      <c r="GR17" s="4">
        <v>1.8700000000000001E-5</v>
      </c>
      <c r="GS17" s="4">
        <v>1.84E-5</v>
      </c>
      <c r="GT17" s="4">
        <v>1.8199999999999999E-5</v>
      </c>
      <c r="GU17" s="4">
        <v>1.7900000000000001E-5</v>
      </c>
      <c r="GV17" s="4">
        <v>1.77E-5</v>
      </c>
      <c r="GW17" s="4">
        <v>1.7399999999999999E-5</v>
      </c>
      <c r="GX17" s="4">
        <v>1.7200000000000001E-5</v>
      </c>
      <c r="GY17" s="4">
        <v>1.7E-5</v>
      </c>
      <c r="GZ17" s="4">
        <v>1.6699999999999999E-5</v>
      </c>
      <c r="HA17" s="4">
        <v>1.6500000000000001E-5</v>
      </c>
      <c r="HB17" s="4">
        <v>1.63E-5</v>
      </c>
      <c r="HC17" s="4">
        <v>1.6099999999999998E-5</v>
      </c>
      <c r="HD17" s="4">
        <v>1.5800000000000001E-5</v>
      </c>
      <c r="HE17" s="4">
        <v>1.56E-5</v>
      </c>
      <c r="HF17" s="4">
        <v>1.5400000000000002E-5</v>
      </c>
      <c r="HG17" s="4">
        <v>1.52E-5</v>
      </c>
      <c r="HH17" s="4">
        <v>1.5E-5</v>
      </c>
      <c r="HI17" s="4">
        <v>1.4800000000000001E-5</v>
      </c>
      <c r="HJ17" s="4">
        <v>1.4600000000000001E-5</v>
      </c>
      <c r="HK17" s="4">
        <v>1.4399999999999999E-5</v>
      </c>
      <c r="HL17" s="4">
        <v>1.42E-5</v>
      </c>
      <c r="HM17" s="4">
        <v>1.4E-5</v>
      </c>
      <c r="HN17" s="4">
        <v>1.38E-5</v>
      </c>
      <c r="HO17" s="4">
        <v>1.36E-5</v>
      </c>
      <c r="HP17" s="4">
        <v>1.3499999999999999E-5</v>
      </c>
      <c r="HQ17" s="4">
        <v>1.33E-5</v>
      </c>
      <c r="HR17" s="4">
        <v>1.31E-5</v>
      </c>
      <c r="HS17" s="4">
        <v>1.29E-5</v>
      </c>
      <c r="HT17" s="4">
        <v>1.27E-5</v>
      </c>
      <c r="HU17" s="4">
        <v>1.26E-5</v>
      </c>
      <c r="HV17" s="4">
        <v>1.24E-5</v>
      </c>
      <c r="HW17" s="4">
        <v>1.22E-5</v>
      </c>
      <c r="HX17" s="4">
        <v>1.2099999999999999E-5</v>
      </c>
      <c r="HY17" s="4">
        <v>1.19E-5</v>
      </c>
      <c r="HZ17" s="4">
        <v>1.17E-5</v>
      </c>
      <c r="IA17" s="4">
        <v>1.1600000000000001E-5</v>
      </c>
      <c r="IB17" s="4">
        <v>1.1399999999999999E-5</v>
      </c>
      <c r="IC17" s="4">
        <v>1.13E-5</v>
      </c>
      <c r="ID17" s="4">
        <v>1.11E-5</v>
      </c>
      <c r="IE17" s="4">
        <v>1.0900000000000001E-5</v>
      </c>
      <c r="IF17" s="4">
        <v>1.08E-5</v>
      </c>
      <c r="IG17" s="4">
        <v>7.5350000000000005E-4</v>
      </c>
      <c r="IH17" s="4"/>
      <c r="II17" s="4">
        <f t="shared" si="245"/>
        <v>0.11296077335797784</v>
      </c>
      <c r="IJ17">
        <f t="shared" si="246"/>
        <v>0.34995953749999931</v>
      </c>
      <c r="IN17" s="4"/>
      <c r="IO17" s="4"/>
      <c r="IP17" s="4"/>
      <c r="IQ17" s="4"/>
      <c r="IR17" s="4"/>
      <c r="IS17" s="4"/>
      <c r="IT17" s="4"/>
      <c r="IU17" s="4"/>
      <c r="IV17" s="4"/>
    </row>
    <row r="18" spans="1:256" x14ac:dyDescent="0.35">
      <c r="A18" s="1">
        <v>10</v>
      </c>
      <c r="B18" s="4">
        <v>1.1099299999999999E-2</v>
      </c>
      <c r="C18" s="4">
        <v>1.1098800000000001E-2</v>
      </c>
      <c r="D18" s="4">
        <v>1.10384E-2</v>
      </c>
      <c r="E18" s="4">
        <v>1.08456E-2</v>
      </c>
      <c r="F18" s="4">
        <v>1.0298E-2</v>
      </c>
      <c r="G18" s="4">
        <v>9.606E-3</v>
      </c>
      <c r="H18" s="4">
        <v>8.8894999999999998E-3</v>
      </c>
      <c r="I18" s="4">
        <v>7.8787000000000006E-3</v>
      </c>
      <c r="J18" s="4">
        <v>6.8288000000000003E-3</v>
      </c>
      <c r="K18" s="4">
        <v>5.4092000000000003E-3</v>
      </c>
      <c r="L18" s="4">
        <v>5.8719000000000002E-3</v>
      </c>
      <c r="M18" s="4">
        <v>5.5132000000000002E-3</v>
      </c>
      <c r="N18" s="4">
        <v>5.2332999999999998E-3</v>
      </c>
      <c r="O18" s="4">
        <v>4.9858000000000003E-3</v>
      </c>
      <c r="P18" s="4">
        <v>4.7716E-3</v>
      </c>
      <c r="Q18" s="4">
        <v>4.5773000000000003E-3</v>
      </c>
      <c r="R18" s="4">
        <v>4.4016000000000003E-3</v>
      </c>
      <c r="S18" s="4">
        <v>4.2396999999999999E-3</v>
      </c>
      <c r="T18" s="4">
        <v>4.0908999999999997E-3</v>
      </c>
      <c r="U18" s="4">
        <v>3.9534000000000001E-3</v>
      </c>
      <c r="V18" s="4">
        <v>3.8260999999999998E-3</v>
      </c>
      <c r="W18" s="4">
        <v>3.7077999999999998E-3</v>
      </c>
      <c r="X18" s="4">
        <v>3.5975E-3</v>
      </c>
      <c r="Y18" s="4">
        <v>3.4945000000000002E-3</v>
      </c>
      <c r="Z18" s="4">
        <v>3.398E-3</v>
      </c>
      <c r="AA18" s="4">
        <v>3.3073E-3</v>
      </c>
      <c r="AB18" s="4">
        <v>3.2219000000000002E-3</v>
      </c>
      <c r="AC18" s="4">
        <v>3.1413000000000001E-3</v>
      </c>
      <c r="AD18" s="4">
        <v>3.0650999999999999E-3</v>
      </c>
      <c r="AE18" s="4">
        <v>2.9927E-3</v>
      </c>
      <c r="AF18" s="4">
        <v>2.9239000000000001E-3</v>
      </c>
      <c r="AG18" s="4">
        <v>2.8584999999999999E-3</v>
      </c>
      <c r="AH18" s="4">
        <v>2.7961000000000001E-3</v>
      </c>
      <c r="AI18" s="4">
        <v>2.7364999999999998E-3</v>
      </c>
      <c r="AJ18" s="4">
        <v>2.6795E-3</v>
      </c>
      <c r="AK18" s="4">
        <v>2.6248999999999999E-3</v>
      </c>
      <c r="AL18" s="4">
        <v>2.5726999999999998E-3</v>
      </c>
      <c r="AM18" s="4">
        <v>2.5225E-3</v>
      </c>
      <c r="AN18" s="4">
        <v>2.4743999999999999E-3</v>
      </c>
      <c r="AO18" s="4">
        <v>2.4280999999999999E-3</v>
      </c>
      <c r="AP18" s="4">
        <v>2.3835000000000002E-3</v>
      </c>
      <c r="AQ18" s="4">
        <v>2.3406E-3</v>
      </c>
      <c r="AR18" s="4">
        <v>2.2993000000000002E-3</v>
      </c>
      <c r="AS18" s="4">
        <v>2.2593000000000001E-3</v>
      </c>
      <c r="AT18" s="4">
        <v>2.2208000000000002E-3</v>
      </c>
      <c r="AU18" s="4">
        <v>2.1833999999999998E-3</v>
      </c>
      <c r="AV18" s="4">
        <v>2.1473E-3</v>
      </c>
      <c r="AW18" s="4">
        <v>2.1123000000000001E-3</v>
      </c>
      <c r="AX18" s="4">
        <v>2.0782999999999999E-3</v>
      </c>
      <c r="AY18" s="4">
        <v>2.0452999999999999E-3</v>
      </c>
      <c r="AZ18" s="4">
        <v>2.0132000000000001E-3</v>
      </c>
      <c r="BA18" s="4">
        <v>1.9819999999999998E-3</v>
      </c>
      <c r="BB18" s="4">
        <v>1.9515999999999999E-3</v>
      </c>
      <c r="BC18" s="4">
        <v>1.9219E-3</v>
      </c>
      <c r="BD18" s="4">
        <v>1.8929999999999999E-3</v>
      </c>
      <c r="BE18" s="4">
        <v>1.8648E-3</v>
      </c>
      <c r="BF18" s="4">
        <v>1.8370999999999999E-3</v>
      </c>
      <c r="BG18" s="4">
        <v>1.8102000000000001E-3</v>
      </c>
      <c r="BH18" s="4">
        <v>1.7837E-3</v>
      </c>
      <c r="BI18" s="4">
        <v>1.7579E-3</v>
      </c>
      <c r="BJ18" s="4">
        <v>1.7325000000000001E-3</v>
      </c>
      <c r="BK18" s="4">
        <v>1.7076999999999999E-3</v>
      </c>
      <c r="BL18" s="4">
        <v>1.6833E-3</v>
      </c>
      <c r="BM18" s="4">
        <v>1.6593000000000001E-3</v>
      </c>
      <c r="BN18" s="4">
        <v>1.6358E-3</v>
      </c>
      <c r="BO18" s="4">
        <v>1.6126999999999999E-3</v>
      </c>
      <c r="BP18" s="4">
        <v>1.5900000000000001E-3</v>
      </c>
      <c r="BQ18" s="4">
        <v>1.5677E-3</v>
      </c>
      <c r="BR18" s="4">
        <v>1.5456999999999999E-3</v>
      </c>
      <c r="BS18" s="4">
        <v>1.5241E-3</v>
      </c>
      <c r="BT18" s="4">
        <v>1.5028000000000001E-3</v>
      </c>
      <c r="BU18" s="4">
        <v>1.4819E-3</v>
      </c>
      <c r="BV18" s="4">
        <v>1.4613E-3</v>
      </c>
      <c r="BW18" s="4">
        <v>1.441E-3</v>
      </c>
      <c r="BX18" s="4">
        <v>1.4208999999999999E-3</v>
      </c>
      <c r="BY18" s="4">
        <v>1.4012E-3</v>
      </c>
      <c r="BZ18" s="4">
        <v>1.3818000000000001E-3</v>
      </c>
      <c r="CA18" s="4">
        <v>1.3626000000000001E-3</v>
      </c>
      <c r="CB18" s="4">
        <v>1.3437E-3</v>
      </c>
      <c r="CC18" s="4">
        <v>1.3251000000000001E-3</v>
      </c>
      <c r="CD18" s="4">
        <v>1.3067E-3</v>
      </c>
      <c r="CE18" s="4">
        <v>1.2886E-3</v>
      </c>
      <c r="CF18" s="4">
        <v>1.2708000000000001E-3</v>
      </c>
      <c r="CG18" s="4">
        <v>1.2531E-3</v>
      </c>
      <c r="CH18" s="4">
        <v>1.2358E-3</v>
      </c>
      <c r="CI18" s="4">
        <v>1.2186E-3</v>
      </c>
      <c r="CJ18" s="4">
        <v>1.2017E-3</v>
      </c>
      <c r="CK18" s="4">
        <v>1.1850000000000001E-3</v>
      </c>
      <c r="CL18" s="4">
        <v>1.1685000000000001E-3</v>
      </c>
      <c r="CM18" s="4">
        <v>1.1523E-3</v>
      </c>
      <c r="CN18" s="4">
        <v>1.1363E-3</v>
      </c>
      <c r="CO18" s="4">
        <v>1.1205E-3</v>
      </c>
      <c r="CP18" s="4">
        <v>1.1049E-3</v>
      </c>
      <c r="CQ18" s="4">
        <v>1.0895E-3</v>
      </c>
      <c r="CR18" s="4">
        <v>1.0743E-3</v>
      </c>
      <c r="CS18" s="4">
        <v>1.0593E-3</v>
      </c>
      <c r="CT18" s="4">
        <v>1.0445000000000001E-3</v>
      </c>
      <c r="CU18" s="4">
        <v>1.0299E-3</v>
      </c>
      <c r="CV18" s="4">
        <v>1.0154999999999999E-3</v>
      </c>
      <c r="CW18" s="4">
        <v>1.0013000000000001E-3</v>
      </c>
      <c r="CX18" s="4">
        <v>9.8729999999999998E-4</v>
      </c>
      <c r="CY18" s="4">
        <v>9.7349999999999997E-4</v>
      </c>
      <c r="CZ18" s="4">
        <v>9.5989999999999997E-4</v>
      </c>
      <c r="DA18" s="4">
        <v>9.4640000000000002E-4</v>
      </c>
      <c r="DB18" s="4">
        <v>9.3320000000000002E-4</v>
      </c>
      <c r="DC18" s="4">
        <v>9.2009999999999998E-4</v>
      </c>
      <c r="DD18" s="4">
        <v>9.0720000000000004E-4</v>
      </c>
      <c r="DE18" s="4">
        <v>8.9439999999999995E-4</v>
      </c>
      <c r="DF18" s="4">
        <v>8.8190000000000002E-4</v>
      </c>
      <c r="DG18" s="4">
        <v>8.6950000000000005E-4</v>
      </c>
      <c r="DH18" s="4">
        <v>8.5720000000000002E-4</v>
      </c>
      <c r="DI18" s="4">
        <v>8.4520000000000005E-4</v>
      </c>
      <c r="DJ18" s="4">
        <v>8.3330000000000003E-4</v>
      </c>
      <c r="DK18" s="4">
        <v>8.2160000000000002E-4</v>
      </c>
      <c r="DL18" s="4">
        <v>8.0999999999999996E-4</v>
      </c>
      <c r="DM18" s="4">
        <v>7.986E-4</v>
      </c>
      <c r="DN18" s="4">
        <v>7.873E-4</v>
      </c>
      <c r="DO18" s="4">
        <v>7.762E-4</v>
      </c>
      <c r="DP18" s="4">
        <v>7.6530000000000001E-4</v>
      </c>
      <c r="DQ18" s="4">
        <v>5.3156099999999998E-2</v>
      </c>
      <c r="DR18" s="4">
        <v>0</v>
      </c>
      <c r="DS18" s="4">
        <v>5.94E-5</v>
      </c>
      <c r="DT18" s="4">
        <v>1.9039999999999999E-4</v>
      </c>
      <c r="DU18" s="4">
        <v>5.4129999999999998E-4</v>
      </c>
      <c r="DV18" s="4">
        <v>6.7420000000000002E-4</v>
      </c>
      <c r="DW18" s="4">
        <v>6.5950000000000004E-4</v>
      </c>
      <c r="DX18" s="4">
        <v>6.2529999999999997E-4</v>
      </c>
      <c r="DY18" s="4">
        <v>5.2800000000000004E-4</v>
      </c>
      <c r="DZ18" s="4">
        <v>4.4200000000000001E-4</v>
      </c>
      <c r="EA18" s="4">
        <v>3.3599999999999998E-4</v>
      </c>
      <c r="EB18" s="4">
        <v>3.6959999999999998E-4</v>
      </c>
      <c r="EC18" s="4">
        <v>3.2269999999999998E-4</v>
      </c>
      <c r="ED18" s="4">
        <v>2.8659999999999997E-4</v>
      </c>
      <c r="EE18" s="4">
        <v>2.5609999999999999E-4</v>
      </c>
      <c r="EF18" s="4">
        <v>2.308E-4</v>
      </c>
      <c r="EG18" s="4">
        <v>2.0890000000000001E-4</v>
      </c>
      <c r="EH18" s="4">
        <v>1.9019999999999999E-4</v>
      </c>
      <c r="EI18" s="4">
        <v>1.7369999999999999E-4</v>
      </c>
      <c r="EJ18" s="4">
        <v>1.593E-4</v>
      </c>
      <c r="EK18" s="4">
        <v>1.4660000000000001E-4</v>
      </c>
      <c r="EL18" s="4">
        <v>1.3530000000000001E-4</v>
      </c>
      <c r="EM18" s="4">
        <v>1.2530000000000001E-4</v>
      </c>
      <c r="EN18" s="4">
        <v>1.164E-4</v>
      </c>
      <c r="EO18" s="4">
        <v>1.0840000000000001E-4</v>
      </c>
      <c r="EP18" s="4">
        <v>1.013E-4</v>
      </c>
      <c r="EQ18" s="4">
        <v>9.4900000000000003E-5</v>
      </c>
      <c r="ER18" s="4">
        <v>8.92E-5</v>
      </c>
      <c r="ES18" s="4">
        <v>8.3999999999999995E-5</v>
      </c>
      <c r="ET18" s="4">
        <v>7.9300000000000003E-5</v>
      </c>
      <c r="EU18" s="4">
        <v>7.4999999999999993E-5</v>
      </c>
      <c r="EV18" s="4">
        <v>7.1099999999999994E-5</v>
      </c>
      <c r="EW18" s="4">
        <v>6.7600000000000003E-5</v>
      </c>
      <c r="EX18" s="4">
        <v>6.4300000000000004E-5</v>
      </c>
      <c r="EY18" s="4">
        <v>6.1199999999999997E-5</v>
      </c>
      <c r="EZ18" s="4">
        <v>5.8400000000000003E-5</v>
      </c>
      <c r="FA18" s="4">
        <v>5.5800000000000001E-5</v>
      </c>
      <c r="FB18" s="4">
        <v>5.3399999999999997E-5</v>
      </c>
      <c r="FC18" s="4">
        <v>5.1100000000000002E-5</v>
      </c>
      <c r="FD18" s="4">
        <v>4.8999999999999998E-5</v>
      </c>
      <c r="FE18" s="4">
        <v>4.6999999999999997E-5</v>
      </c>
      <c r="FF18" s="4">
        <v>4.5099999999999998E-5</v>
      </c>
      <c r="FG18" s="4">
        <v>4.3399999999999998E-5</v>
      </c>
      <c r="FH18" s="4">
        <v>4.18E-5</v>
      </c>
      <c r="FI18" s="4">
        <v>4.0299999999999997E-5</v>
      </c>
      <c r="FJ18" s="4">
        <v>3.8899999999999997E-5</v>
      </c>
      <c r="FK18" s="4">
        <v>3.7599999999999999E-5</v>
      </c>
      <c r="FL18" s="4">
        <v>3.6300000000000001E-5</v>
      </c>
      <c r="FM18" s="4">
        <v>3.5200000000000002E-5</v>
      </c>
      <c r="FN18" s="4">
        <v>3.4100000000000002E-5</v>
      </c>
      <c r="FO18" s="4">
        <v>3.3099999999999998E-5</v>
      </c>
      <c r="FP18" s="4">
        <v>3.2100000000000001E-5</v>
      </c>
      <c r="FQ18" s="4">
        <v>3.1300000000000002E-5</v>
      </c>
      <c r="FR18" s="4">
        <v>3.04E-5</v>
      </c>
      <c r="FS18" s="4">
        <v>2.9600000000000001E-5</v>
      </c>
      <c r="FT18" s="4">
        <v>2.8900000000000001E-5</v>
      </c>
      <c r="FU18" s="4">
        <v>2.8200000000000001E-5</v>
      </c>
      <c r="FV18" s="4">
        <v>2.7500000000000001E-5</v>
      </c>
      <c r="FW18" s="4">
        <v>2.69E-5</v>
      </c>
      <c r="FX18" s="4">
        <v>2.6299999999999999E-5</v>
      </c>
      <c r="FY18" s="4">
        <v>2.58E-5</v>
      </c>
      <c r="FZ18" s="4">
        <v>2.5299999999999998E-5</v>
      </c>
      <c r="GA18" s="4">
        <v>2.48E-5</v>
      </c>
      <c r="GB18" s="4">
        <v>2.4300000000000001E-5</v>
      </c>
      <c r="GC18" s="4">
        <v>2.3799999999999999E-5</v>
      </c>
      <c r="GD18" s="4">
        <v>2.34E-5</v>
      </c>
      <c r="GE18" s="4">
        <v>2.3E-5</v>
      </c>
      <c r="GF18" s="4">
        <v>2.26E-5</v>
      </c>
      <c r="GG18" s="4">
        <v>2.2200000000000001E-5</v>
      </c>
      <c r="GH18" s="4">
        <v>2.1800000000000001E-5</v>
      </c>
      <c r="GI18" s="4">
        <v>2.1500000000000001E-5</v>
      </c>
      <c r="GJ18" s="4">
        <v>2.1100000000000001E-5</v>
      </c>
      <c r="GK18" s="4">
        <v>2.0800000000000001E-5</v>
      </c>
      <c r="GL18" s="4">
        <v>2.05E-5</v>
      </c>
      <c r="GM18" s="4">
        <v>2.02E-5</v>
      </c>
      <c r="GN18" s="4">
        <v>1.98E-5</v>
      </c>
      <c r="GO18" s="4">
        <v>1.9599999999999999E-5</v>
      </c>
      <c r="GP18" s="4">
        <v>1.9300000000000002E-5</v>
      </c>
      <c r="GQ18" s="4">
        <v>1.9000000000000001E-5</v>
      </c>
      <c r="GR18" s="4">
        <v>1.8700000000000001E-5</v>
      </c>
      <c r="GS18" s="4">
        <v>1.8499999999999999E-5</v>
      </c>
      <c r="GT18" s="4">
        <v>1.8199999999999999E-5</v>
      </c>
      <c r="GU18" s="4">
        <v>1.7900000000000001E-5</v>
      </c>
      <c r="GV18" s="4">
        <v>1.77E-5</v>
      </c>
      <c r="GW18" s="4">
        <v>1.7399999999999999E-5</v>
      </c>
      <c r="GX18" s="4">
        <v>1.7200000000000001E-5</v>
      </c>
      <c r="GY18" s="4">
        <v>1.7E-5</v>
      </c>
      <c r="GZ18" s="4">
        <v>1.6699999999999999E-5</v>
      </c>
      <c r="HA18" s="4">
        <v>1.6500000000000001E-5</v>
      </c>
      <c r="HB18" s="4">
        <v>1.63E-5</v>
      </c>
      <c r="HC18" s="4">
        <v>1.6099999999999998E-5</v>
      </c>
      <c r="HD18" s="4">
        <v>1.5800000000000001E-5</v>
      </c>
      <c r="HE18" s="4">
        <v>1.56E-5</v>
      </c>
      <c r="HF18" s="4">
        <v>1.5400000000000002E-5</v>
      </c>
      <c r="HG18" s="4">
        <v>1.52E-5</v>
      </c>
      <c r="HH18" s="4">
        <v>1.5E-5</v>
      </c>
      <c r="HI18" s="4">
        <v>1.4800000000000001E-5</v>
      </c>
      <c r="HJ18" s="4">
        <v>1.4600000000000001E-5</v>
      </c>
      <c r="HK18" s="4">
        <v>1.4399999999999999E-5</v>
      </c>
      <c r="HL18" s="4">
        <v>1.42E-5</v>
      </c>
      <c r="HM18" s="4">
        <v>1.4E-5</v>
      </c>
      <c r="HN18" s="4">
        <v>1.38E-5</v>
      </c>
      <c r="HO18" s="4">
        <v>1.36E-5</v>
      </c>
      <c r="HP18" s="4">
        <v>1.3499999999999999E-5</v>
      </c>
      <c r="HQ18" s="4">
        <v>1.33E-5</v>
      </c>
      <c r="HR18" s="4">
        <v>1.31E-5</v>
      </c>
      <c r="HS18" s="4">
        <v>1.29E-5</v>
      </c>
      <c r="HT18" s="4">
        <v>1.27E-5</v>
      </c>
      <c r="HU18" s="4">
        <v>1.26E-5</v>
      </c>
      <c r="HV18" s="4">
        <v>1.24E-5</v>
      </c>
      <c r="HW18" s="4">
        <v>1.22E-5</v>
      </c>
      <c r="HX18" s="4">
        <v>1.2099999999999999E-5</v>
      </c>
      <c r="HY18" s="4">
        <v>1.19E-5</v>
      </c>
      <c r="HZ18" s="4">
        <v>1.17E-5</v>
      </c>
      <c r="IA18" s="4">
        <v>1.1600000000000001E-5</v>
      </c>
      <c r="IB18" s="4">
        <v>1.1399999999999999E-5</v>
      </c>
      <c r="IC18" s="4">
        <v>1.13E-5</v>
      </c>
      <c r="ID18" s="4">
        <v>1.11E-5</v>
      </c>
      <c r="IE18" s="4">
        <v>1.0900000000000001E-5</v>
      </c>
      <c r="IF18" s="4">
        <v>1.08E-5</v>
      </c>
      <c r="IG18" s="4">
        <v>7.538E-4</v>
      </c>
      <c r="IH18" s="4"/>
      <c r="II18" s="4">
        <f t="shared" si="245"/>
        <v>0.11321161616280334</v>
      </c>
      <c r="IJ18">
        <f t="shared" si="246"/>
        <v>0.35125282499999921</v>
      </c>
      <c r="IN18" s="4"/>
      <c r="IO18" s="4"/>
      <c r="IP18" s="4"/>
      <c r="IQ18" s="4"/>
      <c r="IR18" s="4"/>
      <c r="IS18" s="4"/>
      <c r="IT18" s="4"/>
      <c r="IU18" s="4"/>
      <c r="IV18" s="4"/>
    </row>
    <row r="19" spans="1:256" x14ac:dyDescent="0.35">
      <c r="A19" s="1">
        <v>11</v>
      </c>
      <c r="B19" s="4">
        <v>1.10995E-2</v>
      </c>
      <c r="C19" s="4">
        <v>1.1099299999999999E-2</v>
      </c>
      <c r="D19" s="4">
        <v>1.10394E-2</v>
      </c>
      <c r="E19" s="4">
        <v>1.0848E-2</v>
      </c>
      <c r="F19" s="4">
        <v>1.0304300000000001E-2</v>
      </c>
      <c r="G19" s="4">
        <v>9.6237000000000007E-3</v>
      </c>
      <c r="H19" s="4">
        <v>8.9464999999999996E-3</v>
      </c>
      <c r="I19" s="4">
        <v>8.2641999999999993E-3</v>
      </c>
      <c r="J19" s="4">
        <v>7.3506999999999999E-3</v>
      </c>
      <c r="K19" s="4">
        <v>6.3867999999999998E-3</v>
      </c>
      <c r="L19" s="4">
        <v>5.0731999999999999E-3</v>
      </c>
      <c r="M19" s="4">
        <v>5.5022999999999999E-3</v>
      </c>
      <c r="N19" s="4">
        <v>5.1906000000000001E-3</v>
      </c>
      <c r="O19" s="4">
        <v>4.9467000000000001E-3</v>
      </c>
      <c r="P19" s="4">
        <v>4.7298000000000001E-3</v>
      </c>
      <c r="Q19" s="4">
        <v>4.5408000000000002E-3</v>
      </c>
      <c r="R19" s="4">
        <v>4.3683000000000003E-3</v>
      </c>
      <c r="S19" s="4">
        <v>4.2113999999999997E-3</v>
      </c>
      <c r="T19" s="4">
        <v>4.0660000000000002E-3</v>
      </c>
      <c r="U19" s="4">
        <v>3.9316999999999998E-3</v>
      </c>
      <c r="V19" s="4">
        <v>3.8069000000000002E-3</v>
      </c>
      <c r="W19" s="4">
        <v>3.6908000000000002E-3</v>
      </c>
      <c r="X19" s="4">
        <v>3.5825000000000002E-3</v>
      </c>
      <c r="Y19" s="4">
        <v>3.4811E-3</v>
      </c>
      <c r="Z19" s="4">
        <v>3.3861E-3</v>
      </c>
      <c r="AA19" s="4">
        <v>3.2967000000000001E-3</v>
      </c>
      <c r="AB19" s="4">
        <v>3.2123999999999998E-3</v>
      </c>
      <c r="AC19" s="4">
        <v>3.1327999999999998E-3</v>
      </c>
      <c r="AD19" s="4">
        <v>3.0574E-3</v>
      </c>
      <c r="AE19" s="4">
        <v>2.9857999999999998E-3</v>
      </c>
      <c r="AF19" s="4">
        <v>2.9177000000000001E-3</v>
      </c>
      <c r="AG19" s="4">
        <v>2.8528E-3</v>
      </c>
      <c r="AH19" s="4">
        <v>2.7908999999999998E-3</v>
      </c>
      <c r="AI19" s="4">
        <v>2.7317999999999999E-3</v>
      </c>
      <c r="AJ19" s="4">
        <v>2.6752E-3</v>
      </c>
      <c r="AK19" s="4">
        <v>2.6210999999999999E-3</v>
      </c>
      <c r="AL19" s="4">
        <v>2.5690999999999999E-3</v>
      </c>
      <c r="AM19" s="4">
        <v>2.5192999999999999E-3</v>
      </c>
      <c r="AN19" s="4">
        <v>2.4713999999999999E-3</v>
      </c>
      <c r="AO19" s="4">
        <v>2.4253999999999999E-3</v>
      </c>
      <c r="AP19" s="4">
        <v>2.3811000000000001E-3</v>
      </c>
      <c r="AQ19" s="4">
        <v>2.3384E-3</v>
      </c>
      <c r="AR19" s="4">
        <v>2.2972000000000001E-3</v>
      </c>
      <c r="AS19" s="4">
        <v>2.2575E-3</v>
      </c>
      <c r="AT19" s="4">
        <v>2.2190000000000001E-3</v>
      </c>
      <c r="AU19" s="4">
        <v>2.1819000000000001E-3</v>
      </c>
      <c r="AV19" s="4">
        <v>2.1459000000000001E-3</v>
      </c>
      <c r="AW19" s="4">
        <v>2.111E-3</v>
      </c>
      <c r="AX19" s="4">
        <v>2.0771000000000001E-3</v>
      </c>
      <c r="AY19" s="4">
        <v>2.0441999999999999E-3</v>
      </c>
      <c r="AZ19" s="4">
        <v>2.0122E-3</v>
      </c>
      <c r="BA19" s="4">
        <v>1.9811E-3</v>
      </c>
      <c r="BB19" s="4">
        <v>1.9507000000000001E-3</v>
      </c>
      <c r="BC19" s="4">
        <v>1.9211E-3</v>
      </c>
      <c r="BD19" s="4">
        <v>1.8923E-3</v>
      </c>
      <c r="BE19" s="4">
        <v>1.8641E-3</v>
      </c>
      <c r="BF19" s="4">
        <v>1.8365E-3</v>
      </c>
      <c r="BG19" s="4">
        <v>1.8096E-3</v>
      </c>
      <c r="BH19" s="4">
        <v>1.7832E-3</v>
      </c>
      <c r="BI19" s="4">
        <v>1.7574000000000001E-3</v>
      </c>
      <c r="BJ19" s="4">
        <v>1.7321000000000001E-3</v>
      </c>
      <c r="BK19" s="4">
        <v>1.7072999999999999E-3</v>
      </c>
      <c r="BL19" s="4">
        <v>1.6829E-3</v>
      </c>
      <c r="BM19" s="4">
        <v>1.6590000000000001E-3</v>
      </c>
      <c r="BN19" s="4">
        <v>1.6355E-3</v>
      </c>
      <c r="BO19" s="4">
        <v>1.6123999999999999E-3</v>
      </c>
      <c r="BP19" s="4">
        <v>1.5897000000000001E-3</v>
      </c>
      <c r="BQ19" s="4">
        <v>1.5674E-3</v>
      </c>
      <c r="BR19" s="4">
        <v>1.5455E-3</v>
      </c>
      <c r="BS19" s="4">
        <v>1.5238999999999999E-3</v>
      </c>
      <c r="BT19" s="4">
        <v>1.5027E-3</v>
      </c>
      <c r="BU19" s="4">
        <v>1.4817000000000001E-3</v>
      </c>
      <c r="BV19" s="4">
        <v>1.4610999999999999E-3</v>
      </c>
      <c r="BW19" s="4">
        <v>1.4407999999999999E-3</v>
      </c>
      <c r="BX19" s="4">
        <v>1.4208000000000001E-3</v>
      </c>
      <c r="BY19" s="4">
        <v>1.4011E-3</v>
      </c>
      <c r="BZ19" s="4">
        <v>1.3817E-3</v>
      </c>
      <c r="CA19" s="4">
        <v>1.3625E-3</v>
      </c>
      <c r="CB19" s="4">
        <v>1.3435999999999999E-3</v>
      </c>
      <c r="CC19" s="4">
        <v>1.325E-3</v>
      </c>
      <c r="CD19" s="4">
        <v>1.3067E-3</v>
      </c>
      <c r="CE19" s="4">
        <v>1.2886E-3</v>
      </c>
      <c r="CF19" s="4">
        <v>1.2707E-3</v>
      </c>
      <c r="CG19" s="4">
        <v>1.2531E-3</v>
      </c>
      <c r="CH19" s="4">
        <v>1.2356999999999999E-3</v>
      </c>
      <c r="CI19" s="4">
        <v>1.2186E-3</v>
      </c>
      <c r="CJ19" s="4">
        <v>1.2015999999999999E-3</v>
      </c>
      <c r="CK19" s="4">
        <v>1.1850000000000001E-3</v>
      </c>
      <c r="CL19" s="4">
        <v>1.1685000000000001E-3</v>
      </c>
      <c r="CM19" s="4">
        <v>1.1523E-3</v>
      </c>
      <c r="CN19" s="4">
        <v>1.1362E-3</v>
      </c>
      <c r="CO19" s="4">
        <v>1.1203999999999999E-3</v>
      </c>
      <c r="CP19" s="4">
        <v>1.1048E-3</v>
      </c>
      <c r="CQ19" s="4">
        <v>1.0893999999999999E-3</v>
      </c>
      <c r="CR19" s="4">
        <v>1.0743E-3</v>
      </c>
      <c r="CS19" s="4">
        <v>1.0593E-3</v>
      </c>
      <c r="CT19" s="4">
        <v>1.0445000000000001E-3</v>
      </c>
      <c r="CU19" s="4">
        <v>1.0299E-3</v>
      </c>
      <c r="CV19" s="4">
        <v>1.0154999999999999E-3</v>
      </c>
      <c r="CW19" s="4">
        <v>1.0013000000000001E-3</v>
      </c>
      <c r="CX19" s="4">
        <v>9.8729999999999998E-4</v>
      </c>
      <c r="CY19" s="4">
        <v>9.7349999999999997E-4</v>
      </c>
      <c r="CZ19" s="4">
        <v>9.5989999999999997E-4</v>
      </c>
      <c r="DA19" s="4">
        <v>9.4640000000000002E-4</v>
      </c>
      <c r="DB19" s="4">
        <v>9.3320000000000002E-4</v>
      </c>
      <c r="DC19" s="4">
        <v>9.2009999999999998E-4</v>
      </c>
      <c r="DD19" s="4">
        <v>9.0720000000000004E-4</v>
      </c>
      <c r="DE19" s="4">
        <v>8.9439999999999995E-4</v>
      </c>
      <c r="DF19" s="4">
        <v>8.8190000000000002E-4</v>
      </c>
      <c r="DG19" s="4">
        <v>8.6950000000000005E-4</v>
      </c>
      <c r="DH19" s="4">
        <v>8.5720000000000002E-4</v>
      </c>
      <c r="DI19" s="4">
        <v>8.4520000000000005E-4</v>
      </c>
      <c r="DJ19" s="4">
        <v>8.3330000000000003E-4</v>
      </c>
      <c r="DK19" s="4">
        <v>8.2160000000000002E-4</v>
      </c>
      <c r="DL19" s="4">
        <v>8.0999999999999996E-4</v>
      </c>
      <c r="DM19" s="4">
        <v>7.986E-4</v>
      </c>
      <c r="DN19" s="4">
        <v>7.873E-4</v>
      </c>
      <c r="DO19" s="4">
        <v>7.762E-4</v>
      </c>
      <c r="DP19" s="4">
        <v>7.6530000000000001E-4</v>
      </c>
      <c r="DQ19" s="4">
        <v>5.3156799999999997E-2</v>
      </c>
      <c r="DR19" s="4">
        <v>0</v>
      </c>
      <c r="DS19" s="4">
        <v>5.94E-5</v>
      </c>
      <c r="DT19" s="4">
        <v>1.9029999999999999E-4</v>
      </c>
      <c r="DU19" s="4">
        <v>5.4080000000000003E-4</v>
      </c>
      <c r="DV19" s="4">
        <v>6.7290000000000004E-4</v>
      </c>
      <c r="DW19" s="4">
        <v>6.5269999999999998E-4</v>
      </c>
      <c r="DX19" s="4">
        <v>6.2549999999999997E-4</v>
      </c>
      <c r="DY19" s="4">
        <v>5.5389999999999997E-4</v>
      </c>
      <c r="DZ19" s="4">
        <v>4.7160000000000002E-4</v>
      </c>
      <c r="EA19" s="4">
        <v>3.903E-4</v>
      </c>
      <c r="EB19" s="4">
        <v>2.966E-4</v>
      </c>
      <c r="EC19" s="4">
        <v>3.234E-4</v>
      </c>
      <c r="ED19" s="4">
        <v>2.8430000000000003E-4</v>
      </c>
      <c r="EE19" s="4">
        <v>2.542E-4</v>
      </c>
      <c r="EF19" s="4">
        <v>2.286E-4</v>
      </c>
      <c r="EG19" s="4">
        <v>2.074E-4</v>
      </c>
      <c r="EH19" s="4">
        <v>1.8890000000000001E-4</v>
      </c>
      <c r="EI19" s="4">
        <v>1.73E-4</v>
      </c>
      <c r="EJ19" s="4">
        <v>1.5890000000000001E-4</v>
      </c>
      <c r="EK19" s="4">
        <v>1.4660000000000001E-4</v>
      </c>
      <c r="EL19" s="4">
        <v>1.3559999999999999E-4</v>
      </c>
      <c r="EM19" s="4">
        <v>1.259E-4</v>
      </c>
      <c r="EN19" s="4">
        <v>1.171E-4</v>
      </c>
      <c r="EO19" s="4">
        <v>1.093E-4</v>
      </c>
      <c r="EP19" s="4">
        <v>1.022E-4</v>
      </c>
      <c r="EQ19" s="4">
        <v>9.59E-5</v>
      </c>
      <c r="ER19" s="4">
        <v>9.0199999999999997E-5</v>
      </c>
      <c r="ES19" s="4">
        <v>8.5000000000000006E-5</v>
      </c>
      <c r="ET19" s="4">
        <v>8.03E-5</v>
      </c>
      <c r="EU19" s="4">
        <v>7.6000000000000004E-5</v>
      </c>
      <c r="EV19" s="4">
        <v>7.2100000000000004E-5</v>
      </c>
      <c r="EW19" s="4">
        <v>6.8499999999999998E-5</v>
      </c>
      <c r="EX19" s="4">
        <v>6.5199999999999999E-5</v>
      </c>
      <c r="EY19" s="4">
        <v>6.2100000000000005E-5</v>
      </c>
      <c r="EZ19" s="4">
        <v>5.9200000000000002E-5</v>
      </c>
      <c r="FA19" s="4">
        <v>5.66E-5</v>
      </c>
      <c r="FB19" s="4">
        <v>5.41E-5</v>
      </c>
      <c r="FC19" s="4">
        <v>5.1799999999999999E-5</v>
      </c>
      <c r="FD19" s="4">
        <v>4.9700000000000002E-5</v>
      </c>
      <c r="FE19" s="4">
        <v>4.7700000000000001E-5</v>
      </c>
      <c r="FF19" s="4">
        <v>4.5800000000000002E-5</v>
      </c>
      <c r="FG19" s="4">
        <v>4.3999999999999999E-5</v>
      </c>
      <c r="FH19" s="4">
        <v>4.2400000000000001E-5</v>
      </c>
      <c r="FI19" s="4">
        <v>4.0899999999999998E-5</v>
      </c>
      <c r="FJ19" s="4">
        <v>3.9400000000000002E-5</v>
      </c>
      <c r="FK19" s="4">
        <v>3.8099999999999998E-5</v>
      </c>
      <c r="FL19" s="4">
        <v>3.68E-5</v>
      </c>
      <c r="FM19" s="4">
        <v>3.57E-5</v>
      </c>
      <c r="FN19" s="4">
        <v>3.4600000000000001E-5</v>
      </c>
      <c r="FO19" s="4">
        <v>3.3500000000000001E-5</v>
      </c>
      <c r="FP19" s="4">
        <v>3.26E-5</v>
      </c>
      <c r="FQ19" s="4">
        <v>3.1699999999999998E-5</v>
      </c>
      <c r="FR19" s="4">
        <v>3.0800000000000003E-5</v>
      </c>
      <c r="FS19" s="4">
        <v>3.0000000000000001E-5</v>
      </c>
      <c r="FT19" s="4">
        <v>2.9200000000000002E-5</v>
      </c>
      <c r="FU19" s="4">
        <v>2.8500000000000002E-5</v>
      </c>
      <c r="FV19" s="4">
        <v>2.7900000000000001E-5</v>
      </c>
      <c r="FW19" s="4">
        <v>2.72E-5</v>
      </c>
      <c r="FX19" s="4">
        <v>2.6599999999999999E-5</v>
      </c>
      <c r="FY19" s="4">
        <v>2.6100000000000001E-5</v>
      </c>
      <c r="FZ19" s="4">
        <v>2.55E-5</v>
      </c>
      <c r="GA19" s="4">
        <v>2.5000000000000001E-5</v>
      </c>
      <c r="GB19" s="4">
        <v>2.4499999999999999E-5</v>
      </c>
      <c r="GC19" s="4">
        <v>2.41E-5</v>
      </c>
      <c r="GD19" s="4">
        <v>2.3600000000000001E-5</v>
      </c>
      <c r="GE19" s="4">
        <v>2.3200000000000001E-5</v>
      </c>
      <c r="GF19" s="4">
        <v>2.2799999999999999E-5</v>
      </c>
      <c r="GG19" s="4">
        <v>2.2399999999999999E-5</v>
      </c>
      <c r="GH19" s="4">
        <v>2.1999999999999999E-5</v>
      </c>
      <c r="GI19" s="4">
        <v>2.16E-5</v>
      </c>
      <c r="GJ19" s="4">
        <v>2.1299999999999999E-5</v>
      </c>
      <c r="GK19" s="4">
        <v>2.09E-5</v>
      </c>
      <c r="GL19" s="4">
        <v>2.0599999999999999E-5</v>
      </c>
      <c r="GM19" s="4">
        <v>2.0299999999999999E-5</v>
      </c>
      <c r="GN19" s="4">
        <v>2.0000000000000002E-5</v>
      </c>
      <c r="GO19" s="4">
        <v>1.9700000000000001E-5</v>
      </c>
      <c r="GP19" s="4">
        <v>1.9400000000000001E-5</v>
      </c>
      <c r="GQ19" s="4">
        <v>1.91E-5</v>
      </c>
      <c r="GR19" s="4">
        <v>1.88E-5</v>
      </c>
      <c r="GS19" s="4">
        <v>1.8600000000000001E-5</v>
      </c>
      <c r="GT19" s="4">
        <v>1.8300000000000001E-5</v>
      </c>
      <c r="GU19" s="4">
        <v>1.8E-5</v>
      </c>
      <c r="GV19" s="4">
        <v>1.7799999999999999E-5</v>
      </c>
      <c r="GW19" s="4">
        <v>1.7499999999999998E-5</v>
      </c>
      <c r="GX19" s="4">
        <v>1.73E-5</v>
      </c>
      <c r="GY19" s="4">
        <v>1.7E-5</v>
      </c>
      <c r="GZ19" s="4">
        <v>1.6799999999999998E-5</v>
      </c>
      <c r="HA19" s="4">
        <v>1.66E-5</v>
      </c>
      <c r="HB19" s="4">
        <v>1.63E-5</v>
      </c>
      <c r="HC19" s="4">
        <v>1.6099999999999998E-5</v>
      </c>
      <c r="HD19" s="4">
        <v>1.59E-5</v>
      </c>
      <c r="HE19" s="4">
        <v>1.5699999999999999E-5</v>
      </c>
      <c r="HF19" s="4">
        <v>1.5500000000000001E-5</v>
      </c>
      <c r="HG19" s="4">
        <v>1.5299999999999999E-5</v>
      </c>
      <c r="HH19" s="4">
        <v>1.5099999999999999E-5</v>
      </c>
      <c r="HI19" s="4">
        <v>1.4800000000000001E-5</v>
      </c>
      <c r="HJ19" s="4">
        <v>1.4600000000000001E-5</v>
      </c>
      <c r="HK19" s="4">
        <v>1.4399999999999999E-5</v>
      </c>
      <c r="HL19" s="4">
        <v>1.42E-5</v>
      </c>
      <c r="HM19" s="4">
        <v>1.4100000000000001E-5</v>
      </c>
      <c r="HN19" s="4">
        <v>1.3900000000000001E-5</v>
      </c>
      <c r="HO19" s="4">
        <v>1.3699999999999999E-5</v>
      </c>
      <c r="HP19" s="4">
        <v>1.3499999999999999E-5</v>
      </c>
      <c r="HQ19" s="4">
        <v>1.33E-5</v>
      </c>
      <c r="HR19" s="4">
        <v>1.31E-5</v>
      </c>
      <c r="HS19" s="4">
        <v>1.29E-5</v>
      </c>
      <c r="HT19" s="4">
        <v>1.2799999999999999E-5</v>
      </c>
      <c r="HU19" s="4">
        <v>1.26E-5</v>
      </c>
      <c r="HV19" s="4">
        <v>1.24E-5</v>
      </c>
      <c r="HW19" s="4">
        <v>1.22E-5</v>
      </c>
      <c r="HX19" s="4">
        <v>1.2099999999999999E-5</v>
      </c>
      <c r="HY19" s="4">
        <v>1.19E-5</v>
      </c>
      <c r="HZ19" s="4">
        <v>1.17E-5</v>
      </c>
      <c r="IA19" s="4">
        <v>1.1600000000000001E-5</v>
      </c>
      <c r="IB19" s="4">
        <v>1.1399999999999999E-5</v>
      </c>
      <c r="IC19" s="4">
        <v>1.13E-5</v>
      </c>
      <c r="ID19" s="4">
        <v>1.11E-5</v>
      </c>
      <c r="IE19" s="4">
        <v>1.1E-5</v>
      </c>
      <c r="IF19" s="4">
        <v>1.08E-5</v>
      </c>
      <c r="IG19" s="4">
        <v>7.5409999999999995E-4</v>
      </c>
      <c r="IH19" s="4"/>
      <c r="II19" s="4">
        <f t="shared" si="245"/>
        <v>0.11445493794450913</v>
      </c>
      <c r="IJ19">
        <f t="shared" si="246"/>
        <v>0.3523570124999994</v>
      </c>
      <c r="IN19" s="4"/>
      <c r="IO19" s="4"/>
      <c r="IP19" s="4"/>
      <c r="IQ19" s="4"/>
      <c r="IR19" s="4"/>
      <c r="IS19" s="4"/>
      <c r="IT19" s="4"/>
      <c r="IU19" s="4"/>
      <c r="IV19" s="4"/>
    </row>
    <row r="20" spans="1:256" x14ac:dyDescent="0.35">
      <c r="A20" s="1">
        <v>12</v>
      </c>
      <c r="B20" s="4">
        <v>1.1099599999999999E-2</v>
      </c>
      <c r="C20" s="4">
        <v>1.10995E-2</v>
      </c>
      <c r="D20" s="4">
        <v>1.1039800000000001E-2</v>
      </c>
      <c r="E20" s="4">
        <v>1.0848999999999999E-2</v>
      </c>
      <c r="F20" s="4">
        <v>1.0307200000000001E-2</v>
      </c>
      <c r="G20" s="4">
        <v>9.6314E-3</v>
      </c>
      <c r="H20" s="4">
        <v>8.9709999999999998E-3</v>
      </c>
      <c r="I20" s="4">
        <v>8.3210000000000003E-3</v>
      </c>
      <c r="J20" s="4">
        <v>7.7102999999999998E-3</v>
      </c>
      <c r="K20" s="4">
        <v>6.8791E-3</v>
      </c>
      <c r="L20" s="4">
        <v>5.9966000000000004E-3</v>
      </c>
      <c r="M20" s="4">
        <v>4.7767E-3</v>
      </c>
      <c r="N20" s="4">
        <v>5.1789000000000002E-3</v>
      </c>
      <c r="O20" s="4">
        <v>4.9062999999999997E-3</v>
      </c>
      <c r="P20" s="4">
        <v>4.6924999999999996E-3</v>
      </c>
      <c r="Q20" s="4">
        <v>4.5011000000000001E-3</v>
      </c>
      <c r="R20" s="4">
        <v>4.3334000000000003E-3</v>
      </c>
      <c r="S20" s="4">
        <v>4.1793999999999998E-3</v>
      </c>
      <c r="T20" s="4">
        <v>4.0384000000000001E-3</v>
      </c>
      <c r="U20" s="4">
        <v>3.9069999999999999E-3</v>
      </c>
      <c r="V20" s="4">
        <v>3.7851E-3</v>
      </c>
      <c r="W20" s="4">
        <v>3.6713000000000002E-3</v>
      </c>
      <c r="X20" s="4">
        <v>3.5649000000000002E-3</v>
      </c>
      <c r="Y20" s="4">
        <v>3.4654E-3</v>
      </c>
      <c r="Z20" s="4">
        <v>3.3719000000000002E-3</v>
      </c>
      <c r="AA20" s="4">
        <v>3.2837999999999999E-3</v>
      </c>
      <c r="AB20" s="4">
        <v>3.2008000000000002E-3</v>
      </c>
      <c r="AC20" s="4">
        <v>3.1223000000000002E-3</v>
      </c>
      <c r="AD20" s="4">
        <v>3.0477999999999998E-3</v>
      </c>
      <c r="AE20" s="4">
        <v>2.9770999999999999E-3</v>
      </c>
      <c r="AF20" s="4">
        <v>2.9098000000000001E-3</v>
      </c>
      <c r="AG20" s="4">
        <v>2.8456000000000002E-3</v>
      </c>
      <c r="AH20" s="4">
        <v>2.7843E-3</v>
      </c>
      <c r="AI20" s="4">
        <v>2.7258E-3</v>
      </c>
      <c r="AJ20" s="4">
        <v>2.6697000000000001E-3</v>
      </c>
      <c r="AK20" s="4">
        <v>2.6159999999999998E-3</v>
      </c>
      <c r="AL20" s="4">
        <v>2.5644999999999999E-3</v>
      </c>
      <c r="AM20" s="4">
        <v>2.5149999999999999E-3</v>
      </c>
      <c r="AN20" s="4">
        <v>2.4675000000000001E-3</v>
      </c>
      <c r="AO20" s="4">
        <v>2.4218E-3</v>
      </c>
      <c r="AP20" s="4">
        <v>2.3777E-3</v>
      </c>
      <c r="AQ20" s="4">
        <v>2.3352999999999998E-3</v>
      </c>
      <c r="AR20" s="4">
        <v>2.2943999999999998E-3</v>
      </c>
      <c r="AS20" s="4">
        <v>2.2547999999999999E-3</v>
      </c>
      <c r="AT20" s="4">
        <v>2.2166E-3</v>
      </c>
      <c r="AU20" s="4">
        <v>2.1795999999999999E-3</v>
      </c>
      <c r="AV20" s="4">
        <v>2.1438E-3</v>
      </c>
      <c r="AW20" s="4">
        <v>2.1090000000000002E-3</v>
      </c>
      <c r="AX20" s="4">
        <v>2.0753E-3</v>
      </c>
      <c r="AY20" s="4">
        <v>2.0425E-3</v>
      </c>
      <c r="AZ20" s="4">
        <v>2.0106999999999998E-3</v>
      </c>
      <c r="BA20" s="4">
        <v>1.9796000000000002E-3</v>
      </c>
      <c r="BB20" s="4">
        <v>1.9494E-3</v>
      </c>
      <c r="BC20" s="4">
        <v>1.9199E-3</v>
      </c>
      <c r="BD20" s="4">
        <v>1.8910999999999999E-3</v>
      </c>
      <c r="BE20" s="4">
        <v>1.8630000000000001E-3</v>
      </c>
      <c r="BF20" s="4">
        <v>1.8355999999999999E-3</v>
      </c>
      <c r="BG20" s="4">
        <v>1.8087000000000001E-3</v>
      </c>
      <c r="BH20" s="4">
        <v>1.7824E-3</v>
      </c>
      <c r="BI20" s="4">
        <v>1.7566000000000001E-3</v>
      </c>
      <c r="BJ20" s="4">
        <v>1.7313000000000001E-3</v>
      </c>
      <c r="BK20" s="4">
        <v>1.7066E-3</v>
      </c>
      <c r="BL20" s="4">
        <v>1.6823000000000001E-3</v>
      </c>
      <c r="BM20" s="4">
        <v>1.6584E-3</v>
      </c>
      <c r="BN20" s="4">
        <v>1.6348999999999999E-3</v>
      </c>
      <c r="BO20" s="4">
        <v>1.6119000000000001E-3</v>
      </c>
      <c r="BP20" s="4">
        <v>1.5893000000000001E-3</v>
      </c>
      <c r="BQ20" s="4">
        <v>1.567E-3</v>
      </c>
      <c r="BR20" s="4">
        <v>1.5451E-3</v>
      </c>
      <c r="BS20" s="4">
        <v>1.5234999999999999E-3</v>
      </c>
      <c r="BT20" s="4">
        <v>1.5023E-3</v>
      </c>
      <c r="BU20" s="4">
        <v>1.4813999999999999E-3</v>
      </c>
      <c r="BV20" s="4">
        <v>1.4607999999999999E-3</v>
      </c>
      <c r="BW20" s="4">
        <v>1.4404999999999999E-3</v>
      </c>
      <c r="BX20" s="4">
        <v>1.4205000000000001E-3</v>
      </c>
      <c r="BY20" s="4">
        <v>1.4008E-3</v>
      </c>
      <c r="BZ20" s="4">
        <v>1.3814000000000001E-3</v>
      </c>
      <c r="CA20" s="4">
        <v>1.3623000000000001E-3</v>
      </c>
      <c r="CB20" s="4">
        <v>1.3434E-3</v>
      </c>
      <c r="CC20" s="4">
        <v>1.3247999999999999E-3</v>
      </c>
      <c r="CD20" s="4">
        <v>1.3064999999999999E-3</v>
      </c>
      <c r="CE20" s="4">
        <v>1.2884000000000001E-3</v>
      </c>
      <c r="CF20" s="4">
        <v>1.2704999999999999E-3</v>
      </c>
      <c r="CG20" s="4">
        <v>1.2528999999999999E-3</v>
      </c>
      <c r="CH20" s="4">
        <v>1.2355999999999999E-3</v>
      </c>
      <c r="CI20" s="4">
        <v>1.2183999999999999E-3</v>
      </c>
      <c r="CJ20" s="4">
        <v>1.2015000000000001E-3</v>
      </c>
      <c r="CK20" s="4">
        <v>1.1848E-3</v>
      </c>
      <c r="CL20" s="4">
        <v>1.1684E-3</v>
      </c>
      <c r="CM20" s="4">
        <v>1.1521999999999999E-3</v>
      </c>
      <c r="CN20" s="4">
        <v>1.1360999999999999E-3</v>
      </c>
      <c r="CO20" s="4">
        <v>1.1203000000000001E-3</v>
      </c>
      <c r="CP20" s="4">
        <v>1.1046999999999999E-3</v>
      </c>
      <c r="CQ20" s="4">
        <v>1.0893999999999999E-3</v>
      </c>
      <c r="CR20" s="4">
        <v>1.0742E-3</v>
      </c>
      <c r="CS20" s="4">
        <v>1.0591999999999999E-3</v>
      </c>
      <c r="CT20" s="4">
        <v>1.0444E-3</v>
      </c>
      <c r="CU20" s="4">
        <v>1.0299E-3</v>
      </c>
      <c r="CV20" s="4">
        <v>1.0154999999999999E-3</v>
      </c>
      <c r="CW20" s="4">
        <v>1.0013000000000001E-3</v>
      </c>
      <c r="CX20" s="4">
        <v>9.8729999999999998E-4</v>
      </c>
      <c r="CY20" s="4">
        <v>9.7349999999999997E-4</v>
      </c>
      <c r="CZ20" s="4">
        <v>9.5980000000000002E-4</v>
      </c>
      <c r="DA20" s="4">
        <v>9.4640000000000002E-4</v>
      </c>
      <c r="DB20" s="4">
        <v>9.3309999999999997E-4</v>
      </c>
      <c r="DC20" s="4">
        <v>9.2000000000000003E-4</v>
      </c>
      <c r="DD20" s="4">
        <v>9.0709999999999999E-4</v>
      </c>
      <c r="DE20" s="4">
        <v>8.9439999999999995E-4</v>
      </c>
      <c r="DF20" s="4">
        <v>8.8179999999999997E-4</v>
      </c>
      <c r="DG20" s="4">
        <v>8.6939999999999999E-4</v>
      </c>
      <c r="DH20" s="4">
        <v>8.5720000000000002E-4</v>
      </c>
      <c r="DI20" s="4">
        <v>8.4520000000000005E-4</v>
      </c>
      <c r="DJ20" s="4">
        <v>8.3330000000000003E-4</v>
      </c>
      <c r="DK20" s="4">
        <v>8.2149999999999996E-4</v>
      </c>
      <c r="DL20" s="4">
        <v>8.0999999999999996E-4</v>
      </c>
      <c r="DM20" s="4">
        <v>7.986E-4</v>
      </c>
      <c r="DN20" s="4">
        <v>7.873E-4</v>
      </c>
      <c r="DO20" s="4">
        <v>7.762E-4</v>
      </c>
      <c r="DP20" s="4">
        <v>7.6530000000000001E-4</v>
      </c>
      <c r="DQ20" s="4">
        <v>5.3157099999999999E-2</v>
      </c>
      <c r="DR20" s="4">
        <v>0</v>
      </c>
      <c r="DS20" s="4">
        <v>5.94E-5</v>
      </c>
      <c r="DT20" s="4">
        <v>1.905E-4</v>
      </c>
      <c r="DU20" s="4">
        <v>5.4069999999999997E-4</v>
      </c>
      <c r="DV20" s="4">
        <v>6.7089999999999999E-4</v>
      </c>
      <c r="DW20" s="4">
        <v>6.5200000000000002E-4</v>
      </c>
      <c r="DX20" s="4">
        <v>6.2779999999999997E-4</v>
      </c>
      <c r="DY20" s="4">
        <v>5.5630000000000002E-4</v>
      </c>
      <c r="DZ20" s="4">
        <v>4.9810000000000002E-4</v>
      </c>
      <c r="EA20" s="4">
        <v>4.192E-4</v>
      </c>
      <c r="EB20" s="4">
        <v>3.4709999999999998E-4</v>
      </c>
      <c r="EC20" s="4">
        <v>2.6410000000000002E-4</v>
      </c>
      <c r="ED20" s="4">
        <v>2.8650000000000003E-4</v>
      </c>
      <c r="EE20" s="4">
        <v>2.5339999999999998E-4</v>
      </c>
      <c r="EF20" s="4">
        <v>2.2790000000000001E-4</v>
      </c>
      <c r="EG20" s="4">
        <v>2.061E-4</v>
      </c>
      <c r="EH20" s="4">
        <v>1.8780000000000001E-4</v>
      </c>
      <c r="EI20" s="4">
        <v>1.718E-4</v>
      </c>
      <c r="EJ20" s="4">
        <v>1.5789999999999999E-4</v>
      </c>
      <c r="EK20" s="4">
        <v>1.4550000000000001E-4</v>
      </c>
      <c r="EL20" s="4">
        <v>1.3459999999999999E-4</v>
      </c>
      <c r="EM20" s="4">
        <v>1.248E-4</v>
      </c>
      <c r="EN20" s="4">
        <v>1.161E-4</v>
      </c>
      <c r="EO20" s="4">
        <v>1.083E-4</v>
      </c>
      <c r="EP20" s="4">
        <v>1.0119999999999999E-4</v>
      </c>
      <c r="EQ20" s="4">
        <v>9.4900000000000003E-5</v>
      </c>
      <c r="ER20" s="4">
        <v>8.92E-5</v>
      </c>
      <c r="ES20" s="4">
        <v>8.4099999999999998E-5</v>
      </c>
      <c r="ET20" s="4">
        <v>7.9400000000000006E-5</v>
      </c>
      <c r="EU20" s="4">
        <v>7.5199999999999998E-5</v>
      </c>
      <c r="EV20" s="4">
        <v>7.1299999999999998E-5</v>
      </c>
      <c r="EW20" s="4">
        <v>6.7700000000000006E-5</v>
      </c>
      <c r="EX20" s="4">
        <v>6.4399999999999993E-5</v>
      </c>
      <c r="EY20" s="4">
        <v>6.1400000000000002E-5</v>
      </c>
      <c r="EZ20" s="4">
        <v>5.8600000000000001E-5</v>
      </c>
      <c r="FA20" s="4">
        <v>5.5999999999999999E-5</v>
      </c>
      <c r="FB20" s="4">
        <v>5.3600000000000002E-5</v>
      </c>
      <c r="FC20" s="4">
        <v>5.13E-5</v>
      </c>
      <c r="FD20" s="4">
        <v>4.9200000000000003E-5</v>
      </c>
      <c r="FE20" s="4">
        <v>4.7200000000000002E-5</v>
      </c>
      <c r="FF20" s="4">
        <v>4.5399999999999999E-5</v>
      </c>
      <c r="FG20" s="4">
        <v>4.3600000000000003E-5</v>
      </c>
      <c r="FH20" s="4">
        <v>4.1999999999999998E-5</v>
      </c>
      <c r="FI20" s="4">
        <v>4.0500000000000002E-5</v>
      </c>
      <c r="FJ20" s="4">
        <v>3.9100000000000002E-5</v>
      </c>
      <c r="FK20" s="4">
        <v>3.7799999999999997E-5</v>
      </c>
      <c r="FL20" s="4">
        <v>3.6600000000000002E-5</v>
      </c>
      <c r="FM20" s="4">
        <v>3.54E-5</v>
      </c>
      <c r="FN20" s="4">
        <v>3.43E-5</v>
      </c>
      <c r="FO20" s="4">
        <v>3.3300000000000003E-5</v>
      </c>
      <c r="FP20" s="4">
        <v>3.2400000000000001E-5</v>
      </c>
      <c r="FQ20" s="4">
        <v>3.15E-5</v>
      </c>
      <c r="FR20" s="4">
        <v>3.0599999999999998E-5</v>
      </c>
      <c r="FS20" s="4">
        <v>2.9799999999999999E-5</v>
      </c>
      <c r="FT20" s="4">
        <v>2.9099999999999999E-5</v>
      </c>
      <c r="FU20" s="4">
        <v>2.8399999999999999E-5</v>
      </c>
      <c r="FV20" s="4">
        <v>2.7699999999999999E-5</v>
      </c>
      <c r="FW20" s="4">
        <v>2.7100000000000001E-5</v>
      </c>
      <c r="FX20" s="4">
        <v>2.65E-5</v>
      </c>
      <c r="FY20" s="4">
        <v>2.5999999999999998E-5</v>
      </c>
      <c r="FZ20" s="4">
        <v>2.5400000000000001E-5</v>
      </c>
      <c r="GA20" s="4">
        <v>2.4899999999999999E-5</v>
      </c>
      <c r="GB20" s="4">
        <v>2.44E-5</v>
      </c>
      <c r="GC20" s="4">
        <v>2.4000000000000001E-5</v>
      </c>
      <c r="GD20" s="4">
        <v>2.3499999999999999E-5</v>
      </c>
      <c r="GE20" s="4">
        <v>2.3099999999999999E-5</v>
      </c>
      <c r="GF20" s="4">
        <v>2.27E-5</v>
      </c>
      <c r="GG20" s="4">
        <v>2.23E-5</v>
      </c>
      <c r="GH20" s="4">
        <v>2.1999999999999999E-5</v>
      </c>
      <c r="GI20" s="4">
        <v>2.16E-5</v>
      </c>
      <c r="GJ20" s="4">
        <v>2.12E-5</v>
      </c>
      <c r="GK20" s="4">
        <v>2.09E-5</v>
      </c>
      <c r="GL20" s="4">
        <v>2.0599999999999999E-5</v>
      </c>
      <c r="GM20" s="4">
        <v>2.0299999999999999E-5</v>
      </c>
      <c r="GN20" s="4">
        <v>2.0000000000000002E-5</v>
      </c>
      <c r="GO20" s="4">
        <v>1.9700000000000001E-5</v>
      </c>
      <c r="GP20" s="4">
        <v>1.9400000000000001E-5</v>
      </c>
      <c r="GQ20" s="4">
        <v>1.91E-5</v>
      </c>
      <c r="GR20" s="4">
        <v>1.88E-5</v>
      </c>
      <c r="GS20" s="4">
        <v>1.8499999999999999E-5</v>
      </c>
      <c r="GT20" s="4">
        <v>1.8300000000000001E-5</v>
      </c>
      <c r="GU20" s="4">
        <v>1.8E-5</v>
      </c>
      <c r="GV20" s="4">
        <v>1.7799999999999999E-5</v>
      </c>
      <c r="GW20" s="4">
        <v>1.7499999999999998E-5</v>
      </c>
      <c r="GX20" s="4">
        <v>1.73E-5</v>
      </c>
      <c r="GY20" s="4">
        <v>1.7E-5</v>
      </c>
      <c r="GZ20" s="4">
        <v>1.6799999999999998E-5</v>
      </c>
      <c r="HA20" s="4">
        <v>1.66E-5</v>
      </c>
      <c r="HB20" s="4">
        <v>1.63E-5</v>
      </c>
      <c r="HC20" s="4">
        <v>1.6099999999999998E-5</v>
      </c>
      <c r="HD20" s="4">
        <v>1.59E-5</v>
      </c>
      <c r="HE20" s="4">
        <v>1.5699999999999999E-5</v>
      </c>
      <c r="HF20" s="4">
        <v>1.5500000000000001E-5</v>
      </c>
      <c r="HG20" s="4">
        <v>1.5299999999999999E-5</v>
      </c>
      <c r="HH20" s="4">
        <v>1.5E-5</v>
      </c>
      <c r="HI20" s="4">
        <v>1.4800000000000001E-5</v>
      </c>
      <c r="HJ20" s="4">
        <v>1.4600000000000001E-5</v>
      </c>
      <c r="HK20" s="4">
        <v>1.4399999999999999E-5</v>
      </c>
      <c r="HL20" s="4">
        <v>1.42E-5</v>
      </c>
      <c r="HM20" s="4">
        <v>1.4100000000000001E-5</v>
      </c>
      <c r="HN20" s="4">
        <v>1.3900000000000001E-5</v>
      </c>
      <c r="HO20" s="4">
        <v>1.3699999999999999E-5</v>
      </c>
      <c r="HP20" s="4">
        <v>1.3499999999999999E-5</v>
      </c>
      <c r="HQ20" s="4">
        <v>1.33E-5</v>
      </c>
      <c r="HR20" s="4">
        <v>1.31E-5</v>
      </c>
      <c r="HS20" s="4">
        <v>1.29E-5</v>
      </c>
      <c r="HT20" s="4">
        <v>1.2799999999999999E-5</v>
      </c>
      <c r="HU20" s="4">
        <v>1.26E-5</v>
      </c>
      <c r="HV20" s="4">
        <v>1.24E-5</v>
      </c>
      <c r="HW20" s="4">
        <v>1.22E-5</v>
      </c>
      <c r="HX20" s="4">
        <v>1.2099999999999999E-5</v>
      </c>
      <c r="HY20" s="4">
        <v>1.19E-5</v>
      </c>
      <c r="HZ20" s="4">
        <v>1.1800000000000001E-5</v>
      </c>
      <c r="IA20" s="4">
        <v>1.1600000000000001E-5</v>
      </c>
      <c r="IB20" s="4">
        <v>1.1399999999999999E-5</v>
      </c>
      <c r="IC20" s="4">
        <v>1.13E-5</v>
      </c>
      <c r="ID20" s="4">
        <v>1.11E-5</v>
      </c>
      <c r="IE20" s="4">
        <v>1.1E-5</v>
      </c>
      <c r="IF20" s="4">
        <v>1.08E-5</v>
      </c>
      <c r="IG20" s="4">
        <v>7.5429999999999996E-4</v>
      </c>
      <c r="IH20" s="4"/>
      <c r="II20" s="4">
        <f t="shared" si="245"/>
        <v>0.11479202306060293</v>
      </c>
      <c r="IJ20">
        <f t="shared" si="246"/>
        <v>0.35323447499999966</v>
      </c>
      <c r="IN20" s="4"/>
      <c r="IO20" s="4"/>
      <c r="IP20" s="4"/>
      <c r="IQ20" s="4"/>
      <c r="IR20" s="4"/>
      <c r="IS20" s="4"/>
      <c r="IT20" s="4"/>
      <c r="IU20" s="4"/>
      <c r="IV20" s="4"/>
    </row>
    <row r="21" spans="1:256" x14ac:dyDescent="0.35">
      <c r="A21" s="1">
        <v>13</v>
      </c>
      <c r="B21" s="4">
        <v>1.1099599999999999E-2</v>
      </c>
      <c r="C21" s="4">
        <v>1.1099599999999999E-2</v>
      </c>
      <c r="D21" s="4">
        <v>1.1040100000000001E-2</v>
      </c>
      <c r="E21" s="4">
        <v>1.08494E-2</v>
      </c>
      <c r="F21" s="4">
        <v>1.0308299999999999E-2</v>
      </c>
      <c r="G21" s="4">
        <v>9.6363000000000004E-3</v>
      </c>
      <c r="H21" s="4">
        <v>8.9794999999999996E-3</v>
      </c>
      <c r="I21" s="4">
        <v>8.3432000000000003E-3</v>
      </c>
      <c r="J21" s="4">
        <v>7.7647000000000002E-3</v>
      </c>
      <c r="K21" s="4">
        <v>7.2120999999999999E-3</v>
      </c>
      <c r="L21" s="4">
        <v>6.4599000000000002E-3</v>
      </c>
      <c r="M21" s="4">
        <v>5.6495E-3</v>
      </c>
      <c r="N21" s="4">
        <v>4.5125E-3</v>
      </c>
      <c r="O21" s="4">
        <v>4.8923999999999999E-3</v>
      </c>
      <c r="P21" s="4">
        <v>4.6528999999999997E-3</v>
      </c>
      <c r="Q21" s="4">
        <v>4.4646E-3</v>
      </c>
      <c r="R21" s="4">
        <v>4.2950000000000002E-3</v>
      </c>
      <c r="S21" s="4">
        <v>4.1456000000000002E-3</v>
      </c>
      <c r="T21" s="4">
        <v>4.0076000000000001E-3</v>
      </c>
      <c r="U21" s="4">
        <v>3.8804999999999998E-3</v>
      </c>
      <c r="V21" s="4">
        <v>3.7615000000000001E-3</v>
      </c>
      <c r="W21" s="4">
        <v>3.6505000000000001E-3</v>
      </c>
      <c r="X21" s="4">
        <v>3.5463999999999999E-3</v>
      </c>
      <c r="Y21" s="4">
        <v>3.4489E-3</v>
      </c>
      <c r="Z21" s="4">
        <v>3.3571E-3</v>
      </c>
      <c r="AA21" s="4">
        <v>3.2705999999999998E-3</v>
      </c>
      <c r="AB21" s="4">
        <v>3.1889000000000002E-3</v>
      </c>
      <c r="AC21" s="4">
        <v>3.1116E-3</v>
      </c>
      <c r="AD21" s="4">
        <v>3.0382E-3</v>
      </c>
      <c r="AE21" s="4">
        <v>2.9683999999999999E-3</v>
      </c>
      <c r="AF21" s="4">
        <v>2.9018999999999998E-3</v>
      </c>
      <c r="AG21" s="4">
        <v>2.8384999999999999E-3</v>
      </c>
      <c r="AH21" s="4">
        <v>2.7778999999999998E-3</v>
      </c>
      <c r="AI21" s="4">
        <v>2.7198999999999999E-3</v>
      </c>
      <c r="AJ21" s="4">
        <v>2.6643999999999999E-3</v>
      </c>
      <c r="AK21" s="4">
        <v>2.6110999999999999E-3</v>
      </c>
      <c r="AL21" s="4">
        <v>2.5600000000000002E-3</v>
      </c>
      <c r="AM21" s="4">
        <v>2.5108999999999999E-3</v>
      </c>
      <c r="AN21" s="4">
        <v>2.4637000000000001E-3</v>
      </c>
      <c r="AO21" s="4">
        <v>2.4183E-3</v>
      </c>
      <c r="AP21" s="4">
        <v>2.3746000000000001E-3</v>
      </c>
      <c r="AQ21" s="4">
        <v>2.3324000000000001E-3</v>
      </c>
      <c r="AR21" s="4">
        <v>2.2916999999999998E-3</v>
      </c>
      <c r="AS21" s="4">
        <v>2.2523E-3</v>
      </c>
      <c r="AT21" s="4">
        <v>2.2143000000000002E-3</v>
      </c>
      <c r="AU21" s="4">
        <v>2.1775000000000002E-3</v>
      </c>
      <c r="AV21" s="4">
        <v>2.1418000000000001E-3</v>
      </c>
      <c r="AW21" s="4">
        <v>2.1072E-3</v>
      </c>
      <c r="AX21" s="4">
        <v>2.0736000000000001E-3</v>
      </c>
      <c r="AY21" s="4">
        <v>2.0409999999999998E-3</v>
      </c>
      <c r="AZ21" s="4">
        <v>2.0092E-3</v>
      </c>
      <c r="BA21" s="4">
        <v>1.9783000000000001E-3</v>
      </c>
      <c r="BB21" s="4">
        <v>1.9482E-3</v>
      </c>
      <c r="BC21" s="4">
        <v>1.9188E-3</v>
      </c>
      <c r="BD21" s="4">
        <v>1.8901E-3</v>
      </c>
      <c r="BE21" s="4">
        <v>1.8619999999999999E-3</v>
      </c>
      <c r="BF21" s="4">
        <v>1.8346E-3</v>
      </c>
      <c r="BG21" s="4">
        <v>1.8078E-3</v>
      </c>
      <c r="BH21" s="4">
        <v>1.7815999999999999E-3</v>
      </c>
      <c r="BI21" s="4">
        <v>1.7558000000000001E-3</v>
      </c>
      <c r="BJ21" s="4">
        <v>1.7306000000000001E-3</v>
      </c>
      <c r="BK21" s="4">
        <v>1.7059E-3</v>
      </c>
      <c r="BL21" s="4">
        <v>1.6815999999999999E-3</v>
      </c>
      <c r="BM21" s="4">
        <v>1.6578000000000001E-3</v>
      </c>
      <c r="BN21" s="4">
        <v>1.6344E-3</v>
      </c>
      <c r="BO21" s="4">
        <v>1.6114E-3</v>
      </c>
      <c r="BP21" s="4">
        <v>1.5888E-3</v>
      </c>
      <c r="BQ21" s="4">
        <v>1.5665E-3</v>
      </c>
      <c r="BR21" s="4">
        <v>1.5447E-3</v>
      </c>
      <c r="BS21" s="4">
        <v>1.5231000000000001E-3</v>
      </c>
      <c r="BT21" s="4">
        <v>1.5019E-3</v>
      </c>
      <c r="BU21" s="4">
        <v>1.4809999999999999E-3</v>
      </c>
      <c r="BV21" s="4">
        <v>1.4605E-3</v>
      </c>
      <c r="BW21" s="4">
        <v>1.4402E-3</v>
      </c>
      <c r="BX21" s="4">
        <v>1.4201999999999999E-3</v>
      </c>
      <c r="BY21" s="4">
        <v>1.4005999999999999E-3</v>
      </c>
      <c r="BZ21" s="4">
        <v>1.3812E-3</v>
      </c>
      <c r="CA21" s="4">
        <v>1.3619999999999999E-3</v>
      </c>
      <c r="CB21" s="4">
        <v>1.3431999999999999E-3</v>
      </c>
      <c r="CC21" s="4">
        <v>1.3246E-3</v>
      </c>
      <c r="CD21" s="4">
        <v>1.3063E-3</v>
      </c>
      <c r="CE21" s="4">
        <v>1.2882E-3</v>
      </c>
      <c r="CF21" s="4">
        <v>1.2704000000000001E-3</v>
      </c>
      <c r="CG21" s="4">
        <v>1.2528000000000001E-3</v>
      </c>
      <c r="CH21" s="4">
        <v>1.2354E-3</v>
      </c>
      <c r="CI21" s="4">
        <v>1.2183000000000001E-3</v>
      </c>
      <c r="CJ21" s="4">
        <v>1.2014E-3</v>
      </c>
      <c r="CK21" s="4">
        <v>1.1846999999999999E-3</v>
      </c>
      <c r="CL21" s="4">
        <v>1.1682999999999999E-3</v>
      </c>
      <c r="CM21" s="4">
        <v>1.152E-3</v>
      </c>
      <c r="CN21" s="4">
        <v>1.1360000000000001E-3</v>
      </c>
      <c r="CO21" s="4">
        <v>1.1202E-3</v>
      </c>
      <c r="CP21" s="4">
        <v>1.1046999999999999E-3</v>
      </c>
      <c r="CQ21" s="4">
        <v>1.0893000000000001E-3</v>
      </c>
      <c r="CR21" s="4">
        <v>1.0740999999999999E-3</v>
      </c>
      <c r="CS21" s="4">
        <v>1.0591000000000001E-3</v>
      </c>
      <c r="CT21" s="4">
        <v>1.0444E-3</v>
      </c>
      <c r="CU21" s="4">
        <v>1.0298E-3</v>
      </c>
      <c r="CV21" s="4">
        <v>1.0154000000000001E-3</v>
      </c>
      <c r="CW21" s="4">
        <v>1.0012E-3</v>
      </c>
      <c r="CX21" s="4">
        <v>9.8719999999999993E-4</v>
      </c>
      <c r="CY21" s="4">
        <v>9.7340000000000002E-4</v>
      </c>
      <c r="CZ21" s="4">
        <v>9.5980000000000002E-4</v>
      </c>
      <c r="DA21" s="4">
        <v>9.4629999999999996E-4</v>
      </c>
      <c r="DB21" s="4">
        <v>9.3309999999999997E-4</v>
      </c>
      <c r="DC21" s="4">
        <v>9.2000000000000003E-4</v>
      </c>
      <c r="DD21" s="4">
        <v>9.0709999999999999E-4</v>
      </c>
      <c r="DE21" s="4">
        <v>8.9439999999999995E-4</v>
      </c>
      <c r="DF21" s="4">
        <v>8.8179999999999997E-4</v>
      </c>
      <c r="DG21" s="4">
        <v>8.6939999999999999E-4</v>
      </c>
      <c r="DH21" s="4">
        <v>8.5720000000000002E-4</v>
      </c>
      <c r="DI21" s="4">
        <v>8.451E-4</v>
      </c>
      <c r="DJ21" s="4">
        <v>8.3319999999999998E-4</v>
      </c>
      <c r="DK21" s="4">
        <v>8.2149999999999996E-4</v>
      </c>
      <c r="DL21" s="4">
        <v>8.0990000000000001E-4</v>
      </c>
      <c r="DM21" s="4">
        <v>7.9849999999999995E-4</v>
      </c>
      <c r="DN21" s="4">
        <v>7.873E-4</v>
      </c>
      <c r="DO21" s="4">
        <v>7.762E-4</v>
      </c>
      <c r="DP21" s="4">
        <v>7.6519999999999995E-4</v>
      </c>
      <c r="DQ21" s="4">
        <v>5.3157200000000002E-2</v>
      </c>
      <c r="DR21" s="4">
        <v>0</v>
      </c>
      <c r="DS21" s="4">
        <v>5.94E-5</v>
      </c>
      <c r="DT21" s="4">
        <v>1.9090000000000001E-4</v>
      </c>
      <c r="DU21" s="4">
        <v>6.2589999999999998E-4</v>
      </c>
      <c r="DV21" s="4">
        <v>7.1630000000000001E-4</v>
      </c>
      <c r="DW21" s="4">
        <v>6.8249999999999995E-4</v>
      </c>
      <c r="DX21" s="4">
        <v>6.4769999999999997E-4</v>
      </c>
      <c r="DY21" s="4">
        <v>5.7019999999999998E-4</v>
      </c>
      <c r="DZ21" s="4">
        <v>5.1230000000000004E-4</v>
      </c>
      <c r="EA21" s="4">
        <v>4.5330000000000001E-4</v>
      </c>
      <c r="EB21" s="4">
        <v>3.8400000000000001E-4</v>
      </c>
      <c r="EC21" s="4">
        <v>3.1920000000000001E-4</v>
      </c>
      <c r="ED21" s="4">
        <v>2.4379999999999999E-4</v>
      </c>
      <c r="EE21" s="4">
        <v>2.6370000000000001E-4</v>
      </c>
      <c r="EF21" s="4">
        <v>2.353E-4</v>
      </c>
      <c r="EG21" s="4">
        <v>2.1320000000000001E-4</v>
      </c>
      <c r="EH21" s="4">
        <v>1.941E-4</v>
      </c>
      <c r="EI21" s="4">
        <v>1.7780000000000001E-4</v>
      </c>
      <c r="EJ21" s="4">
        <v>1.6339999999999999E-4</v>
      </c>
      <c r="EK21" s="4">
        <v>1.506E-4</v>
      </c>
      <c r="EL21" s="4">
        <v>1.3909999999999999E-4</v>
      </c>
      <c r="EM21" s="4">
        <v>1.2879999999999999E-4</v>
      </c>
      <c r="EN21" s="4">
        <v>1.1959999999999999E-4</v>
      </c>
      <c r="EO21" s="4">
        <v>1.1129999999999999E-4</v>
      </c>
      <c r="EP21" s="4">
        <v>1.039E-4</v>
      </c>
      <c r="EQ21" s="4">
        <v>9.7200000000000004E-5</v>
      </c>
      <c r="ER21" s="4">
        <v>9.1199999999999994E-5</v>
      </c>
      <c r="ES21" s="4">
        <v>8.5799999999999998E-5</v>
      </c>
      <c r="ET21" s="4">
        <v>8.0900000000000001E-5</v>
      </c>
      <c r="EU21" s="4">
        <v>7.64E-5</v>
      </c>
      <c r="EV21" s="4">
        <v>7.2299999999999996E-5</v>
      </c>
      <c r="EW21" s="4">
        <v>6.86E-5</v>
      </c>
      <c r="EX21" s="4">
        <v>6.5199999999999999E-5</v>
      </c>
      <c r="EY21" s="4">
        <v>6.2000000000000003E-5</v>
      </c>
      <c r="EZ21" s="4">
        <v>5.91E-5</v>
      </c>
      <c r="FA21" s="4">
        <v>5.6400000000000002E-5</v>
      </c>
      <c r="FB21" s="4">
        <v>5.3900000000000002E-5</v>
      </c>
      <c r="FC21" s="4">
        <v>5.1600000000000001E-5</v>
      </c>
      <c r="FD21" s="4">
        <v>4.9400000000000001E-5</v>
      </c>
      <c r="FE21" s="4">
        <v>4.74E-5</v>
      </c>
      <c r="FF21" s="4">
        <v>4.5500000000000001E-5</v>
      </c>
      <c r="FG21" s="4">
        <v>4.3800000000000001E-5</v>
      </c>
      <c r="FH21" s="4">
        <v>4.21E-5</v>
      </c>
      <c r="FI21" s="4">
        <v>4.0599999999999998E-5</v>
      </c>
      <c r="FJ21" s="4">
        <v>3.9199999999999997E-5</v>
      </c>
      <c r="FK21" s="4">
        <v>3.79E-5</v>
      </c>
      <c r="FL21" s="4">
        <v>3.6600000000000002E-5</v>
      </c>
      <c r="FM21" s="4">
        <v>3.5500000000000002E-5</v>
      </c>
      <c r="FN21" s="4">
        <v>3.4400000000000003E-5</v>
      </c>
      <c r="FO21" s="4">
        <v>3.3300000000000003E-5</v>
      </c>
      <c r="FP21" s="4">
        <v>3.2400000000000001E-5</v>
      </c>
      <c r="FQ21" s="4">
        <v>3.15E-5</v>
      </c>
      <c r="FR21" s="4">
        <v>3.0700000000000001E-5</v>
      </c>
      <c r="FS21" s="4">
        <v>2.9899999999999998E-5</v>
      </c>
      <c r="FT21" s="4">
        <v>2.9099999999999999E-5</v>
      </c>
      <c r="FU21" s="4">
        <v>2.8399999999999999E-5</v>
      </c>
      <c r="FV21" s="4">
        <v>2.7800000000000001E-5</v>
      </c>
      <c r="FW21" s="4">
        <v>2.7100000000000001E-5</v>
      </c>
      <c r="FX21" s="4">
        <v>2.65E-5</v>
      </c>
      <c r="FY21" s="4">
        <v>2.5999999999999998E-5</v>
      </c>
      <c r="FZ21" s="4">
        <v>2.5400000000000001E-5</v>
      </c>
      <c r="GA21" s="4">
        <v>2.4899999999999999E-5</v>
      </c>
      <c r="GB21" s="4">
        <v>2.4499999999999999E-5</v>
      </c>
      <c r="GC21" s="4">
        <v>2.4000000000000001E-5</v>
      </c>
      <c r="GD21" s="4">
        <v>2.3499999999999999E-5</v>
      </c>
      <c r="GE21" s="4">
        <v>2.3099999999999999E-5</v>
      </c>
      <c r="GF21" s="4">
        <v>2.27E-5</v>
      </c>
      <c r="GG21" s="4">
        <v>2.23E-5</v>
      </c>
      <c r="GH21" s="4">
        <v>2.1999999999999999E-5</v>
      </c>
      <c r="GI21" s="4">
        <v>2.16E-5</v>
      </c>
      <c r="GJ21" s="4">
        <v>2.1299999999999999E-5</v>
      </c>
      <c r="GK21" s="4">
        <v>2.09E-5</v>
      </c>
      <c r="GL21" s="4">
        <v>2.0599999999999999E-5</v>
      </c>
      <c r="GM21" s="4">
        <v>2.0299999999999999E-5</v>
      </c>
      <c r="GN21" s="4">
        <v>2.0000000000000002E-5</v>
      </c>
      <c r="GO21" s="4">
        <v>1.9700000000000001E-5</v>
      </c>
      <c r="GP21" s="4">
        <v>1.9400000000000001E-5</v>
      </c>
      <c r="GQ21" s="4">
        <v>1.91E-5</v>
      </c>
      <c r="GR21" s="4">
        <v>1.88E-5</v>
      </c>
      <c r="GS21" s="4">
        <v>1.8499999999999999E-5</v>
      </c>
      <c r="GT21" s="4">
        <v>1.8300000000000001E-5</v>
      </c>
      <c r="GU21" s="4">
        <v>1.8E-5</v>
      </c>
      <c r="GV21" s="4">
        <v>1.7799999999999999E-5</v>
      </c>
      <c r="GW21" s="4">
        <v>1.7499999999999998E-5</v>
      </c>
      <c r="GX21" s="4">
        <v>1.73E-5</v>
      </c>
      <c r="GY21" s="4">
        <v>1.7E-5</v>
      </c>
      <c r="GZ21" s="4">
        <v>1.6799999999999998E-5</v>
      </c>
      <c r="HA21" s="4">
        <v>1.66E-5</v>
      </c>
      <c r="HB21" s="4">
        <v>1.63E-5</v>
      </c>
      <c r="HC21" s="4">
        <v>1.6099999999999998E-5</v>
      </c>
      <c r="HD21" s="4">
        <v>1.59E-5</v>
      </c>
      <c r="HE21" s="4">
        <v>1.5699999999999999E-5</v>
      </c>
      <c r="HF21" s="4">
        <v>1.5500000000000001E-5</v>
      </c>
      <c r="HG21" s="4">
        <v>1.5299999999999999E-5</v>
      </c>
      <c r="HH21" s="4">
        <v>1.5099999999999999E-5</v>
      </c>
      <c r="HI21" s="4">
        <v>1.4800000000000001E-5</v>
      </c>
      <c r="HJ21" s="4">
        <v>1.4600000000000001E-5</v>
      </c>
      <c r="HK21" s="4">
        <v>1.4399999999999999E-5</v>
      </c>
      <c r="HL21" s="4">
        <v>1.43E-5</v>
      </c>
      <c r="HM21" s="4">
        <v>1.4100000000000001E-5</v>
      </c>
      <c r="HN21" s="4">
        <v>1.3900000000000001E-5</v>
      </c>
      <c r="HO21" s="4">
        <v>1.3699999999999999E-5</v>
      </c>
      <c r="HP21" s="4">
        <v>1.3499999999999999E-5</v>
      </c>
      <c r="HQ21" s="4">
        <v>1.33E-5</v>
      </c>
      <c r="HR21" s="4">
        <v>1.31E-5</v>
      </c>
      <c r="HS21" s="4">
        <v>1.29E-5</v>
      </c>
      <c r="HT21" s="4">
        <v>1.2799999999999999E-5</v>
      </c>
      <c r="HU21" s="4">
        <v>1.26E-5</v>
      </c>
      <c r="HV21" s="4">
        <v>1.24E-5</v>
      </c>
      <c r="HW21" s="4">
        <v>1.2300000000000001E-5</v>
      </c>
      <c r="HX21" s="4">
        <v>1.2099999999999999E-5</v>
      </c>
      <c r="HY21" s="4">
        <v>1.19E-5</v>
      </c>
      <c r="HZ21" s="4">
        <v>1.1800000000000001E-5</v>
      </c>
      <c r="IA21" s="4">
        <v>1.1600000000000001E-5</v>
      </c>
      <c r="IB21" s="4">
        <v>1.1399999999999999E-5</v>
      </c>
      <c r="IC21" s="4">
        <v>1.13E-5</v>
      </c>
      <c r="ID21" s="4">
        <v>1.11E-5</v>
      </c>
      <c r="IE21" s="4">
        <v>1.1E-5</v>
      </c>
      <c r="IF21" s="4">
        <v>1.08E-5</v>
      </c>
      <c r="IG21" s="4">
        <v>7.5440000000000001E-4</v>
      </c>
      <c r="IH21" s="4"/>
      <c r="II21" s="4">
        <f t="shared" si="245"/>
        <v>0.11575249635143083</v>
      </c>
      <c r="IJ21">
        <f t="shared" si="246"/>
        <v>0.35398286250000011</v>
      </c>
      <c r="IN21" s="4"/>
      <c r="IO21" s="4"/>
      <c r="IP21" s="4"/>
      <c r="IQ21" s="4"/>
      <c r="IR21" s="4"/>
      <c r="IS21" s="4"/>
      <c r="IT21" s="4"/>
      <c r="IU21" s="4"/>
      <c r="IV21" s="4"/>
    </row>
    <row r="22" spans="1:256" x14ac:dyDescent="0.35">
      <c r="A22" s="1">
        <v>14</v>
      </c>
      <c r="B22" s="4">
        <v>1.1099700000000001E-2</v>
      </c>
      <c r="C22" s="4">
        <v>1.1099599999999999E-2</v>
      </c>
      <c r="D22" s="4">
        <v>1.10402E-2</v>
      </c>
      <c r="E22" s="4">
        <v>1.08491E-2</v>
      </c>
      <c r="F22" s="4">
        <v>1.02235E-2</v>
      </c>
      <c r="G22" s="4">
        <v>9.5919999999999998E-3</v>
      </c>
      <c r="H22" s="4">
        <v>8.9537999999999996E-3</v>
      </c>
      <c r="I22" s="4">
        <v>8.3316999999999992E-3</v>
      </c>
      <c r="J22" s="4">
        <v>7.7730000000000004E-3</v>
      </c>
      <c r="K22" s="4">
        <v>7.2524E-3</v>
      </c>
      <c r="L22" s="4">
        <v>6.7587999999999997E-3</v>
      </c>
      <c r="M22" s="4">
        <v>6.0759000000000004E-3</v>
      </c>
      <c r="N22" s="4">
        <v>5.3302999999999996E-3</v>
      </c>
      <c r="O22" s="4">
        <v>4.2687000000000003E-3</v>
      </c>
      <c r="P22" s="4">
        <v>4.6286000000000001E-3</v>
      </c>
      <c r="Q22" s="4">
        <v>4.4175000000000004E-3</v>
      </c>
      <c r="R22" s="4">
        <v>4.2513999999999998E-3</v>
      </c>
      <c r="S22" s="4">
        <v>4.1009000000000002E-3</v>
      </c>
      <c r="T22" s="4">
        <v>3.9677999999999996E-3</v>
      </c>
      <c r="U22" s="4">
        <v>3.8441999999999999E-3</v>
      </c>
      <c r="V22" s="4">
        <v>3.7299E-3</v>
      </c>
      <c r="W22" s="4">
        <v>3.6224E-3</v>
      </c>
      <c r="X22" s="4">
        <v>3.5216000000000002E-3</v>
      </c>
      <c r="Y22" s="4">
        <v>3.4267999999999998E-3</v>
      </c>
      <c r="Z22" s="4">
        <v>3.3375000000000002E-3</v>
      </c>
      <c r="AA22" s="4">
        <v>3.2531999999999999E-3</v>
      </c>
      <c r="AB22" s="4">
        <v>3.1733999999999998E-3</v>
      </c>
      <c r="AC22" s="4">
        <v>3.0977000000000001E-3</v>
      </c>
      <c r="AD22" s="4">
        <v>3.0257999999999999E-3</v>
      </c>
      <c r="AE22" s="4">
        <v>2.9572999999999999E-3</v>
      </c>
      <c r="AF22" s="4">
        <v>2.892E-3</v>
      </c>
      <c r="AG22" s="4">
        <v>2.8295999999999998E-3</v>
      </c>
      <c r="AH22" s="4">
        <v>2.7699000000000001E-3</v>
      </c>
      <c r="AI22" s="4">
        <v>2.7127000000000002E-3</v>
      </c>
      <c r="AJ22" s="4">
        <v>2.6578000000000001E-3</v>
      </c>
      <c r="AK22" s="4">
        <v>2.6051999999999998E-3</v>
      </c>
      <c r="AL22" s="4">
        <v>2.5547E-3</v>
      </c>
      <c r="AM22" s="4">
        <v>2.5060999999999998E-3</v>
      </c>
      <c r="AN22" s="4">
        <v>2.4593000000000002E-3</v>
      </c>
      <c r="AO22" s="4">
        <v>2.4142999999999999E-3</v>
      </c>
      <c r="AP22" s="4">
        <v>2.3709E-3</v>
      </c>
      <c r="AQ22" s="4">
        <v>2.3289999999999999E-3</v>
      </c>
      <c r="AR22" s="4">
        <v>2.2886E-3</v>
      </c>
      <c r="AS22" s="4">
        <v>2.2495000000000002E-3</v>
      </c>
      <c r="AT22" s="4">
        <v>2.2117E-3</v>
      </c>
      <c r="AU22" s="4">
        <v>2.1751000000000001E-3</v>
      </c>
      <c r="AV22" s="4">
        <v>2.1396000000000002E-3</v>
      </c>
      <c r="AW22" s="4">
        <v>2.1052000000000002E-3</v>
      </c>
      <c r="AX22" s="4">
        <v>2.0717999999999999E-3</v>
      </c>
      <c r="AY22" s="4">
        <v>2.0393E-3</v>
      </c>
      <c r="AZ22" s="4">
        <v>2.0076E-3</v>
      </c>
      <c r="BA22" s="4">
        <v>1.9767999999999999E-3</v>
      </c>
      <c r="BB22" s="4">
        <v>1.9468E-3</v>
      </c>
      <c r="BC22" s="4">
        <v>1.9174999999999999E-3</v>
      </c>
      <c r="BD22" s="4">
        <v>1.8889E-3</v>
      </c>
      <c r="BE22" s="4">
        <v>1.861E-3</v>
      </c>
      <c r="BF22" s="4">
        <v>1.8335999999999999E-3</v>
      </c>
      <c r="BG22" s="4">
        <v>1.8069E-3</v>
      </c>
      <c r="BH22" s="4">
        <v>1.7807000000000001E-3</v>
      </c>
      <c r="BI22" s="4">
        <v>1.755E-3</v>
      </c>
      <c r="BJ22" s="4">
        <v>1.7298999999999999E-3</v>
      </c>
      <c r="BK22" s="4">
        <v>1.7052E-3</v>
      </c>
      <c r="BL22" s="4">
        <v>1.681E-3</v>
      </c>
      <c r="BM22" s="4">
        <v>1.6571999999999999E-3</v>
      </c>
      <c r="BN22" s="4">
        <v>1.6337999999999999E-3</v>
      </c>
      <c r="BO22" s="4">
        <v>1.6109E-3</v>
      </c>
      <c r="BP22" s="4">
        <v>1.5883E-3</v>
      </c>
      <c r="BQ22" s="4">
        <v>1.5661E-3</v>
      </c>
      <c r="BR22" s="4">
        <v>1.5441999999999999E-3</v>
      </c>
      <c r="BS22" s="4">
        <v>1.5227000000000001E-3</v>
      </c>
      <c r="BT22" s="4">
        <v>1.5015E-3</v>
      </c>
      <c r="BU22" s="4">
        <v>1.4806999999999999E-3</v>
      </c>
      <c r="BV22" s="4">
        <v>1.4601E-3</v>
      </c>
      <c r="BW22" s="4">
        <v>1.4399E-3</v>
      </c>
      <c r="BX22" s="4">
        <v>1.4199E-3</v>
      </c>
      <c r="BY22" s="4">
        <v>1.4002999999999999E-3</v>
      </c>
      <c r="BZ22" s="4">
        <v>1.3809E-3</v>
      </c>
      <c r="CA22" s="4">
        <v>1.3618E-3</v>
      </c>
      <c r="CB22" s="4">
        <v>1.343E-3</v>
      </c>
      <c r="CC22" s="4">
        <v>1.3244000000000001E-3</v>
      </c>
      <c r="CD22" s="4">
        <v>1.3060999999999999E-3</v>
      </c>
      <c r="CE22" s="4">
        <v>1.2880000000000001E-3</v>
      </c>
      <c r="CF22" s="4">
        <v>1.2702E-3</v>
      </c>
      <c r="CG22" s="4">
        <v>1.2526E-3</v>
      </c>
      <c r="CH22" s="4">
        <v>1.2352000000000001E-3</v>
      </c>
      <c r="CI22" s="4">
        <v>1.2181E-3</v>
      </c>
      <c r="CJ22" s="4">
        <v>1.2011999999999999E-3</v>
      </c>
      <c r="CK22" s="4">
        <v>1.1846000000000001E-3</v>
      </c>
      <c r="CL22" s="4">
        <v>1.1681E-3</v>
      </c>
      <c r="CM22" s="4">
        <v>1.1519E-3</v>
      </c>
      <c r="CN22" s="4">
        <v>1.1359E-3</v>
      </c>
      <c r="CO22" s="4">
        <v>1.1201E-3</v>
      </c>
      <c r="CP22" s="4">
        <v>1.1046000000000001E-3</v>
      </c>
      <c r="CQ22" s="4">
        <v>1.0892E-3</v>
      </c>
      <c r="CR22" s="4">
        <v>1.0740000000000001E-3</v>
      </c>
      <c r="CS22" s="4">
        <v>1.0591000000000001E-3</v>
      </c>
      <c r="CT22" s="4">
        <v>1.0443E-3</v>
      </c>
      <c r="CU22" s="4">
        <v>1.0296999999999999E-3</v>
      </c>
      <c r="CV22" s="4">
        <v>1.0153E-3</v>
      </c>
      <c r="CW22" s="4">
        <v>1.0012E-3</v>
      </c>
      <c r="CX22" s="4">
        <v>9.8719999999999993E-4</v>
      </c>
      <c r="CY22" s="4">
        <v>9.7340000000000002E-4</v>
      </c>
      <c r="CZ22" s="4">
        <v>9.5969999999999996E-4</v>
      </c>
      <c r="DA22" s="4">
        <v>9.4629999999999996E-4</v>
      </c>
      <c r="DB22" s="4">
        <v>9.3300000000000002E-4</v>
      </c>
      <c r="DC22" s="4">
        <v>9.2000000000000003E-4</v>
      </c>
      <c r="DD22" s="4">
        <v>9.0709999999999999E-4</v>
      </c>
      <c r="DE22" s="4">
        <v>8.943E-4</v>
      </c>
      <c r="DF22" s="4">
        <v>8.8179999999999997E-4</v>
      </c>
      <c r="DG22" s="4">
        <v>8.6939999999999999E-4</v>
      </c>
      <c r="DH22" s="4">
        <v>8.5720000000000002E-4</v>
      </c>
      <c r="DI22" s="4">
        <v>8.451E-4</v>
      </c>
      <c r="DJ22" s="4">
        <v>8.3319999999999998E-4</v>
      </c>
      <c r="DK22" s="4">
        <v>8.2149999999999996E-4</v>
      </c>
      <c r="DL22" s="4">
        <v>8.0990000000000001E-4</v>
      </c>
      <c r="DM22" s="4">
        <v>7.9849999999999995E-4</v>
      </c>
      <c r="DN22" s="4">
        <v>7.873E-4</v>
      </c>
      <c r="DO22" s="4">
        <v>7.762E-4</v>
      </c>
      <c r="DP22" s="4">
        <v>7.6519999999999995E-4</v>
      </c>
      <c r="DQ22" s="4">
        <v>5.3157299999999998E-2</v>
      </c>
      <c r="DR22" s="4">
        <v>0</v>
      </c>
      <c r="DS22" s="4">
        <v>5.94E-5</v>
      </c>
      <c r="DT22" s="4">
        <v>1.9120000000000001E-4</v>
      </c>
      <c r="DU22" s="4">
        <v>6.2660000000000005E-4</v>
      </c>
      <c r="DV22" s="4">
        <v>6.7469999999999997E-4</v>
      </c>
      <c r="DW22" s="4">
        <v>6.5700000000000003E-4</v>
      </c>
      <c r="DX22" s="4">
        <v>6.3849999999999996E-4</v>
      </c>
      <c r="DY22" s="4">
        <v>5.6400000000000005E-4</v>
      </c>
      <c r="DZ22" s="4">
        <v>5.0920000000000002E-4</v>
      </c>
      <c r="EA22" s="4">
        <v>4.507E-4</v>
      </c>
      <c r="EB22" s="4">
        <v>3.9960000000000001E-4</v>
      </c>
      <c r="EC22" s="4">
        <v>3.3849999999999999E-4</v>
      </c>
      <c r="ED22" s="4">
        <v>2.8170000000000002E-4</v>
      </c>
      <c r="EE22" s="4">
        <v>2.152E-4</v>
      </c>
      <c r="EF22" s="4">
        <v>2.3220000000000001E-4</v>
      </c>
      <c r="EG22" s="4">
        <v>2.0809999999999999E-4</v>
      </c>
      <c r="EH22" s="4">
        <v>1.8929999999999999E-4</v>
      </c>
      <c r="EI22" s="4">
        <v>1.729E-4</v>
      </c>
      <c r="EJ22" s="4">
        <v>1.5890000000000001E-4</v>
      </c>
      <c r="EK22" s="4">
        <v>1.4650000000000001E-4</v>
      </c>
      <c r="EL22" s="4">
        <v>1.3549999999999999E-4</v>
      </c>
      <c r="EM22" s="4">
        <v>1.2559999999999999E-4</v>
      </c>
      <c r="EN22" s="4">
        <v>1.1680000000000001E-4</v>
      </c>
      <c r="EO22" s="4">
        <v>1.089E-4</v>
      </c>
      <c r="EP22" s="4">
        <v>1.0170000000000001E-4</v>
      </c>
      <c r="EQ22" s="4">
        <v>9.5299999999999999E-5</v>
      </c>
      <c r="ER22" s="4">
        <v>8.9599999999999996E-5</v>
      </c>
      <c r="ES22" s="4">
        <v>8.4300000000000003E-5</v>
      </c>
      <c r="ET22" s="4">
        <v>7.9599999999999997E-5</v>
      </c>
      <c r="EU22" s="4">
        <v>7.5300000000000001E-5</v>
      </c>
      <c r="EV22" s="4">
        <v>7.1400000000000001E-5</v>
      </c>
      <c r="EW22" s="4">
        <v>6.7799999999999995E-5</v>
      </c>
      <c r="EX22" s="4">
        <v>6.4499999999999996E-5</v>
      </c>
      <c r="EY22" s="4">
        <v>6.1400000000000002E-5</v>
      </c>
      <c r="EZ22" s="4">
        <v>5.8600000000000001E-5</v>
      </c>
      <c r="FA22" s="4">
        <v>5.5999999999999999E-5</v>
      </c>
      <c r="FB22" s="4">
        <v>5.3499999999999999E-5</v>
      </c>
      <c r="FC22" s="4">
        <v>5.1199999999999998E-5</v>
      </c>
      <c r="FD22" s="4">
        <v>4.9100000000000001E-5</v>
      </c>
      <c r="FE22" s="4">
        <v>4.71E-5</v>
      </c>
      <c r="FF22" s="4">
        <v>4.5300000000000003E-5</v>
      </c>
      <c r="FG22" s="4">
        <v>4.3600000000000003E-5</v>
      </c>
      <c r="FH22" s="4">
        <v>4.1999999999999998E-5</v>
      </c>
      <c r="FI22" s="4">
        <v>4.0500000000000002E-5</v>
      </c>
      <c r="FJ22" s="4">
        <v>3.8999999999999999E-5</v>
      </c>
      <c r="FK22" s="4">
        <v>3.7700000000000002E-5</v>
      </c>
      <c r="FL22" s="4">
        <v>3.65E-5</v>
      </c>
      <c r="FM22" s="4">
        <v>3.5299999999999997E-5</v>
      </c>
      <c r="FN22" s="4">
        <v>3.43E-5</v>
      </c>
      <c r="FO22" s="4">
        <v>3.3300000000000003E-5</v>
      </c>
      <c r="FP22" s="4">
        <v>3.2299999999999999E-5</v>
      </c>
      <c r="FQ22" s="4">
        <v>3.1399999999999998E-5</v>
      </c>
      <c r="FR22" s="4">
        <v>3.0599999999999998E-5</v>
      </c>
      <c r="FS22" s="4">
        <v>2.9799999999999999E-5</v>
      </c>
      <c r="FT22" s="4">
        <v>2.9099999999999999E-5</v>
      </c>
      <c r="FU22" s="4">
        <v>2.8399999999999999E-5</v>
      </c>
      <c r="FV22" s="4">
        <v>2.7699999999999999E-5</v>
      </c>
      <c r="FW22" s="4">
        <v>2.7100000000000001E-5</v>
      </c>
      <c r="FX22" s="4">
        <v>2.65E-5</v>
      </c>
      <c r="FY22" s="4">
        <v>2.5899999999999999E-5</v>
      </c>
      <c r="FZ22" s="4">
        <v>2.5400000000000001E-5</v>
      </c>
      <c r="GA22" s="4">
        <v>2.4899999999999999E-5</v>
      </c>
      <c r="GB22" s="4">
        <v>2.44E-5</v>
      </c>
      <c r="GC22" s="4">
        <v>2.4000000000000001E-5</v>
      </c>
      <c r="GD22" s="4">
        <v>2.3499999999999999E-5</v>
      </c>
      <c r="GE22" s="4">
        <v>2.3099999999999999E-5</v>
      </c>
      <c r="GF22" s="4">
        <v>2.27E-5</v>
      </c>
      <c r="GG22" s="4">
        <v>2.23E-5</v>
      </c>
      <c r="GH22" s="4">
        <v>2.19E-5</v>
      </c>
      <c r="GI22" s="4">
        <v>2.16E-5</v>
      </c>
      <c r="GJ22" s="4">
        <v>2.12E-5</v>
      </c>
      <c r="GK22" s="4">
        <v>2.09E-5</v>
      </c>
      <c r="GL22" s="4">
        <v>2.0599999999999999E-5</v>
      </c>
      <c r="GM22" s="4">
        <v>2.0299999999999999E-5</v>
      </c>
      <c r="GN22" s="4">
        <v>2.0000000000000002E-5</v>
      </c>
      <c r="GO22" s="4">
        <v>1.9700000000000001E-5</v>
      </c>
      <c r="GP22" s="4">
        <v>1.9400000000000001E-5</v>
      </c>
      <c r="GQ22" s="4">
        <v>1.91E-5</v>
      </c>
      <c r="GR22" s="4">
        <v>1.88E-5</v>
      </c>
      <c r="GS22" s="4">
        <v>1.8499999999999999E-5</v>
      </c>
      <c r="GT22" s="4">
        <v>1.8300000000000001E-5</v>
      </c>
      <c r="GU22" s="4">
        <v>1.8E-5</v>
      </c>
      <c r="GV22" s="4">
        <v>1.7799999999999999E-5</v>
      </c>
      <c r="GW22" s="4">
        <v>1.7499999999999998E-5</v>
      </c>
      <c r="GX22" s="4">
        <v>1.73E-5</v>
      </c>
      <c r="GY22" s="4">
        <v>1.7E-5</v>
      </c>
      <c r="GZ22" s="4">
        <v>1.6799999999999998E-5</v>
      </c>
      <c r="HA22" s="4">
        <v>1.66E-5</v>
      </c>
      <c r="HB22" s="4">
        <v>1.63E-5</v>
      </c>
      <c r="HC22" s="4">
        <v>1.6099999999999998E-5</v>
      </c>
      <c r="HD22" s="4">
        <v>1.59E-5</v>
      </c>
      <c r="HE22" s="4">
        <v>1.5699999999999999E-5</v>
      </c>
      <c r="HF22" s="4">
        <v>1.5500000000000001E-5</v>
      </c>
      <c r="HG22" s="4">
        <v>1.5299999999999999E-5</v>
      </c>
      <c r="HH22" s="4">
        <v>1.5099999999999999E-5</v>
      </c>
      <c r="HI22" s="4">
        <v>1.4800000000000001E-5</v>
      </c>
      <c r="HJ22" s="4">
        <v>1.4600000000000001E-5</v>
      </c>
      <c r="HK22" s="4">
        <v>1.4399999999999999E-5</v>
      </c>
      <c r="HL22" s="4">
        <v>1.43E-5</v>
      </c>
      <c r="HM22" s="4">
        <v>1.4100000000000001E-5</v>
      </c>
      <c r="HN22" s="4">
        <v>1.3900000000000001E-5</v>
      </c>
      <c r="HO22" s="4">
        <v>1.3699999999999999E-5</v>
      </c>
      <c r="HP22" s="4">
        <v>1.3499999999999999E-5</v>
      </c>
      <c r="HQ22" s="4">
        <v>1.33E-5</v>
      </c>
      <c r="HR22" s="4">
        <v>1.31E-5</v>
      </c>
      <c r="HS22" s="4">
        <v>1.29E-5</v>
      </c>
      <c r="HT22" s="4">
        <v>1.2799999999999999E-5</v>
      </c>
      <c r="HU22" s="4">
        <v>1.26E-5</v>
      </c>
      <c r="HV22" s="4">
        <v>1.24E-5</v>
      </c>
      <c r="HW22" s="4">
        <v>1.2300000000000001E-5</v>
      </c>
      <c r="HX22" s="4">
        <v>1.2099999999999999E-5</v>
      </c>
      <c r="HY22" s="4">
        <v>1.19E-5</v>
      </c>
      <c r="HZ22" s="4">
        <v>1.1800000000000001E-5</v>
      </c>
      <c r="IA22" s="4">
        <v>1.1600000000000001E-5</v>
      </c>
      <c r="IB22" s="4">
        <v>1.1399999999999999E-5</v>
      </c>
      <c r="IC22" s="4">
        <v>1.13E-5</v>
      </c>
      <c r="ID22" s="4">
        <v>1.11E-5</v>
      </c>
      <c r="IE22" s="4">
        <v>1.1E-5</v>
      </c>
      <c r="IF22" s="4">
        <v>1.08E-5</v>
      </c>
      <c r="IG22" s="4">
        <v>7.5449999999999996E-4</v>
      </c>
      <c r="IH22" s="4"/>
      <c r="II22" s="4">
        <f t="shared" si="245"/>
        <v>0.116449619287582</v>
      </c>
      <c r="IJ22">
        <f t="shared" si="246"/>
        <v>0.35466238750000018</v>
      </c>
      <c r="IN22" s="4"/>
      <c r="IO22" s="4"/>
      <c r="IP22" s="4"/>
      <c r="IQ22" s="4"/>
      <c r="IR22" s="4"/>
      <c r="IS22" s="4"/>
      <c r="IT22" s="4"/>
      <c r="IU22" s="4"/>
      <c r="IV22" s="4"/>
    </row>
    <row r="23" spans="1:256" x14ac:dyDescent="0.35">
      <c r="A23" s="1">
        <v>15</v>
      </c>
      <c r="B23" s="4">
        <v>1.1099700000000001E-2</v>
      </c>
      <c r="C23" s="4">
        <v>1.1099700000000001E-2</v>
      </c>
      <c r="D23" s="4">
        <v>1.10402E-2</v>
      </c>
      <c r="E23" s="4">
        <v>1.0848999999999999E-2</v>
      </c>
      <c r="F23" s="4">
        <v>1.0222500000000001E-2</v>
      </c>
      <c r="G23" s="4">
        <v>9.5487000000000002E-3</v>
      </c>
      <c r="H23" s="4">
        <v>8.9350000000000002E-3</v>
      </c>
      <c r="I23" s="4">
        <v>8.3152999999999994E-3</v>
      </c>
      <c r="J23" s="4">
        <v>7.7678000000000001E-3</v>
      </c>
      <c r="K23" s="4">
        <v>7.2637999999999999E-3</v>
      </c>
      <c r="L23" s="4">
        <v>6.8018000000000002E-3</v>
      </c>
      <c r="M23" s="4">
        <v>6.3591999999999997E-3</v>
      </c>
      <c r="N23" s="4">
        <v>5.7374000000000001E-3</v>
      </c>
      <c r="O23" s="4">
        <v>5.0485E-3</v>
      </c>
      <c r="P23" s="4">
        <v>4.0534999999999998E-3</v>
      </c>
      <c r="Q23" s="4">
        <v>4.3965000000000002E-3</v>
      </c>
      <c r="R23" s="4">
        <v>4.2094000000000003E-3</v>
      </c>
      <c r="S23" s="4">
        <v>4.0622000000000002E-3</v>
      </c>
      <c r="T23" s="4">
        <v>3.9281000000000003E-3</v>
      </c>
      <c r="U23" s="4">
        <v>3.8089E-3</v>
      </c>
      <c r="V23" s="4">
        <v>3.6977999999999998E-3</v>
      </c>
      <c r="W23" s="4">
        <v>3.5944000000000002E-3</v>
      </c>
      <c r="X23" s="4">
        <v>3.4967000000000002E-3</v>
      </c>
      <c r="Y23" s="4">
        <v>3.4047999999999999E-3</v>
      </c>
      <c r="Z23" s="4">
        <v>3.3180000000000002E-3</v>
      </c>
      <c r="AA23" s="4">
        <v>3.2358E-3</v>
      </c>
      <c r="AB23" s="4">
        <v>3.1578999999999999E-3</v>
      </c>
      <c r="AC23" s="4">
        <v>3.0839000000000001E-3</v>
      </c>
      <c r="AD23" s="4">
        <v>3.0133999999999998E-3</v>
      </c>
      <c r="AE23" s="4">
        <v>2.9461999999999999E-3</v>
      </c>
      <c r="AF23" s="4">
        <v>2.882E-3</v>
      </c>
      <c r="AG23" s="4">
        <v>2.8205999999999999E-3</v>
      </c>
      <c r="AH23" s="4">
        <v>2.7618E-3</v>
      </c>
      <c r="AI23" s="4">
        <v>2.7054000000000002E-3</v>
      </c>
      <c r="AJ23" s="4">
        <v>2.6511999999999998E-3</v>
      </c>
      <c r="AK23" s="4">
        <v>2.5991999999999999E-3</v>
      </c>
      <c r="AL23" s="4">
        <v>2.5493E-3</v>
      </c>
      <c r="AM23" s="4">
        <v>2.5011999999999999E-3</v>
      </c>
      <c r="AN23" s="4">
        <v>2.4548E-3</v>
      </c>
      <c r="AO23" s="4">
        <v>2.4101999999999999E-3</v>
      </c>
      <c r="AP23" s="4">
        <v>2.3671999999999999E-3</v>
      </c>
      <c r="AQ23" s="4">
        <v>2.3256000000000001E-3</v>
      </c>
      <c r="AR23" s="4">
        <v>2.2855000000000002E-3</v>
      </c>
      <c r="AS23" s="4">
        <v>2.2466000000000001E-3</v>
      </c>
      <c r="AT23" s="4">
        <v>2.2090999999999999E-3</v>
      </c>
      <c r="AU23" s="4">
        <v>2.1727000000000001E-3</v>
      </c>
      <c r="AV23" s="4">
        <v>2.1373999999999998E-3</v>
      </c>
      <c r="AW23" s="4">
        <v>2.1031000000000001E-3</v>
      </c>
      <c r="AX23" s="4">
        <v>2.0699E-3</v>
      </c>
      <c r="AY23" s="4">
        <v>2.0374999999999998E-3</v>
      </c>
      <c r="AZ23" s="4">
        <v>2.006E-3</v>
      </c>
      <c r="BA23" s="4">
        <v>1.9753000000000001E-3</v>
      </c>
      <c r="BB23" s="4">
        <v>1.9453999999999999E-3</v>
      </c>
      <c r="BC23" s="4">
        <v>1.9162000000000001E-3</v>
      </c>
      <c r="BD23" s="4">
        <v>1.8877E-3</v>
      </c>
      <c r="BE23" s="4">
        <v>1.8598E-3</v>
      </c>
      <c r="BF23" s="4">
        <v>1.8326E-3</v>
      </c>
      <c r="BG23" s="4">
        <v>1.8059E-3</v>
      </c>
      <c r="BH23" s="4">
        <v>1.7798E-3</v>
      </c>
      <c r="BI23" s="4">
        <v>1.7542E-3</v>
      </c>
      <c r="BJ23" s="4">
        <v>1.7290999999999999E-3</v>
      </c>
      <c r="BK23" s="4">
        <v>1.7045000000000001E-3</v>
      </c>
      <c r="BL23" s="4">
        <v>1.6803E-3</v>
      </c>
      <c r="BM23" s="4">
        <v>1.6565E-3</v>
      </c>
      <c r="BN23" s="4">
        <v>1.6332E-3</v>
      </c>
      <c r="BO23" s="4">
        <v>1.6103000000000001E-3</v>
      </c>
      <c r="BP23" s="4">
        <v>1.5877E-3</v>
      </c>
      <c r="BQ23" s="4">
        <v>1.5656000000000001E-3</v>
      </c>
      <c r="BR23" s="4">
        <v>1.5437000000000001E-3</v>
      </c>
      <c r="BS23" s="4">
        <v>1.5223000000000001E-3</v>
      </c>
      <c r="BT23" s="4">
        <v>1.5011E-3</v>
      </c>
      <c r="BU23" s="4">
        <v>1.4802999999999999E-3</v>
      </c>
      <c r="BV23" s="4">
        <v>1.4598E-3</v>
      </c>
      <c r="BW23" s="4">
        <v>1.4395E-3</v>
      </c>
      <c r="BX23" s="4">
        <v>1.4196E-3</v>
      </c>
      <c r="BY23" s="4">
        <v>1.4E-3</v>
      </c>
      <c r="BZ23" s="4">
        <v>1.3806000000000001E-3</v>
      </c>
      <c r="CA23" s="4">
        <v>1.3615000000000001E-3</v>
      </c>
      <c r="CB23" s="4">
        <v>1.3427000000000001E-3</v>
      </c>
      <c r="CC23" s="4">
        <v>1.3242E-3</v>
      </c>
      <c r="CD23" s="4">
        <v>1.3058E-3</v>
      </c>
      <c r="CE23" s="4">
        <v>1.2878E-3</v>
      </c>
      <c r="CF23" s="4">
        <v>1.2700000000000001E-3</v>
      </c>
      <c r="CG23" s="4">
        <v>1.2524000000000001E-3</v>
      </c>
      <c r="CH23" s="4">
        <v>1.2351E-3</v>
      </c>
      <c r="CI23" s="4">
        <v>1.2179999999999999E-3</v>
      </c>
      <c r="CJ23" s="4">
        <v>1.2011000000000001E-3</v>
      </c>
      <c r="CK23" s="4">
        <v>1.1843999999999999E-3</v>
      </c>
      <c r="CL23" s="4">
        <v>1.168E-3</v>
      </c>
      <c r="CM23" s="4">
        <v>1.1517999999999999E-3</v>
      </c>
      <c r="CN23" s="4">
        <v>1.1358E-3</v>
      </c>
      <c r="CO23" s="4">
        <v>1.1199999999999999E-3</v>
      </c>
      <c r="CP23" s="4">
        <v>1.1045E-3</v>
      </c>
      <c r="CQ23" s="4">
        <v>1.0891E-3</v>
      </c>
      <c r="CR23" s="4">
        <v>1.0739E-3</v>
      </c>
      <c r="CS23" s="4">
        <v>1.059E-3</v>
      </c>
      <c r="CT23" s="4">
        <v>1.0441999999999999E-3</v>
      </c>
      <c r="CU23" s="4">
        <v>1.0296000000000001E-3</v>
      </c>
      <c r="CV23" s="4">
        <v>1.0153E-3</v>
      </c>
      <c r="CW23" s="4">
        <v>1.0011E-3</v>
      </c>
      <c r="CX23" s="4">
        <v>9.8710000000000009E-4</v>
      </c>
      <c r="CY23" s="4">
        <v>9.7329999999999997E-4</v>
      </c>
      <c r="CZ23" s="4">
        <v>9.5969999999999996E-4</v>
      </c>
      <c r="DA23" s="4">
        <v>9.4620000000000001E-4</v>
      </c>
      <c r="DB23" s="4">
        <v>9.3300000000000002E-4</v>
      </c>
      <c r="DC23" s="4">
        <v>9.1989999999999997E-4</v>
      </c>
      <c r="DD23" s="4">
        <v>9.0700000000000004E-4</v>
      </c>
      <c r="DE23" s="4">
        <v>8.943E-4</v>
      </c>
      <c r="DF23" s="4">
        <v>8.8170000000000002E-4</v>
      </c>
      <c r="DG23" s="4">
        <v>8.6930000000000004E-4</v>
      </c>
      <c r="DH23" s="4">
        <v>8.5709999999999996E-4</v>
      </c>
      <c r="DI23" s="4">
        <v>8.451E-4</v>
      </c>
      <c r="DJ23" s="4">
        <v>8.3319999999999998E-4</v>
      </c>
      <c r="DK23" s="4">
        <v>8.2149999999999996E-4</v>
      </c>
      <c r="DL23" s="4">
        <v>8.0990000000000001E-4</v>
      </c>
      <c r="DM23" s="4">
        <v>7.9849999999999995E-4</v>
      </c>
      <c r="DN23" s="4">
        <v>7.8720000000000005E-4</v>
      </c>
      <c r="DO23" s="4">
        <v>7.7610000000000005E-4</v>
      </c>
      <c r="DP23" s="4">
        <v>7.6519999999999995E-4</v>
      </c>
      <c r="DQ23" s="4">
        <v>5.3157200000000002E-2</v>
      </c>
      <c r="DR23" s="4">
        <v>0</v>
      </c>
      <c r="DS23" s="4">
        <v>5.94E-5</v>
      </c>
      <c r="DT23" s="4">
        <v>1.9139999999999999E-4</v>
      </c>
      <c r="DU23" s="4">
        <v>6.2710000000000001E-4</v>
      </c>
      <c r="DV23" s="4">
        <v>6.7500000000000004E-4</v>
      </c>
      <c r="DW23" s="4">
        <v>6.1530000000000005E-4</v>
      </c>
      <c r="DX23" s="4">
        <v>6.2049999999999996E-4</v>
      </c>
      <c r="DY23" s="4">
        <v>5.4569999999999998E-4</v>
      </c>
      <c r="DZ23" s="4">
        <v>4.9819999999999997E-4</v>
      </c>
      <c r="EA23" s="4">
        <v>4.4030000000000002E-4</v>
      </c>
      <c r="EB23" s="4">
        <v>3.927E-4</v>
      </c>
      <c r="EC23" s="4">
        <v>3.4840000000000001E-4</v>
      </c>
      <c r="ED23" s="4">
        <v>2.9690000000000001E-4</v>
      </c>
      <c r="EE23" s="4">
        <v>2.4790000000000001E-4</v>
      </c>
      <c r="EF23" s="4">
        <v>1.9000000000000001E-4</v>
      </c>
      <c r="EG23" s="4">
        <v>2.0460000000000001E-4</v>
      </c>
      <c r="EH23" s="4">
        <v>1.8450000000000001E-4</v>
      </c>
      <c r="EI23" s="4">
        <v>1.6860000000000001E-4</v>
      </c>
      <c r="EJ23" s="4">
        <v>1.5469999999999999E-4</v>
      </c>
      <c r="EK23" s="4">
        <v>1.428E-4</v>
      </c>
      <c r="EL23" s="4">
        <v>1.3210000000000001E-4</v>
      </c>
      <c r="EM23" s="4">
        <v>1.227E-4</v>
      </c>
      <c r="EN23" s="4">
        <v>1.142E-4</v>
      </c>
      <c r="EO23" s="4">
        <v>1.065E-4</v>
      </c>
      <c r="EP23" s="4">
        <v>9.9699999999999998E-5</v>
      </c>
      <c r="EQ23" s="4">
        <v>9.3499999999999996E-5</v>
      </c>
      <c r="ER23" s="4">
        <v>8.7899999999999995E-5</v>
      </c>
      <c r="ES23" s="4">
        <v>8.2899999999999996E-5</v>
      </c>
      <c r="ET23" s="4">
        <v>7.8300000000000006E-5</v>
      </c>
      <c r="EU23" s="4">
        <v>7.4200000000000001E-5</v>
      </c>
      <c r="EV23" s="4">
        <v>7.0400000000000004E-5</v>
      </c>
      <c r="EW23" s="4">
        <v>6.69E-5</v>
      </c>
      <c r="EX23" s="4">
        <v>6.3700000000000003E-5</v>
      </c>
      <c r="EY23" s="4">
        <v>6.0699999999999998E-5</v>
      </c>
      <c r="EZ23" s="4">
        <v>5.7899999999999998E-5</v>
      </c>
      <c r="FA23" s="4">
        <v>5.5399999999999998E-5</v>
      </c>
      <c r="FB23" s="4">
        <v>5.3000000000000001E-5</v>
      </c>
      <c r="FC23" s="4">
        <v>5.0800000000000002E-5</v>
      </c>
      <c r="FD23" s="4">
        <v>4.8699999999999998E-5</v>
      </c>
      <c r="FE23" s="4">
        <v>4.6799999999999999E-5</v>
      </c>
      <c r="FF23" s="4">
        <v>4.5000000000000003E-5</v>
      </c>
      <c r="FG23" s="4">
        <v>4.3300000000000002E-5</v>
      </c>
      <c r="FH23" s="4">
        <v>4.1699999999999997E-5</v>
      </c>
      <c r="FI23" s="4">
        <v>4.0200000000000001E-5</v>
      </c>
      <c r="FJ23" s="4">
        <v>3.8800000000000001E-5</v>
      </c>
      <c r="FK23" s="4">
        <v>3.7499999999999997E-5</v>
      </c>
      <c r="FL23" s="4">
        <v>3.6300000000000001E-5</v>
      </c>
      <c r="FM23" s="4">
        <v>3.5200000000000002E-5</v>
      </c>
      <c r="FN23" s="4">
        <v>3.4100000000000002E-5</v>
      </c>
      <c r="FO23" s="4">
        <v>3.3099999999999998E-5</v>
      </c>
      <c r="FP23" s="4">
        <v>3.2199999999999997E-5</v>
      </c>
      <c r="FQ23" s="4">
        <v>3.1300000000000002E-5</v>
      </c>
      <c r="FR23" s="4">
        <v>3.0499999999999999E-5</v>
      </c>
      <c r="FS23" s="4">
        <v>2.97E-5</v>
      </c>
      <c r="FT23" s="4">
        <v>2.9E-5</v>
      </c>
      <c r="FU23" s="4">
        <v>2.83E-5</v>
      </c>
      <c r="FV23" s="4">
        <v>2.76E-5</v>
      </c>
      <c r="FW23" s="4">
        <v>2.6999999999999999E-5</v>
      </c>
      <c r="FX23" s="4">
        <v>2.6400000000000001E-5</v>
      </c>
      <c r="FY23" s="4">
        <v>2.5899999999999999E-5</v>
      </c>
      <c r="FZ23" s="4">
        <v>2.5400000000000001E-5</v>
      </c>
      <c r="GA23" s="4">
        <v>2.4899999999999999E-5</v>
      </c>
      <c r="GB23" s="4">
        <v>2.44E-5</v>
      </c>
      <c r="GC23" s="4">
        <v>2.3900000000000002E-5</v>
      </c>
      <c r="GD23" s="4">
        <v>2.3499999999999999E-5</v>
      </c>
      <c r="GE23" s="4">
        <v>2.3099999999999999E-5</v>
      </c>
      <c r="GF23" s="4">
        <v>2.27E-5</v>
      </c>
      <c r="GG23" s="4">
        <v>2.23E-5</v>
      </c>
      <c r="GH23" s="4">
        <v>2.19E-5</v>
      </c>
      <c r="GI23" s="4">
        <v>2.16E-5</v>
      </c>
      <c r="GJ23" s="4">
        <v>2.12E-5</v>
      </c>
      <c r="GK23" s="4">
        <v>2.09E-5</v>
      </c>
      <c r="GL23" s="4">
        <v>2.0599999999999999E-5</v>
      </c>
      <c r="GM23" s="4">
        <v>2.02E-5</v>
      </c>
      <c r="GN23" s="4">
        <v>1.9899999999999999E-5</v>
      </c>
      <c r="GO23" s="4">
        <v>1.9599999999999999E-5</v>
      </c>
      <c r="GP23" s="4">
        <v>1.9400000000000001E-5</v>
      </c>
      <c r="GQ23" s="4">
        <v>1.91E-5</v>
      </c>
      <c r="GR23" s="4">
        <v>1.88E-5</v>
      </c>
      <c r="GS23" s="4">
        <v>1.8499999999999999E-5</v>
      </c>
      <c r="GT23" s="4">
        <v>1.8300000000000001E-5</v>
      </c>
      <c r="GU23" s="4">
        <v>1.8E-5</v>
      </c>
      <c r="GV23" s="4">
        <v>1.7799999999999999E-5</v>
      </c>
      <c r="GW23" s="4">
        <v>1.7499999999999998E-5</v>
      </c>
      <c r="GX23" s="4">
        <v>1.73E-5</v>
      </c>
      <c r="GY23" s="4">
        <v>1.7E-5</v>
      </c>
      <c r="GZ23" s="4">
        <v>1.6799999999999998E-5</v>
      </c>
      <c r="HA23" s="4">
        <v>1.66E-5</v>
      </c>
      <c r="HB23" s="4">
        <v>1.63E-5</v>
      </c>
      <c r="HC23" s="4">
        <v>1.6099999999999998E-5</v>
      </c>
      <c r="HD23" s="4">
        <v>1.59E-5</v>
      </c>
      <c r="HE23" s="4">
        <v>1.5699999999999999E-5</v>
      </c>
      <c r="HF23" s="4">
        <v>1.5500000000000001E-5</v>
      </c>
      <c r="HG23" s="4">
        <v>1.5299999999999999E-5</v>
      </c>
      <c r="HH23" s="4">
        <v>1.5E-5</v>
      </c>
      <c r="HI23" s="4">
        <v>1.4800000000000001E-5</v>
      </c>
      <c r="HJ23" s="4">
        <v>1.4600000000000001E-5</v>
      </c>
      <c r="HK23" s="4">
        <v>1.4399999999999999E-5</v>
      </c>
      <c r="HL23" s="4">
        <v>1.42E-5</v>
      </c>
      <c r="HM23" s="4">
        <v>1.4100000000000001E-5</v>
      </c>
      <c r="HN23" s="4">
        <v>1.3900000000000001E-5</v>
      </c>
      <c r="HO23" s="4">
        <v>1.3699999999999999E-5</v>
      </c>
      <c r="HP23" s="4">
        <v>1.3499999999999999E-5</v>
      </c>
      <c r="HQ23" s="4">
        <v>1.33E-5</v>
      </c>
      <c r="HR23" s="4">
        <v>1.31E-5</v>
      </c>
      <c r="HS23" s="4">
        <v>1.29E-5</v>
      </c>
      <c r="HT23" s="4">
        <v>1.2799999999999999E-5</v>
      </c>
      <c r="HU23" s="4">
        <v>1.26E-5</v>
      </c>
      <c r="HV23" s="4">
        <v>1.24E-5</v>
      </c>
      <c r="HW23" s="4">
        <v>1.2300000000000001E-5</v>
      </c>
      <c r="HX23" s="4">
        <v>1.2099999999999999E-5</v>
      </c>
      <c r="HY23" s="4">
        <v>1.19E-5</v>
      </c>
      <c r="HZ23" s="4">
        <v>1.1800000000000001E-5</v>
      </c>
      <c r="IA23" s="4">
        <v>1.1600000000000001E-5</v>
      </c>
      <c r="IB23" s="4">
        <v>1.1399999999999999E-5</v>
      </c>
      <c r="IC23" s="4">
        <v>1.13E-5</v>
      </c>
      <c r="ID23" s="4">
        <v>1.11E-5</v>
      </c>
      <c r="IE23" s="4">
        <v>1.1E-5</v>
      </c>
      <c r="IF23" s="4">
        <v>1.08E-5</v>
      </c>
      <c r="IG23" s="4">
        <v>7.5449999999999996E-4</v>
      </c>
      <c r="IH23" s="4"/>
      <c r="II23" s="4">
        <f t="shared" si="245"/>
        <v>0.11663818946953616</v>
      </c>
      <c r="IJ23">
        <f t="shared" si="246"/>
        <v>0.35525500000000021</v>
      </c>
      <c r="IN23" s="4"/>
      <c r="IO23" s="4"/>
      <c r="IP23" s="4"/>
      <c r="IQ23" s="4"/>
      <c r="IR23" s="4"/>
      <c r="IS23" s="4"/>
      <c r="IT23" s="4"/>
      <c r="IU23" s="4"/>
      <c r="IV23" s="4"/>
    </row>
    <row r="24" spans="1:256" x14ac:dyDescent="0.35">
      <c r="A24" s="1">
        <v>16</v>
      </c>
      <c r="B24" s="4">
        <v>1.1099700000000001E-2</v>
      </c>
      <c r="C24" s="4">
        <v>1.1099700000000001E-2</v>
      </c>
      <c r="D24" s="4">
        <v>1.1040299999999999E-2</v>
      </c>
      <c r="E24" s="4">
        <v>1.08488E-2</v>
      </c>
      <c r="F24" s="4">
        <v>1.0221900000000001E-2</v>
      </c>
      <c r="G24" s="4">
        <v>9.5475000000000004E-3</v>
      </c>
      <c r="H24" s="4">
        <v>8.9335000000000005E-3</v>
      </c>
      <c r="I24" s="4">
        <v>8.3146000000000001E-3</v>
      </c>
      <c r="J24" s="4">
        <v>7.7695999999999998E-3</v>
      </c>
      <c r="K24" s="4">
        <v>7.2696000000000002E-3</v>
      </c>
      <c r="L24" s="4">
        <v>6.8234999999999997E-3</v>
      </c>
      <c r="M24" s="4">
        <v>6.4091E-3</v>
      </c>
      <c r="N24" s="4">
        <v>6.0108000000000002E-3</v>
      </c>
      <c r="O24" s="4">
        <v>5.4406000000000003E-3</v>
      </c>
      <c r="P24" s="4">
        <v>4.8006000000000004E-3</v>
      </c>
      <c r="Q24" s="4">
        <v>3.8633999999999999E-3</v>
      </c>
      <c r="R24" s="4">
        <v>4.1917999999999999E-3</v>
      </c>
      <c r="S24" s="4">
        <v>4.0248999999999997E-3</v>
      </c>
      <c r="T24" s="4">
        <v>3.8936000000000001E-3</v>
      </c>
      <c r="U24" s="4">
        <v>3.7732999999999998E-3</v>
      </c>
      <c r="V24" s="4">
        <v>3.6660999999999998E-3</v>
      </c>
      <c r="W24" s="4">
        <v>3.5655999999999999E-3</v>
      </c>
      <c r="X24" s="4">
        <v>3.4716999999999999E-3</v>
      </c>
      <c r="Y24" s="4">
        <v>3.3825999999999999E-3</v>
      </c>
      <c r="Z24" s="4">
        <v>3.2983000000000001E-3</v>
      </c>
      <c r="AA24" s="4">
        <v>3.2182999999999999E-3</v>
      </c>
      <c r="AB24" s="4">
        <v>3.1423000000000002E-3</v>
      </c>
      <c r="AC24" s="4">
        <v>3.0699999999999998E-3</v>
      </c>
      <c r="AD24" s="4">
        <v>3.0010000000000002E-3</v>
      </c>
      <c r="AE24" s="4">
        <v>2.9350999999999999E-3</v>
      </c>
      <c r="AF24" s="4">
        <v>2.872E-3</v>
      </c>
      <c r="AG24" s="4">
        <v>2.8116E-3</v>
      </c>
      <c r="AH24" s="4">
        <v>2.7537E-3</v>
      </c>
      <c r="AI24" s="4">
        <v>2.6981000000000002E-3</v>
      </c>
      <c r="AJ24" s="4">
        <v>2.6446999999999998E-3</v>
      </c>
      <c r="AK24" s="4">
        <v>2.5933000000000002E-3</v>
      </c>
      <c r="AL24" s="4">
        <v>2.5439E-3</v>
      </c>
      <c r="AM24" s="4">
        <v>2.4962999999999999E-3</v>
      </c>
      <c r="AN24" s="4">
        <v>2.4504000000000001E-3</v>
      </c>
      <c r="AO24" s="4">
        <v>2.4061E-3</v>
      </c>
      <c r="AP24" s="4">
        <v>2.3633999999999999E-3</v>
      </c>
      <c r="AQ24" s="4">
        <v>2.3222E-3</v>
      </c>
      <c r="AR24" s="4">
        <v>2.2823000000000001E-3</v>
      </c>
      <c r="AS24" s="4">
        <v>2.2437999999999998E-3</v>
      </c>
      <c r="AT24" s="4">
        <v>2.2063999999999999E-3</v>
      </c>
      <c r="AU24" s="4">
        <v>2.1702000000000002E-3</v>
      </c>
      <c r="AV24" s="4">
        <v>2.1351E-3</v>
      </c>
      <c r="AW24" s="4">
        <v>2.1010999999999998E-3</v>
      </c>
      <c r="AX24" s="4">
        <v>2.0679000000000001E-3</v>
      </c>
      <c r="AY24" s="4">
        <v>2.0357000000000001E-3</v>
      </c>
      <c r="AZ24" s="4">
        <v>2.0043999999999999E-3</v>
      </c>
      <c r="BA24" s="4">
        <v>1.9737999999999999E-3</v>
      </c>
      <c r="BB24" s="4">
        <v>1.944E-3</v>
      </c>
      <c r="BC24" s="4">
        <v>1.9149E-3</v>
      </c>
      <c r="BD24" s="4">
        <v>1.8864999999999999E-3</v>
      </c>
      <c r="BE24" s="4">
        <v>1.8587E-3</v>
      </c>
      <c r="BF24" s="4">
        <v>1.8315E-3</v>
      </c>
      <c r="BG24" s="4">
        <v>1.8048999999999999E-3</v>
      </c>
      <c r="BH24" s="4">
        <v>1.7788999999999999E-3</v>
      </c>
      <c r="BI24" s="4">
        <v>1.7533E-3</v>
      </c>
      <c r="BJ24" s="4">
        <v>1.7283000000000001E-3</v>
      </c>
      <c r="BK24" s="4">
        <v>1.7037E-3</v>
      </c>
      <c r="BL24" s="4">
        <v>1.6796000000000001E-3</v>
      </c>
      <c r="BM24" s="4">
        <v>1.6559000000000001E-3</v>
      </c>
      <c r="BN24" s="4">
        <v>1.6325999999999999E-3</v>
      </c>
      <c r="BO24" s="4">
        <v>1.6096999999999999E-3</v>
      </c>
      <c r="BP24" s="4">
        <v>1.5872E-3</v>
      </c>
      <c r="BQ24" s="4">
        <v>1.5651E-3</v>
      </c>
      <c r="BR24" s="4">
        <v>1.5433000000000001E-3</v>
      </c>
      <c r="BS24" s="4">
        <v>1.5218E-3</v>
      </c>
      <c r="BT24" s="4">
        <v>1.5007E-3</v>
      </c>
      <c r="BU24" s="4">
        <v>1.4798999999999999E-3</v>
      </c>
      <c r="BV24" s="4">
        <v>1.4594E-3</v>
      </c>
      <c r="BW24" s="4">
        <v>1.4392000000000001E-3</v>
      </c>
      <c r="BX24" s="4">
        <v>1.4193000000000001E-3</v>
      </c>
      <c r="BY24" s="4">
        <v>1.3997E-3</v>
      </c>
      <c r="BZ24" s="4">
        <v>1.3803000000000001E-3</v>
      </c>
      <c r="CA24" s="4">
        <v>1.3613E-3</v>
      </c>
      <c r="CB24" s="4">
        <v>1.3424999999999999E-3</v>
      </c>
      <c r="CC24" s="4">
        <v>1.3239E-3</v>
      </c>
      <c r="CD24" s="4">
        <v>1.3056000000000001E-3</v>
      </c>
      <c r="CE24" s="4">
        <v>1.2876000000000001E-3</v>
      </c>
      <c r="CF24" s="4">
        <v>1.2698E-3</v>
      </c>
      <c r="CG24" s="4">
        <v>1.2522E-3</v>
      </c>
      <c r="CH24" s="4">
        <v>1.2348999999999999E-3</v>
      </c>
      <c r="CI24" s="4">
        <v>1.2178E-3</v>
      </c>
      <c r="CJ24" s="4">
        <v>1.2009E-3</v>
      </c>
      <c r="CK24" s="4">
        <v>1.1842999999999999E-3</v>
      </c>
      <c r="CL24" s="4">
        <v>1.1678999999999999E-3</v>
      </c>
      <c r="CM24" s="4">
        <v>1.1517000000000001E-3</v>
      </c>
      <c r="CN24" s="4">
        <v>1.1356999999999999E-3</v>
      </c>
      <c r="CO24" s="4">
        <v>1.1199000000000001E-3</v>
      </c>
      <c r="CP24" s="4">
        <v>1.1044E-3</v>
      </c>
      <c r="CQ24" s="4">
        <v>1.0889999999999999E-3</v>
      </c>
      <c r="CR24" s="4">
        <v>1.0738E-3</v>
      </c>
      <c r="CS24" s="4">
        <v>1.0589E-3</v>
      </c>
      <c r="CT24" s="4">
        <v>1.0441000000000001E-3</v>
      </c>
      <c r="CU24" s="4">
        <v>1.0296000000000001E-3</v>
      </c>
      <c r="CV24" s="4">
        <v>1.0152E-3</v>
      </c>
      <c r="CW24" s="4">
        <v>1.0009999999999999E-3</v>
      </c>
      <c r="CX24" s="4">
        <v>9.8700000000000003E-4</v>
      </c>
      <c r="CY24" s="4">
        <v>9.7320000000000002E-4</v>
      </c>
      <c r="CZ24" s="4">
        <v>9.5960000000000001E-4</v>
      </c>
      <c r="DA24" s="4">
        <v>9.4620000000000001E-4</v>
      </c>
      <c r="DB24" s="4">
        <v>9.3289999999999996E-4</v>
      </c>
      <c r="DC24" s="4">
        <v>9.1989999999999997E-4</v>
      </c>
      <c r="DD24" s="4">
        <v>9.0700000000000004E-4</v>
      </c>
      <c r="DE24" s="4">
        <v>8.9420000000000005E-4</v>
      </c>
      <c r="DF24" s="4">
        <v>8.8170000000000002E-4</v>
      </c>
      <c r="DG24" s="4">
        <v>8.6930000000000004E-4</v>
      </c>
      <c r="DH24" s="4">
        <v>8.5709999999999996E-4</v>
      </c>
      <c r="DI24" s="4">
        <v>8.4500000000000005E-4</v>
      </c>
      <c r="DJ24" s="4">
        <v>8.3319999999999998E-4</v>
      </c>
      <c r="DK24" s="4">
        <v>8.2140000000000002E-4</v>
      </c>
      <c r="DL24" s="4">
        <v>8.0990000000000001E-4</v>
      </c>
      <c r="DM24" s="4">
        <v>7.9849999999999995E-4</v>
      </c>
      <c r="DN24" s="4">
        <v>7.8720000000000005E-4</v>
      </c>
      <c r="DO24" s="4">
        <v>7.7610000000000005E-4</v>
      </c>
      <c r="DP24" s="4">
        <v>7.6519999999999995E-4</v>
      </c>
      <c r="DQ24" s="4">
        <v>5.3157099999999999E-2</v>
      </c>
      <c r="DR24" s="4">
        <v>0</v>
      </c>
      <c r="DS24" s="4">
        <v>5.94E-5</v>
      </c>
      <c r="DT24" s="4">
        <v>1.917E-4</v>
      </c>
      <c r="DU24" s="4">
        <v>6.2770000000000002E-4</v>
      </c>
      <c r="DV24" s="4">
        <v>6.759E-4</v>
      </c>
      <c r="DW24" s="4">
        <v>6.1830000000000001E-4</v>
      </c>
      <c r="DX24" s="4">
        <v>6.2220000000000005E-4</v>
      </c>
      <c r="DY24" s="4">
        <v>5.4699999999999996E-4</v>
      </c>
      <c r="DZ24" s="4">
        <v>4.9899999999999999E-4</v>
      </c>
      <c r="EA24" s="4">
        <v>4.4129999999999999E-4</v>
      </c>
      <c r="EB24" s="4">
        <v>3.9389999999999998E-4</v>
      </c>
      <c r="EC24" s="4">
        <v>3.5060000000000001E-4</v>
      </c>
      <c r="ED24" s="4">
        <v>3.1260000000000001E-4</v>
      </c>
      <c r="EE24" s="4">
        <v>2.6729999999999999E-4</v>
      </c>
      <c r="EF24" s="4">
        <v>2.242E-4</v>
      </c>
      <c r="EG24" s="4">
        <v>1.7229999999999999E-4</v>
      </c>
      <c r="EH24" s="4">
        <v>1.8540000000000001E-4</v>
      </c>
      <c r="EI24" s="4">
        <v>1.6809999999999999E-4</v>
      </c>
      <c r="EJ24" s="4">
        <v>1.5430000000000001E-4</v>
      </c>
      <c r="EK24" s="4">
        <v>1.4219999999999999E-4</v>
      </c>
      <c r="EL24" s="4">
        <v>1.317E-4</v>
      </c>
      <c r="EM24" s="4">
        <v>1.2229999999999999E-4</v>
      </c>
      <c r="EN24" s="4">
        <v>1.139E-4</v>
      </c>
      <c r="EO24" s="4">
        <v>1.064E-4</v>
      </c>
      <c r="EP24" s="4">
        <v>9.9500000000000006E-5</v>
      </c>
      <c r="EQ24" s="4">
        <v>9.3399999999999993E-5</v>
      </c>
      <c r="ER24" s="4">
        <v>8.7800000000000006E-5</v>
      </c>
      <c r="ES24" s="4">
        <v>8.2799999999999993E-5</v>
      </c>
      <c r="ET24" s="4">
        <v>7.8200000000000003E-5</v>
      </c>
      <c r="EU24" s="4">
        <v>7.4099999999999999E-5</v>
      </c>
      <c r="EV24" s="4">
        <v>7.0300000000000001E-5</v>
      </c>
      <c r="EW24" s="4">
        <v>6.6799999999999997E-5</v>
      </c>
      <c r="EX24" s="4">
        <v>6.3600000000000001E-5</v>
      </c>
      <c r="EY24" s="4">
        <v>6.0600000000000003E-5</v>
      </c>
      <c r="EZ24" s="4">
        <v>5.7899999999999998E-5</v>
      </c>
      <c r="FA24" s="4">
        <v>5.5300000000000002E-5</v>
      </c>
      <c r="FB24" s="4">
        <v>5.2899999999999998E-5</v>
      </c>
      <c r="FC24" s="4">
        <v>5.0699999999999999E-5</v>
      </c>
      <c r="FD24" s="4">
        <v>4.8600000000000002E-5</v>
      </c>
      <c r="FE24" s="4">
        <v>4.6699999999999997E-5</v>
      </c>
      <c r="FF24" s="4">
        <v>4.49E-5</v>
      </c>
      <c r="FG24" s="4">
        <v>4.32E-5</v>
      </c>
      <c r="FH24" s="4">
        <v>4.1600000000000002E-5</v>
      </c>
      <c r="FI24" s="4">
        <v>4.0099999999999999E-5</v>
      </c>
      <c r="FJ24" s="4">
        <v>3.8800000000000001E-5</v>
      </c>
      <c r="FK24" s="4">
        <v>3.7499999999999997E-5</v>
      </c>
      <c r="FL24" s="4">
        <v>3.6300000000000001E-5</v>
      </c>
      <c r="FM24" s="4">
        <v>3.5099999999999999E-5</v>
      </c>
      <c r="FN24" s="4">
        <v>3.4100000000000002E-5</v>
      </c>
      <c r="FO24" s="4">
        <v>3.3099999999999998E-5</v>
      </c>
      <c r="FP24" s="4">
        <v>3.2100000000000001E-5</v>
      </c>
      <c r="FQ24" s="4">
        <v>3.1300000000000002E-5</v>
      </c>
      <c r="FR24" s="4">
        <v>3.04E-5</v>
      </c>
      <c r="FS24" s="4">
        <v>2.97E-5</v>
      </c>
      <c r="FT24" s="4">
        <v>2.8900000000000001E-5</v>
      </c>
      <c r="FU24" s="4">
        <v>2.8200000000000001E-5</v>
      </c>
      <c r="FV24" s="4">
        <v>2.76E-5</v>
      </c>
      <c r="FW24" s="4">
        <v>2.6999999999999999E-5</v>
      </c>
      <c r="FX24" s="4">
        <v>2.6400000000000001E-5</v>
      </c>
      <c r="FY24" s="4">
        <v>2.58E-5</v>
      </c>
      <c r="FZ24" s="4">
        <v>2.5299999999999998E-5</v>
      </c>
      <c r="GA24" s="4">
        <v>2.48E-5</v>
      </c>
      <c r="GB24" s="4">
        <v>2.4300000000000001E-5</v>
      </c>
      <c r="GC24" s="4">
        <v>2.3900000000000002E-5</v>
      </c>
      <c r="GD24" s="4">
        <v>2.3499999999999999E-5</v>
      </c>
      <c r="GE24" s="4">
        <v>2.3E-5</v>
      </c>
      <c r="GF24" s="4">
        <v>2.26E-5</v>
      </c>
      <c r="GG24" s="4">
        <v>2.23E-5</v>
      </c>
      <c r="GH24" s="4">
        <v>2.19E-5</v>
      </c>
      <c r="GI24" s="4">
        <v>2.1500000000000001E-5</v>
      </c>
      <c r="GJ24" s="4">
        <v>2.12E-5</v>
      </c>
      <c r="GK24" s="4">
        <v>2.09E-5</v>
      </c>
      <c r="GL24" s="4">
        <v>2.05E-5</v>
      </c>
      <c r="GM24" s="4">
        <v>2.02E-5</v>
      </c>
      <c r="GN24" s="4">
        <v>1.9899999999999999E-5</v>
      </c>
      <c r="GO24" s="4">
        <v>1.9599999999999999E-5</v>
      </c>
      <c r="GP24" s="4">
        <v>1.9300000000000002E-5</v>
      </c>
      <c r="GQ24" s="4">
        <v>1.91E-5</v>
      </c>
      <c r="GR24" s="4">
        <v>1.88E-5</v>
      </c>
      <c r="GS24" s="4">
        <v>1.8499999999999999E-5</v>
      </c>
      <c r="GT24" s="4">
        <v>1.8300000000000001E-5</v>
      </c>
      <c r="GU24" s="4">
        <v>1.8E-5</v>
      </c>
      <c r="GV24" s="4">
        <v>1.77E-5</v>
      </c>
      <c r="GW24" s="4">
        <v>1.7499999999999998E-5</v>
      </c>
      <c r="GX24" s="4">
        <v>1.73E-5</v>
      </c>
      <c r="GY24" s="4">
        <v>1.7E-5</v>
      </c>
      <c r="GZ24" s="4">
        <v>1.6799999999999998E-5</v>
      </c>
      <c r="HA24" s="4">
        <v>1.66E-5</v>
      </c>
      <c r="HB24" s="4">
        <v>1.63E-5</v>
      </c>
      <c r="HC24" s="4">
        <v>1.6099999999999998E-5</v>
      </c>
      <c r="HD24" s="4">
        <v>1.59E-5</v>
      </c>
      <c r="HE24" s="4">
        <v>1.5699999999999999E-5</v>
      </c>
      <c r="HF24" s="4">
        <v>1.5500000000000001E-5</v>
      </c>
      <c r="HG24" s="4">
        <v>1.5299999999999999E-5</v>
      </c>
      <c r="HH24" s="4">
        <v>1.5E-5</v>
      </c>
      <c r="HI24" s="4">
        <v>1.4800000000000001E-5</v>
      </c>
      <c r="HJ24" s="4">
        <v>1.4600000000000001E-5</v>
      </c>
      <c r="HK24" s="4">
        <v>1.4399999999999999E-5</v>
      </c>
      <c r="HL24" s="4">
        <v>1.42E-5</v>
      </c>
      <c r="HM24" s="4">
        <v>1.4100000000000001E-5</v>
      </c>
      <c r="HN24" s="4">
        <v>1.3900000000000001E-5</v>
      </c>
      <c r="HO24" s="4">
        <v>1.3699999999999999E-5</v>
      </c>
      <c r="HP24" s="4">
        <v>1.3499999999999999E-5</v>
      </c>
      <c r="HQ24" s="4">
        <v>1.33E-5</v>
      </c>
      <c r="HR24" s="4">
        <v>1.31E-5</v>
      </c>
      <c r="HS24" s="4">
        <v>1.29E-5</v>
      </c>
      <c r="HT24" s="4">
        <v>1.2799999999999999E-5</v>
      </c>
      <c r="HU24" s="4">
        <v>1.26E-5</v>
      </c>
      <c r="HV24" s="4">
        <v>1.24E-5</v>
      </c>
      <c r="HW24" s="4">
        <v>1.2300000000000001E-5</v>
      </c>
      <c r="HX24" s="4">
        <v>1.2099999999999999E-5</v>
      </c>
      <c r="HY24" s="4">
        <v>1.19E-5</v>
      </c>
      <c r="HZ24" s="4">
        <v>1.1800000000000001E-5</v>
      </c>
      <c r="IA24" s="4">
        <v>1.1600000000000001E-5</v>
      </c>
      <c r="IB24" s="4">
        <v>1.1399999999999999E-5</v>
      </c>
      <c r="IC24" s="4">
        <v>1.13E-5</v>
      </c>
      <c r="ID24" s="4">
        <v>1.11E-5</v>
      </c>
      <c r="IE24" s="4">
        <v>1.1E-5</v>
      </c>
      <c r="IF24" s="4">
        <v>1.08E-5</v>
      </c>
      <c r="IG24" s="4">
        <v>7.5460000000000002E-4</v>
      </c>
      <c r="IH24" s="4"/>
      <c r="II24" s="4">
        <f t="shared" si="245"/>
        <v>0.11690285470328876</v>
      </c>
      <c r="IJ24">
        <f t="shared" si="246"/>
        <v>0.35580054999999966</v>
      </c>
      <c r="IN24" s="4"/>
      <c r="IO24" s="4"/>
      <c r="IP24" s="4"/>
      <c r="IQ24" s="4"/>
      <c r="IR24" s="4"/>
      <c r="IS24" s="4"/>
      <c r="IT24" s="4"/>
      <c r="IU24" s="4"/>
      <c r="IV24" s="4"/>
    </row>
    <row r="25" spans="1:256" x14ac:dyDescent="0.35">
      <c r="A25" s="1">
        <v>17</v>
      </c>
      <c r="B25" s="4">
        <v>1.1099700000000001E-2</v>
      </c>
      <c r="C25" s="4">
        <v>1.1099700000000001E-2</v>
      </c>
      <c r="D25" s="4">
        <v>1.1040299999999999E-2</v>
      </c>
      <c r="E25" s="4">
        <v>1.0848500000000001E-2</v>
      </c>
      <c r="F25" s="4">
        <v>1.02211E-2</v>
      </c>
      <c r="G25" s="4">
        <v>9.5460000000000007E-3</v>
      </c>
      <c r="H25" s="4">
        <v>8.9291000000000006E-3</v>
      </c>
      <c r="I25" s="4">
        <v>8.3111999999999995E-3</v>
      </c>
      <c r="J25" s="4">
        <v>7.7676000000000004E-3</v>
      </c>
      <c r="K25" s="4">
        <v>7.2706000000000003E-3</v>
      </c>
      <c r="L25" s="4">
        <v>6.8282999999999998E-3</v>
      </c>
      <c r="M25" s="4">
        <v>6.4295999999999997E-3</v>
      </c>
      <c r="N25" s="4">
        <v>6.0584999999999996E-3</v>
      </c>
      <c r="O25" s="4">
        <v>5.6981999999999996E-3</v>
      </c>
      <c r="P25" s="4">
        <v>5.1732999999999996E-3</v>
      </c>
      <c r="Q25" s="4">
        <v>4.5764000000000004E-3</v>
      </c>
      <c r="R25" s="4">
        <v>3.6911000000000001E-3</v>
      </c>
      <c r="S25" s="4">
        <v>4.0064000000000002E-3</v>
      </c>
      <c r="T25" s="4">
        <v>3.8568000000000001E-3</v>
      </c>
      <c r="U25" s="4">
        <v>3.7391999999999998E-3</v>
      </c>
      <c r="V25" s="4">
        <v>3.6311E-3</v>
      </c>
      <c r="W25" s="4">
        <v>3.5344E-3</v>
      </c>
      <c r="X25" s="4">
        <v>3.4432999999999998E-3</v>
      </c>
      <c r="Y25" s="4">
        <v>3.3578000000000002E-3</v>
      </c>
      <c r="Z25" s="4">
        <v>3.2761999999999999E-3</v>
      </c>
      <c r="AA25" s="4">
        <v>3.1987000000000001E-3</v>
      </c>
      <c r="AB25" s="4">
        <v>3.1248999999999999E-3</v>
      </c>
      <c r="AC25" s="4">
        <v>3.0544999999999999E-3</v>
      </c>
      <c r="AD25" s="4">
        <v>2.9872000000000002E-3</v>
      </c>
      <c r="AE25" s="4">
        <v>2.9226999999999999E-3</v>
      </c>
      <c r="AF25" s="4">
        <v>2.8609999999999998E-3</v>
      </c>
      <c r="AG25" s="4">
        <v>2.8016999999999999E-3</v>
      </c>
      <c r="AH25" s="4">
        <v>2.7447999999999999E-3</v>
      </c>
      <c r="AI25" s="4">
        <v>2.6901E-3</v>
      </c>
      <c r="AJ25" s="4">
        <v>2.6375000000000001E-3</v>
      </c>
      <c r="AK25" s="4">
        <v>2.5868000000000002E-3</v>
      </c>
      <c r="AL25" s="4">
        <v>2.5379999999999999E-3</v>
      </c>
      <c r="AM25" s="4">
        <v>2.4908999999999999E-3</v>
      </c>
      <c r="AN25" s="4">
        <v>2.4455000000000002E-3</v>
      </c>
      <c r="AO25" s="4">
        <v>2.4017000000000001E-3</v>
      </c>
      <c r="AP25" s="4">
        <v>2.3594000000000002E-3</v>
      </c>
      <c r="AQ25" s="4">
        <v>2.3184999999999998E-3</v>
      </c>
      <c r="AR25" s="4">
        <v>2.2790000000000002E-3</v>
      </c>
      <c r="AS25" s="4">
        <v>2.2407E-3</v>
      </c>
      <c r="AT25" s="4">
        <v>2.2036E-3</v>
      </c>
      <c r="AU25" s="4">
        <v>2.1676999999999998E-3</v>
      </c>
      <c r="AV25" s="4">
        <v>2.1327999999999998E-3</v>
      </c>
      <c r="AW25" s="4">
        <v>2.0988999999999999E-3</v>
      </c>
      <c r="AX25" s="4">
        <v>2.0658999999999999E-3</v>
      </c>
      <c r="AY25" s="4">
        <v>2.0338999999999999E-3</v>
      </c>
      <c r="AZ25" s="4">
        <v>2.0027000000000001E-3</v>
      </c>
      <c r="BA25" s="4">
        <v>1.9721999999999999E-3</v>
      </c>
      <c r="BB25" s="4">
        <v>1.9425E-3</v>
      </c>
      <c r="BC25" s="4">
        <v>1.9135999999999999E-3</v>
      </c>
      <c r="BD25" s="4">
        <v>1.8852000000000001E-3</v>
      </c>
      <c r="BE25" s="4">
        <v>1.8576E-3</v>
      </c>
      <c r="BF25" s="4">
        <v>1.8305000000000001E-3</v>
      </c>
      <c r="BG25" s="4">
        <v>1.8039E-3</v>
      </c>
      <c r="BH25" s="4">
        <v>1.7780000000000001E-3</v>
      </c>
      <c r="BI25" s="4">
        <v>1.7524999999999999E-3</v>
      </c>
      <c r="BJ25" s="4">
        <v>1.7275000000000001E-3</v>
      </c>
      <c r="BK25" s="4">
        <v>1.7030000000000001E-3</v>
      </c>
      <c r="BL25" s="4">
        <v>1.6789000000000001E-3</v>
      </c>
      <c r="BM25" s="4">
        <v>1.6553E-3</v>
      </c>
      <c r="BN25" s="4">
        <v>1.632E-3</v>
      </c>
      <c r="BO25" s="4">
        <v>1.6092000000000001E-3</v>
      </c>
      <c r="BP25" s="4">
        <v>1.5866999999999999E-3</v>
      </c>
      <c r="BQ25" s="4">
        <v>1.5646E-3</v>
      </c>
      <c r="BR25" s="4">
        <v>1.5428E-3</v>
      </c>
      <c r="BS25" s="4">
        <v>1.5214E-3</v>
      </c>
      <c r="BT25" s="4">
        <v>1.5003E-3</v>
      </c>
      <c r="BU25" s="4">
        <v>1.4794999999999999E-3</v>
      </c>
      <c r="BV25" s="4">
        <v>1.459E-3</v>
      </c>
      <c r="BW25" s="4">
        <v>1.4388999999999999E-3</v>
      </c>
      <c r="BX25" s="4">
        <v>1.4189999999999999E-3</v>
      </c>
      <c r="BY25" s="4">
        <v>1.3994000000000001E-3</v>
      </c>
      <c r="BZ25" s="4">
        <v>1.3801E-3</v>
      </c>
      <c r="CA25" s="4">
        <v>1.361E-3</v>
      </c>
      <c r="CB25" s="4">
        <v>1.3422E-3</v>
      </c>
      <c r="CC25" s="4">
        <v>1.3236999999999999E-3</v>
      </c>
      <c r="CD25" s="4">
        <v>1.3054E-3</v>
      </c>
      <c r="CE25" s="4">
        <v>1.2874E-3</v>
      </c>
      <c r="CF25" s="4">
        <v>1.2696000000000001E-3</v>
      </c>
      <c r="CG25" s="4">
        <v>1.2520000000000001E-3</v>
      </c>
      <c r="CH25" s="4">
        <v>1.2347E-3</v>
      </c>
      <c r="CI25" s="4">
        <v>1.2176000000000001E-3</v>
      </c>
      <c r="CJ25" s="4">
        <v>1.2007999999999999E-3</v>
      </c>
      <c r="CK25" s="4">
        <v>1.1842000000000001E-3</v>
      </c>
      <c r="CL25" s="4">
        <v>1.1677E-3</v>
      </c>
      <c r="CM25" s="4">
        <v>1.1515E-3</v>
      </c>
      <c r="CN25" s="4">
        <v>1.1356000000000001E-3</v>
      </c>
      <c r="CO25" s="4">
        <v>1.1198E-3</v>
      </c>
      <c r="CP25" s="4">
        <v>1.1042000000000001E-3</v>
      </c>
      <c r="CQ25" s="4">
        <v>1.0889000000000001E-3</v>
      </c>
      <c r="CR25" s="4">
        <v>1.0736999999999999E-3</v>
      </c>
      <c r="CS25" s="4">
        <v>1.0587999999999999E-3</v>
      </c>
      <c r="CT25" s="4">
        <v>1.044E-3</v>
      </c>
      <c r="CU25" s="4">
        <v>1.0295E-3</v>
      </c>
      <c r="CV25" s="4">
        <v>1.0150999999999999E-3</v>
      </c>
      <c r="CW25" s="4">
        <v>1.0009999999999999E-3</v>
      </c>
      <c r="CX25" s="4">
        <v>9.8700000000000003E-4</v>
      </c>
      <c r="CY25" s="4">
        <v>9.7320000000000002E-4</v>
      </c>
      <c r="CZ25" s="4">
        <v>9.5960000000000001E-4</v>
      </c>
      <c r="DA25" s="4">
        <v>9.4609999999999996E-4</v>
      </c>
      <c r="DB25" s="4">
        <v>9.3289999999999996E-4</v>
      </c>
      <c r="DC25" s="4">
        <v>9.1980000000000002E-4</v>
      </c>
      <c r="DD25" s="4">
        <v>9.0689999999999998E-4</v>
      </c>
      <c r="DE25" s="4">
        <v>8.9420000000000005E-4</v>
      </c>
      <c r="DF25" s="4">
        <v>8.8170000000000002E-4</v>
      </c>
      <c r="DG25" s="4">
        <v>8.6930000000000004E-4</v>
      </c>
      <c r="DH25" s="4">
        <v>8.5709999999999996E-4</v>
      </c>
      <c r="DI25" s="4">
        <v>8.4500000000000005E-4</v>
      </c>
      <c r="DJ25" s="4">
        <v>8.3310000000000003E-4</v>
      </c>
      <c r="DK25" s="4">
        <v>8.2140000000000002E-4</v>
      </c>
      <c r="DL25" s="4">
        <v>8.0979999999999995E-4</v>
      </c>
      <c r="DM25" s="4">
        <v>7.984E-4</v>
      </c>
      <c r="DN25" s="4">
        <v>7.8720000000000005E-4</v>
      </c>
      <c r="DO25" s="4">
        <v>7.7610000000000005E-4</v>
      </c>
      <c r="DP25" s="4">
        <v>7.6519999999999995E-4</v>
      </c>
      <c r="DQ25" s="4">
        <v>5.31569E-2</v>
      </c>
      <c r="DR25" s="4">
        <v>0</v>
      </c>
      <c r="DS25" s="4">
        <v>5.94E-5</v>
      </c>
      <c r="DT25" s="4">
        <v>1.92E-4</v>
      </c>
      <c r="DU25" s="4">
        <v>6.9470000000000003E-4</v>
      </c>
      <c r="DV25" s="4">
        <v>6.9740000000000004E-4</v>
      </c>
      <c r="DW25" s="4">
        <v>6.3119999999999995E-4</v>
      </c>
      <c r="DX25" s="4">
        <v>6.3060000000000004E-4</v>
      </c>
      <c r="DY25" s="4">
        <v>5.53E-4</v>
      </c>
      <c r="DZ25" s="4">
        <v>5.0390000000000005E-4</v>
      </c>
      <c r="EA25" s="4">
        <v>4.4499999999999997E-4</v>
      </c>
      <c r="EB25" s="4">
        <v>3.968E-4</v>
      </c>
      <c r="EC25" s="4">
        <v>3.5300000000000002E-4</v>
      </c>
      <c r="ED25" s="4">
        <v>3.1530000000000002E-4</v>
      </c>
      <c r="EE25" s="4">
        <v>2.8140000000000001E-4</v>
      </c>
      <c r="EF25" s="4">
        <v>2.4149999999999999E-4</v>
      </c>
      <c r="EG25" s="4">
        <v>2.031E-4</v>
      </c>
      <c r="EH25" s="4">
        <v>1.5660000000000001E-4</v>
      </c>
      <c r="EI25" s="4">
        <v>1.682E-4</v>
      </c>
      <c r="EJ25" s="4">
        <v>1.5310000000000001E-4</v>
      </c>
      <c r="EK25" s="4">
        <v>1.4100000000000001E-4</v>
      </c>
      <c r="EL25" s="4">
        <v>1.303E-4</v>
      </c>
      <c r="EM25" s="4">
        <v>1.21E-4</v>
      </c>
      <c r="EN25" s="4">
        <v>1.127E-4</v>
      </c>
      <c r="EO25" s="4">
        <v>1.053E-4</v>
      </c>
      <c r="EP25" s="4">
        <v>9.8599999999999998E-5</v>
      </c>
      <c r="EQ25" s="4">
        <v>9.2499999999999999E-5</v>
      </c>
      <c r="ER25" s="4">
        <v>8.7100000000000003E-5</v>
      </c>
      <c r="ES25" s="4">
        <v>8.2100000000000003E-5</v>
      </c>
      <c r="ET25" s="4">
        <v>7.7600000000000002E-5</v>
      </c>
      <c r="EU25" s="4">
        <v>7.36E-5</v>
      </c>
      <c r="EV25" s="4">
        <v>6.9800000000000003E-5</v>
      </c>
      <c r="EW25" s="4">
        <v>6.6400000000000001E-5</v>
      </c>
      <c r="EX25" s="4">
        <v>6.3200000000000005E-5</v>
      </c>
      <c r="EY25" s="4">
        <v>6.0300000000000002E-5</v>
      </c>
      <c r="EZ25" s="4">
        <v>5.7599999999999997E-5</v>
      </c>
      <c r="FA25" s="4">
        <v>5.5099999999999998E-5</v>
      </c>
      <c r="FB25" s="4">
        <v>5.27E-5</v>
      </c>
      <c r="FC25" s="4">
        <v>5.0500000000000001E-5</v>
      </c>
      <c r="FD25" s="4">
        <v>4.85E-5</v>
      </c>
      <c r="FE25" s="4">
        <v>4.6499999999999999E-5</v>
      </c>
      <c r="FF25" s="4">
        <v>4.4700000000000002E-5</v>
      </c>
      <c r="FG25" s="4">
        <v>4.3099999999999997E-5</v>
      </c>
      <c r="FH25" s="4">
        <v>4.1499999999999999E-5</v>
      </c>
      <c r="FI25" s="4">
        <v>4.0000000000000003E-5</v>
      </c>
      <c r="FJ25" s="4">
        <v>3.8699999999999999E-5</v>
      </c>
      <c r="FK25" s="4">
        <v>3.7400000000000001E-5</v>
      </c>
      <c r="FL25" s="4">
        <v>3.6199999999999999E-5</v>
      </c>
      <c r="FM25" s="4">
        <v>3.5099999999999999E-5</v>
      </c>
      <c r="FN25" s="4">
        <v>3.4E-5</v>
      </c>
      <c r="FO25" s="4">
        <v>3.3000000000000003E-5</v>
      </c>
      <c r="FP25" s="4">
        <v>3.2100000000000001E-5</v>
      </c>
      <c r="FQ25" s="4">
        <v>3.1199999999999999E-5</v>
      </c>
      <c r="FR25" s="4">
        <v>3.04E-5</v>
      </c>
      <c r="FS25" s="4">
        <v>2.9600000000000001E-5</v>
      </c>
      <c r="FT25" s="4">
        <v>2.8900000000000001E-5</v>
      </c>
      <c r="FU25" s="4">
        <v>2.8200000000000001E-5</v>
      </c>
      <c r="FV25" s="4">
        <v>2.76E-5</v>
      </c>
      <c r="FW25" s="4">
        <v>2.6999999999999999E-5</v>
      </c>
      <c r="FX25" s="4">
        <v>2.6400000000000001E-5</v>
      </c>
      <c r="FY25" s="4">
        <v>2.58E-5</v>
      </c>
      <c r="FZ25" s="4">
        <v>2.5299999999999998E-5</v>
      </c>
      <c r="GA25" s="4">
        <v>2.48E-5</v>
      </c>
      <c r="GB25" s="4">
        <v>2.4300000000000001E-5</v>
      </c>
      <c r="GC25" s="4">
        <v>2.3900000000000002E-5</v>
      </c>
      <c r="GD25" s="4">
        <v>2.3499999999999999E-5</v>
      </c>
      <c r="GE25" s="4">
        <v>2.3E-5</v>
      </c>
      <c r="GF25" s="4">
        <v>2.26E-5</v>
      </c>
      <c r="GG25" s="4">
        <v>2.23E-5</v>
      </c>
      <c r="GH25" s="4">
        <v>2.19E-5</v>
      </c>
      <c r="GI25" s="4">
        <v>2.1500000000000001E-5</v>
      </c>
      <c r="GJ25" s="4">
        <v>2.12E-5</v>
      </c>
      <c r="GK25" s="4">
        <v>2.09E-5</v>
      </c>
      <c r="GL25" s="4">
        <v>2.05E-5</v>
      </c>
      <c r="GM25" s="4">
        <v>2.02E-5</v>
      </c>
      <c r="GN25" s="4">
        <v>1.9899999999999999E-5</v>
      </c>
      <c r="GO25" s="4">
        <v>1.9599999999999999E-5</v>
      </c>
      <c r="GP25" s="4">
        <v>1.9300000000000002E-5</v>
      </c>
      <c r="GQ25" s="4">
        <v>1.91E-5</v>
      </c>
      <c r="GR25" s="4">
        <v>1.88E-5</v>
      </c>
      <c r="GS25" s="4">
        <v>1.8499999999999999E-5</v>
      </c>
      <c r="GT25" s="4">
        <v>1.8300000000000001E-5</v>
      </c>
      <c r="GU25" s="4">
        <v>1.8E-5</v>
      </c>
      <c r="GV25" s="4">
        <v>1.7799999999999999E-5</v>
      </c>
      <c r="GW25" s="4">
        <v>1.7499999999999998E-5</v>
      </c>
      <c r="GX25" s="4">
        <v>1.73E-5</v>
      </c>
      <c r="GY25" s="4">
        <v>1.7E-5</v>
      </c>
      <c r="GZ25" s="4">
        <v>1.6799999999999998E-5</v>
      </c>
      <c r="HA25" s="4">
        <v>1.66E-5</v>
      </c>
      <c r="HB25" s="4">
        <v>1.63E-5</v>
      </c>
      <c r="HC25" s="4">
        <v>1.6099999999999998E-5</v>
      </c>
      <c r="HD25" s="4">
        <v>1.59E-5</v>
      </c>
      <c r="HE25" s="4">
        <v>1.5699999999999999E-5</v>
      </c>
      <c r="HF25" s="4">
        <v>1.5500000000000001E-5</v>
      </c>
      <c r="HG25" s="4">
        <v>1.5299999999999999E-5</v>
      </c>
      <c r="HH25" s="4">
        <v>1.5E-5</v>
      </c>
      <c r="HI25" s="4">
        <v>1.4800000000000001E-5</v>
      </c>
      <c r="HJ25" s="4">
        <v>1.4600000000000001E-5</v>
      </c>
      <c r="HK25" s="4">
        <v>1.4399999999999999E-5</v>
      </c>
      <c r="HL25" s="4">
        <v>1.42E-5</v>
      </c>
      <c r="HM25" s="4">
        <v>1.4100000000000001E-5</v>
      </c>
      <c r="HN25" s="4">
        <v>1.3900000000000001E-5</v>
      </c>
      <c r="HO25" s="4">
        <v>1.3699999999999999E-5</v>
      </c>
      <c r="HP25" s="4">
        <v>1.3499999999999999E-5</v>
      </c>
      <c r="HQ25" s="4">
        <v>1.33E-5</v>
      </c>
      <c r="HR25" s="4">
        <v>1.31E-5</v>
      </c>
      <c r="HS25" s="4">
        <v>1.29E-5</v>
      </c>
      <c r="HT25" s="4">
        <v>1.2799999999999999E-5</v>
      </c>
      <c r="HU25" s="4">
        <v>1.26E-5</v>
      </c>
      <c r="HV25" s="4">
        <v>1.24E-5</v>
      </c>
      <c r="HW25" s="4">
        <v>1.2300000000000001E-5</v>
      </c>
      <c r="HX25" s="4">
        <v>1.2099999999999999E-5</v>
      </c>
      <c r="HY25" s="4">
        <v>1.19E-5</v>
      </c>
      <c r="HZ25" s="4">
        <v>1.1800000000000001E-5</v>
      </c>
      <c r="IA25" s="4">
        <v>1.1600000000000001E-5</v>
      </c>
      <c r="IB25" s="4">
        <v>1.1399999999999999E-5</v>
      </c>
      <c r="IC25" s="4">
        <v>1.13E-5</v>
      </c>
      <c r="ID25" s="4">
        <v>1.11E-5</v>
      </c>
      <c r="IE25" s="4">
        <v>1.1E-5</v>
      </c>
      <c r="IF25" s="4">
        <v>1.08E-5</v>
      </c>
      <c r="IG25" s="4">
        <v>7.5469999999999997E-4</v>
      </c>
      <c r="IH25" s="4"/>
      <c r="II25" s="4">
        <f t="shared" si="245"/>
        <v>0.11637338633132589</v>
      </c>
      <c r="IJ25">
        <f t="shared" si="246"/>
        <v>0.35629022499999946</v>
      </c>
      <c r="IN25" s="4"/>
      <c r="IO25" s="4"/>
      <c r="IP25" s="4"/>
      <c r="IQ25" s="4"/>
      <c r="IR25" s="4"/>
      <c r="IS25" s="4"/>
      <c r="IT25" s="4"/>
      <c r="IU25" s="4"/>
      <c r="IV25" s="4"/>
    </row>
    <row r="26" spans="1:256" x14ac:dyDescent="0.35">
      <c r="A26" s="1">
        <v>18</v>
      </c>
      <c r="B26" s="4">
        <v>1.1099700000000001E-2</v>
      </c>
      <c r="C26" s="4">
        <v>1.1099700000000001E-2</v>
      </c>
      <c r="D26" s="4">
        <v>1.1040299999999999E-2</v>
      </c>
      <c r="E26" s="4">
        <v>1.0848200000000001E-2</v>
      </c>
      <c r="F26" s="4">
        <v>1.01539E-2</v>
      </c>
      <c r="G26" s="4">
        <v>9.5236999999999995E-3</v>
      </c>
      <c r="H26" s="4">
        <v>8.9146999999999994E-3</v>
      </c>
      <c r="I26" s="4">
        <v>8.2985000000000003E-3</v>
      </c>
      <c r="J26" s="4">
        <v>7.7581999999999998E-3</v>
      </c>
      <c r="K26" s="4">
        <v>7.2636999999999997E-3</v>
      </c>
      <c r="L26" s="4">
        <v>6.8256000000000002E-3</v>
      </c>
      <c r="M26" s="4">
        <v>6.4314999999999997E-3</v>
      </c>
      <c r="N26" s="4">
        <v>6.0765999999999997E-3</v>
      </c>
      <c r="O26" s="4">
        <v>5.7432000000000004E-3</v>
      </c>
      <c r="P26" s="4">
        <v>5.4168000000000003E-3</v>
      </c>
      <c r="Q26" s="4">
        <v>4.9316999999999998E-3</v>
      </c>
      <c r="R26" s="4">
        <v>4.3733000000000001E-3</v>
      </c>
      <c r="S26" s="4">
        <v>3.5346000000000002E-3</v>
      </c>
      <c r="T26" s="4">
        <v>3.8381999999999999E-3</v>
      </c>
      <c r="U26" s="4">
        <v>3.7036999999999999E-3</v>
      </c>
      <c r="V26" s="4">
        <v>3.5982000000000002E-3</v>
      </c>
      <c r="W26" s="4">
        <v>3.5008000000000001E-3</v>
      </c>
      <c r="X26" s="4">
        <v>3.4133000000000002E-3</v>
      </c>
      <c r="Y26" s="4">
        <v>3.3306E-3</v>
      </c>
      <c r="Z26" s="4">
        <v>3.2525000000000002E-3</v>
      </c>
      <c r="AA26" s="4">
        <v>3.1776E-3</v>
      </c>
      <c r="AB26" s="4">
        <v>3.1061999999999999E-3</v>
      </c>
      <c r="AC26" s="4">
        <v>3.0379000000000001E-3</v>
      </c>
      <c r="AD26" s="4">
        <v>2.9724E-3</v>
      </c>
      <c r="AE26" s="4">
        <v>2.9095000000000002E-3</v>
      </c>
      <c r="AF26" s="4">
        <v>2.8492000000000001E-3</v>
      </c>
      <c r="AG26" s="4">
        <v>2.7912000000000002E-3</v>
      </c>
      <c r="AH26" s="4">
        <v>2.7353999999999998E-3</v>
      </c>
      <c r="AI26" s="4">
        <v>2.6816000000000001E-3</v>
      </c>
      <c r="AJ26" s="4">
        <v>2.6297999999999998E-3</v>
      </c>
      <c r="AK26" s="4">
        <v>2.5799E-3</v>
      </c>
      <c r="AL26" s="4">
        <v>2.5317999999999998E-3</v>
      </c>
      <c r="AM26" s="4">
        <v>2.4853000000000002E-3</v>
      </c>
      <c r="AN26" s="4">
        <v>2.4404000000000001E-3</v>
      </c>
      <c r="AO26" s="4">
        <v>2.3971000000000001E-3</v>
      </c>
      <c r="AP26" s="4">
        <v>2.3552E-3</v>
      </c>
      <c r="AQ26" s="4">
        <v>2.3146999999999998E-3</v>
      </c>
      <c r="AR26" s="4">
        <v>2.2755000000000002E-3</v>
      </c>
      <c r="AS26" s="4">
        <v>2.2374999999999999E-3</v>
      </c>
      <c r="AT26" s="4">
        <v>2.2006999999999999E-3</v>
      </c>
      <c r="AU26" s="4">
        <v>2.1649999999999998E-3</v>
      </c>
      <c r="AV26" s="4">
        <v>2.1302999999999999E-3</v>
      </c>
      <c r="AW26" s="4">
        <v>2.0966000000000001E-3</v>
      </c>
      <c r="AX26" s="4">
        <v>2.0638000000000002E-3</v>
      </c>
      <c r="AY26" s="4">
        <v>2.0319000000000001E-3</v>
      </c>
      <c r="AZ26" s="4">
        <v>2.0008999999999999E-3</v>
      </c>
      <c r="BA26" s="4">
        <v>1.9705999999999999E-3</v>
      </c>
      <c r="BB26" s="4">
        <v>1.941E-3</v>
      </c>
      <c r="BC26" s="4">
        <v>1.9120999999999999E-3</v>
      </c>
      <c r="BD26" s="4">
        <v>1.8839E-3</v>
      </c>
      <c r="BE26" s="4">
        <v>1.8563E-3</v>
      </c>
      <c r="BF26" s="4">
        <v>1.8293000000000001E-3</v>
      </c>
      <c r="BG26" s="4">
        <v>1.8029000000000001E-3</v>
      </c>
      <c r="BH26" s="4">
        <v>1.7769999999999999E-3</v>
      </c>
      <c r="BI26" s="4">
        <v>1.7516000000000001E-3</v>
      </c>
      <c r="BJ26" s="4">
        <v>1.7266E-3</v>
      </c>
      <c r="BK26" s="4">
        <v>1.7022000000000001E-3</v>
      </c>
      <c r="BL26" s="4">
        <v>1.6781999999999999E-3</v>
      </c>
      <c r="BM26" s="4">
        <v>1.6546E-3</v>
      </c>
      <c r="BN26" s="4">
        <v>1.6314000000000001E-3</v>
      </c>
      <c r="BO26" s="4">
        <v>1.6086E-3</v>
      </c>
      <c r="BP26" s="4">
        <v>1.5861E-3</v>
      </c>
      <c r="BQ26" s="4">
        <v>1.5640000000000001E-3</v>
      </c>
      <c r="BR26" s="4">
        <v>1.5422999999999999E-3</v>
      </c>
      <c r="BS26" s="4">
        <v>1.5208999999999999E-3</v>
      </c>
      <c r="BT26" s="4">
        <v>1.4997999999999999E-3</v>
      </c>
      <c r="BU26" s="4">
        <v>1.4790999999999999E-3</v>
      </c>
      <c r="BV26" s="4">
        <v>1.4586E-3</v>
      </c>
      <c r="BW26" s="4">
        <v>1.4385000000000001E-3</v>
      </c>
      <c r="BX26" s="4">
        <v>1.4185999999999999E-3</v>
      </c>
      <c r="BY26" s="4">
        <v>1.3990999999999999E-3</v>
      </c>
      <c r="BZ26" s="4">
        <v>1.3797E-3</v>
      </c>
      <c r="CA26" s="4">
        <v>1.3607000000000001E-3</v>
      </c>
      <c r="CB26" s="4">
        <v>1.3419E-3</v>
      </c>
      <c r="CC26" s="4">
        <v>1.3234E-3</v>
      </c>
      <c r="CD26" s="4">
        <v>1.3052000000000001E-3</v>
      </c>
      <c r="CE26" s="4">
        <v>1.2871E-3</v>
      </c>
      <c r="CF26" s="4">
        <v>1.2694E-3</v>
      </c>
      <c r="CG26" s="4">
        <v>1.2518E-3</v>
      </c>
      <c r="CH26" s="4">
        <v>1.2344999999999999E-3</v>
      </c>
      <c r="CI26" s="4">
        <v>1.2175E-3</v>
      </c>
      <c r="CJ26" s="4">
        <v>1.2006E-3</v>
      </c>
      <c r="CK26" s="4">
        <v>1.1839999999999999E-3</v>
      </c>
      <c r="CL26" s="4">
        <v>1.1676E-3</v>
      </c>
      <c r="CM26" s="4">
        <v>1.1513999999999999E-3</v>
      </c>
      <c r="CN26" s="4">
        <v>1.1354E-3</v>
      </c>
      <c r="CO26" s="4">
        <v>1.1196999999999999E-3</v>
      </c>
      <c r="CP26" s="4">
        <v>1.1041E-3</v>
      </c>
      <c r="CQ26" s="4">
        <v>1.0888E-3</v>
      </c>
      <c r="CR26" s="4">
        <v>1.0736000000000001E-3</v>
      </c>
      <c r="CS26" s="4">
        <v>1.0587000000000001E-3</v>
      </c>
      <c r="CT26" s="4">
        <v>1.0438999999999999E-3</v>
      </c>
      <c r="CU26" s="4">
        <v>1.0294E-3</v>
      </c>
      <c r="CV26" s="4">
        <v>1.0150000000000001E-3</v>
      </c>
      <c r="CW26" s="4">
        <v>1.0009000000000001E-3</v>
      </c>
      <c r="CX26" s="4">
        <v>9.8689999999999997E-4</v>
      </c>
      <c r="CY26" s="4">
        <v>9.7309999999999996E-4</v>
      </c>
      <c r="CZ26" s="4">
        <v>9.5949999999999996E-4</v>
      </c>
      <c r="DA26" s="4">
        <v>9.4609999999999996E-4</v>
      </c>
      <c r="DB26" s="4">
        <v>9.3280000000000001E-4</v>
      </c>
      <c r="DC26" s="4">
        <v>9.1980000000000002E-4</v>
      </c>
      <c r="DD26" s="4">
        <v>9.0689999999999998E-4</v>
      </c>
      <c r="DE26" s="4">
        <v>8.9420000000000005E-4</v>
      </c>
      <c r="DF26" s="4">
        <v>8.8159999999999996E-4</v>
      </c>
      <c r="DG26" s="4">
        <v>8.6919999999999999E-4</v>
      </c>
      <c r="DH26" s="4">
        <v>8.5700000000000001E-4</v>
      </c>
      <c r="DI26" s="4">
        <v>8.4500000000000005E-4</v>
      </c>
      <c r="DJ26" s="4">
        <v>8.3310000000000003E-4</v>
      </c>
      <c r="DK26" s="4">
        <v>8.2140000000000002E-4</v>
      </c>
      <c r="DL26" s="4">
        <v>8.0979999999999995E-4</v>
      </c>
      <c r="DM26" s="4">
        <v>7.984E-4</v>
      </c>
      <c r="DN26" s="4">
        <v>7.8720000000000005E-4</v>
      </c>
      <c r="DO26" s="4">
        <v>7.7610000000000005E-4</v>
      </c>
      <c r="DP26" s="4">
        <v>7.651E-4</v>
      </c>
      <c r="DQ26" s="4">
        <v>5.3156599999999998E-2</v>
      </c>
      <c r="DR26" s="4">
        <v>0</v>
      </c>
      <c r="DS26" s="4">
        <v>5.94E-5</v>
      </c>
      <c r="DT26" s="4">
        <v>1.9210000000000001E-4</v>
      </c>
      <c r="DU26" s="4">
        <v>7.4200000000000004E-4</v>
      </c>
      <c r="DV26" s="4">
        <v>6.4849999999999999E-4</v>
      </c>
      <c r="DW26" s="4">
        <v>6.2149999999999998E-4</v>
      </c>
      <c r="DX26" s="4">
        <v>6.2779999999999997E-4</v>
      </c>
      <c r="DY26" s="4">
        <v>5.5119999999999995E-4</v>
      </c>
      <c r="DZ26" s="4">
        <v>5.0350000000000004E-4</v>
      </c>
      <c r="EA26" s="4">
        <v>4.4480000000000002E-4</v>
      </c>
      <c r="EB26" s="4">
        <v>3.97E-4</v>
      </c>
      <c r="EC26" s="4">
        <v>3.5330000000000002E-4</v>
      </c>
      <c r="ED26" s="4">
        <v>3.1579999999999998E-4</v>
      </c>
      <c r="EE26" s="4">
        <v>2.8279999999999999E-4</v>
      </c>
      <c r="EF26" s="4">
        <v>2.5339999999999998E-4</v>
      </c>
      <c r="EG26" s="4">
        <v>2.1829999999999999E-4</v>
      </c>
      <c r="EH26" s="4">
        <v>1.8420000000000001E-4</v>
      </c>
      <c r="EI26" s="4">
        <v>1.4239999999999999E-4</v>
      </c>
      <c r="EJ26" s="4">
        <v>1.5300000000000001E-4</v>
      </c>
      <c r="EK26" s="4">
        <v>1.3990000000000001E-4</v>
      </c>
      <c r="EL26" s="4">
        <v>1.293E-4</v>
      </c>
      <c r="EM26" s="4">
        <v>1.199E-4</v>
      </c>
      <c r="EN26" s="4">
        <v>1.1179999999999999E-4</v>
      </c>
      <c r="EO26" s="4">
        <v>1.044E-4</v>
      </c>
      <c r="EP26" s="4">
        <v>9.7800000000000006E-5</v>
      </c>
      <c r="EQ26" s="4">
        <v>9.1899999999999998E-5</v>
      </c>
      <c r="ER26" s="4">
        <v>8.6500000000000002E-5</v>
      </c>
      <c r="ES26" s="4">
        <v>8.1600000000000005E-5</v>
      </c>
      <c r="ET26" s="4">
        <v>7.7200000000000006E-5</v>
      </c>
      <c r="EU26" s="4">
        <v>7.3200000000000004E-5</v>
      </c>
      <c r="EV26" s="4">
        <v>6.9499999999999995E-5</v>
      </c>
      <c r="EW26" s="4">
        <v>6.6099999999999994E-5</v>
      </c>
      <c r="EX26" s="4">
        <v>6.3E-5</v>
      </c>
      <c r="EY26" s="4">
        <v>6.0099999999999997E-5</v>
      </c>
      <c r="EZ26" s="4">
        <v>5.7399999999999999E-5</v>
      </c>
      <c r="FA26" s="4">
        <v>5.49E-5</v>
      </c>
      <c r="FB26" s="4">
        <v>5.2500000000000002E-5</v>
      </c>
      <c r="FC26" s="4">
        <v>5.0300000000000003E-5</v>
      </c>
      <c r="FD26" s="4">
        <v>4.8300000000000002E-5</v>
      </c>
      <c r="FE26" s="4">
        <v>4.6400000000000003E-5</v>
      </c>
      <c r="FF26" s="4">
        <v>4.46E-5</v>
      </c>
      <c r="FG26" s="4">
        <v>4.3000000000000002E-5</v>
      </c>
      <c r="FH26" s="4">
        <v>4.1399999999999997E-5</v>
      </c>
      <c r="FI26" s="4">
        <v>3.9900000000000001E-5</v>
      </c>
      <c r="FJ26" s="4">
        <v>3.8600000000000003E-5</v>
      </c>
      <c r="FK26" s="4">
        <v>3.7299999999999999E-5</v>
      </c>
      <c r="FL26" s="4">
        <v>3.6100000000000003E-5</v>
      </c>
      <c r="FM26" s="4">
        <v>3.4999999999999997E-5</v>
      </c>
      <c r="FN26" s="4">
        <v>3.3899999999999997E-5</v>
      </c>
      <c r="FO26" s="4">
        <v>3.3000000000000003E-5</v>
      </c>
      <c r="FP26" s="4">
        <v>3.1999999999999999E-5</v>
      </c>
      <c r="FQ26" s="4">
        <v>3.1199999999999999E-5</v>
      </c>
      <c r="FR26" s="4">
        <v>3.04E-5</v>
      </c>
      <c r="FS26" s="4">
        <v>2.9600000000000001E-5</v>
      </c>
      <c r="FT26" s="4">
        <v>2.8900000000000001E-5</v>
      </c>
      <c r="FU26" s="4">
        <v>2.8200000000000001E-5</v>
      </c>
      <c r="FV26" s="4">
        <v>2.7500000000000001E-5</v>
      </c>
      <c r="FW26" s="4">
        <v>2.69E-5</v>
      </c>
      <c r="FX26" s="4">
        <v>2.6299999999999999E-5</v>
      </c>
      <c r="FY26" s="4">
        <v>2.58E-5</v>
      </c>
      <c r="FZ26" s="4">
        <v>2.5299999999999998E-5</v>
      </c>
      <c r="GA26" s="4">
        <v>2.48E-5</v>
      </c>
      <c r="GB26" s="4">
        <v>2.4300000000000001E-5</v>
      </c>
      <c r="GC26" s="4">
        <v>2.3900000000000002E-5</v>
      </c>
      <c r="GD26" s="4">
        <v>2.34E-5</v>
      </c>
      <c r="GE26" s="4">
        <v>2.3E-5</v>
      </c>
      <c r="GF26" s="4">
        <v>2.26E-5</v>
      </c>
      <c r="GG26" s="4">
        <v>2.2200000000000001E-5</v>
      </c>
      <c r="GH26" s="4">
        <v>2.19E-5</v>
      </c>
      <c r="GI26" s="4">
        <v>2.1500000000000001E-5</v>
      </c>
      <c r="GJ26" s="4">
        <v>2.12E-5</v>
      </c>
      <c r="GK26" s="4">
        <v>2.0800000000000001E-5</v>
      </c>
      <c r="GL26" s="4">
        <v>2.05E-5</v>
      </c>
      <c r="GM26" s="4">
        <v>2.02E-5</v>
      </c>
      <c r="GN26" s="4">
        <v>1.9899999999999999E-5</v>
      </c>
      <c r="GO26" s="4">
        <v>1.9599999999999999E-5</v>
      </c>
      <c r="GP26" s="4">
        <v>1.9300000000000002E-5</v>
      </c>
      <c r="GQ26" s="4">
        <v>1.9000000000000001E-5</v>
      </c>
      <c r="GR26" s="4">
        <v>1.88E-5</v>
      </c>
      <c r="GS26" s="4">
        <v>1.8499999999999999E-5</v>
      </c>
      <c r="GT26" s="4">
        <v>1.8199999999999999E-5</v>
      </c>
      <c r="GU26" s="4">
        <v>1.8E-5</v>
      </c>
      <c r="GV26" s="4">
        <v>1.77E-5</v>
      </c>
      <c r="GW26" s="4">
        <v>1.7499999999999998E-5</v>
      </c>
      <c r="GX26" s="4">
        <v>1.7200000000000001E-5</v>
      </c>
      <c r="GY26" s="4">
        <v>1.7E-5</v>
      </c>
      <c r="GZ26" s="4">
        <v>1.6799999999999998E-5</v>
      </c>
      <c r="HA26" s="4">
        <v>1.6500000000000001E-5</v>
      </c>
      <c r="HB26" s="4">
        <v>1.63E-5</v>
      </c>
      <c r="HC26" s="4">
        <v>1.6099999999999998E-5</v>
      </c>
      <c r="HD26" s="4">
        <v>1.59E-5</v>
      </c>
      <c r="HE26" s="4">
        <v>1.5699999999999999E-5</v>
      </c>
      <c r="HF26" s="4">
        <v>1.5500000000000001E-5</v>
      </c>
      <c r="HG26" s="4">
        <v>1.52E-5</v>
      </c>
      <c r="HH26" s="4">
        <v>1.5E-5</v>
      </c>
      <c r="HI26" s="4">
        <v>1.4800000000000001E-5</v>
      </c>
      <c r="HJ26" s="4">
        <v>1.4600000000000001E-5</v>
      </c>
      <c r="HK26" s="4">
        <v>1.4399999999999999E-5</v>
      </c>
      <c r="HL26" s="4">
        <v>1.42E-5</v>
      </c>
      <c r="HM26" s="4">
        <v>1.4100000000000001E-5</v>
      </c>
      <c r="HN26" s="4">
        <v>1.3900000000000001E-5</v>
      </c>
      <c r="HO26" s="4">
        <v>1.3699999999999999E-5</v>
      </c>
      <c r="HP26" s="4">
        <v>1.3499999999999999E-5</v>
      </c>
      <c r="HQ26" s="4">
        <v>1.33E-5</v>
      </c>
      <c r="HR26" s="4">
        <v>1.31E-5</v>
      </c>
      <c r="HS26" s="4">
        <v>1.29E-5</v>
      </c>
      <c r="HT26" s="4">
        <v>1.2799999999999999E-5</v>
      </c>
      <c r="HU26" s="4">
        <v>1.26E-5</v>
      </c>
      <c r="HV26" s="4">
        <v>1.24E-5</v>
      </c>
      <c r="HW26" s="4">
        <v>1.2300000000000001E-5</v>
      </c>
      <c r="HX26" s="4">
        <v>1.2099999999999999E-5</v>
      </c>
      <c r="HY26" s="4">
        <v>1.19E-5</v>
      </c>
      <c r="HZ26" s="4">
        <v>1.1800000000000001E-5</v>
      </c>
      <c r="IA26" s="4">
        <v>1.1600000000000001E-5</v>
      </c>
      <c r="IB26" s="4">
        <v>1.1399999999999999E-5</v>
      </c>
      <c r="IC26" s="4">
        <v>1.13E-5</v>
      </c>
      <c r="ID26" s="4">
        <v>1.11E-5</v>
      </c>
      <c r="IE26" s="4">
        <v>1.1E-5</v>
      </c>
      <c r="IF26" s="4">
        <v>1.08E-5</v>
      </c>
      <c r="IG26" s="4">
        <v>7.5460000000000002E-4</v>
      </c>
      <c r="IH26" s="4"/>
      <c r="II26" s="4">
        <f t="shared" si="245"/>
        <v>0.11625792415135429</v>
      </c>
      <c r="IJ26">
        <f t="shared" si="246"/>
        <v>0.35673181249999958</v>
      </c>
      <c r="IN26" s="4"/>
      <c r="IO26" s="4"/>
      <c r="IP26" s="4"/>
      <c r="IQ26" s="4"/>
      <c r="IR26" s="4"/>
      <c r="IS26" s="4"/>
      <c r="IT26" s="4"/>
      <c r="IU26" s="4"/>
      <c r="IV26" s="4"/>
    </row>
    <row r="27" spans="1:256" x14ac:dyDescent="0.35">
      <c r="A27" s="1">
        <v>19</v>
      </c>
      <c r="B27" s="4">
        <v>1.1099700000000001E-2</v>
      </c>
      <c r="C27" s="4">
        <v>1.1099700000000001E-2</v>
      </c>
      <c r="D27" s="4">
        <v>1.1040299999999999E-2</v>
      </c>
      <c r="E27" s="4">
        <v>1.0848200000000001E-2</v>
      </c>
      <c r="F27" s="4">
        <v>1.01063E-2</v>
      </c>
      <c r="G27" s="4">
        <v>9.5052999999999995E-3</v>
      </c>
      <c r="H27" s="4">
        <v>8.9020999999999996E-3</v>
      </c>
      <c r="I27" s="4">
        <v>8.2869999999999992E-3</v>
      </c>
      <c r="J27" s="4">
        <v>7.7472000000000001E-3</v>
      </c>
      <c r="K27" s="4">
        <v>7.2547000000000002E-3</v>
      </c>
      <c r="L27" s="4">
        <v>6.8189000000000001E-3</v>
      </c>
      <c r="M27" s="4">
        <v>6.4285999999999996E-3</v>
      </c>
      <c r="N27" s="4">
        <v>6.0781999999999997E-3</v>
      </c>
      <c r="O27" s="4">
        <v>5.7606999999999997E-3</v>
      </c>
      <c r="P27" s="4">
        <v>5.4603999999999998E-3</v>
      </c>
      <c r="Q27" s="4">
        <v>5.1633E-3</v>
      </c>
      <c r="R27" s="4">
        <v>4.7134000000000004E-3</v>
      </c>
      <c r="S27" s="4">
        <v>4.1891000000000003E-3</v>
      </c>
      <c r="T27" s="4">
        <v>3.3920999999999999E-3</v>
      </c>
      <c r="U27" s="4">
        <v>3.6852E-3</v>
      </c>
      <c r="V27" s="4">
        <v>3.5638000000000002E-3</v>
      </c>
      <c r="W27" s="4">
        <v>3.4689E-3</v>
      </c>
      <c r="X27" s="4">
        <v>3.3808000000000002E-3</v>
      </c>
      <c r="Y27" s="4">
        <v>3.3016E-3</v>
      </c>
      <c r="Z27" s="4">
        <v>3.2261999999999998E-3</v>
      </c>
      <c r="AA27" s="4">
        <v>3.1546999999999999E-3</v>
      </c>
      <c r="AB27" s="4">
        <v>3.0858000000000001E-3</v>
      </c>
      <c r="AC27" s="4">
        <v>3.0197000000000002E-3</v>
      </c>
      <c r="AD27" s="4">
        <v>2.9562E-3</v>
      </c>
      <c r="AE27" s="4">
        <v>2.8952000000000001E-3</v>
      </c>
      <c r="AF27" s="4">
        <v>2.8364000000000002E-3</v>
      </c>
      <c r="AG27" s="4">
        <v>2.7797E-3</v>
      </c>
      <c r="AH27" s="4">
        <v>2.7250999999999998E-3</v>
      </c>
      <c r="AI27" s="4">
        <v>2.6724000000000001E-3</v>
      </c>
      <c r="AJ27" s="4">
        <v>2.6215000000000001E-3</v>
      </c>
      <c r="AK27" s="4">
        <v>2.5725000000000001E-3</v>
      </c>
      <c r="AL27" s="4">
        <v>2.5249999999999999E-3</v>
      </c>
      <c r="AM27" s="4">
        <v>2.4792E-3</v>
      </c>
      <c r="AN27" s="4">
        <v>2.4348999999999998E-3</v>
      </c>
      <c r="AO27" s="4">
        <v>2.3920999999999999E-3</v>
      </c>
      <c r="AP27" s="4">
        <v>2.3506999999999998E-3</v>
      </c>
      <c r="AQ27" s="4">
        <v>2.3105999999999999E-3</v>
      </c>
      <c r="AR27" s="4">
        <v>2.2717000000000002E-3</v>
      </c>
      <c r="AS27" s="4">
        <v>2.2341000000000001E-3</v>
      </c>
      <c r="AT27" s="4">
        <v>2.1974999999999998E-3</v>
      </c>
      <c r="AU27" s="4">
        <v>2.1621000000000001E-3</v>
      </c>
      <c r="AV27" s="4">
        <v>2.1277000000000002E-3</v>
      </c>
      <c r="AW27" s="4">
        <v>2.0942000000000001E-3</v>
      </c>
      <c r="AX27" s="4">
        <v>2.0615999999999998E-3</v>
      </c>
      <c r="AY27" s="4">
        <v>2.0298999999999998E-3</v>
      </c>
      <c r="AZ27" s="4">
        <v>1.9989999999999999E-3</v>
      </c>
      <c r="BA27" s="4">
        <v>1.9688000000000002E-3</v>
      </c>
      <c r="BB27" s="4">
        <v>1.9394E-3</v>
      </c>
      <c r="BC27" s="4">
        <v>1.9105999999999999E-3</v>
      </c>
      <c r="BD27" s="4">
        <v>1.8825000000000001E-3</v>
      </c>
      <c r="BE27" s="4">
        <v>1.8550999999999999E-3</v>
      </c>
      <c r="BF27" s="4">
        <v>1.8282000000000001E-3</v>
      </c>
      <c r="BG27" s="4">
        <v>1.8018000000000001E-3</v>
      </c>
      <c r="BH27" s="4">
        <v>1.776E-3</v>
      </c>
      <c r="BI27" s="4">
        <v>1.7505999999999999E-3</v>
      </c>
      <c r="BJ27" s="4">
        <v>1.7258E-3</v>
      </c>
      <c r="BK27" s="4">
        <v>1.7014E-3</v>
      </c>
      <c r="BL27" s="4">
        <v>1.6773999999999999E-3</v>
      </c>
      <c r="BM27" s="4">
        <v>1.6538E-3</v>
      </c>
      <c r="BN27" s="4">
        <v>1.6306999999999999E-3</v>
      </c>
      <c r="BO27" s="4">
        <v>1.6079E-3</v>
      </c>
      <c r="BP27" s="4">
        <v>1.5855000000000001E-3</v>
      </c>
      <c r="BQ27" s="4">
        <v>1.5635E-3</v>
      </c>
      <c r="BR27" s="4">
        <v>1.5418000000000001E-3</v>
      </c>
      <c r="BS27" s="4">
        <v>1.5204000000000001E-3</v>
      </c>
      <c r="BT27" s="4">
        <v>1.4993999999999999E-3</v>
      </c>
      <c r="BU27" s="4">
        <v>1.4786999999999999E-3</v>
      </c>
      <c r="BV27" s="4">
        <v>1.4583E-3</v>
      </c>
      <c r="BW27" s="4">
        <v>1.4381000000000001E-3</v>
      </c>
      <c r="BX27" s="4">
        <v>1.4182999999999999E-3</v>
      </c>
      <c r="BY27" s="4">
        <v>1.3986999999999999E-3</v>
      </c>
      <c r="BZ27" s="4">
        <v>1.3794E-3</v>
      </c>
      <c r="CA27" s="4">
        <v>1.3604000000000001E-3</v>
      </c>
      <c r="CB27" s="4">
        <v>1.3416999999999999E-3</v>
      </c>
      <c r="CC27" s="4">
        <v>1.3232000000000001E-3</v>
      </c>
      <c r="CD27" s="4">
        <v>1.3048999999999999E-3</v>
      </c>
      <c r="CE27" s="4">
        <v>1.2868999999999999E-3</v>
      </c>
      <c r="CF27" s="4">
        <v>1.2692000000000001E-3</v>
      </c>
      <c r="CG27" s="4">
        <v>1.2516000000000001E-3</v>
      </c>
      <c r="CH27" s="4">
        <v>1.2343E-3</v>
      </c>
      <c r="CI27" s="4">
        <v>1.2172999999999999E-3</v>
      </c>
      <c r="CJ27" s="4">
        <v>1.2003999999999999E-3</v>
      </c>
      <c r="CK27" s="4">
        <v>1.1838E-3</v>
      </c>
      <c r="CL27" s="4">
        <v>1.1674000000000001E-3</v>
      </c>
      <c r="CM27" s="4">
        <v>1.1513000000000001E-3</v>
      </c>
      <c r="CN27" s="4">
        <v>1.1352999999999999E-3</v>
      </c>
      <c r="CO27" s="4">
        <v>1.1195999999999999E-3</v>
      </c>
      <c r="CP27" s="4">
        <v>1.1039999999999999E-3</v>
      </c>
      <c r="CQ27" s="4">
        <v>1.0887E-3</v>
      </c>
      <c r="CR27" s="4">
        <v>1.0735E-3</v>
      </c>
      <c r="CS27" s="4">
        <v>1.0586E-3</v>
      </c>
      <c r="CT27" s="4">
        <v>1.0438999999999999E-3</v>
      </c>
      <c r="CU27" s="4">
        <v>1.0292999999999999E-3</v>
      </c>
      <c r="CV27" s="4">
        <v>1.0150000000000001E-3</v>
      </c>
      <c r="CW27" s="4">
        <v>1.0008E-3</v>
      </c>
      <c r="CX27" s="4">
        <v>9.8679999999999992E-4</v>
      </c>
      <c r="CY27" s="4">
        <v>9.7300000000000002E-4</v>
      </c>
      <c r="CZ27" s="4">
        <v>9.5940000000000001E-4</v>
      </c>
      <c r="DA27" s="4">
        <v>9.4600000000000001E-4</v>
      </c>
      <c r="DB27" s="4">
        <v>9.3280000000000001E-4</v>
      </c>
      <c r="DC27" s="4">
        <v>9.1969999999999997E-4</v>
      </c>
      <c r="DD27" s="4">
        <v>9.0680000000000003E-4</v>
      </c>
      <c r="DE27" s="4">
        <v>8.9409999999999999E-4</v>
      </c>
      <c r="DF27" s="4">
        <v>8.8159999999999996E-4</v>
      </c>
      <c r="DG27" s="4">
        <v>8.6919999999999999E-4</v>
      </c>
      <c r="DH27" s="4">
        <v>8.5700000000000001E-4</v>
      </c>
      <c r="DI27" s="4">
        <v>8.4489999999999999E-4</v>
      </c>
      <c r="DJ27" s="4">
        <v>8.3310000000000003E-4</v>
      </c>
      <c r="DK27" s="4">
        <v>8.2129999999999996E-4</v>
      </c>
      <c r="DL27" s="4">
        <v>8.0979999999999995E-4</v>
      </c>
      <c r="DM27" s="4">
        <v>7.984E-4</v>
      </c>
      <c r="DN27" s="4">
        <v>7.871E-4</v>
      </c>
      <c r="DO27" s="4">
        <v>7.76E-4</v>
      </c>
      <c r="DP27" s="4">
        <v>7.651E-4</v>
      </c>
      <c r="DQ27" s="4">
        <v>5.3156299999999997E-2</v>
      </c>
      <c r="DR27" s="4">
        <v>0</v>
      </c>
      <c r="DS27" s="4">
        <v>5.94E-5</v>
      </c>
      <c r="DT27" s="4">
        <v>1.9230000000000001E-4</v>
      </c>
      <c r="DU27" s="4">
        <v>7.4290000000000001E-4</v>
      </c>
      <c r="DV27" s="4">
        <v>6.3000000000000003E-4</v>
      </c>
      <c r="DW27" s="4">
        <v>6.1339999999999995E-4</v>
      </c>
      <c r="DX27" s="4">
        <v>6.2390000000000004E-4</v>
      </c>
      <c r="DY27" s="4">
        <v>5.4869999999999995E-4</v>
      </c>
      <c r="DZ27" s="4">
        <v>5.0140000000000004E-4</v>
      </c>
      <c r="EA27" s="4">
        <v>4.4329999999999999E-4</v>
      </c>
      <c r="EB27" s="4">
        <v>3.9599999999999998E-4</v>
      </c>
      <c r="EC27" s="4">
        <v>3.5260000000000001E-4</v>
      </c>
      <c r="ED27" s="4">
        <v>3.1540000000000002E-4</v>
      </c>
      <c r="EE27" s="4">
        <v>2.8279999999999999E-4</v>
      </c>
      <c r="EF27" s="4">
        <v>2.543E-4</v>
      </c>
      <c r="EG27" s="4">
        <v>2.287E-4</v>
      </c>
      <c r="EH27" s="4">
        <v>1.9780000000000001E-4</v>
      </c>
      <c r="EI27" s="4">
        <v>1.6760000000000001E-4</v>
      </c>
      <c r="EJ27" s="4">
        <v>1.2990000000000001E-4</v>
      </c>
      <c r="EK27" s="4">
        <v>1.395E-4</v>
      </c>
      <c r="EL27" s="4">
        <v>1.281E-4</v>
      </c>
      <c r="EM27" s="4">
        <v>1.189E-4</v>
      </c>
      <c r="EN27" s="4">
        <v>1.1069999999999999E-4</v>
      </c>
      <c r="EO27" s="4">
        <v>1.0349999999999999E-4</v>
      </c>
      <c r="EP27" s="4">
        <v>9.7100000000000002E-5</v>
      </c>
      <c r="EQ27" s="4">
        <v>9.1299999999999997E-5</v>
      </c>
      <c r="ER27" s="4">
        <v>8.6000000000000003E-5</v>
      </c>
      <c r="ES27" s="4">
        <v>8.1199999999999995E-5</v>
      </c>
      <c r="ET27" s="4">
        <v>7.6899999999999999E-5</v>
      </c>
      <c r="EU27" s="4">
        <v>7.2899999999999997E-5</v>
      </c>
      <c r="EV27" s="4">
        <v>6.9300000000000004E-5</v>
      </c>
      <c r="EW27" s="4">
        <v>6.6000000000000005E-5</v>
      </c>
      <c r="EX27" s="4">
        <v>6.2899999999999997E-5</v>
      </c>
      <c r="EY27" s="4">
        <v>6.0000000000000002E-5</v>
      </c>
      <c r="EZ27" s="4">
        <v>5.7399999999999999E-5</v>
      </c>
      <c r="FA27" s="4">
        <v>5.49E-5</v>
      </c>
      <c r="FB27" s="4">
        <v>5.2599999999999998E-5</v>
      </c>
      <c r="FC27" s="4">
        <v>5.0399999999999999E-5</v>
      </c>
      <c r="FD27" s="4">
        <v>4.8399999999999997E-5</v>
      </c>
      <c r="FE27" s="4">
        <v>4.6499999999999999E-5</v>
      </c>
      <c r="FF27" s="4">
        <v>4.4700000000000002E-5</v>
      </c>
      <c r="FG27" s="4">
        <v>4.3099999999999997E-5</v>
      </c>
      <c r="FH27" s="4">
        <v>4.1499999999999999E-5</v>
      </c>
      <c r="FI27" s="4">
        <v>4.0000000000000003E-5</v>
      </c>
      <c r="FJ27" s="4">
        <v>3.8699999999999999E-5</v>
      </c>
      <c r="FK27" s="4">
        <v>3.7400000000000001E-5</v>
      </c>
      <c r="FL27" s="4">
        <v>3.6199999999999999E-5</v>
      </c>
      <c r="FM27" s="4">
        <v>3.5099999999999999E-5</v>
      </c>
      <c r="FN27" s="4">
        <v>3.4E-5</v>
      </c>
      <c r="FO27" s="4">
        <v>3.3000000000000003E-5</v>
      </c>
      <c r="FP27" s="4">
        <v>3.2100000000000001E-5</v>
      </c>
      <c r="FQ27" s="4">
        <v>3.1199999999999999E-5</v>
      </c>
      <c r="FR27" s="4">
        <v>3.04E-5</v>
      </c>
      <c r="FS27" s="4">
        <v>2.97E-5</v>
      </c>
      <c r="FT27" s="4">
        <v>2.8900000000000001E-5</v>
      </c>
      <c r="FU27" s="4">
        <v>2.8200000000000001E-5</v>
      </c>
      <c r="FV27" s="4">
        <v>2.76E-5</v>
      </c>
      <c r="FW27" s="4">
        <v>2.6999999999999999E-5</v>
      </c>
      <c r="FX27" s="4">
        <v>2.6400000000000001E-5</v>
      </c>
      <c r="FY27" s="4">
        <v>2.58E-5</v>
      </c>
      <c r="FZ27" s="4">
        <v>2.5299999999999998E-5</v>
      </c>
      <c r="GA27" s="4">
        <v>2.48E-5</v>
      </c>
      <c r="GB27" s="4">
        <v>2.4300000000000001E-5</v>
      </c>
      <c r="GC27" s="4">
        <v>2.3900000000000002E-5</v>
      </c>
      <c r="GD27" s="4">
        <v>2.3499999999999999E-5</v>
      </c>
      <c r="GE27" s="4">
        <v>2.3E-5</v>
      </c>
      <c r="GF27" s="4">
        <v>2.26E-5</v>
      </c>
      <c r="GG27" s="4">
        <v>2.23E-5</v>
      </c>
      <c r="GH27" s="4">
        <v>2.19E-5</v>
      </c>
      <c r="GI27" s="4">
        <v>2.1500000000000001E-5</v>
      </c>
      <c r="GJ27" s="4">
        <v>2.12E-5</v>
      </c>
      <c r="GK27" s="4">
        <v>2.09E-5</v>
      </c>
      <c r="GL27" s="4">
        <v>2.05E-5</v>
      </c>
      <c r="GM27" s="4">
        <v>2.02E-5</v>
      </c>
      <c r="GN27" s="4">
        <v>1.9899999999999999E-5</v>
      </c>
      <c r="GO27" s="4">
        <v>1.9599999999999999E-5</v>
      </c>
      <c r="GP27" s="4">
        <v>1.9300000000000002E-5</v>
      </c>
      <c r="GQ27" s="4">
        <v>1.91E-5</v>
      </c>
      <c r="GR27" s="4">
        <v>1.88E-5</v>
      </c>
      <c r="GS27" s="4">
        <v>1.8499999999999999E-5</v>
      </c>
      <c r="GT27" s="4">
        <v>1.8300000000000001E-5</v>
      </c>
      <c r="GU27" s="4">
        <v>1.8E-5</v>
      </c>
      <c r="GV27" s="4">
        <v>1.77E-5</v>
      </c>
      <c r="GW27" s="4">
        <v>1.7499999999999998E-5</v>
      </c>
      <c r="GX27" s="4">
        <v>1.73E-5</v>
      </c>
      <c r="GY27" s="4">
        <v>1.7E-5</v>
      </c>
      <c r="GZ27" s="4">
        <v>1.6799999999999998E-5</v>
      </c>
      <c r="HA27" s="4">
        <v>1.66E-5</v>
      </c>
      <c r="HB27" s="4">
        <v>1.63E-5</v>
      </c>
      <c r="HC27" s="4">
        <v>1.6099999999999998E-5</v>
      </c>
      <c r="HD27" s="4">
        <v>1.59E-5</v>
      </c>
      <c r="HE27" s="4">
        <v>1.5699999999999999E-5</v>
      </c>
      <c r="HF27" s="4">
        <v>1.5500000000000001E-5</v>
      </c>
      <c r="HG27" s="4">
        <v>1.52E-5</v>
      </c>
      <c r="HH27" s="4">
        <v>1.5E-5</v>
      </c>
      <c r="HI27" s="4">
        <v>1.4800000000000001E-5</v>
      </c>
      <c r="HJ27" s="4">
        <v>1.4600000000000001E-5</v>
      </c>
      <c r="HK27" s="4">
        <v>1.4399999999999999E-5</v>
      </c>
      <c r="HL27" s="4">
        <v>1.42E-5</v>
      </c>
      <c r="HM27" s="4">
        <v>1.4100000000000001E-5</v>
      </c>
      <c r="HN27" s="4">
        <v>1.3900000000000001E-5</v>
      </c>
      <c r="HO27" s="4">
        <v>1.3699999999999999E-5</v>
      </c>
      <c r="HP27" s="4">
        <v>1.3499999999999999E-5</v>
      </c>
      <c r="HQ27" s="4">
        <v>1.33E-5</v>
      </c>
      <c r="HR27" s="4">
        <v>1.31E-5</v>
      </c>
      <c r="HS27" s="4">
        <v>1.29E-5</v>
      </c>
      <c r="HT27" s="4">
        <v>1.2799999999999999E-5</v>
      </c>
      <c r="HU27" s="4">
        <v>1.26E-5</v>
      </c>
      <c r="HV27" s="4">
        <v>1.24E-5</v>
      </c>
      <c r="HW27" s="4">
        <v>1.2300000000000001E-5</v>
      </c>
      <c r="HX27" s="4">
        <v>1.2099999999999999E-5</v>
      </c>
      <c r="HY27" s="4">
        <v>1.19E-5</v>
      </c>
      <c r="HZ27" s="4">
        <v>1.1800000000000001E-5</v>
      </c>
      <c r="IA27" s="4">
        <v>1.1600000000000001E-5</v>
      </c>
      <c r="IB27" s="4">
        <v>1.1399999999999999E-5</v>
      </c>
      <c r="IC27" s="4">
        <v>1.13E-5</v>
      </c>
      <c r="ID27" s="4">
        <v>1.11E-5</v>
      </c>
      <c r="IE27" s="4">
        <v>1.1E-5</v>
      </c>
      <c r="IF27" s="4">
        <v>1.08E-5</v>
      </c>
      <c r="IG27" s="4">
        <v>7.5460000000000002E-4</v>
      </c>
      <c r="IH27" s="4"/>
      <c r="II27" s="4">
        <f t="shared" si="245"/>
        <v>0.11663197493655252</v>
      </c>
      <c r="IJ27">
        <f t="shared" si="246"/>
        <v>0.35713362500000018</v>
      </c>
      <c r="IN27" s="4"/>
      <c r="IO27" s="4"/>
      <c r="IP27" s="4"/>
      <c r="IQ27" s="4"/>
      <c r="IR27" s="4"/>
      <c r="IS27" s="4"/>
      <c r="IT27" s="4"/>
      <c r="IU27" s="4"/>
      <c r="IV27" s="4"/>
    </row>
    <row r="28" spans="1:256" x14ac:dyDescent="0.35">
      <c r="A28" s="1">
        <v>20</v>
      </c>
      <c r="B28" s="4">
        <v>1.1099700000000001E-2</v>
      </c>
      <c r="C28" s="4">
        <v>1.1099700000000001E-2</v>
      </c>
      <c r="D28" s="4">
        <v>1.1040299999999999E-2</v>
      </c>
      <c r="E28" s="4">
        <v>1.0848E-2</v>
      </c>
      <c r="F28" s="4">
        <v>1.0105299999999999E-2</v>
      </c>
      <c r="G28" s="4">
        <v>9.4763E-3</v>
      </c>
      <c r="H28" s="4">
        <v>8.8918999999999995E-3</v>
      </c>
      <c r="I28" s="4">
        <v>8.2781999999999994E-3</v>
      </c>
      <c r="J28" s="4">
        <v>7.7383E-3</v>
      </c>
      <c r="K28" s="4">
        <v>7.2458000000000002E-3</v>
      </c>
      <c r="L28" s="4">
        <v>6.8113999999999996E-3</v>
      </c>
      <c r="M28" s="4">
        <v>6.4229999999999999E-3</v>
      </c>
      <c r="N28" s="4">
        <v>6.0759000000000004E-3</v>
      </c>
      <c r="O28" s="4">
        <v>5.7628999999999996E-3</v>
      </c>
      <c r="P28" s="4">
        <v>5.4779E-3</v>
      </c>
      <c r="Q28" s="4">
        <v>5.2061E-3</v>
      </c>
      <c r="R28" s="4">
        <v>4.9345999999999999E-3</v>
      </c>
      <c r="S28" s="4">
        <v>4.5155999999999998E-3</v>
      </c>
      <c r="T28" s="4">
        <v>4.0214999999999999E-3</v>
      </c>
      <c r="U28" s="4">
        <v>3.2621999999999998E-3</v>
      </c>
      <c r="V28" s="4">
        <v>3.5457000000000002E-3</v>
      </c>
      <c r="W28" s="4">
        <v>3.4356999999999999E-3</v>
      </c>
      <c r="X28" s="4">
        <v>3.3500000000000001E-3</v>
      </c>
      <c r="Y28" s="4">
        <v>3.2701000000000002E-3</v>
      </c>
      <c r="Z28" s="4">
        <v>3.1981000000000002E-3</v>
      </c>
      <c r="AA28" s="4">
        <v>3.1291000000000001E-3</v>
      </c>
      <c r="AB28" s="4">
        <v>3.0634E-3</v>
      </c>
      <c r="AC28" s="4">
        <v>2.9997999999999999E-3</v>
      </c>
      <c r="AD28" s="4">
        <v>2.9385000000000001E-3</v>
      </c>
      <c r="AE28" s="4">
        <v>2.8793E-3</v>
      </c>
      <c r="AF28" s="4">
        <v>2.8222E-3</v>
      </c>
      <c r="AG28" s="4">
        <v>2.7669999999999999E-3</v>
      </c>
      <c r="AH28" s="4">
        <v>2.7136999999999999E-3</v>
      </c>
      <c r="AI28" s="4">
        <v>2.6622E-3</v>
      </c>
      <c r="AJ28" s="4">
        <v>2.6124E-3</v>
      </c>
      <c r="AK28" s="4">
        <v>2.5642E-3</v>
      </c>
      <c r="AL28" s="4">
        <v>2.5176E-3</v>
      </c>
      <c r="AM28" s="4">
        <v>2.4724999999999999E-3</v>
      </c>
      <c r="AN28" s="4">
        <v>2.4288000000000001E-3</v>
      </c>
      <c r="AO28" s="4">
        <v>2.3866E-3</v>
      </c>
      <c r="AP28" s="4">
        <v>2.3456000000000002E-3</v>
      </c>
      <c r="AQ28" s="4">
        <v>2.3059999999999999E-3</v>
      </c>
      <c r="AR28" s="4">
        <v>2.2675E-3</v>
      </c>
      <c r="AS28" s="4">
        <v>2.2301999999999999E-3</v>
      </c>
      <c r="AT28" s="4">
        <v>2.1940000000000002E-3</v>
      </c>
      <c r="AU28" s="4">
        <v>2.1589000000000001E-3</v>
      </c>
      <c r="AV28" s="4">
        <v>2.1247000000000002E-3</v>
      </c>
      <c r="AW28" s="4">
        <v>2.0914000000000002E-3</v>
      </c>
      <c r="AX28" s="4">
        <v>2.0590999999999999E-3</v>
      </c>
      <c r="AY28" s="4">
        <v>2.0276000000000001E-3</v>
      </c>
      <c r="AZ28" s="4">
        <v>1.9968E-3</v>
      </c>
      <c r="BA28" s="4">
        <v>1.9669000000000002E-3</v>
      </c>
      <c r="BB28" s="4">
        <v>1.9376E-3</v>
      </c>
      <c r="BC28" s="4">
        <v>1.9090000000000001E-3</v>
      </c>
      <c r="BD28" s="4">
        <v>1.8810000000000001E-3</v>
      </c>
      <c r="BE28" s="4">
        <v>1.8536E-3</v>
      </c>
      <c r="BF28" s="4">
        <v>1.8268E-3</v>
      </c>
      <c r="BG28" s="4">
        <v>1.8006000000000001E-3</v>
      </c>
      <c r="BH28" s="4">
        <v>1.7748E-3</v>
      </c>
      <c r="BI28" s="4">
        <v>1.7496E-3</v>
      </c>
      <c r="BJ28" s="4">
        <v>1.7248000000000001E-3</v>
      </c>
      <c r="BK28" s="4">
        <v>1.7003999999999999E-3</v>
      </c>
      <c r="BL28" s="4">
        <v>1.6765E-3</v>
      </c>
      <c r="BM28" s="4">
        <v>1.6531E-3</v>
      </c>
      <c r="BN28" s="4">
        <v>1.6299999999999999E-3</v>
      </c>
      <c r="BO28" s="4">
        <v>1.6072E-3</v>
      </c>
      <c r="BP28" s="4">
        <v>1.5849E-3</v>
      </c>
      <c r="BQ28" s="4">
        <v>1.5629000000000001E-3</v>
      </c>
      <c r="BR28" s="4">
        <v>1.5411999999999999E-3</v>
      </c>
      <c r="BS28" s="4">
        <v>1.5199E-3</v>
      </c>
      <c r="BT28" s="4">
        <v>1.4989000000000001E-3</v>
      </c>
      <c r="BU28" s="4">
        <v>1.4782E-3</v>
      </c>
      <c r="BV28" s="4">
        <v>1.4578E-3</v>
      </c>
      <c r="BW28" s="4">
        <v>1.4377000000000001E-3</v>
      </c>
      <c r="BX28" s="4">
        <v>1.4178999999999999E-3</v>
      </c>
      <c r="BY28" s="4">
        <v>1.3983999999999999E-3</v>
      </c>
      <c r="BZ28" s="4">
        <v>1.3791000000000001E-3</v>
      </c>
      <c r="CA28" s="4">
        <v>1.3600999999999999E-3</v>
      </c>
      <c r="CB28" s="4">
        <v>1.3414E-3</v>
      </c>
      <c r="CC28" s="4">
        <v>1.3228999999999999E-3</v>
      </c>
      <c r="CD28" s="4">
        <v>1.3047E-3</v>
      </c>
      <c r="CE28" s="4">
        <v>1.2867E-3</v>
      </c>
      <c r="CF28" s="4">
        <v>1.2689000000000001E-3</v>
      </c>
      <c r="CG28" s="4">
        <v>1.2514E-3</v>
      </c>
      <c r="CH28" s="4">
        <v>1.2340999999999999E-3</v>
      </c>
      <c r="CI28" s="4">
        <v>1.2171E-3</v>
      </c>
      <c r="CJ28" s="4">
        <v>1.2003000000000001E-3</v>
      </c>
      <c r="CK28" s="4">
        <v>1.1837E-3</v>
      </c>
      <c r="CL28" s="4">
        <v>1.1673E-3</v>
      </c>
      <c r="CM28" s="4">
        <v>1.1511E-3</v>
      </c>
      <c r="CN28" s="4">
        <v>1.1352000000000001E-3</v>
      </c>
      <c r="CO28" s="4">
        <v>1.1194E-3</v>
      </c>
      <c r="CP28" s="4">
        <v>1.1039000000000001E-3</v>
      </c>
      <c r="CQ28" s="4">
        <v>1.0885000000000001E-3</v>
      </c>
      <c r="CR28" s="4">
        <v>1.0734E-3</v>
      </c>
      <c r="CS28" s="4">
        <v>1.0585E-3</v>
      </c>
      <c r="CT28" s="4">
        <v>1.0437999999999999E-3</v>
      </c>
      <c r="CU28" s="4">
        <v>1.0292000000000001E-3</v>
      </c>
      <c r="CV28" s="4">
        <v>1.0149E-3</v>
      </c>
      <c r="CW28" s="4">
        <v>1.0007E-3</v>
      </c>
      <c r="CX28" s="4">
        <v>9.8670000000000008E-4</v>
      </c>
      <c r="CY28" s="4">
        <v>9.7300000000000002E-4</v>
      </c>
      <c r="CZ28" s="4">
        <v>9.5940000000000001E-4</v>
      </c>
      <c r="DA28" s="4">
        <v>9.4589999999999995E-4</v>
      </c>
      <c r="DB28" s="4">
        <v>9.3269999999999996E-4</v>
      </c>
      <c r="DC28" s="4">
        <v>9.1960000000000002E-4</v>
      </c>
      <c r="DD28" s="4">
        <v>9.0680000000000003E-4</v>
      </c>
      <c r="DE28" s="4">
        <v>8.9409999999999999E-4</v>
      </c>
      <c r="DF28" s="4">
        <v>8.8150000000000001E-4</v>
      </c>
      <c r="DG28" s="4">
        <v>8.6910000000000004E-4</v>
      </c>
      <c r="DH28" s="4">
        <v>8.5689999999999996E-4</v>
      </c>
      <c r="DI28" s="4">
        <v>8.4489999999999999E-4</v>
      </c>
      <c r="DJ28" s="4">
        <v>8.3299999999999997E-4</v>
      </c>
      <c r="DK28" s="4">
        <v>8.2129999999999996E-4</v>
      </c>
      <c r="DL28" s="4">
        <v>8.097E-4</v>
      </c>
      <c r="DM28" s="4">
        <v>7.9830000000000005E-4</v>
      </c>
      <c r="DN28" s="4">
        <v>7.871E-4</v>
      </c>
      <c r="DO28" s="4">
        <v>7.76E-4</v>
      </c>
      <c r="DP28" s="4">
        <v>7.651E-4</v>
      </c>
      <c r="DQ28" s="4">
        <v>5.3156000000000002E-2</v>
      </c>
      <c r="DR28" s="4">
        <v>0</v>
      </c>
      <c r="DS28" s="4">
        <v>5.94E-5</v>
      </c>
      <c r="DT28" s="4">
        <v>1.9259999999999999E-4</v>
      </c>
      <c r="DU28" s="4">
        <v>7.4339999999999996E-4</v>
      </c>
      <c r="DV28" s="4">
        <v>6.3049999999999998E-4</v>
      </c>
      <c r="DW28" s="4">
        <v>6.0590000000000004E-4</v>
      </c>
      <c r="DX28" s="4">
        <v>6.2509999999999996E-4</v>
      </c>
      <c r="DY28" s="4">
        <v>5.486E-4</v>
      </c>
      <c r="DZ28" s="4">
        <v>5.0100000000000003E-4</v>
      </c>
      <c r="EA28" s="4">
        <v>4.4270000000000003E-4</v>
      </c>
      <c r="EB28" s="4">
        <v>3.9560000000000002E-4</v>
      </c>
      <c r="EC28" s="4">
        <v>3.525E-4</v>
      </c>
      <c r="ED28" s="4">
        <v>3.1540000000000002E-4</v>
      </c>
      <c r="EE28" s="4">
        <v>2.8289999999999999E-4</v>
      </c>
      <c r="EF28" s="4">
        <v>2.5480000000000001E-4</v>
      </c>
      <c r="EG28" s="4">
        <v>2.299E-4</v>
      </c>
      <c r="EH28" s="4">
        <v>2.075E-4</v>
      </c>
      <c r="EI28" s="4">
        <v>1.8019999999999999E-4</v>
      </c>
      <c r="EJ28" s="4">
        <v>1.5320000000000001E-4</v>
      </c>
      <c r="EK28" s="4">
        <v>1.1909999999999999E-4</v>
      </c>
      <c r="EL28" s="4">
        <v>1.2789999999999999E-4</v>
      </c>
      <c r="EM28" s="4">
        <v>1.1790000000000001E-4</v>
      </c>
      <c r="EN28" s="4">
        <v>1.098E-4</v>
      </c>
      <c r="EO28" s="4">
        <v>1.025E-4</v>
      </c>
      <c r="EP28" s="4">
        <v>9.6199999999999994E-5</v>
      </c>
      <c r="EQ28" s="4">
        <v>9.0500000000000004E-5</v>
      </c>
      <c r="ER28" s="4">
        <v>8.53E-5</v>
      </c>
      <c r="ES28" s="4">
        <v>8.0599999999999994E-5</v>
      </c>
      <c r="ET28" s="4">
        <v>7.6299999999999998E-5</v>
      </c>
      <c r="EU28" s="4">
        <v>7.2399999999999998E-5</v>
      </c>
      <c r="EV28" s="4">
        <v>6.8899999999999994E-5</v>
      </c>
      <c r="EW28" s="4">
        <v>6.5599999999999995E-5</v>
      </c>
      <c r="EX28" s="4">
        <v>6.2500000000000001E-5</v>
      </c>
      <c r="EY28" s="4">
        <v>5.9700000000000001E-5</v>
      </c>
      <c r="EZ28" s="4">
        <v>5.7099999999999999E-5</v>
      </c>
      <c r="FA28" s="4">
        <v>5.4599999999999999E-5</v>
      </c>
      <c r="FB28" s="4">
        <v>5.2299999999999997E-5</v>
      </c>
      <c r="FC28" s="4">
        <v>5.02E-5</v>
      </c>
      <c r="FD28" s="4">
        <v>4.8199999999999999E-5</v>
      </c>
      <c r="FE28" s="4">
        <v>4.6300000000000001E-5</v>
      </c>
      <c r="FF28" s="4">
        <v>4.4499999999999997E-5</v>
      </c>
      <c r="FG28" s="4">
        <v>4.2899999999999999E-5</v>
      </c>
      <c r="FH28" s="4">
        <v>4.1300000000000001E-5</v>
      </c>
      <c r="FI28" s="4">
        <v>3.9900000000000001E-5</v>
      </c>
      <c r="FJ28" s="4">
        <v>3.8500000000000001E-5</v>
      </c>
      <c r="FK28" s="4">
        <v>3.7299999999999999E-5</v>
      </c>
      <c r="FL28" s="4">
        <v>3.6100000000000003E-5</v>
      </c>
      <c r="FM28" s="4">
        <v>3.4999999999999997E-5</v>
      </c>
      <c r="FN28" s="4">
        <v>3.3899999999999997E-5</v>
      </c>
      <c r="FO28" s="4">
        <v>3.3000000000000003E-5</v>
      </c>
      <c r="FP28" s="4">
        <v>3.1999999999999999E-5</v>
      </c>
      <c r="FQ28" s="4">
        <v>3.1199999999999999E-5</v>
      </c>
      <c r="FR28" s="4">
        <v>3.04E-5</v>
      </c>
      <c r="FS28" s="4">
        <v>2.9600000000000001E-5</v>
      </c>
      <c r="FT28" s="4">
        <v>2.8900000000000001E-5</v>
      </c>
      <c r="FU28" s="4">
        <v>2.8200000000000001E-5</v>
      </c>
      <c r="FV28" s="4">
        <v>2.7500000000000001E-5</v>
      </c>
      <c r="FW28" s="4">
        <v>2.69E-5</v>
      </c>
      <c r="FX28" s="4">
        <v>2.6400000000000001E-5</v>
      </c>
      <c r="FY28" s="4">
        <v>2.58E-5</v>
      </c>
      <c r="FZ28" s="4">
        <v>2.5299999999999998E-5</v>
      </c>
      <c r="GA28" s="4">
        <v>2.48E-5</v>
      </c>
      <c r="GB28" s="4">
        <v>2.4300000000000001E-5</v>
      </c>
      <c r="GC28" s="4">
        <v>2.3900000000000002E-5</v>
      </c>
      <c r="GD28" s="4">
        <v>2.34E-5</v>
      </c>
      <c r="GE28" s="4">
        <v>2.3E-5</v>
      </c>
      <c r="GF28" s="4">
        <v>2.26E-5</v>
      </c>
      <c r="GG28" s="4">
        <v>2.2200000000000001E-5</v>
      </c>
      <c r="GH28" s="4">
        <v>2.19E-5</v>
      </c>
      <c r="GI28" s="4">
        <v>2.1500000000000001E-5</v>
      </c>
      <c r="GJ28" s="4">
        <v>2.12E-5</v>
      </c>
      <c r="GK28" s="4">
        <v>2.09E-5</v>
      </c>
      <c r="GL28" s="4">
        <v>2.05E-5</v>
      </c>
      <c r="GM28" s="4">
        <v>2.02E-5</v>
      </c>
      <c r="GN28" s="4">
        <v>1.9899999999999999E-5</v>
      </c>
      <c r="GO28" s="4">
        <v>1.9599999999999999E-5</v>
      </c>
      <c r="GP28" s="4">
        <v>1.9300000000000002E-5</v>
      </c>
      <c r="GQ28" s="4">
        <v>1.91E-5</v>
      </c>
      <c r="GR28" s="4">
        <v>1.88E-5</v>
      </c>
      <c r="GS28" s="4">
        <v>1.8499999999999999E-5</v>
      </c>
      <c r="GT28" s="4">
        <v>1.8300000000000001E-5</v>
      </c>
      <c r="GU28" s="4">
        <v>1.8E-5</v>
      </c>
      <c r="GV28" s="4">
        <v>1.77E-5</v>
      </c>
      <c r="GW28" s="4">
        <v>1.7499999999999998E-5</v>
      </c>
      <c r="GX28" s="4">
        <v>1.73E-5</v>
      </c>
      <c r="GY28" s="4">
        <v>1.7E-5</v>
      </c>
      <c r="GZ28" s="4">
        <v>1.6799999999999998E-5</v>
      </c>
      <c r="HA28" s="4">
        <v>1.66E-5</v>
      </c>
      <c r="HB28" s="4">
        <v>1.63E-5</v>
      </c>
      <c r="HC28" s="4">
        <v>1.6099999999999998E-5</v>
      </c>
      <c r="HD28" s="4">
        <v>1.59E-5</v>
      </c>
      <c r="HE28" s="4">
        <v>1.5699999999999999E-5</v>
      </c>
      <c r="HF28" s="4">
        <v>1.5500000000000001E-5</v>
      </c>
      <c r="HG28" s="4">
        <v>1.5299999999999999E-5</v>
      </c>
      <c r="HH28" s="4">
        <v>1.5E-5</v>
      </c>
      <c r="HI28" s="4">
        <v>1.4800000000000001E-5</v>
      </c>
      <c r="HJ28" s="4">
        <v>1.4600000000000001E-5</v>
      </c>
      <c r="HK28" s="4">
        <v>1.4399999999999999E-5</v>
      </c>
      <c r="HL28" s="4">
        <v>1.42E-5</v>
      </c>
      <c r="HM28" s="4">
        <v>1.4100000000000001E-5</v>
      </c>
      <c r="HN28" s="4">
        <v>1.3900000000000001E-5</v>
      </c>
      <c r="HO28" s="4">
        <v>1.3699999999999999E-5</v>
      </c>
      <c r="HP28" s="4">
        <v>1.3499999999999999E-5</v>
      </c>
      <c r="HQ28" s="4">
        <v>1.33E-5</v>
      </c>
      <c r="HR28" s="4">
        <v>1.31E-5</v>
      </c>
      <c r="HS28" s="4">
        <v>1.29E-5</v>
      </c>
      <c r="HT28" s="4">
        <v>1.2799999999999999E-5</v>
      </c>
      <c r="HU28" s="4">
        <v>1.26E-5</v>
      </c>
      <c r="HV28" s="4">
        <v>1.24E-5</v>
      </c>
      <c r="HW28" s="4">
        <v>1.2300000000000001E-5</v>
      </c>
      <c r="HX28" s="4">
        <v>1.2099999999999999E-5</v>
      </c>
      <c r="HY28" s="4">
        <v>1.19E-5</v>
      </c>
      <c r="HZ28" s="4">
        <v>1.1800000000000001E-5</v>
      </c>
      <c r="IA28" s="4">
        <v>1.1600000000000001E-5</v>
      </c>
      <c r="IB28" s="4">
        <v>1.1399999999999999E-5</v>
      </c>
      <c r="IC28" s="4">
        <v>1.13E-5</v>
      </c>
      <c r="ID28" s="4">
        <v>1.11E-5</v>
      </c>
      <c r="IE28" s="4">
        <v>1.1E-5</v>
      </c>
      <c r="IF28" s="4">
        <v>1.08E-5</v>
      </c>
      <c r="IG28" s="4">
        <v>7.5460000000000002E-4</v>
      </c>
      <c r="IH28" s="4"/>
      <c r="II28" s="4">
        <f t="shared" si="245"/>
        <v>0.11691324060030331</v>
      </c>
      <c r="IJ28">
        <f t="shared" si="246"/>
        <v>0.35749757500000023</v>
      </c>
      <c r="IN28" s="4"/>
      <c r="IO28" s="4"/>
      <c r="IP28" s="4"/>
      <c r="IQ28" s="4"/>
      <c r="IR28" s="4"/>
      <c r="IS28" s="4"/>
      <c r="IT28" s="4"/>
      <c r="IU28" s="4"/>
      <c r="IV28" s="4"/>
    </row>
    <row r="29" spans="1:256" x14ac:dyDescent="0.35">
      <c r="A29" s="1">
        <v>21</v>
      </c>
      <c r="B29" s="4">
        <v>1.1099700000000001E-2</v>
      </c>
      <c r="C29" s="4">
        <v>1.1099700000000001E-2</v>
      </c>
      <c r="D29" s="4">
        <v>1.1040299999999999E-2</v>
      </c>
      <c r="E29" s="4">
        <v>1.08477E-2</v>
      </c>
      <c r="F29" s="4">
        <v>1.01046E-2</v>
      </c>
      <c r="G29" s="4">
        <v>9.4748000000000002E-3</v>
      </c>
      <c r="H29" s="4">
        <v>8.8704000000000005E-3</v>
      </c>
      <c r="I29" s="4">
        <v>8.2667999999999995E-3</v>
      </c>
      <c r="J29" s="4">
        <v>7.7295999999999997E-3</v>
      </c>
      <c r="K29" s="4">
        <v>7.2373000000000003E-3</v>
      </c>
      <c r="L29" s="4">
        <v>6.803E-3</v>
      </c>
      <c r="M29" s="4">
        <v>6.4158000000000001E-3</v>
      </c>
      <c r="N29" s="4">
        <v>6.0705000000000004E-3</v>
      </c>
      <c r="O29" s="4">
        <v>5.7605E-3</v>
      </c>
      <c r="P29" s="4">
        <v>5.4799999999999996E-3</v>
      </c>
      <c r="Q29" s="4">
        <v>5.2230999999999996E-3</v>
      </c>
      <c r="R29" s="4">
        <v>4.9762000000000001E-3</v>
      </c>
      <c r="S29" s="4">
        <v>4.7270999999999997E-3</v>
      </c>
      <c r="T29" s="4">
        <v>4.3353999999999997E-3</v>
      </c>
      <c r="U29" s="4">
        <v>3.8684000000000001E-3</v>
      </c>
      <c r="V29" s="4">
        <v>3.1430999999999998E-3</v>
      </c>
      <c r="W29" s="4">
        <v>3.4177999999999999E-3</v>
      </c>
      <c r="X29" s="4">
        <v>3.3178000000000001E-3</v>
      </c>
      <c r="Y29" s="4">
        <v>3.2403000000000002E-3</v>
      </c>
      <c r="Z29" s="4">
        <v>3.1676E-3</v>
      </c>
      <c r="AA29" s="4">
        <v>3.1018999999999999E-3</v>
      </c>
      <c r="AB29" s="4">
        <v>3.0387000000000001E-3</v>
      </c>
      <c r="AC29" s="4">
        <v>2.9781E-3</v>
      </c>
      <c r="AD29" s="4">
        <v>2.9191999999999998E-3</v>
      </c>
      <c r="AE29" s="4">
        <v>2.8622000000000001E-3</v>
      </c>
      <c r="AF29" s="4">
        <v>2.8069000000000002E-3</v>
      </c>
      <c r="AG29" s="4">
        <v>2.7534E-3</v>
      </c>
      <c r="AH29" s="4">
        <v>2.7014999999999999E-3</v>
      </c>
      <c r="AI29" s="4">
        <v>2.6511999999999998E-3</v>
      </c>
      <c r="AJ29" s="4">
        <v>2.6025000000000002E-3</v>
      </c>
      <c r="AK29" s="4">
        <v>2.5552999999999999E-3</v>
      </c>
      <c r="AL29" s="4">
        <v>2.5095999999999999E-3</v>
      </c>
      <c r="AM29" s="4">
        <v>2.4653000000000001E-3</v>
      </c>
      <c r="AN29" s="4">
        <v>2.4223000000000001E-3</v>
      </c>
      <c r="AO29" s="4">
        <v>2.3806999999999999E-3</v>
      </c>
      <c r="AP29" s="4">
        <v>2.3403E-3</v>
      </c>
      <c r="AQ29" s="4">
        <v>2.3010999999999999E-3</v>
      </c>
      <c r="AR29" s="4">
        <v>2.2631000000000001E-3</v>
      </c>
      <c r="AS29" s="4">
        <v>2.2261999999999998E-3</v>
      </c>
      <c r="AT29" s="4">
        <v>2.1903000000000001E-3</v>
      </c>
      <c r="AU29" s="4">
        <v>2.1554999999999999E-3</v>
      </c>
      <c r="AV29" s="4">
        <v>2.1216E-3</v>
      </c>
      <c r="AW29" s="4">
        <v>2.0885999999999999E-3</v>
      </c>
      <c r="AX29" s="4">
        <v>2.0565000000000002E-3</v>
      </c>
      <c r="AY29" s="4">
        <v>2.0252E-3</v>
      </c>
      <c r="AZ29" s="4">
        <v>1.9946E-3</v>
      </c>
      <c r="BA29" s="4">
        <v>1.9648000000000001E-3</v>
      </c>
      <c r="BB29" s="4">
        <v>1.9357000000000001E-3</v>
      </c>
      <c r="BC29" s="4">
        <v>1.9072E-3</v>
      </c>
      <c r="BD29" s="4">
        <v>1.8794E-3</v>
      </c>
      <c r="BE29" s="4">
        <v>1.8521E-3</v>
      </c>
      <c r="BF29" s="4">
        <v>1.8254E-3</v>
      </c>
      <c r="BG29" s="4">
        <v>1.7993E-3</v>
      </c>
      <c r="BH29" s="4">
        <v>1.7736E-3</v>
      </c>
      <c r="BI29" s="4">
        <v>1.7485000000000001E-3</v>
      </c>
      <c r="BJ29" s="4">
        <v>1.7237000000000001E-3</v>
      </c>
      <c r="BK29" s="4">
        <v>1.6995000000000001E-3</v>
      </c>
      <c r="BL29" s="4">
        <v>1.6756E-3</v>
      </c>
      <c r="BM29" s="4">
        <v>1.6521999999999999E-3</v>
      </c>
      <c r="BN29" s="4">
        <v>1.6291999999999999E-3</v>
      </c>
      <c r="BO29" s="4">
        <v>1.6065000000000001E-3</v>
      </c>
      <c r="BP29" s="4">
        <v>1.5842E-3</v>
      </c>
      <c r="BQ29" s="4">
        <v>1.5623E-3</v>
      </c>
      <c r="BR29" s="4">
        <v>1.5406E-3</v>
      </c>
      <c r="BS29" s="4">
        <v>1.5194E-3</v>
      </c>
      <c r="BT29" s="4">
        <v>1.4984E-3</v>
      </c>
      <c r="BU29" s="4">
        <v>1.4777E-3</v>
      </c>
      <c r="BV29" s="4">
        <v>1.4574E-3</v>
      </c>
      <c r="BW29" s="4">
        <v>1.4373000000000001E-3</v>
      </c>
      <c r="BX29" s="4">
        <v>1.4174999999999999E-3</v>
      </c>
      <c r="BY29" s="4">
        <v>1.3979999999999999E-3</v>
      </c>
      <c r="BZ29" s="4">
        <v>1.3787000000000001E-3</v>
      </c>
      <c r="CA29" s="4">
        <v>1.3598E-3</v>
      </c>
      <c r="CB29" s="4">
        <v>1.3411E-3</v>
      </c>
      <c r="CC29" s="4">
        <v>1.3225999999999999E-3</v>
      </c>
      <c r="CD29" s="4">
        <v>1.3044E-3</v>
      </c>
      <c r="CE29" s="4">
        <v>1.2864E-3</v>
      </c>
      <c r="CF29" s="4">
        <v>1.2687E-3</v>
      </c>
      <c r="CG29" s="4">
        <v>1.2512000000000001E-3</v>
      </c>
      <c r="CH29" s="4">
        <v>1.2339E-3</v>
      </c>
      <c r="CI29" s="4">
        <v>1.2168999999999999E-3</v>
      </c>
      <c r="CJ29" s="4">
        <v>1.2001E-3</v>
      </c>
      <c r="CK29" s="4">
        <v>1.1835000000000001E-3</v>
      </c>
      <c r="CL29" s="4">
        <v>1.1670999999999999E-3</v>
      </c>
      <c r="CM29" s="4">
        <v>1.1509000000000001E-3</v>
      </c>
      <c r="CN29" s="4">
        <v>1.1349999999999999E-3</v>
      </c>
      <c r="CO29" s="4">
        <v>1.1192999999999999E-3</v>
      </c>
      <c r="CP29" s="4">
        <v>1.1037E-3</v>
      </c>
      <c r="CQ29" s="4">
        <v>1.0884E-3</v>
      </c>
      <c r="CR29" s="4">
        <v>1.0732999999999999E-3</v>
      </c>
      <c r="CS29" s="4">
        <v>1.0583999999999999E-3</v>
      </c>
      <c r="CT29" s="4">
        <v>1.0436E-3</v>
      </c>
      <c r="CU29" s="4">
        <v>1.0291E-3</v>
      </c>
      <c r="CV29" s="4">
        <v>1.0147999999999999E-3</v>
      </c>
      <c r="CW29" s="4">
        <v>1.0005999999999999E-3</v>
      </c>
      <c r="CX29" s="4">
        <v>9.8670000000000008E-4</v>
      </c>
      <c r="CY29" s="4">
        <v>9.7289999999999996E-4</v>
      </c>
      <c r="CZ29" s="4">
        <v>9.5929999999999995E-4</v>
      </c>
      <c r="DA29" s="4">
        <v>9.4589999999999995E-4</v>
      </c>
      <c r="DB29" s="4">
        <v>9.3260000000000001E-4</v>
      </c>
      <c r="DC29" s="4">
        <v>9.1960000000000002E-4</v>
      </c>
      <c r="DD29" s="4">
        <v>9.0669999999999998E-4</v>
      </c>
      <c r="DE29" s="4">
        <v>8.9400000000000005E-4</v>
      </c>
      <c r="DF29" s="4">
        <v>8.8150000000000001E-4</v>
      </c>
      <c r="DG29" s="4">
        <v>8.6910000000000004E-4</v>
      </c>
      <c r="DH29" s="4">
        <v>8.5689999999999996E-4</v>
      </c>
      <c r="DI29" s="4">
        <v>8.4489999999999999E-4</v>
      </c>
      <c r="DJ29" s="4">
        <v>8.3299999999999997E-4</v>
      </c>
      <c r="DK29" s="4">
        <v>8.2129999999999996E-4</v>
      </c>
      <c r="DL29" s="4">
        <v>8.097E-4</v>
      </c>
      <c r="DM29" s="4">
        <v>7.9830000000000005E-4</v>
      </c>
      <c r="DN29" s="4">
        <v>7.871E-4</v>
      </c>
      <c r="DO29" s="4">
        <v>7.76E-4</v>
      </c>
      <c r="DP29" s="4">
        <v>7.651E-4</v>
      </c>
      <c r="DQ29" s="4">
        <v>5.3155599999999997E-2</v>
      </c>
      <c r="DR29" s="4">
        <v>0</v>
      </c>
      <c r="DS29" s="4">
        <v>5.94E-5</v>
      </c>
      <c r="DT29" s="4">
        <v>1.928E-4</v>
      </c>
      <c r="DU29" s="4">
        <v>7.4390000000000003E-4</v>
      </c>
      <c r="DV29" s="4">
        <v>6.311E-4</v>
      </c>
      <c r="DW29" s="4">
        <v>6.0590000000000004E-4</v>
      </c>
      <c r="DX29" s="4">
        <v>6.2120000000000003E-4</v>
      </c>
      <c r="DY29" s="4">
        <v>5.4589999999999999E-4</v>
      </c>
      <c r="DZ29" s="4">
        <v>4.9980000000000001E-4</v>
      </c>
      <c r="EA29" s="4">
        <v>4.4210000000000001E-4</v>
      </c>
      <c r="EB29" s="4">
        <v>3.9500000000000001E-4</v>
      </c>
      <c r="EC29" s="4">
        <v>3.5209999999999999E-4</v>
      </c>
      <c r="ED29" s="4">
        <v>3.1520000000000002E-4</v>
      </c>
      <c r="EE29" s="4">
        <v>2.8289999999999999E-4</v>
      </c>
      <c r="EF29" s="4">
        <v>2.5480000000000001E-4</v>
      </c>
      <c r="EG29" s="4">
        <v>2.3039999999999999E-4</v>
      </c>
      <c r="EH29" s="4">
        <v>2.087E-4</v>
      </c>
      <c r="EI29" s="4">
        <v>1.8900000000000001E-4</v>
      </c>
      <c r="EJ29" s="4">
        <v>1.6479999999999999E-4</v>
      </c>
      <c r="EK29" s="4">
        <v>1.405E-4</v>
      </c>
      <c r="EL29" s="4">
        <v>1.0950000000000001E-4</v>
      </c>
      <c r="EM29" s="4">
        <v>1.177E-4</v>
      </c>
      <c r="EN29" s="4">
        <v>1.089E-4</v>
      </c>
      <c r="EO29" s="4">
        <v>1.0170000000000001E-4</v>
      </c>
      <c r="EP29" s="4">
        <v>9.5299999999999999E-5</v>
      </c>
      <c r="EQ29" s="4">
        <v>8.9699999999999998E-5</v>
      </c>
      <c r="ER29" s="4">
        <v>8.4599999999999996E-5</v>
      </c>
      <c r="ES29" s="4">
        <v>8.0000000000000007E-5</v>
      </c>
      <c r="ET29" s="4">
        <v>7.5799999999999999E-5</v>
      </c>
      <c r="EU29" s="4">
        <v>7.2000000000000002E-5</v>
      </c>
      <c r="EV29" s="4">
        <v>6.8499999999999998E-5</v>
      </c>
      <c r="EW29" s="4">
        <v>6.5199999999999999E-5</v>
      </c>
      <c r="EX29" s="4">
        <v>6.2199999999999994E-5</v>
      </c>
      <c r="EY29" s="4">
        <v>5.94E-5</v>
      </c>
      <c r="EZ29" s="4">
        <v>5.6799999999999998E-5</v>
      </c>
      <c r="FA29" s="4">
        <v>5.4400000000000001E-5</v>
      </c>
      <c r="FB29" s="4">
        <v>5.2099999999999999E-5</v>
      </c>
      <c r="FC29" s="4">
        <v>5.0000000000000002E-5</v>
      </c>
      <c r="FD29" s="4">
        <v>4.8000000000000001E-5</v>
      </c>
      <c r="FE29" s="4">
        <v>4.6100000000000002E-5</v>
      </c>
      <c r="FF29" s="4">
        <v>4.4400000000000002E-5</v>
      </c>
      <c r="FG29" s="4">
        <v>4.2799999999999997E-5</v>
      </c>
      <c r="FH29" s="4">
        <v>4.1199999999999999E-5</v>
      </c>
      <c r="FI29" s="4">
        <v>3.9799999999999998E-5</v>
      </c>
      <c r="FJ29" s="4">
        <v>3.8500000000000001E-5</v>
      </c>
      <c r="FK29" s="4">
        <v>3.7200000000000003E-5</v>
      </c>
      <c r="FL29" s="4">
        <v>3.6000000000000001E-5</v>
      </c>
      <c r="FM29" s="4">
        <v>3.4900000000000001E-5</v>
      </c>
      <c r="FN29" s="4">
        <v>3.3899999999999997E-5</v>
      </c>
      <c r="FO29" s="4">
        <v>3.29E-5</v>
      </c>
      <c r="FP29" s="4">
        <v>3.1999999999999999E-5</v>
      </c>
      <c r="FQ29" s="4">
        <v>3.1099999999999997E-5</v>
      </c>
      <c r="FR29" s="4">
        <v>3.0300000000000001E-5</v>
      </c>
      <c r="FS29" s="4">
        <v>2.9600000000000001E-5</v>
      </c>
      <c r="FT29" s="4">
        <v>2.8799999999999999E-5</v>
      </c>
      <c r="FU29" s="4">
        <v>2.8200000000000001E-5</v>
      </c>
      <c r="FV29" s="4">
        <v>2.7500000000000001E-5</v>
      </c>
      <c r="FW29" s="4">
        <v>2.69E-5</v>
      </c>
      <c r="FX29" s="4">
        <v>2.6400000000000001E-5</v>
      </c>
      <c r="FY29" s="4">
        <v>2.58E-5</v>
      </c>
      <c r="FZ29" s="4">
        <v>2.5299999999999998E-5</v>
      </c>
      <c r="GA29" s="4">
        <v>2.48E-5</v>
      </c>
      <c r="GB29" s="4">
        <v>2.4300000000000001E-5</v>
      </c>
      <c r="GC29" s="4">
        <v>2.3900000000000002E-5</v>
      </c>
      <c r="GD29" s="4">
        <v>2.34E-5</v>
      </c>
      <c r="GE29" s="4">
        <v>2.3E-5</v>
      </c>
      <c r="GF29" s="4">
        <v>2.26E-5</v>
      </c>
      <c r="GG29" s="4">
        <v>2.2200000000000001E-5</v>
      </c>
      <c r="GH29" s="4">
        <v>2.19E-5</v>
      </c>
      <c r="GI29" s="4">
        <v>2.1500000000000001E-5</v>
      </c>
      <c r="GJ29" s="4">
        <v>2.12E-5</v>
      </c>
      <c r="GK29" s="4">
        <v>2.09E-5</v>
      </c>
      <c r="GL29" s="4">
        <v>2.05E-5</v>
      </c>
      <c r="GM29" s="4">
        <v>2.02E-5</v>
      </c>
      <c r="GN29" s="4">
        <v>1.9899999999999999E-5</v>
      </c>
      <c r="GO29" s="4">
        <v>1.9599999999999999E-5</v>
      </c>
      <c r="GP29" s="4">
        <v>1.9300000000000002E-5</v>
      </c>
      <c r="GQ29" s="4">
        <v>1.91E-5</v>
      </c>
      <c r="GR29" s="4">
        <v>1.88E-5</v>
      </c>
      <c r="GS29" s="4">
        <v>1.8499999999999999E-5</v>
      </c>
      <c r="GT29" s="4">
        <v>1.8300000000000001E-5</v>
      </c>
      <c r="GU29" s="4">
        <v>1.8E-5</v>
      </c>
      <c r="GV29" s="4">
        <v>1.77E-5</v>
      </c>
      <c r="GW29" s="4">
        <v>1.7499999999999998E-5</v>
      </c>
      <c r="GX29" s="4">
        <v>1.73E-5</v>
      </c>
      <c r="GY29" s="4">
        <v>1.7E-5</v>
      </c>
      <c r="GZ29" s="4">
        <v>1.6799999999999998E-5</v>
      </c>
      <c r="HA29" s="4">
        <v>1.66E-5</v>
      </c>
      <c r="HB29" s="4">
        <v>1.63E-5</v>
      </c>
      <c r="HC29" s="4">
        <v>1.6099999999999998E-5</v>
      </c>
      <c r="HD29" s="4">
        <v>1.59E-5</v>
      </c>
      <c r="HE29" s="4">
        <v>1.5699999999999999E-5</v>
      </c>
      <c r="HF29" s="4">
        <v>1.5500000000000001E-5</v>
      </c>
      <c r="HG29" s="4">
        <v>1.5299999999999999E-5</v>
      </c>
      <c r="HH29" s="4">
        <v>1.5E-5</v>
      </c>
      <c r="HI29" s="4">
        <v>1.4800000000000001E-5</v>
      </c>
      <c r="HJ29" s="4">
        <v>1.4600000000000001E-5</v>
      </c>
      <c r="HK29" s="4">
        <v>1.4399999999999999E-5</v>
      </c>
      <c r="HL29" s="4">
        <v>1.42E-5</v>
      </c>
      <c r="HM29" s="4">
        <v>1.4100000000000001E-5</v>
      </c>
      <c r="HN29" s="4">
        <v>1.3900000000000001E-5</v>
      </c>
      <c r="HO29" s="4">
        <v>1.3699999999999999E-5</v>
      </c>
      <c r="HP29" s="4">
        <v>1.3499999999999999E-5</v>
      </c>
      <c r="HQ29" s="4">
        <v>1.33E-5</v>
      </c>
      <c r="HR29" s="4">
        <v>1.31E-5</v>
      </c>
      <c r="HS29" s="4">
        <v>1.29E-5</v>
      </c>
      <c r="HT29" s="4">
        <v>1.2799999999999999E-5</v>
      </c>
      <c r="HU29" s="4">
        <v>1.26E-5</v>
      </c>
      <c r="HV29" s="4">
        <v>1.24E-5</v>
      </c>
      <c r="HW29" s="4">
        <v>1.2300000000000001E-5</v>
      </c>
      <c r="HX29" s="4">
        <v>1.2099999999999999E-5</v>
      </c>
      <c r="HY29" s="4">
        <v>1.19E-5</v>
      </c>
      <c r="HZ29" s="4">
        <v>1.1800000000000001E-5</v>
      </c>
      <c r="IA29" s="4">
        <v>1.1600000000000001E-5</v>
      </c>
      <c r="IB29" s="4">
        <v>1.1399999999999999E-5</v>
      </c>
      <c r="IC29" s="4">
        <v>1.13E-5</v>
      </c>
      <c r="ID29" s="4">
        <v>1.11E-5</v>
      </c>
      <c r="IE29" s="4">
        <v>1.1E-5</v>
      </c>
      <c r="IF29" s="4">
        <v>1.08E-5</v>
      </c>
      <c r="IG29" s="4">
        <v>7.5469999999999997E-4</v>
      </c>
      <c r="IH29" s="4"/>
      <c r="II29" s="4">
        <f t="shared" si="245"/>
        <v>0.11679715896159269</v>
      </c>
      <c r="IJ29">
        <f t="shared" si="246"/>
        <v>0.35786914999999953</v>
      </c>
      <c r="IN29" s="4"/>
      <c r="IO29" s="4"/>
      <c r="IP29" s="4"/>
      <c r="IQ29" s="4"/>
      <c r="IR29" s="4"/>
      <c r="IS29" s="4"/>
      <c r="IT29" s="4"/>
      <c r="IU29" s="4"/>
      <c r="IV29" s="4"/>
    </row>
    <row r="30" spans="1:256" x14ac:dyDescent="0.35">
      <c r="A30" s="1">
        <v>22</v>
      </c>
      <c r="B30" s="4">
        <v>1.1099700000000001E-2</v>
      </c>
      <c r="C30" s="4">
        <v>1.1099700000000001E-2</v>
      </c>
      <c r="D30" s="4">
        <v>1.1040299999999999E-2</v>
      </c>
      <c r="E30" s="4">
        <v>1.08475E-2</v>
      </c>
      <c r="F30" s="4">
        <v>1.01038E-2</v>
      </c>
      <c r="G30" s="4">
        <v>9.4734999999999993E-3</v>
      </c>
      <c r="H30" s="4">
        <v>8.8690000000000001E-3</v>
      </c>
      <c r="I30" s="4">
        <v>8.2491999999999999E-3</v>
      </c>
      <c r="J30" s="4">
        <v>7.7209000000000002E-3</v>
      </c>
      <c r="K30" s="4">
        <v>7.2297000000000004E-3</v>
      </c>
      <c r="L30" s="4">
        <v>6.7952000000000004E-3</v>
      </c>
      <c r="M30" s="4">
        <v>6.4079999999999996E-3</v>
      </c>
      <c r="N30" s="4">
        <v>6.0637E-3</v>
      </c>
      <c r="O30" s="4">
        <v>5.7552000000000002E-3</v>
      </c>
      <c r="P30" s="4">
        <v>5.4776E-3</v>
      </c>
      <c r="Q30" s="4">
        <v>5.2250999999999999E-3</v>
      </c>
      <c r="R30" s="4">
        <v>4.9927000000000001E-3</v>
      </c>
      <c r="S30" s="4">
        <v>4.7673999999999998E-3</v>
      </c>
      <c r="T30" s="4">
        <v>4.5380999999999998E-3</v>
      </c>
      <c r="U30" s="4">
        <v>4.1704999999999997E-3</v>
      </c>
      <c r="V30" s="4">
        <v>3.7279000000000001E-3</v>
      </c>
      <c r="W30" s="4">
        <v>3.0336E-3</v>
      </c>
      <c r="X30" s="4">
        <v>3.3002000000000001E-3</v>
      </c>
      <c r="Y30" s="4">
        <v>3.2089000000000002E-3</v>
      </c>
      <c r="Z30" s="4">
        <v>3.1384999999999998E-3</v>
      </c>
      <c r="AA30" s="4">
        <v>3.0723E-3</v>
      </c>
      <c r="AB30" s="4">
        <v>3.0122E-3</v>
      </c>
      <c r="AC30" s="4">
        <v>2.954E-3</v>
      </c>
      <c r="AD30" s="4">
        <v>2.8980999999999998E-3</v>
      </c>
      <c r="AE30" s="4">
        <v>2.8433E-3</v>
      </c>
      <c r="AF30" s="4">
        <v>2.7902000000000001E-3</v>
      </c>
      <c r="AG30" s="4">
        <v>2.7384000000000002E-3</v>
      </c>
      <c r="AH30" s="4">
        <v>2.6882E-3</v>
      </c>
      <c r="AI30" s="4">
        <v>2.6392999999999998E-3</v>
      </c>
      <c r="AJ30" s="4">
        <v>2.5918E-3</v>
      </c>
      <c r="AK30" s="4">
        <v>2.5457000000000001E-3</v>
      </c>
      <c r="AL30" s="4">
        <v>2.5008999999999999E-3</v>
      </c>
      <c r="AM30" s="4">
        <v>2.4575E-3</v>
      </c>
      <c r="AN30" s="4">
        <v>2.4153E-3</v>
      </c>
      <c r="AO30" s="4">
        <v>2.3743000000000002E-3</v>
      </c>
      <c r="AP30" s="4">
        <v>2.3345000000000002E-3</v>
      </c>
      <c r="AQ30" s="4">
        <v>2.2959E-3</v>
      </c>
      <c r="AR30" s="4">
        <v>2.2583E-3</v>
      </c>
      <c r="AS30" s="4">
        <v>2.2217999999999999E-3</v>
      </c>
      <c r="AT30" s="4">
        <v>2.1863999999999998E-3</v>
      </c>
      <c r="AU30" s="4">
        <v>2.1519E-3</v>
      </c>
      <c r="AV30" s="4">
        <v>2.1183E-3</v>
      </c>
      <c r="AW30" s="4">
        <v>2.0856E-3</v>
      </c>
      <c r="AX30" s="4">
        <v>2.0536999999999999E-3</v>
      </c>
      <c r="AY30" s="4">
        <v>2.0225999999999998E-3</v>
      </c>
      <c r="AZ30" s="4">
        <v>1.9922E-3</v>
      </c>
      <c r="BA30" s="4">
        <v>1.9626000000000001E-3</v>
      </c>
      <c r="BB30" s="4">
        <v>1.9337E-3</v>
      </c>
      <c r="BC30" s="4">
        <v>1.9054E-3</v>
      </c>
      <c r="BD30" s="4">
        <v>1.8776999999999999E-3</v>
      </c>
      <c r="BE30" s="4">
        <v>1.8504999999999999E-3</v>
      </c>
      <c r="BF30" s="4">
        <v>1.8240000000000001E-3</v>
      </c>
      <c r="BG30" s="4">
        <v>1.7979000000000001E-3</v>
      </c>
      <c r="BH30" s="4">
        <v>1.7723000000000001E-3</v>
      </c>
      <c r="BI30" s="4">
        <v>1.7473E-3</v>
      </c>
      <c r="BJ30" s="4">
        <v>1.7225999999999999E-3</v>
      </c>
      <c r="BK30" s="4">
        <v>1.6984999999999999E-3</v>
      </c>
      <c r="BL30" s="4">
        <v>1.6747000000000001E-3</v>
      </c>
      <c r="BM30" s="4">
        <v>1.6513000000000001E-3</v>
      </c>
      <c r="BN30" s="4">
        <v>1.6283000000000001E-3</v>
      </c>
      <c r="BO30" s="4">
        <v>1.6057000000000001E-3</v>
      </c>
      <c r="BP30" s="4">
        <v>1.5835000000000001E-3</v>
      </c>
      <c r="BQ30" s="4">
        <v>1.5616E-3</v>
      </c>
      <c r="BR30" s="4">
        <v>1.5399999999999999E-3</v>
      </c>
      <c r="BS30" s="4">
        <v>1.5188000000000001E-3</v>
      </c>
      <c r="BT30" s="4">
        <v>1.4978000000000001E-3</v>
      </c>
      <c r="BU30" s="4">
        <v>1.4771999999999999E-3</v>
      </c>
      <c r="BV30" s="4">
        <v>1.4568999999999999E-3</v>
      </c>
      <c r="BW30" s="4">
        <v>1.4368E-3</v>
      </c>
      <c r="BX30" s="4">
        <v>1.4170999999999999E-3</v>
      </c>
      <c r="BY30" s="4">
        <v>1.3975999999999999E-3</v>
      </c>
      <c r="BZ30" s="4">
        <v>1.3783999999999999E-3</v>
      </c>
      <c r="CA30" s="4">
        <v>1.3594E-3</v>
      </c>
      <c r="CB30" s="4">
        <v>1.3407E-3</v>
      </c>
      <c r="CC30" s="4">
        <v>1.3223E-3</v>
      </c>
      <c r="CD30" s="4">
        <v>1.3041000000000001E-3</v>
      </c>
      <c r="CE30" s="4">
        <v>1.2861000000000001E-3</v>
      </c>
      <c r="CF30" s="4">
        <v>1.2684E-3</v>
      </c>
      <c r="CG30" s="4">
        <v>1.2509000000000001E-3</v>
      </c>
      <c r="CH30" s="4">
        <v>1.2336999999999999E-3</v>
      </c>
      <c r="CI30" s="4">
        <v>1.2167E-3</v>
      </c>
      <c r="CJ30" s="4">
        <v>1.1999000000000001E-3</v>
      </c>
      <c r="CK30" s="4">
        <v>1.1833E-3</v>
      </c>
      <c r="CL30" s="4">
        <v>1.1669E-3</v>
      </c>
      <c r="CM30" s="4">
        <v>1.1508E-3</v>
      </c>
      <c r="CN30" s="4">
        <v>1.1348E-3</v>
      </c>
      <c r="CO30" s="4">
        <v>1.1191E-3</v>
      </c>
      <c r="CP30" s="4">
        <v>1.1035999999999999E-3</v>
      </c>
      <c r="CQ30" s="4">
        <v>1.0882999999999999E-3</v>
      </c>
      <c r="CR30" s="4">
        <v>1.0732000000000001E-3</v>
      </c>
      <c r="CS30" s="4">
        <v>1.0582E-3</v>
      </c>
      <c r="CT30" s="4">
        <v>1.0434999999999999E-3</v>
      </c>
      <c r="CU30" s="4">
        <v>1.029E-3</v>
      </c>
      <c r="CV30" s="4">
        <v>1.0147000000000001E-3</v>
      </c>
      <c r="CW30" s="4">
        <v>1.0005000000000001E-3</v>
      </c>
      <c r="CX30" s="4">
        <v>9.8660000000000002E-4</v>
      </c>
      <c r="CY30" s="4">
        <v>9.7280000000000001E-4</v>
      </c>
      <c r="CZ30" s="4">
        <v>9.592E-4</v>
      </c>
      <c r="DA30" s="4">
        <v>9.458E-4</v>
      </c>
      <c r="DB30" s="4">
        <v>9.3260000000000001E-4</v>
      </c>
      <c r="DC30" s="4">
        <v>9.1949999999999996E-4</v>
      </c>
      <c r="DD30" s="4">
        <v>9.0660000000000003E-4</v>
      </c>
      <c r="DE30" s="4">
        <v>8.9389999999999999E-4</v>
      </c>
      <c r="DF30" s="4">
        <v>8.8139999999999996E-4</v>
      </c>
      <c r="DG30" s="4">
        <v>8.6899999999999998E-4</v>
      </c>
      <c r="DH30" s="4">
        <v>8.5680000000000001E-4</v>
      </c>
      <c r="DI30" s="4">
        <v>8.4480000000000004E-4</v>
      </c>
      <c r="DJ30" s="4">
        <v>8.3290000000000002E-4</v>
      </c>
      <c r="DK30" s="4">
        <v>8.2120000000000001E-4</v>
      </c>
      <c r="DL30" s="4">
        <v>8.097E-4</v>
      </c>
      <c r="DM30" s="4">
        <v>7.9830000000000005E-4</v>
      </c>
      <c r="DN30" s="4">
        <v>7.8700000000000005E-4</v>
      </c>
      <c r="DO30" s="4">
        <v>7.76E-4</v>
      </c>
      <c r="DP30" s="4">
        <v>7.6499999999999995E-4</v>
      </c>
      <c r="DQ30" s="4">
        <v>5.31552E-2</v>
      </c>
      <c r="DR30" s="4">
        <v>0</v>
      </c>
      <c r="DS30" s="4">
        <v>5.94E-5</v>
      </c>
      <c r="DT30" s="4">
        <v>1.93E-4</v>
      </c>
      <c r="DU30" s="4">
        <v>7.4450000000000004E-4</v>
      </c>
      <c r="DV30" s="4">
        <v>6.3170000000000001E-4</v>
      </c>
      <c r="DW30" s="4">
        <v>6.0650000000000005E-4</v>
      </c>
      <c r="DX30" s="4">
        <v>6.2060000000000001E-4</v>
      </c>
      <c r="DY30" s="4">
        <v>5.4319999999999998E-4</v>
      </c>
      <c r="DZ30" s="4">
        <v>4.9980000000000001E-4</v>
      </c>
      <c r="EA30" s="4">
        <v>4.4200000000000001E-4</v>
      </c>
      <c r="EB30" s="4">
        <v>3.949E-4</v>
      </c>
      <c r="EC30" s="4">
        <v>3.5189999999999999E-4</v>
      </c>
      <c r="ED30" s="4">
        <v>3.1510000000000002E-4</v>
      </c>
      <c r="EE30" s="4">
        <v>2.8289999999999999E-4</v>
      </c>
      <c r="EF30" s="4">
        <v>2.5500000000000002E-4</v>
      </c>
      <c r="EG30" s="4">
        <v>2.3049999999999999E-4</v>
      </c>
      <c r="EH30" s="4">
        <v>2.0929999999999999E-4</v>
      </c>
      <c r="EI30" s="4">
        <v>1.9029999999999999E-4</v>
      </c>
      <c r="EJ30" s="4">
        <v>1.729E-4</v>
      </c>
      <c r="EK30" s="4">
        <v>1.5129999999999999E-4</v>
      </c>
      <c r="EL30" s="4">
        <v>1.293E-4</v>
      </c>
      <c r="EM30" s="4">
        <v>1.011E-4</v>
      </c>
      <c r="EN30" s="4">
        <v>1.086E-4</v>
      </c>
      <c r="EO30" s="4">
        <v>1.009E-4</v>
      </c>
      <c r="EP30" s="4">
        <v>9.4500000000000007E-5</v>
      </c>
      <c r="EQ30" s="4">
        <v>8.8900000000000006E-5</v>
      </c>
      <c r="ER30" s="4">
        <v>8.3900000000000006E-5</v>
      </c>
      <c r="ES30" s="4">
        <v>7.9400000000000006E-5</v>
      </c>
      <c r="ET30" s="4">
        <v>7.5300000000000001E-5</v>
      </c>
      <c r="EU30" s="4">
        <v>7.1500000000000003E-5</v>
      </c>
      <c r="EV30" s="4">
        <v>6.7999999999999999E-5</v>
      </c>
      <c r="EW30" s="4">
        <v>6.4800000000000003E-5</v>
      </c>
      <c r="EX30" s="4">
        <v>6.1799999999999998E-5</v>
      </c>
      <c r="EY30" s="4">
        <v>5.91E-5</v>
      </c>
      <c r="EZ30" s="4">
        <v>5.6499999999999998E-5</v>
      </c>
      <c r="FA30" s="4">
        <v>5.41E-5</v>
      </c>
      <c r="FB30" s="4">
        <v>5.1900000000000001E-5</v>
      </c>
      <c r="FC30" s="4">
        <v>4.9799999999999998E-5</v>
      </c>
      <c r="FD30" s="4">
        <v>4.7800000000000003E-5</v>
      </c>
      <c r="FE30" s="4">
        <v>4.6E-5</v>
      </c>
      <c r="FF30" s="4">
        <v>4.4199999999999997E-5</v>
      </c>
      <c r="FG30" s="4">
        <v>4.2599999999999999E-5</v>
      </c>
      <c r="FH30" s="4">
        <v>4.1100000000000003E-5</v>
      </c>
      <c r="FI30" s="4">
        <v>3.9700000000000003E-5</v>
      </c>
      <c r="FJ30" s="4">
        <v>3.8300000000000003E-5</v>
      </c>
      <c r="FK30" s="4">
        <v>3.7100000000000001E-5</v>
      </c>
      <c r="FL30" s="4">
        <v>3.5899999999999998E-5</v>
      </c>
      <c r="FM30" s="4">
        <v>3.4799999999999999E-5</v>
      </c>
      <c r="FN30" s="4">
        <v>3.3800000000000002E-5</v>
      </c>
      <c r="FO30" s="4">
        <v>3.2799999999999998E-5</v>
      </c>
      <c r="FP30" s="4">
        <v>3.1900000000000003E-5</v>
      </c>
      <c r="FQ30" s="4">
        <v>3.1000000000000001E-5</v>
      </c>
      <c r="FR30" s="4">
        <v>3.0199999999999999E-5</v>
      </c>
      <c r="FS30" s="4">
        <v>2.9499999999999999E-5</v>
      </c>
      <c r="FT30" s="4">
        <v>2.8799999999999999E-5</v>
      </c>
      <c r="FU30" s="4">
        <v>2.8099999999999999E-5</v>
      </c>
      <c r="FV30" s="4">
        <v>2.7500000000000001E-5</v>
      </c>
      <c r="FW30" s="4">
        <v>2.69E-5</v>
      </c>
      <c r="FX30" s="4">
        <v>2.6299999999999999E-5</v>
      </c>
      <c r="FY30" s="4">
        <v>2.5700000000000001E-5</v>
      </c>
      <c r="FZ30" s="4">
        <v>2.5199999999999999E-5</v>
      </c>
      <c r="GA30" s="4">
        <v>2.4700000000000001E-5</v>
      </c>
      <c r="GB30" s="4">
        <v>2.4300000000000001E-5</v>
      </c>
      <c r="GC30" s="4">
        <v>2.3799999999999999E-5</v>
      </c>
      <c r="GD30" s="4">
        <v>2.34E-5</v>
      </c>
      <c r="GE30" s="4">
        <v>2.3E-5</v>
      </c>
      <c r="GF30" s="4">
        <v>2.26E-5</v>
      </c>
      <c r="GG30" s="4">
        <v>2.2200000000000001E-5</v>
      </c>
      <c r="GH30" s="4">
        <v>2.1800000000000001E-5</v>
      </c>
      <c r="GI30" s="4">
        <v>2.1500000000000001E-5</v>
      </c>
      <c r="GJ30" s="4">
        <v>2.1100000000000001E-5</v>
      </c>
      <c r="GK30" s="4">
        <v>2.0800000000000001E-5</v>
      </c>
      <c r="GL30" s="4">
        <v>2.05E-5</v>
      </c>
      <c r="GM30" s="4">
        <v>2.02E-5</v>
      </c>
      <c r="GN30" s="4">
        <v>1.9899999999999999E-5</v>
      </c>
      <c r="GO30" s="4">
        <v>1.9599999999999999E-5</v>
      </c>
      <c r="GP30" s="4">
        <v>1.9300000000000002E-5</v>
      </c>
      <c r="GQ30" s="4">
        <v>1.9000000000000001E-5</v>
      </c>
      <c r="GR30" s="4">
        <v>1.88E-5</v>
      </c>
      <c r="GS30" s="4">
        <v>1.8499999999999999E-5</v>
      </c>
      <c r="GT30" s="4">
        <v>1.8199999999999999E-5</v>
      </c>
      <c r="GU30" s="4">
        <v>1.8E-5</v>
      </c>
      <c r="GV30" s="4">
        <v>1.77E-5</v>
      </c>
      <c r="GW30" s="4">
        <v>1.7499999999999998E-5</v>
      </c>
      <c r="GX30" s="4">
        <v>1.7200000000000001E-5</v>
      </c>
      <c r="GY30" s="4">
        <v>1.7E-5</v>
      </c>
      <c r="GZ30" s="4">
        <v>1.6799999999999998E-5</v>
      </c>
      <c r="HA30" s="4">
        <v>1.6500000000000001E-5</v>
      </c>
      <c r="HB30" s="4">
        <v>1.63E-5</v>
      </c>
      <c r="HC30" s="4">
        <v>1.6099999999999998E-5</v>
      </c>
      <c r="HD30" s="4">
        <v>1.59E-5</v>
      </c>
      <c r="HE30" s="4">
        <v>1.5699999999999999E-5</v>
      </c>
      <c r="HF30" s="4">
        <v>1.5500000000000001E-5</v>
      </c>
      <c r="HG30" s="4">
        <v>1.52E-5</v>
      </c>
      <c r="HH30" s="4">
        <v>1.5E-5</v>
      </c>
      <c r="HI30" s="4">
        <v>1.4800000000000001E-5</v>
      </c>
      <c r="HJ30" s="4">
        <v>1.4600000000000001E-5</v>
      </c>
      <c r="HK30" s="4">
        <v>1.4399999999999999E-5</v>
      </c>
      <c r="HL30" s="4">
        <v>1.42E-5</v>
      </c>
      <c r="HM30" s="4">
        <v>1.4E-5</v>
      </c>
      <c r="HN30" s="4">
        <v>1.3900000000000001E-5</v>
      </c>
      <c r="HO30" s="4">
        <v>1.3699999999999999E-5</v>
      </c>
      <c r="HP30" s="4">
        <v>1.3499999999999999E-5</v>
      </c>
      <c r="HQ30" s="4">
        <v>1.33E-5</v>
      </c>
      <c r="HR30" s="4">
        <v>1.31E-5</v>
      </c>
      <c r="HS30" s="4">
        <v>1.29E-5</v>
      </c>
      <c r="HT30" s="4">
        <v>1.2799999999999999E-5</v>
      </c>
      <c r="HU30" s="4">
        <v>1.26E-5</v>
      </c>
      <c r="HV30" s="4">
        <v>1.24E-5</v>
      </c>
      <c r="HW30" s="4">
        <v>1.22E-5</v>
      </c>
      <c r="HX30" s="4">
        <v>1.2099999999999999E-5</v>
      </c>
      <c r="HY30" s="4">
        <v>1.19E-5</v>
      </c>
      <c r="HZ30" s="4">
        <v>1.1800000000000001E-5</v>
      </c>
      <c r="IA30" s="4">
        <v>1.1600000000000001E-5</v>
      </c>
      <c r="IB30" s="4">
        <v>1.1399999999999999E-5</v>
      </c>
      <c r="IC30" s="4">
        <v>1.13E-5</v>
      </c>
      <c r="ID30" s="4">
        <v>1.11E-5</v>
      </c>
      <c r="IE30" s="4">
        <v>1.1E-5</v>
      </c>
      <c r="IF30" s="4">
        <v>1.08E-5</v>
      </c>
      <c r="IG30" s="4">
        <v>7.5460000000000002E-4</v>
      </c>
      <c r="IH30" s="4"/>
      <c r="II30" s="4">
        <f t="shared" si="245"/>
        <v>0.11670389809962677</v>
      </c>
      <c r="IJ30">
        <f t="shared" si="246"/>
        <v>0.3582322499999997</v>
      </c>
      <c r="IN30" s="4"/>
      <c r="IO30" s="4"/>
      <c r="IP30" s="4"/>
      <c r="IQ30" s="4"/>
      <c r="IR30" s="4"/>
      <c r="IS30" s="4"/>
      <c r="IT30" s="4"/>
      <c r="IU30" s="4"/>
      <c r="IV30" s="4"/>
    </row>
    <row r="31" spans="1:256" x14ac:dyDescent="0.35">
      <c r="A31" s="1">
        <v>23</v>
      </c>
      <c r="B31" s="4">
        <v>1.1099700000000001E-2</v>
      </c>
      <c r="C31" s="4">
        <v>1.1099700000000001E-2</v>
      </c>
      <c r="D31" s="4">
        <v>1.1040299999999999E-2</v>
      </c>
      <c r="E31" s="4">
        <v>1.0847300000000001E-2</v>
      </c>
      <c r="F31" s="4">
        <v>1.0102999999999999E-2</v>
      </c>
      <c r="G31" s="4">
        <v>9.4721000000000007E-3</v>
      </c>
      <c r="H31" s="4">
        <v>8.8669999999999999E-3</v>
      </c>
      <c r="I31" s="4">
        <v>8.2483000000000001E-3</v>
      </c>
      <c r="J31" s="4">
        <v>7.7060000000000002E-3</v>
      </c>
      <c r="K31" s="4">
        <v>7.2211999999999997E-3</v>
      </c>
      <c r="L31" s="4">
        <v>6.7878000000000001E-3</v>
      </c>
      <c r="M31" s="4">
        <v>6.4003000000000003E-3</v>
      </c>
      <c r="N31" s="4">
        <v>6.0561E-3</v>
      </c>
      <c r="O31" s="4">
        <v>5.7486000000000004E-3</v>
      </c>
      <c r="P31" s="4">
        <v>5.4723000000000003E-3</v>
      </c>
      <c r="Q31" s="4">
        <v>5.2226E-3</v>
      </c>
      <c r="R31" s="4">
        <v>4.9946000000000001E-3</v>
      </c>
      <c r="S31" s="4">
        <v>4.7834000000000002E-3</v>
      </c>
      <c r="T31" s="4">
        <v>4.5772E-3</v>
      </c>
      <c r="U31" s="4">
        <v>4.3651999999999996E-3</v>
      </c>
      <c r="V31" s="4">
        <v>4.0193E-3</v>
      </c>
      <c r="W31" s="4">
        <v>3.5985000000000001E-3</v>
      </c>
      <c r="X31" s="4">
        <v>2.9325000000000002E-3</v>
      </c>
      <c r="Y31" s="4">
        <v>3.1914999999999999E-3</v>
      </c>
      <c r="Z31" s="4">
        <v>3.1080999999999999E-3</v>
      </c>
      <c r="AA31" s="4">
        <v>3.0439999999999998E-3</v>
      </c>
      <c r="AB31" s="4">
        <v>2.9834000000000002E-3</v>
      </c>
      <c r="AC31" s="4">
        <v>2.9283E-3</v>
      </c>
      <c r="AD31" s="4">
        <v>2.8747E-3</v>
      </c>
      <c r="AE31" s="4">
        <v>2.8227999999999999E-3</v>
      </c>
      <c r="AF31" s="4">
        <v>2.7718E-3</v>
      </c>
      <c r="AG31" s="4">
        <v>2.7222000000000001E-3</v>
      </c>
      <c r="AH31" s="4">
        <v>2.6735999999999999E-3</v>
      </c>
      <c r="AI31" s="4">
        <v>2.6262999999999998E-3</v>
      </c>
      <c r="AJ31" s="4">
        <v>2.5801999999999999E-3</v>
      </c>
      <c r="AK31" s="4">
        <v>2.5352999999999999E-3</v>
      </c>
      <c r="AL31" s="4">
        <v>2.4916000000000001E-3</v>
      </c>
      <c r="AM31" s="4">
        <v>2.4491000000000001E-3</v>
      </c>
      <c r="AN31" s="4">
        <v>2.4077E-3</v>
      </c>
      <c r="AO31" s="4">
        <v>2.3674999999999998E-3</v>
      </c>
      <c r="AP31" s="4">
        <v>2.3283000000000002E-3</v>
      </c>
      <c r="AQ31" s="4">
        <v>2.2902999999999999E-3</v>
      </c>
      <c r="AR31" s="4">
        <v>2.2533000000000002E-3</v>
      </c>
      <c r="AS31" s="4">
        <v>2.2171999999999999E-3</v>
      </c>
      <c r="AT31" s="4">
        <v>2.1822E-3</v>
      </c>
      <c r="AU31" s="4">
        <v>2.1480000000000002E-3</v>
      </c>
      <c r="AV31" s="4">
        <v>2.1148E-3</v>
      </c>
      <c r="AW31" s="4">
        <v>2.0823999999999999E-3</v>
      </c>
      <c r="AX31" s="4">
        <v>2.0506999999999999E-3</v>
      </c>
      <c r="AY31" s="4">
        <v>2.0198999999999998E-3</v>
      </c>
      <c r="AZ31" s="4">
        <v>1.9897999999999999E-3</v>
      </c>
      <c r="BA31" s="4">
        <v>1.9602999999999999E-3</v>
      </c>
      <c r="BB31" s="4">
        <v>1.9315999999999999E-3</v>
      </c>
      <c r="BC31" s="4">
        <v>1.9034E-3</v>
      </c>
      <c r="BD31" s="4">
        <v>1.8759E-3</v>
      </c>
      <c r="BE31" s="4">
        <v>1.8488999999999999E-3</v>
      </c>
      <c r="BF31" s="4">
        <v>1.8224000000000001E-3</v>
      </c>
      <c r="BG31" s="4">
        <v>1.7964999999999999E-3</v>
      </c>
      <c r="BH31" s="4">
        <v>1.771E-3</v>
      </c>
      <c r="BI31" s="4">
        <v>1.7461E-3</v>
      </c>
      <c r="BJ31" s="4">
        <v>1.7214999999999999E-3</v>
      </c>
      <c r="BK31" s="4">
        <v>1.6974E-3</v>
      </c>
      <c r="BL31" s="4">
        <v>1.6737E-3</v>
      </c>
      <c r="BM31" s="4">
        <v>1.6504E-3</v>
      </c>
      <c r="BN31" s="4">
        <v>1.6275E-3</v>
      </c>
      <c r="BO31" s="4">
        <v>1.6050000000000001E-3</v>
      </c>
      <c r="BP31" s="4">
        <v>1.5828000000000001E-3</v>
      </c>
      <c r="BQ31" s="4">
        <v>1.5609E-3</v>
      </c>
      <c r="BR31" s="4">
        <v>1.5394E-3</v>
      </c>
      <c r="BS31" s="4">
        <v>1.5181999999999999E-3</v>
      </c>
      <c r="BT31" s="4">
        <v>1.4973E-3</v>
      </c>
      <c r="BU31" s="4">
        <v>1.4767000000000001E-3</v>
      </c>
      <c r="BV31" s="4">
        <v>1.4564000000000001E-3</v>
      </c>
      <c r="BW31" s="4">
        <v>1.4364E-3</v>
      </c>
      <c r="BX31" s="4">
        <v>1.4166000000000001E-3</v>
      </c>
      <c r="BY31" s="4">
        <v>1.3971999999999999E-3</v>
      </c>
      <c r="BZ31" s="4">
        <v>1.3780000000000001E-3</v>
      </c>
      <c r="CA31" s="4">
        <v>1.3591E-3</v>
      </c>
      <c r="CB31" s="4">
        <v>1.3404000000000001E-3</v>
      </c>
      <c r="CC31" s="4">
        <v>1.322E-3</v>
      </c>
      <c r="CD31" s="4">
        <v>1.3037999999999999E-3</v>
      </c>
      <c r="CE31" s="4">
        <v>1.2857999999999999E-3</v>
      </c>
      <c r="CF31" s="4">
        <v>1.2681000000000001E-3</v>
      </c>
      <c r="CG31" s="4">
        <v>1.2507E-3</v>
      </c>
      <c r="CH31" s="4">
        <v>1.2333999999999999E-3</v>
      </c>
      <c r="CI31" s="4">
        <v>1.2164000000000001E-3</v>
      </c>
      <c r="CJ31" s="4">
        <v>1.1996999999999999E-3</v>
      </c>
      <c r="CK31" s="4">
        <v>1.1831000000000001E-3</v>
      </c>
      <c r="CL31" s="4">
        <v>1.1666999999999999E-3</v>
      </c>
      <c r="CM31" s="4">
        <v>1.1506000000000001E-3</v>
      </c>
      <c r="CN31" s="4">
        <v>1.1347E-3</v>
      </c>
      <c r="CO31" s="4">
        <v>1.119E-3</v>
      </c>
      <c r="CP31" s="4">
        <v>1.1035000000000001E-3</v>
      </c>
      <c r="CQ31" s="4">
        <v>1.0881E-3</v>
      </c>
      <c r="CR31" s="4">
        <v>1.073E-3</v>
      </c>
      <c r="CS31" s="4">
        <v>1.0581E-3</v>
      </c>
      <c r="CT31" s="4">
        <v>1.0434000000000001E-3</v>
      </c>
      <c r="CU31" s="4">
        <v>1.0288999999999999E-3</v>
      </c>
      <c r="CV31" s="4">
        <v>1.0146000000000001E-3</v>
      </c>
      <c r="CW31" s="4">
        <v>1.0004E-3</v>
      </c>
      <c r="CX31" s="4">
        <v>9.8649999999999996E-4</v>
      </c>
      <c r="CY31" s="4">
        <v>9.7269999999999995E-4</v>
      </c>
      <c r="CZ31" s="4">
        <v>9.5909999999999995E-4</v>
      </c>
      <c r="DA31" s="4">
        <v>9.4569999999999995E-4</v>
      </c>
      <c r="DB31" s="4">
        <v>9.3249999999999995E-4</v>
      </c>
      <c r="DC31" s="4">
        <v>9.1949999999999996E-4</v>
      </c>
      <c r="DD31" s="4">
        <v>9.0660000000000003E-4</v>
      </c>
      <c r="DE31" s="4">
        <v>8.9389999999999999E-4</v>
      </c>
      <c r="DF31" s="4">
        <v>8.8130000000000001E-4</v>
      </c>
      <c r="DG31" s="4">
        <v>8.6899999999999998E-4</v>
      </c>
      <c r="DH31" s="4">
        <v>8.5680000000000001E-4</v>
      </c>
      <c r="DI31" s="4">
        <v>8.4480000000000004E-4</v>
      </c>
      <c r="DJ31" s="4">
        <v>8.3290000000000002E-4</v>
      </c>
      <c r="DK31" s="4">
        <v>8.2120000000000001E-4</v>
      </c>
      <c r="DL31" s="4">
        <v>8.0959999999999995E-4</v>
      </c>
      <c r="DM31" s="4">
        <v>7.9819999999999999E-4</v>
      </c>
      <c r="DN31" s="4">
        <v>7.8700000000000005E-4</v>
      </c>
      <c r="DO31" s="4">
        <v>7.7590000000000005E-4</v>
      </c>
      <c r="DP31" s="4">
        <v>7.6499999999999995E-4</v>
      </c>
      <c r="DQ31" s="4">
        <v>5.3154800000000002E-2</v>
      </c>
      <c r="DR31" s="4">
        <v>0</v>
      </c>
      <c r="DS31" s="4">
        <v>5.94E-5</v>
      </c>
      <c r="DT31" s="4">
        <v>1.9330000000000001E-4</v>
      </c>
      <c r="DU31" s="4">
        <v>7.45E-4</v>
      </c>
      <c r="DV31" s="4">
        <v>6.3230000000000003E-4</v>
      </c>
      <c r="DW31" s="4">
        <v>6.0720000000000001E-4</v>
      </c>
      <c r="DX31" s="4">
        <v>6.2180000000000004E-4</v>
      </c>
      <c r="DY31" s="4">
        <v>5.4480000000000002E-4</v>
      </c>
      <c r="DZ31" s="4">
        <v>5.0089999999999998E-4</v>
      </c>
      <c r="EA31" s="4">
        <v>4.4450000000000002E-4</v>
      </c>
      <c r="EB31" s="4">
        <v>3.9800000000000002E-4</v>
      </c>
      <c r="EC31" s="4">
        <v>3.5500000000000001E-4</v>
      </c>
      <c r="ED31" s="4">
        <v>3.1799999999999998E-4</v>
      </c>
      <c r="EE31" s="4">
        <v>2.856E-4</v>
      </c>
      <c r="EF31" s="4">
        <v>2.5750000000000002E-4</v>
      </c>
      <c r="EG31" s="4">
        <v>2.329E-4</v>
      </c>
      <c r="EH31" s="4">
        <v>2.1139999999999999E-4</v>
      </c>
      <c r="EI31" s="4">
        <v>1.9259999999999999E-4</v>
      </c>
      <c r="EJ31" s="4">
        <v>1.7560000000000001E-4</v>
      </c>
      <c r="EK31" s="4">
        <v>1.6000000000000001E-4</v>
      </c>
      <c r="EL31" s="4">
        <v>1.404E-4</v>
      </c>
      <c r="EM31" s="4">
        <v>1.204E-4</v>
      </c>
      <c r="EN31" s="4">
        <v>9.4300000000000002E-5</v>
      </c>
      <c r="EO31" s="4">
        <v>1.013E-4</v>
      </c>
      <c r="EP31" s="4">
        <v>9.4400000000000004E-5</v>
      </c>
      <c r="EQ31" s="4">
        <v>8.8700000000000001E-5</v>
      </c>
      <c r="ER31" s="4">
        <v>8.3599999999999999E-5</v>
      </c>
      <c r="ES31" s="4">
        <v>7.9099999999999998E-5</v>
      </c>
      <c r="ET31" s="4">
        <v>7.4999999999999993E-5</v>
      </c>
      <c r="EU31" s="4">
        <v>7.1299999999999998E-5</v>
      </c>
      <c r="EV31" s="4">
        <v>6.7799999999999995E-5</v>
      </c>
      <c r="EW31" s="4">
        <v>6.4599999999999998E-5</v>
      </c>
      <c r="EX31" s="4">
        <v>6.1699999999999995E-5</v>
      </c>
      <c r="EY31" s="4">
        <v>5.8999999999999998E-5</v>
      </c>
      <c r="EZ31" s="4">
        <v>5.6400000000000002E-5</v>
      </c>
      <c r="FA31" s="4">
        <v>5.3999999999999998E-5</v>
      </c>
      <c r="FB31" s="4">
        <v>5.1799999999999999E-5</v>
      </c>
      <c r="FC31" s="4">
        <v>4.9700000000000002E-5</v>
      </c>
      <c r="FD31" s="4">
        <v>4.7700000000000001E-5</v>
      </c>
      <c r="FE31" s="4">
        <v>4.5899999999999998E-5</v>
      </c>
      <c r="FF31" s="4">
        <v>4.4199999999999997E-5</v>
      </c>
      <c r="FG31" s="4">
        <v>4.2599999999999999E-5</v>
      </c>
      <c r="FH31" s="4">
        <v>4.1E-5</v>
      </c>
      <c r="FI31" s="4">
        <v>3.96E-5</v>
      </c>
      <c r="FJ31" s="4">
        <v>3.8300000000000003E-5</v>
      </c>
      <c r="FK31" s="4">
        <v>3.7100000000000001E-5</v>
      </c>
      <c r="FL31" s="4">
        <v>3.5899999999999998E-5</v>
      </c>
      <c r="FM31" s="4">
        <v>3.4799999999999999E-5</v>
      </c>
      <c r="FN31" s="4">
        <v>3.3800000000000002E-5</v>
      </c>
      <c r="FO31" s="4">
        <v>3.2799999999999998E-5</v>
      </c>
      <c r="FP31" s="4">
        <v>3.1900000000000003E-5</v>
      </c>
      <c r="FQ31" s="4">
        <v>3.1000000000000001E-5</v>
      </c>
      <c r="FR31" s="4">
        <v>3.0199999999999999E-5</v>
      </c>
      <c r="FS31" s="4">
        <v>2.9499999999999999E-5</v>
      </c>
      <c r="FT31" s="4">
        <v>2.8799999999999999E-5</v>
      </c>
      <c r="FU31" s="4">
        <v>2.8099999999999999E-5</v>
      </c>
      <c r="FV31" s="4">
        <v>2.7500000000000001E-5</v>
      </c>
      <c r="FW31" s="4">
        <v>2.69E-5</v>
      </c>
      <c r="FX31" s="4">
        <v>2.6299999999999999E-5</v>
      </c>
      <c r="FY31" s="4">
        <v>2.58E-5</v>
      </c>
      <c r="FZ31" s="4">
        <v>2.5199999999999999E-5</v>
      </c>
      <c r="GA31" s="4">
        <v>2.48E-5</v>
      </c>
      <c r="GB31" s="4">
        <v>2.4300000000000001E-5</v>
      </c>
      <c r="GC31" s="4">
        <v>2.3799999999999999E-5</v>
      </c>
      <c r="GD31" s="4">
        <v>2.34E-5</v>
      </c>
      <c r="GE31" s="4">
        <v>2.3E-5</v>
      </c>
      <c r="GF31" s="4">
        <v>2.26E-5</v>
      </c>
      <c r="GG31" s="4">
        <v>2.2200000000000001E-5</v>
      </c>
      <c r="GH31" s="4">
        <v>2.19E-5</v>
      </c>
      <c r="GI31" s="4">
        <v>2.1500000000000001E-5</v>
      </c>
      <c r="GJ31" s="4">
        <v>2.12E-5</v>
      </c>
      <c r="GK31" s="4">
        <v>2.0800000000000001E-5</v>
      </c>
      <c r="GL31" s="4">
        <v>2.05E-5</v>
      </c>
      <c r="GM31" s="4">
        <v>2.02E-5</v>
      </c>
      <c r="GN31" s="4">
        <v>1.9899999999999999E-5</v>
      </c>
      <c r="GO31" s="4">
        <v>1.9599999999999999E-5</v>
      </c>
      <c r="GP31" s="4">
        <v>1.9300000000000002E-5</v>
      </c>
      <c r="GQ31" s="4">
        <v>1.9000000000000001E-5</v>
      </c>
      <c r="GR31" s="4">
        <v>1.88E-5</v>
      </c>
      <c r="GS31" s="4">
        <v>1.8499999999999999E-5</v>
      </c>
      <c r="GT31" s="4">
        <v>1.8199999999999999E-5</v>
      </c>
      <c r="GU31" s="4">
        <v>1.8E-5</v>
      </c>
      <c r="GV31" s="4">
        <v>1.77E-5</v>
      </c>
      <c r="GW31" s="4">
        <v>1.7499999999999998E-5</v>
      </c>
      <c r="GX31" s="4">
        <v>1.73E-5</v>
      </c>
      <c r="GY31" s="4">
        <v>1.7E-5</v>
      </c>
      <c r="GZ31" s="4">
        <v>1.6799999999999998E-5</v>
      </c>
      <c r="HA31" s="4">
        <v>1.66E-5</v>
      </c>
      <c r="HB31" s="4">
        <v>1.63E-5</v>
      </c>
      <c r="HC31" s="4">
        <v>1.6099999999999998E-5</v>
      </c>
      <c r="HD31" s="4">
        <v>1.59E-5</v>
      </c>
      <c r="HE31" s="4">
        <v>1.5699999999999999E-5</v>
      </c>
      <c r="HF31" s="4">
        <v>1.5500000000000001E-5</v>
      </c>
      <c r="HG31" s="4">
        <v>1.52E-5</v>
      </c>
      <c r="HH31" s="4">
        <v>1.5E-5</v>
      </c>
      <c r="HI31" s="4">
        <v>1.4800000000000001E-5</v>
      </c>
      <c r="HJ31" s="4">
        <v>1.4600000000000001E-5</v>
      </c>
      <c r="HK31" s="4">
        <v>1.4399999999999999E-5</v>
      </c>
      <c r="HL31" s="4">
        <v>1.42E-5</v>
      </c>
      <c r="HM31" s="4">
        <v>1.4100000000000001E-5</v>
      </c>
      <c r="HN31" s="4">
        <v>1.3900000000000001E-5</v>
      </c>
      <c r="HO31" s="4">
        <v>1.3699999999999999E-5</v>
      </c>
      <c r="HP31" s="4">
        <v>1.3499999999999999E-5</v>
      </c>
      <c r="HQ31" s="4">
        <v>1.33E-5</v>
      </c>
      <c r="HR31" s="4">
        <v>1.31E-5</v>
      </c>
      <c r="HS31" s="4">
        <v>1.29E-5</v>
      </c>
      <c r="HT31" s="4">
        <v>1.2799999999999999E-5</v>
      </c>
      <c r="HU31" s="4">
        <v>1.26E-5</v>
      </c>
      <c r="HV31" s="4">
        <v>1.24E-5</v>
      </c>
      <c r="HW31" s="4">
        <v>1.2300000000000001E-5</v>
      </c>
      <c r="HX31" s="4">
        <v>1.2099999999999999E-5</v>
      </c>
      <c r="HY31" s="4">
        <v>1.19E-5</v>
      </c>
      <c r="HZ31" s="4">
        <v>1.1800000000000001E-5</v>
      </c>
      <c r="IA31" s="4">
        <v>1.1600000000000001E-5</v>
      </c>
      <c r="IB31" s="4">
        <v>1.1399999999999999E-5</v>
      </c>
      <c r="IC31" s="4">
        <v>1.13E-5</v>
      </c>
      <c r="ID31" s="4">
        <v>1.11E-5</v>
      </c>
      <c r="IE31" s="4">
        <v>1.1E-5</v>
      </c>
      <c r="IF31" s="4">
        <v>1.08E-5</v>
      </c>
      <c r="IG31" s="4">
        <v>7.5469999999999997E-4</v>
      </c>
      <c r="IH31" s="4"/>
      <c r="II31" s="4">
        <f t="shared" si="245"/>
        <v>0.11682403353280142</v>
      </c>
      <c r="IJ31">
        <f t="shared" si="246"/>
        <v>0.35856234999999981</v>
      </c>
      <c r="IN31" s="4"/>
      <c r="IO31" s="4"/>
      <c r="IP31" s="4"/>
      <c r="IQ31" s="4"/>
      <c r="IR31" s="4"/>
      <c r="IS31" s="4"/>
      <c r="IT31" s="4"/>
      <c r="IU31" s="4"/>
      <c r="IV31" s="4"/>
    </row>
    <row r="32" spans="1:256" x14ac:dyDescent="0.35">
      <c r="A32" s="1">
        <v>24</v>
      </c>
      <c r="B32" s="4">
        <v>1.1099700000000001E-2</v>
      </c>
      <c r="C32" s="4">
        <v>1.1099700000000001E-2</v>
      </c>
      <c r="D32" s="4">
        <v>1.1040299999999999E-2</v>
      </c>
      <c r="E32" s="4">
        <v>1.08471E-2</v>
      </c>
      <c r="F32" s="4">
        <v>1.01023E-2</v>
      </c>
      <c r="G32" s="4">
        <v>9.4707000000000003E-3</v>
      </c>
      <c r="H32" s="4">
        <v>8.8648000000000008E-3</v>
      </c>
      <c r="I32" s="4">
        <v>8.2451999999999994E-3</v>
      </c>
      <c r="J32" s="4">
        <v>7.7035000000000003E-3</v>
      </c>
      <c r="K32" s="4">
        <v>7.2050999999999999E-3</v>
      </c>
      <c r="L32" s="4">
        <v>6.7765999999999998E-3</v>
      </c>
      <c r="M32" s="4">
        <v>6.3898000000000002E-3</v>
      </c>
      <c r="N32" s="4">
        <v>6.0453E-3</v>
      </c>
      <c r="O32" s="4">
        <v>5.7381000000000003E-3</v>
      </c>
      <c r="P32" s="4">
        <v>5.4628999999999997E-3</v>
      </c>
      <c r="Q32" s="4">
        <v>5.2148000000000003E-3</v>
      </c>
      <c r="R32" s="4">
        <v>4.9896999999999997E-3</v>
      </c>
      <c r="S32" s="4">
        <v>4.7831999999999996E-3</v>
      </c>
      <c r="T32" s="4">
        <v>4.5907999999999999E-3</v>
      </c>
      <c r="U32" s="4">
        <v>4.4016000000000003E-3</v>
      </c>
      <c r="V32" s="4">
        <v>4.2052000000000001E-3</v>
      </c>
      <c r="W32" s="4">
        <v>3.8788999999999998E-3</v>
      </c>
      <c r="X32" s="4">
        <v>3.4781999999999999E-3</v>
      </c>
      <c r="Y32" s="4">
        <v>2.8381999999999999E-3</v>
      </c>
      <c r="Z32" s="4">
        <v>3.0902E-3</v>
      </c>
      <c r="AA32" s="4">
        <v>3.0136999999999998E-3</v>
      </c>
      <c r="AB32" s="4">
        <v>2.9553000000000001E-3</v>
      </c>
      <c r="AC32" s="4">
        <v>2.8998000000000001E-3</v>
      </c>
      <c r="AD32" s="4">
        <v>2.8490999999999998E-3</v>
      </c>
      <c r="AE32" s="4">
        <v>2.7997E-3</v>
      </c>
      <c r="AF32" s="4">
        <v>2.7515E-3</v>
      </c>
      <c r="AG32" s="4">
        <v>2.7039999999999998E-3</v>
      </c>
      <c r="AH32" s="4">
        <v>2.6575000000000001E-3</v>
      </c>
      <c r="AI32" s="4">
        <v>2.6118999999999999E-3</v>
      </c>
      <c r="AJ32" s="4">
        <v>2.5674000000000001E-3</v>
      </c>
      <c r="AK32" s="4">
        <v>2.5238000000000001E-3</v>
      </c>
      <c r="AL32" s="4">
        <v>2.4813000000000001E-3</v>
      </c>
      <c r="AM32" s="4">
        <v>2.4398000000000002E-3</v>
      </c>
      <c r="AN32" s="4">
        <v>2.3993999999999999E-3</v>
      </c>
      <c r="AO32" s="4">
        <v>2.3600000000000001E-3</v>
      </c>
      <c r="AP32" s="4">
        <v>2.3216000000000001E-3</v>
      </c>
      <c r="AQ32" s="4">
        <v>2.2842000000000001E-3</v>
      </c>
      <c r="AR32" s="4">
        <v>2.2477E-3</v>
      </c>
      <c r="AS32" s="4">
        <v>2.2122000000000001E-3</v>
      </c>
      <c r="AT32" s="4">
        <v>2.1776E-3</v>
      </c>
      <c r="AU32" s="4">
        <v>2.1438999999999998E-3</v>
      </c>
      <c r="AV32" s="4">
        <v>2.111E-3</v>
      </c>
      <c r="AW32" s="4">
        <v>2.0788999999999998E-3</v>
      </c>
      <c r="AX32" s="4">
        <v>2.0476000000000001E-3</v>
      </c>
      <c r="AY32" s="4">
        <v>2.0170000000000001E-3</v>
      </c>
      <c r="AZ32" s="4">
        <v>1.9870999999999999E-3</v>
      </c>
      <c r="BA32" s="4">
        <v>1.9578999999999998E-3</v>
      </c>
      <c r="BB32" s="4">
        <v>1.9292999999999999E-3</v>
      </c>
      <c r="BC32" s="4">
        <v>1.9013000000000001E-3</v>
      </c>
      <c r="BD32" s="4">
        <v>1.8739E-3</v>
      </c>
      <c r="BE32" s="4">
        <v>1.8471E-3</v>
      </c>
      <c r="BF32" s="4">
        <v>1.8208E-3</v>
      </c>
      <c r="BG32" s="4">
        <v>1.7949999999999999E-3</v>
      </c>
      <c r="BH32" s="4">
        <v>1.7696000000000001E-3</v>
      </c>
      <c r="BI32" s="4">
        <v>1.7447000000000001E-3</v>
      </c>
      <c r="BJ32" s="4">
        <v>1.7202999999999999E-3</v>
      </c>
      <c r="BK32" s="4">
        <v>1.6963E-3</v>
      </c>
      <c r="BL32" s="4">
        <v>1.6727000000000001E-3</v>
      </c>
      <c r="BM32" s="4">
        <v>1.6494000000000001E-3</v>
      </c>
      <c r="BN32" s="4">
        <v>1.6266E-3</v>
      </c>
      <c r="BO32" s="4">
        <v>1.6041E-3</v>
      </c>
      <c r="BP32" s="4">
        <v>1.5820000000000001E-3</v>
      </c>
      <c r="BQ32" s="4">
        <v>1.5602000000000001E-3</v>
      </c>
      <c r="BR32" s="4">
        <v>1.5387000000000001E-3</v>
      </c>
      <c r="BS32" s="4">
        <v>1.5175E-3</v>
      </c>
      <c r="BT32" s="4">
        <v>1.4966999999999999E-3</v>
      </c>
      <c r="BU32" s="4">
        <v>1.4760999999999999E-3</v>
      </c>
      <c r="BV32" s="4">
        <v>1.4557999999999999E-3</v>
      </c>
      <c r="BW32" s="4">
        <v>1.4358999999999999E-3</v>
      </c>
      <c r="BX32" s="4">
        <v>1.4162000000000001E-3</v>
      </c>
      <c r="BY32" s="4">
        <v>1.3967000000000001E-3</v>
      </c>
      <c r="BZ32" s="4">
        <v>1.3776000000000001E-3</v>
      </c>
      <c r="CA32" s="4">
        <v>1.3587E-3</v>
      </c>
      <c r="CB32" s="4">
        <v>1.34E-3</v>
      </c>
      <c r="CC32" s="4">
        <v>1.3216E-3</v>
      </c>
      <c r="CD32" s="4">
        <v>1.3035E-3</v>
      </c>
      <c r="CE32" s="4">
        <v>1.2855E-3</v>
      </c>
      <c r="CF32" s="4">
        <v>1.2679E-3</v>
      </c>
      <c r="CG32" s="4">
        <v>1.2504E-3</v>
      </c>
      <c r="CH32" s="4">
        <v>1.2332000000000001E-3</v>
      </c>
      <c r="CI32" s="4">
        <v>1.2162E-3</v>
      </c>
      <c r="CJ32" s="4">
        <v>1.1994E-3</v>
      </c>
      <c r="CK32" s="4">
        <v>1.1829E-3</v>
      </c>
      <c r="CL32" s="4">
        <v>1.1665E-3</v>
      </c>
      <c r="CM32" s="4">
        <v>1.1504E-3</v>
      </c>
      <c r="CN32" s="4">
        <v>1.1345000000000001E-3</v>
      </c>
      <c r="CO32" s="4">
        <v>1.1188000000000001E-3</v>
      </c>
      <c r="CP32" s="4">
        <v>1.1033E-3</v>
      </c>
      <c r="CQ32" s="4">
        <v>1.088E-3</v>
      </c>
      <c r="CR32" s="4">
        <v>1.0728999999999999E-3</v>
      </c>
      <c r="CS32" s="4">
        <v>1.0579999999999999E-3</v>
      </c>
      <c r="CT32" s="4">
        <v>1.0433E-3</v>
      </c>
      <c r="CU32" s="4">
        <v>1.0288000000000001E-3</v>
      </c>
      <c r="CV32" s="4">
        <v>1.0145E-3</v>
      </c>
      <c r="CW32" s="4">
        <v>1.0003E-3</v>
      </c>
      <c r="CX32" s="4">
        <v>9.8639999999999991E-4</v>
      </c>
      <c r="CY32" s="4">
        <v>9.7260000000000001E-4</v>
      </c>
      <c r="CZ32" s="4">
        <v>9.59E-4</v>
      </c>
      <c r="DA32" s="4">
        <v>9.456E-4</v>
      </c>
      <c r="DB32" s="4">
        <v>9.324E-4</v>
      </c>
      <c r="DC32" s="4">
        <v>9.1940000000000001E-4</v>
      </c>
      <c r="DD32" s="4">
        <v>9.0649999999999997E-4</v>
      </c>
      <c r="DE32" s="4">
        <v>8.9380000000000004E-4</v>
      </c>
      <c r="DF32" s="4">
        <v>8.8130000000000001E-4</v>
      </c>
      <c r="DG32" s="4">
        <v>8.6890000000000003E-4</v>
      </c>
      <c r="DH32" s="4">
        <v>8.5669999999999995E-4</v>
      </c>
      <c r="DI32" s="4">
        <v>8.4469999999999999E-4</v>
      </c>
      <c r="DJ32" s="4">
        <v>8.3279999999999997E-4</v>
      </c>
      <c r="DK32" s="4">
        <v>8.2109999999999995E-4</v>
      </c>
      <c r="DL32" s="4">
        <v>8.0959999999999995E-4</v>
      </c>
      <c r="DM32" s="4">
        <v>7.9819999999999999E-4</v>
      </c>
      <c r="DN32" s="4">
        <v>7.8700000000000005E-4</v>
      </c>
      <c r="DO32" s="4">
        <v>7.7590000000000005E-4</v>
      </c>
      <c r="DP32" s="4">
        <v>7.6499999999999995E-4</v>
      </c>
      <c r="DQ32" s="4">
        <v>5.3154300000000002E-2</v>
      </c>
      <c r="DR32" s="4">
        <v>0</v>
      </c>
      <c r="DS32" s="4">
        <v>5.94E-5</v>
      </c>
      <c r="DT32" s="4">
        <v>1.9349999999999999E-4</v>
      </c>
      <c r="DU32" s="4">
        <v>7.4549999999999996E-4</v>
      </c>
      <c r="DV32" s="4">
        <v>6.4860000000000004E-4</v>
      </c>
      <c r="DW32" s="4">
        <v>6.1109999999999995E-4</v>
      </c>
      <c r="DX32" s="4">
        <v>6.2600000000000004E-4</v>
      </c>
      <c r="DY32" s="4">
        <v>5.5040000000000004E-4</v>
      </c>
      <c r="DZ32" s="4">
        <v>5.0350000000000004E-4</v>
      </c>
      <c r="EA32" s="4">
        <v>4.4490000000000003E-4</v>
      </c>
      <c r="EB32" s="4">
        <v>3.9839999999999998E-4</v>
      </c>
      <c r="EC32" s="4">
        <v>3.548E-4</v>
      </c>
      <c r="ED32" s="4">
        <v>3.1760000000000002E-4</v>
      </c>
      <c r="EE32" s="4">
        <v>2.8489999999999999E-4</v>
      </c>
      <c r="EF32" s="4">
        <v>2.5680000000000001E-4</v>
      </c>
      <c r="EG32" s="4">
        <v>2.3220000000000001E-4</v>
      </c>
      <c r="EH32" s="4">
        <v>2.108E-4</v>
      </c>
      <c r="EI32" s="4">
        <v>1.92E-4</v>
      </c>
      <c r="EJ32" s="4">
        <v>1.7550000000000001E-4</v>
      </c>
      <c r="EK32" s="4">
        <v>1.606E-4</v>
      </c>
      <c r="EL32" s="4">
        <v>1.4679999999999999E-4</v>
      </c>
      <c r="EM32" s="4">
        <v>1.292E-4</v>
      </c>
      <c r="EN32" s="4">
        <v>1.111E-4</v>
      </c>
      <c r="EO32" s="4">
        <v>8.7299999999999994E-5</v>
      </c>
      <c r="EP32" s="4">
        <v>9.3900000000000006E-5</v>
      </c>
      <c r="EQ32" s="4">
        <v>8.7700000000000004E-5</v>
      </c>
      <c r="ER32" s="4">
        <v>8.2700000000000004E-5</v>
      </c>
      <c r="ES32" s="4">
        <v>7.8200000000000003E-5</v>
      </c>
      <c r="ET32" s="4">
        <v>7.4200000000000001E-5</v>
      </c>
      <c r="EU32" s="4">
        <v>7.0599999999999995E-5</v>
      </c>
      <c r="EV32" s="4">
        <v>6.7199999999999994E-5</v>
      </c>
      <c r="EW32" s="4">
        <v>6.41E-5</v>
      </c>
      <c r="EX32" s="4">
        <v>6.1199999999999997E-5</v>
      </c>
      <c r="EY32" s="4">
        <v>5.8600000000000001E-5</v>
      </c>
      <c r="EZ32" s="4">
        <v>5.5999999999999999E-5</v>
      </c>
      <c r="FA32" s="4">
        <v>5.3699999999999997E-5</v>
      </c>
      <c r="FB32" s="4">
        <v>5.1499999999999998E-5</v>
      </c>
      <c r="FC32" s="4">
        <v>4.9400000000000001E-5</v>
      </c>
      <c r="FD32" s="4">
        <v>4.7500000000000003E-5</v>
      </c>
      <c r="FE32" s="4">
        <v>4.57E-5</v>
      </c>
      <c r="FF32" s="4">
        <v>4.3999999999999999E-5</v>
      </c>
      <c r="FG32" s="4">
        <v>4.2400000000000001E-5</v>
      </c>
      <c r="FH32" s="4">
        <v>4.0899999999999998E-5</v>
      </c>
      <c r="FI32" s="4">
        <v>3.9499999999999998E-5</v>
      </c>
      <c r="FJ32" s="4">
        <v>3.82E-5</v>
      </c>
      <c r="FK32" s="4">
        <v>3.6999999999999998E-5</v>
      </c>
      <c r="FL32" s="4">
        <v>3.5800000000000003E-5</v>
      </c>
      <c r="FM32" s="4">
        <v>3.4700000000000003E-5</v>
      </c>
      <c r="FN32" s="4">
        <v>3.3699999999999999E-5</v>
      </c>
      <c r="FO32" s="4">
        <v>3.2700000000000002E-5</v>
      </c>
      <c r="FP32" s="4">
        <v>3.18E-5</v>
      </c>
      <c r="FQ32" s="4">
        <v>3.1000000000000001E-5</v>
      </c>
      <c r="FR32" s="4">
        <v>3.0199999999999999E-5</v>
      </c>
      <c r="FS32" s="4">
        <v>2.94E-5</v>
      </c>
      <c r="FT32" s="4">
        <v>2.87E-5</v>
      </c>
      <c r="FU32" s="4">
        <v>2.8099999999999999E-5</v>
      </c>
      <c r="FV32" s="4">
        <v>2.7399999999999999E-5</v>
      </c>
      <c r="FW32" s="4">
        <v>2.6800000000000001E-5</v>
      </c>
      <c r="FX32" s="4">
        <v>2.6299999999999999E-5</v>
      </c>
      <c r="FY32" s="4">
        <v>2.5700000000000001E-5</v>
      </c>
      <c r="FZ32" s="4">
        <v>2.5199999999999999E-5</v>
      </c>
      <c r="GA32" s="4">
        <v>2.4700000000000001E-5</v>
      </c>
      <c r="GB32" s="4">
        <v>2.4300000000000001E-5</v>
      </c>
      <c r="GC32" s="4">
        <v>2.3799999999999999E-5</v>
      </c>
      <c r="GD32" s="4">
        <v>2.34E-5</v>
      </c>
      <c r="GE32" s="4">
        <v>2.3E-5</v>
      </c>
      <c r="GF32" s="4">
        <v>2.26E-5</v>
      </c>
      <c r="GG32" s="4">
        <v>2.2200000000000001E-5</v>
      </c>
      <c r="GH32" s="4">
        <v>2.1800000000000001E-5</v>
      </c>
      <c r="GI32" s="4">
        <v>2.1500000000000001E-5</v>
      </c>
      <c r="GJ32" s="4">
        <v>2.12E-5</v>
      </c>
      <c r="GK32" s="4">
        <v>2.0800000000000001E-5</v>
      </c>
      <c r="GL32" s="4">
        <v>2.05E-5</v>
      </c>
      <c r="GM32" s="4">
        <v>2.02E-5</v>
      </c>
      <c r="GN32" s="4">
        <v>1.9899999999999999E-5</v>
      </c>
      <c r="GO32" s="4">
        <v>1.9599999999999999E-5</v>
      </c>
      <c r="GP32" s="4">
        <v>1.9300000000000002E-5</v>
      </c>
      <c r="GQ32" s="4">
        <v>1.9000000000000001E-5</v>
      </c>
      <c r="GR32" s="4">
        <v>1.88E-5</v>
      </c>
      <c r="GS32" s="4">
        <v>1.8499999999999999E-5</v>
      </c>
      <c r="GT32" s="4">
        <v>1.8199999999999999E-5</v>
      </c>
      <c r="GU32" s="4">
        <v>1.8E-5</v>
      </c>
      <c r="GV32" s="4">
        <v>1.77E-5</v>
      </c>
      <c r="GW32" s="4">
        <v>1.7499999999999998E-5</v>
      </c>
      <c r="GX32" s="4">
        <v>1.7200000000000001E-5</v>
      </c>
      <c r="GY32" s="4">
        <v>1.7E-5</v>
      </c>
      <c r="GZ32" s="4">
        <v>1.6799999999999998E-5</v>
      </c>
      <c r="HA32" s="4">
        <v>1.66E-5</v>
      </c>
      <c r="HB32" s="4">
        <v>1.63E-5</v>
      </c>
      <c r="HC32" s="4">
        <v>1.6099999999999998E-5</v>
      </c>
      <c r="HD32" s="4">
        <v>1.59E-5</v>
      </c>
      <c r="HE32" s="4">
        <v>1.5699999999999999E-5</v>
      </c>
      <c r="HF32" s="4">
        <v>1.5500000000000001E-5</v>
      </c>
      <c r="HG32" s="4">
        <v>1.52E-5</v>
      </c>
      <c r="HH32" s="4">
        <v>1.5E-5</v>
      </c>
      <c r="HI32" s="4">
        <v>1.4800000000000001E-5</v>
      </c>
      <c r="HJ32" s="4">
        <v>1.4600000000000001E-5</v>
      </c>
      <c r="HK32" s="4">
        <v>1.4399999999999999E-5</v>
      </c>
      <c r="HL32" s="4">
        <v>1.42E-5</v>
      </c>
      <c r="HM32" s="4">
        <v>1.4100000000000001E-5</v>
      </c>
      <c r="HN32" s="4">
        <v>1.3900000000000001E-5</v>
      </c>
      <c r="HO32" s="4">
        <v>1.3699999999999999E-5</v>
      </c>
      <c r="HP32" s="4">
        <v>1.3499999999999999E-5</v>
      </c>
      <c r="HQ32" s="4">
        <v>1.33E-5</v>
      </c>
      <c r="HR32" s="4">
        <v>1.31E-5</v>
      </c>
      <c r="HS32" s="4">
        <v>1.29E-5</v>
      </c>
      <c r="HT32" s="4">
        <v>1.2799999999999999E-5</v>
      </c>
      <c r="HU32" s="4">
        <v>1.26E-5</v>
      </c>
      <c r="HV32" s="4">
        <v>1.24E-5</v>
      </c>
      <c r="HW32" s="4">
        <v>1.2300000000000001E-5</v>
      </c>
      <c r="HX32" s="4">
        <v>1.2099999999999999E-5</v>
      </c>
      <c r="HY32" s="4">
        <v>1.19E-5</v>
      </c>
      <c r="HZ32" s="4">
        <v>1.1800000000000001E-5</v>
      </c>
      <c r="IA32" s="4">
        <v>1.1600000000000001E-5</v>
      </c>
      <c r="IB32" s="4">
        <v>1.1399999999999999E-5</v>
      </c>
      <c r="IC32" s="4">
        <v>1.13E-5</v>
      </c>
      <c r="ID32" s="4">
        <v>1.11E-5</v>
      </c>
      <c r="IE32" s="4">
        <v>1.1E-5</v>
      </c>
      <c r="IF32" s="4">
        <v>1.08E-5</v>
      </c>
      <c r="IG32" s="4">
        <v>7.5469999999999997E-4</v>
      </c>
      <c r="IH32" s="4"/>
      <c r="II32" s="4">
        <f t="shared" si="245"/>
        <v>0.117041108517909</v>
      </c>
      <c r="IJ32">
        <f t="shared" si="246"/>
        <v>0.35886023749999985</v>
      </c>
      <c r="IN32" s="4"/>
      <c r="IO32" s="4"/>
      <c r="IP32" s="4"/>
      <c r="IQ32" s="4"/>
      <c r="IR32" s="4"/>
      <c r="IS32" s="4"/>
      <c r="IT32" s="4"/>
      <c r="IU32" s="4"/>
      <c r="IV32" s="4"/>
    </row>
    <row r="33" spans="1:256" x14ac:dyDescent="0.35">
      <c r="A33" s="1">
        <v>25</v>
      </c>
      <c r="B33" s="4">
        <v>1.0734799999999999E-2</v>
      </c>
      <c r="C33" s="4">
        <v>1.1099700000000001E-2</v>
      </c>
      <c r="D33" s="4">
        <v>1.1040299999999999E-2</v>
      </c>
      <c r="E33" s="4">
        <v>1.08468E-2</v>
      </c>
      <c r="F33" s="4">
        <v>1.0101600000000001E-2</v>
      </c>
      <c r="G33" s="4">
        <v>9.4537000000000006E-3</v>
      </c>
      <c r="H33" s="4">
        <v>8.8596000000000005E-3</v>
      </c>
      <c r="I33" s="4">
        <v>8.2387999999999992E-3</v>
      </c>
      <c r="J33" s="4">
        <v>7.6947999999999999E-3</v>
      </c>
      <c r="K33" s="4">
        <v>7.1999999999999998E-3</v>
      </c>
      <c r="L33" s="4">
        <v>6.7602000000000001E-3</v>
      </c>
      <c r="M33" s="4">
        <v>6.3781999999999997E-3</v>
      </c>
      <c r="N33" s="4">
        <v>6.0350000000000004E-3</v>
      </c>
      <c r="O33" s="4">
        <v>5.7277999999999999E-3</v>
      </c>
      <c r="P33" s="4">
        <v>5.4533000000000003E-3</v>
      </c>
      <c r="Q33" s="4">
        <v>5.2062000000000002E-3</v>
      </c>
      <c r="R33" s="4">
        <v>4.9826000000000002E-3</v>
      </c>
      <c r="S33" s="4">
        <v>4.7789E-3</v>
      </c>
      <c r="T33" s="4">
        <v>4.5912000000000001E-3</v>
      </c>
      <c r="U33" s="4">
        <v>4.4152999999999996E-3</v>
      </c>
      <c r="V33" s="4">
        <v>4.241E-3</v>
      </c>
      <c r="W33" s="4">
        <v>4.0584000000000002E-3</v>
      </c>
      <c r="X33" s="4">
        <v>3.7496999999999999E-3</v>
      </c>
      <c r="Y33" s="4">
        <v>3.3671E-3</v>
      </c>
      <c r="Z33" s="4">
        <v>2.751E-3</v>
      </c>
      <c r="AA33" s="4">
        <v>2.9964000000000002E-3</v>
      </c>
      <c r="AB33" s="4">
        <v>2.9260000000000002E-3</v>
      </c>
      <c r="AC33" s="4">
        <v>2.8725999999999999E-3</v>
      </c>
      <c r="AD33" s="4">
        <v>2.8214999999999998E-3</v>
      </c>
      <c r="AE33" s="4">
        <v>2.7748999999999998E-3</v>
      </c>
      <c r="AF33" s="4">
        <v>2.7290999999999999E-3</v>
      </c>
      <c r="AG33" s="4">
        <v>2.6843000000000001E-3</v>
      </c>
      <c r="AH33" s="4">
        <v>2.6399000000000001E-3</v>
      </c>
      <c r="AI33" s="4">
        <v>2.5963000000000002E-3</v>
      </c>
      <c r="AJ33" s="4">
        <v>2.5533999999999999E-3</v>
      </c>
      <c r="AK33" s="4">
        <v>2.5113000000000002E-3</v>
      </c>
      <c r="AL33" s="4">
        <v>2.4700999999999998E-3</v>
      </c>
      <c r="AM33" s="4">
        <v>2.4298000000000002E-3</v>
      </c>
      <c r="AN33" s="4">
        <v>2.3904E-3</v>
      </c>
      <c r="AO33" s="4">
        <v>2.3519000000000001E-3</v>
      </c>
      <c r="AP33" s="4">
        <v>2.3143E-3</v>
      </c>
      <c r="AQ33" s="4">
        <v>2.2775999999999999E-3</v>
      </c>
      <c r="AR33" s="4">
        <v>2.2418E-3</v>
      </c>
      <c r="AS33" s="4">
        <v>2.2068000000000001E-3</v>
      </c>
      <c r="AT33" s="4">
        <v>2.1727000000000001E-3</v>
      </c>
      <c r="AU33" s="4">
        <v>2.1394000000000001E-3</v>
      </c>
      <c r="AV33" s="4">
        <v>2.1069000000000001E-3</v>
      </c>
      <c r="AW33" s="4">
        <v>2.0752000000000001E-3</v>
      </c>
      <c r="AX33" s="4">
        <v>2.0441999999999999E-3</v>
      </c>
      <c r="AY33" s="4">
        <v>2.0138999999999999E-3</v>
      </c>
      <c r="AZ33" s="4">
        <v>1.9842000000000002E-3</v>
      </c>
      <c r="BA33" s="4">
        <v>1.9553000000000001E-3</v>
      </c>
      <c r="BB33" s="4">
        <v>1.9269000000000001E-3</v>
      </c>
      <c r="BC33" s="4">
        <v>1.8990999999999999E-3</v>
      </c>
      <c r="BD33" s="4">
        <v>1.8718999999999999E-3</v>
      </c>
      <c r="BE33" s="4">
        <v>1.8452E-3</v>
      </c>
      <c r="BF33" s="4">
        <v>1.8190000000000001E-3</v>
      </c>
      <c r="BG33" s="4">
        <v>1.7933000000000001E-3</v>
      </c>
      <c r="BH33" s="4">
        <v>1.7681000000000001E-3</v>
      </c>
      <c r="BI33" s="4">
        <v>1.7434E-3</v>
      </c>
      <c r="BJ33" s="4">
        <v>1.719E-3</v>
      </c>
      <c r="BK33" s="4">
        <v>1.6950999999999999E-3</v>
      </c>
      <c r="BL33" s="4">
        <v>1.6716000000000001E-3</v>
      </c>
      <c r="BM33" s="4">
        <v>1.6484E-3</v>
      </c>
      <c r="BN33" s="4">
        <v>1.6256E-3</v>
      </c>
      <c r="BO33" s="4">
        <v>1.6031999999999999E-3</v>
      </c>
      <c r="BP33" s="4">
        <v>1.5811E-3</v>
      </c>
      <c r="BQ33" s="4">
        <v>1.5594000000000001E-3</v>
      </c>
      <c r="BR33" s="4">
        <v>1.5379E-3</v>
      </c>
      <c r="BS33" s="4">
        <v>1.5168E-3</v>
      </c>
      <c r="BT33" s="4">
        <v>1.4959999999999999E-3</v>
      </c>
      <c r="BU33" s="4">
        <v>1.4755E-3</v>
      </c>
      <c r="BV33" s="4">
        <v>1.4553000000000001E-3</v>
      </c>
      <c r="BW33" s="4">
        <v>1.4353E-3</v>
      </c>
      <c r="BX33" s="4">
        <v>1.4157E-3</v>
      </c>
      <c r="BY33" s="4">
        <v>1.3963000000000001E-3</v>
      </c>
      <c r="BZ33" s="4">
        <v>1.3771E-3</v>
      </c>
      <c r="CA33" s="4">
        <v>1.3583E-3</v>
      </c>
      <c r="CB33" s="4">
        <v>1.3396E-3</v>
      </c>
      <c r="CC33" s="4">
        <v>1.3212E-3</v>
      </c>
      <c r="CD33" s="4">
        <v>1.3031E-3</v>
      </c>
      <c r="CE33" s="4">
        <v>1.2852E-3</v>
      </c>
      <c r="CF33" s="4">
        <v>1.2676E-3</v>
      </c>
      <c r="CG33" s="4">
        <v>1.2501000000000001E-3</v>
      </c>
      <c r="CH33" s="4">
        <v>1.2329000000000001E-3</v>
      </c>
      <c r="CI33" s="4">
        <v>1.2159E-3</v>
      </c>
      <c r="CJ33" s="4">
        <v>1.1992000000000001E-3</v>
      </c>
      <c r="CK33" s="4">
        <v>1.1826E-3</v>
      </c>
      <c r="CL33" s="4">
        <v>1.1663000000000001E-3</v>
      </c>
      <c r="CM33" s="4">
        <v>1.1502000000000001E-3</v>
      </c>
      <c r="CN33" s="4">
        <v>1.1343E-3</v>
      </c>
      <c r="CO33" s="4">
        <v>1.1186E-3</v>
      </c>
      <c r="CP33" s="4">
        <v>1.1031000000000001E-3</v>
      </c>
      <c r="CQ33" s="4">
        <v>1.0878000000000001E-3</v>
      </c>
      <c r="CR33" s="4">
        <v>1.0727E-3</v>
      </c>
      <c r="CS33" s="4">
        <v>1.0579000000000001E-3</v>
      </c>
      <c r="CT33" s="4">
        <v>1.0432E-3</v>
      </c>
      <c r="CU33" s="4">
        <v>1.0286E-3</v>
      </c>
      <c r="CV33" s="4">
        <v>1.0143000000000001E-3</v>
      </c>
      <c r="CW33" s="4">
        <v>1.0001999999999999E-3</v>
      </c>
      <c r="CX33" s="4">
        <v>9.8630000000000007E-4</v>
      </c>
      <c r="CY33" s="4">
        <v>9.7249999999999995E-4</v>
      </c>
      <c r="CZ33" s="4">
        <v>9.5890000000000005E-4</v>
      </c>
      <c r="DA33" s="4">
        <v>9.4550000000000005E-4</v>
      </c>
      <c r="DB33" s="4">
        <v>9.3229999999999995E-4</v>
      </c>
      <c r="DC33" s="4">
        <v>9.1929999999999996E-4</v>
      </c>
      <c r="DD33" s="4">
        <v>9.0640000000000002E-4</v>
      </c>
      <c r="DE33" s="4">
        <v>8.9369999999999998E-4</v>
      </c>
      <c r="DF33" s="4">
        <v>8.8119999999999995E-4</v>
      </c>
      <c r="DG33" s="4">
        <v>8.6890000000000003E-4</v>
      </c>
      <c r="DH33" s="4">
        <v>8.5669999999999995E-4</v>
      </c>
      <c r="DI33" s="4">
        <v>8.4460000000000004E-4</v>
      </c>
      <c r="DJ33" s="4">
        <v>8.3279999999999997E-4</v>
      </c>
      <c r="DK33" s="4">
        <v>8.2109999999999995E-4</v>
      </c>
      <c r="DL33" s="4">
        <v>8.095E-4</v>
      </c>
      <c r="DM33" s="4">
        <v>7.9819999999999999E-4</v>
      </c>
      <c r="DN33" s="4">
        <v>7.8689999999999999E-4</v>
      </c>
      <c r="DO33" s="4">
        <v>7.7579999999999999E-4</v>
      </c>
      <c r="DP33" s="4">
        <v>7.649E-4</v>
      </c>
      <c r="DQ33" s="4">
        <v>5.3153800000000001E-2</v>
      </c>
      <c r="DR33" s="4">
        <v>0</v>
      </c>
      <c r="DS33" s="4">
        <v>5.94E-5</v>
      </c>
      <c r="DT33" s="4">
        <v>1.9359999999999999E-4</v>
      </c>
      <c r="DU33" s="4">
        <v>7.4589999999999997E-4</v>
      </c>
      <c r="DV33" s="4">
        <v>6.491E-4</v>
      </c>
      <c r="DW33" s="4">
        <v>6.0249999999999995E-4</v>
      </c>
      <c r="DX33" s="4">
        <v>6.2469999999999995E-4</v>
      </c>
      <c r="DY33" s="4">
        <v>5.488E-4</v>
      </c>
      <c r="DZ33" s="4">
        <v>5.0069999999999997E-4</v>
      </c>
      <c r="EA33" s="4">
        <v>4.4309999999999998E-4</v>
      </c>
      <c r="EB33" s="4">
        <v>3.9540000000000002E-4</v>
      </c>
      <c r="EC33" s="4">
        <v>3.5270000000000001E-4</v>
      </c>
      <c r="ED33" s="4">
        <v>3.1589999999999998E-4</v>
      </c>
      <c r="EE33" s="4">
        <v>2.834E-4</v>
      </c>
      <c r="EF33" s="4">
        <v>2.5549999999999998E-4</v>
      </c>
      <c r="EG33" s="4">
        <v>2.3110000000000001E-4</v>
      </c>
      <c r="EH33" s="4">
        <v>2.0990000000000001E-4</v>
      </c>
      <c r="EI33" s="4">
        <v>1.9139999999999999E-4</v>
      </c>
      <c r="EJ33" s="4">
        <v>1.75E-4</v>
      </c>
      <c r="EK33" s="4">
        <v>1.605E-4</v>
      </c>
      <c r="EL33" s="4">
        <v>1.474E-4</v>
      </c>
      <c r="EM33" s="4">
        <v>1.351E-4</v>
      </c>
      <c r="EN33" s="4">
        <v>1.194E-4</v>
      </c>
      <c r="EO33" s="4">
        <v>1.03E-4</v>
      </c>
      <c r="EP33" s="4">
        <v>8.1100000000000006E-5</v>
      </c>
      <c r="EQ33" s="4">
        <v>8.7299999999999994E-5</v>
      </c>
      <c r="ER33" s="4">
        <v>8.1899999999999999E-5</v>
      </c>
      <c r="ES33" s="4">
        <v>7.7399999999999998E-5</v>
      </c>
      <c r="ET33" s="4">
        <v>7.3499999999999998E-5</v>
      </c>
      <c r="EU33" s="4">
        <v>6.9900000000000005E-5</v>
      </c>
      <c r="EV33" s="4">
        <v>6.6600000000000006E-5</v>
      </c>
      <c r="EW33" s="4">
        <v>6.3600000000000001E-5</v>
      </c>
      <c r="EX33" s="4">
        <v>6.0800000000000001E-5</v>
      </c>
      <c r="EY33" s="4">
        <v>5.8100000000000003E-5</v>
      </c>
      <c r="EZ33" s="4">
        <v>5.5699999999999999E-5</v>
      </c>
      <c r="FA33" s="4">
        <v>5.3399999999999997E-5</v>
      </c>
      <c r="FB33" s="4">
        <v>5.1199999999999998E-5</v>
      </c>
      <c r="FC33" s="4">
        <v>4.9200000000000003E-5</v>
      </c>
      <c r="FD33" s="4">
        <v>4.7299999999999998E-5</v>
      </c>
      <c r="FE33" s="4">
        <v>4.5500000000000001E-5</v>
      </c>
      <c r="FF33" s="4">
        <v>4.3800000000000001E-5</v>
      </c>
      <c r="FG33" s="4">
        <v>4.2200000000000003E-5</v>
      </c>
      <c r="FH33" s="4">
        <v>4.0800000000000002E-5</v>
      </c>
      <c r="FI33" s="4">
        <v>3.9400000000000002E-5</v>
      </c>
      <c r="FJ33" s="4">
        <v>3.8099999999999998E-5</v>
      </c>
      <c r="FK33" s="4">
        <v>3.68E-5</v>
      </c>
      <c r="FL33" s="4">
        <v>3.57E-5</v>
      </c>
      <c r="FM33" s="4">
        <v>3.4600000000000001E-5</v>
      </c>
      <c r="FN33" s="4">
        <v>3.3599999999999997E-5</v>
      </c>
      <c r="FO33" s="4">
        <v>3.26E-5</v>
      </c>
      <c r="FP33" s="4">
        <v>3.1699999999999998E-5</v>
      </c>
      <c r="FQ33" s="4">
        <v>3.0899999999999999E-5</v>
      </c>
      <c r="FR33" s="4">
        <v>3.01E-5</v>
      </c>
      <c r="FS33" s="4">
        <v>2.94E-5</v>
      </c>
      <c r="FT33" s="4">
        <v>2.8600000000000001E-5</v>
      </c>
      <c r="FU33" s="4">
        <v>2.8E-5</v>
      </c>
      <c r="FV33" s="4">
        <v>2.7399999999999999E-5</v>
      </c>
      <c r="FW33" s="4">
        <v>2.6800000000000001E-5</v>
      </c>
      <c r="FX33" s="4">
        <v>2.62E-5</v>
      </c>
      <c r="FY33" s="4">
        <v>2.5700000000000001E-5</v>
      </c>
      <c r="FZ33" s="4">
        <v>2.51E-5</v>
      </c>
      <c r="GA33" s="4">
        <v>2.4700000000000001E-5</v>
      </c>
      <c r="GB33" s="4">
        <v>2.4199999999999999E-5</v>
      </c>
      <c r="GC33" s="4">
        <v>2.3799999999999999E-5</v>
      </c>
      <c r="GD33" s="4">
        <v>2.3300000000000001E-5</v>
      </c>
      <c r="GE33" s="4">
        <v>2.2900000000000001E-5</v>
      </c>
      <c r="GF33" s="4">
        <v>2.2500000000000001E-5</v>
      </c>
      <c r="GG33" s="4">
        <v>2.2200000000000001E-5</v>
      </c>
      <c r="GH33" s="4">
        <v>2.1800000000000001E-5</v>
      </c>
      <c r="GI33" s="4">
        <v>2.1399999999999998E-5</v>
      </c>
      <c r="GJ33" s="4">
        <v>2.1100000000000001E-5</v>
      </c>
      <c r="GK33" s="4">
        <v>2.0800000000000001E-5</v>
      </c>
      <c r="GL33" s="4">
        <v>2.05E-5</v>
      </c>
      <c r="GM33" s="4">
        <v>2.02E-5</v>
      </c>
      <c r="GN33" s="4">
        <v>1.9899999999999999E-5</v>
      </c>
      <c r="GO33" s="4">
        <v>1.9599999999999999E-5</v>
      </c>
      <c r="GP33" s="4">
        <v>1.9300000000000002E-5</v>
      </c>
      <c r="GQ33" s="4">
        <v>1.9000000000000001E-5</v>
      </c>
      <c r="GR33" s="4">
        <v>1.8700000000000001E-5</v>
      </c>
      <c r="GS33" s="4">
        <v>1.8499999999999999E-5</v>
      </c>
      <c r="GT33" s="4">
        <v>1.8199999999999999E-5</v>
      </c>
      <c r="GU33" s="4">
        <v>1.8E-5</v>
      </c>
      <c r="GV33" s="4">
        <v>1.77E-5</v>
      </c>
      <c r="GW33" s="4">
        <v>1.7499999999999998E-5</v>
      </c>
      <c r="GX33" s="4">
        <v>1.7200000000000001E-5</v>
      </c>
      <c r="GY33" s="4">
        <v>1.7E-5</v>
      </c>
      <c r="GZ33" s="4">
        <v>1.6799999999999998E-5</v>
      </c>
      <c r="HA33" s="4">
        <v>1.6500000000000001E-5</v>
      </c>
      <c r="HB33" s="4">
        <v>1.63E-5</v>
      </c>
      <c r="HC33" s="4">
        <v>1.6099999999999998E-5</v>
      </c>
      <c r="HD33" s="4">
        <v>1.59E-5</v>
      </c>
      <c r="HE33" s="4">
        <v>1.5699999999999999E-5</v>
      </c>
      <c r="HF33" s="4">
        <v>1.5400000000000002E-5</v>
      </c>
      <c r="HG33" s="4">
        <v>1.52E-5</v>
      </c>
      <c r="HH33" s="4">
        <v>1.5E-5</v>
      </c>
      <c r="HI33" s="4">
        <v>1.4800000000000001E-5</v>
      </c>
      <c r="HJ33" s="4">
        <v>1.4600000000000001E-5</v>
      </c>
      <c r="HK33" s="4">
        <v>1.4399999999999999E-5</v>
      </c>
      <c r="HL33" s="4">
        <v>1.42E-5</v>
      </c>
      <c r="HM33" s="4">
        <v>1.4E-5</v>
      </c>
      <c r="HN33" s="4">
        <v>1.3900000000000001E-5</v>
      </c>
      <c r="HO33" s="4">
        <v>1.3699999999999999E-5</v>
      </c>
      <c r="HP33" s="4">
        <v>1.3499999999999999E-5</v>
      </c>
      <c r="HQ33" s="4">
        <v>1.33E-5</v>
      </c>
      <c r="HR33" s="4">
        <v>1.31E-5</v>
      </c>
      <c r="HS33" s="4">
        <v>1.29E-5</v>
      </c>
      <c r="HT33" s="4">
        <v>1.2799999999999999E-5</v>
      </c>
      <c r="HU33" s="4">
        <v>1.26E-5</v>
      </c>
      <c r="HV33" s="4">
        <v>1.24E-5</v>
      </c>
      <c r="HW33" s="4">
        <v>1.22E-5</v>
      </c>
      <c r="HX33" s="4">
        <v>1.2099999999999999E-5</v>
      </c>
      <c r="HY33" s="4">
        <v>1.19E-5</v>
      </c>
      <c r="HZ33" s="4">
        <v>1.17E-5</v>
      </c>
      <c r="IA33" s="4">
        <v>1.1600000000000001E-5</v>
      </c>
      <c r="IB33" s="4">
        <v>1.1399999999999999E-5</v>
      </c>
      <c r="IC33" s="4">
        <v>1.13E-5</v>
      </c>
      <c r="ID33" s="4">
        <v>1.11E-5</v>
      </c>
      <c r="IE33" s="4">
        <v>1.1E-5</v>
      </c>
      <c r="IF33" s="4">
        <v>1.08E-5</v>
      </c>
      <c r="IG33" s="4">
        <v>7.5460000000000002E-4</v>
      </c>
      <c r="IH33" s="4"/>
      <c r="II33" s="4">
        <f t="shared" si="245"/>
        <v>0.11718959398287666</v>
      </c>
      <c r="IJ33">
        <f t="shared" si="246"/>
        <v>0.35910184999999994</v>
      </c>
      <c r="IN33" s="4"/>
      <c r="IO33" s="4"/>
      <c r="IP33" s="4"/>
      <c r="IQ33" s="4"/>
      <c r="IR33" s="4"/>
      <c r="IS33" s="4"/>
      <c r="IT33" s="4"/>
      <c r="IU33" s="4"/>
      <c r="IV33" s="4"/>
    </row>
    <row r="34" spans="1:256" x14ac:dyDescent="0.35">
      <c r="A34" s="1">
        <v>26</v>
      </c>
      <c r="B34" s="4">
        <v>1.0734799999999999E-2</v>
      </c>
      <c r="C34" s="4">
        <v>1.0734799999999999E-2</v>
      </c>
      <c r="D34" s="4">
        <v>1.1040299999999999E-2</v>
      </c>
      <c r="E34" s="4">
        <v>1.0846700000000001E-2</v>
      </c>
      <c r="F34" s="4">
        <v>1.0100899999999999E-2</v>
      </c>
      <c r="G34" s="4">
        <v>9.4525000000000008E-3</v>
      </c>
      <c r="H34" s="4">
        <v>8.8512E-3</v>
      </c>
      <c r="I34" s="4">
        <v>8.2348999999999999E-3</v>
      </c>
      <c r="J34" s="4">
        <v>7.6901000000000001E-3</v>
      </c>
      <c r="K34" s="4">
        <v>7.1939999999999999E-3</v>
      </c>
      <c r="L34" s="4">
        <v>6.7568999999999997E-3</v>
      </c>
      <c r="M34" s="4">
        <v>6.3648000000000003E-3</v>
      </c>
      <c r="N34" s="4">
        <v>6.0254999999999996E-3</v>
      </c>
      <c r="O34" s="4">
        <v>5.7191000000000004E-3</v>
      </c>
      <c r="P34" s="4">
        <v>5.4443E-3</v>
      </c>
      <c r="Q34" s="4">
        <v>5.1977999999999998E-3</v>
      </c>
      <c r="R34" s="4">
        <v>4.9750999999999997E-3</v>
      </c>
      <c r="S34" s="4">
        <v>4.7727000000000004E-3</v>
      </c>
      <c r="T34" s="4">
        <v>4.5875999999999998E-3</v>
      </c>
      <c r="U34" s="4">
        <v>4.4162000000000003E-3</v>
      </c>
      <c r="V34" s="4">
        <v>4.2548000000000004E-3</v>
      </c>
      <c r="W34" s="4">
        <v>4.0936999999999996E-3</v>
      </c>
      <c r="X34" s="4">
        <v>3.9233000000000002E-3</v>
      </c>
      <c r="Y34" s="4">
        <v>3.6302999999999999E-3</v>
      </c>
      <c r="Z34" s="4">
        <v>3.2640999999999998E-3</v>
      </c>
      <c r="AA34" s="4">
        <v>2.6698999999999998E-3</v>
      </c>
      <c r="AB34" s="4">
        <v>2.9091E-3</v>
      </c>
      <c r="AC34" s="4">
        <v>2.8441E-3</v>
      </c>
      <c r="AD34" s="4">
        <v>2.7951E-3</v>
      </c>
      <c r="AE34" s="4">
        <v>2.7480999999999998E-3</v>
      </c>
      <c r="AF34" s="4">
        <v>2.7049999999999999E-3</v>
      </c>
      <c r="AG34" s="4">
        <v>2.6624999999999999E-3</v>
      </c>
      <c r="AH34" s="4">
        <v>2.6207000000000001E-3</v>
      </c>
      <c r="AI34" s="4">
        <v>2.5791E-3</v>
      </c>
      <c r="AJ34" s="4">
        <v>2.5381000000000002E-3</v>
      </c>
      <c r="AK34" s="4">
        <v>2.4976999999999998E-3</v>
      </c>
      <c r="AL34" s="4">
        <v>2.4578999999999998E-3</v>
      </c>
      <c r="AM34" s="4">
        <v>2.4188999999999999E-3</v>
      </c>
      <c r="AN34" s="4">
        <v>2.3806000000000001E-3</v>
      </c>
      <c r="AO34" s="4">
        <v>2.3430999999999999E-3</v>
      </c>
      <c r="AP34" s="4">
        <v>2.3064000000000001E-3</v>
      </c>
      <c r="AQ34" s="4">
        <v>2.2704999999999999E-3</v>
      </c>
      <c r="AR34" s="4">
        <v>2.2353E-3</v>
      </c>
      <c r="AS34" s="4">
        <v>2.2009999999999998E-3</v>
      </c>
      <c r="AT34" s="4">
        <v>2.1673999999999999E-3</v>
      </c>
      <c r="AU34" s="4">
        <v>2.1346E-3</v>
      </c>
      <c r="AV34" s="4">
        <v>2.1026E-3</v>
      </c>
      <c r="AW34" s="4">
        <v>2.0712E-3</v>
      </c>
      <c r="AX34" s="4">
        <v>2.0406000000000001E-3</v>
      </c>
      <c r="AY34" s="4">
        <v>2.0106E-3</v>
      </c>
      <c r="AZ34" s="4">
        <v>1.9811999999999998E-3</v>
      </c>
      <c r="BA34" s="4">
        <v>1.9525E-3</v>
      </c>
      <c r="BB34" s="4">
        <v>1.9243999999999999E-3</v>
      </c>
      <c r="BC34" s="4">
        <v>1.8967999999999999E-3</v>
      </c>
      <c r="BD34" s="4">
        <v>1.8698E-3</v>
      </c>
      <c r="BE34" s="4">
        <v>1.8431999999999999E-3</v>
      </c>
      <c r="BF34" s="4">
        <v>1.8171999999999999E-3</v>
      </c>
      <c r="BG34" s="4">
        <v>1.7917E-3</v>
      </c>
      <c r="BH34" s="4">
        <v>1.7665999999999999E-3</v>
      </c>
      <c r="BI34" s="4">
        <v>1.7419E-3</v>
      </c>
      <c r="BJ34" s="4">
        <v>1.7177E-3</v>
      </c>
      <c r="BK34" s="4">
        <v>1.6938999999999999E-3</v>
      </c>
      <c r="BL34" s="4">
        <v>1.6704000000000001E-3</v>
      </c>
      <c r="BM34" s="4">
        <v>1.6474E-3</v>
      </c>
      <c r="BN34" s="4">
        <v>1.6247E-3</v>
      </c>
      <c r="BO34" s="4">
        <v>1.6023000000000001E-3</v>
      </c>
      <c r="BP34" s="4">
        <v>1.5803E-3</v>
      </c>
      <c r="BQ34" s="4">
        <v>1.5586E-3</v>
      </c>
      <c r="BR34" s="4">
        <v>1.5372000000000001E-3</v>
      </c>
      <c r="BS34" s="4">
        <v>1.5162000000000001E-3</v>
      </c>
      <c r="BT34" s="4">
        <v>1.4954E-3</v>
      </c>
      <c r="BU34" s="4">
        <v>1.4748999999999999E-3</v>
      </c>
      <c r="BV34" s="4">
        <v>1.4547E-3</v>
      </c>
      <c r="BW34" s="4">
        <v>1.4348E-3</v>
      </c>
      <c r="BX34" s="4">
        <v>1.4151999999999999E-3</v>
      </c>
      <c r="BY34" s="4">
        <v>1.3958E-3</v>
      </c>
      <c r="BZ34" s="4">
        <v>1.3767E-3</v>
      </c>
      <c r="CA34" s="4">
        <v>1.3579E-3</v>
      </c>
      <c r="CB34" s="4">
        <v>1.3392E-3</v>
      </c>
      <c r="CC34" s="4">
        <v>1.3209000000000001E-3</v>
      </c>
      <c r="CD34" s="4">
        <v>1.3028E-3</v>
      </c>
      <c r="CE34" s="4">
        <v>1.2849000000000001E-3</v>
      </c>
      <c r="CF34" s="4">
        <v>1.2673000000000001E-3</v>
      </c>
      <c r="CG34" s="4">
        <v>1.2497999999999999E-3</v>
      </c>
      <c r="CH34" s="4">
        <v>1.2327E-3</v>
      </c>
      <c r="CI34" s="4">
        <v>1.2156999999999999E-3</v>
      </c>
      <c r="CJ34" s="4">
        <v>1.199E-3</v>
      </c>
      <c r="CK34" s="4">
        <v>1.1823999999999999E-3</v>
      </c>
      <c r="CL34" s="4">
        <v>1.1661E-3</v>
      </c>
      <c r="CM34" s="4">
        <v>1.15E-3</v>
      </c>
      <c r="CN34" s="4">
        <v>1.1341000000000001E-3</v>
      </c>
      <c r="CO34" s="4">
        <v>1.1184000000000001E-3</v>
      </c>
      <c r="CP34" s="4">
        <v>1.103E-3</v>
      </c>
      <c r="CQ34" s="4">
        <v>1.0877E-3</v>
      </c>
      <c r="CR34" s="4">
        <v>1.0725999999999999E-3</v>
      </c>
      <c r="CS34" s="4">
        <v>1.0577E-3</v>
      </c>
      <c r="CT34" s="4">
        <v>1.0430000000000001E-3</v>
      </c>
      <c r="CU34" s="4">
        <v>1.0284999999999999E-3</v>
      </c>
      <c r="CV34" s="4">
        <v>1.0142E-3</v>
      </c>
      <c r="CW34" s="4">
        <v>1.0001000000000001E-3</v>
      </c>
      <c r="CX34" s="4">
        <v>9.8620000000000001E-4</v>
      </c>
      <c r="CY34" s="4">
        <v>9.724E-4</v>
      </c>
      <c r="CZ34" s="4">
        <v>9.5890000000000005E-4</v>
      </c>
      <c r="DA34" s="4">
        <v>9.4550000000000005E-4</v>
      </c>
      <c r="DB34" s="4">
        <v>9.3229999999999995E-4</v>
      </c>
      <c r="DC34" s="4">
        <v>9.1920000000000001E-4</v>
      </c>
      <c r="DD34" s="4">
        <v>9.0640000000000002E-4</v>
      </c>
      <c r="DE34" s="4">
        <v>8.9369999999999998E-4</v>
      </c>
      <c r="DF34" s="4">
        <v>8.8119999999999995E-4</v>
      </c>
      <c r="DG34" s="4">
        <v>8.6879999999999998E-4</v>
      </c>
      <c r="DH34" s="4">
        <v>8.566E-4</v>
      </c>
      <c r="DI34" s="4">
        <v>8.4460000000000004E-4</v>
      </c>
      <c r="DJ34" s="4">
        <v>8.3270000000000002E-4</v>
      </c>
      <c r="DK34" s="4">
        <v>8.2100000000000001E-4</v>
      </c>
      <c r="DL34" s="4">
        <v>8.095E-4</v>
      </c>
      <c r="DM34" s="4">
        <v>7.9810000000000005E-4</v>
      </c>
      <c r="DN34" s="4">
        <v>7.8689999999999999E-4</v>
      </c>
      <c r="DO34" s="4">
        <v>7.7579999999999999E-4</v>
      </c>
      <c r="DP34" s="4">
        <v>7.649E-4</v>
      </c>
      <c r="DQ34" s="4">
        <v>5.3153300000000001E-2</v>
      </c>
      <c r="DR34" s="4">
        <v>0</v>
      </c>
      <c r="DS34" s="4">
        <v>5.02E-5</v>
      </c>
      <c r="DT34" s="4">
        <v>1.9379999999999999E-4</v>
      </c>
      <c r="DU34" s="4">
        <v>7.4629999999999998E-4</v>
      </c>
      <c r="DV34" s="4">
        <v>6.4970000000000002E-4</v>
      </c>
      <c r="DW34" s="4">
        <v>6.0320000000000003E-4</v>
      </c>
      <c r="DX34" s="4">
        <v>6.2299999999999996E-4</v>
      </c>
      <c r="DY34" s="4">
        <v>5.488E-4</v>
      </c>
      <c r="DZ34" s="4">
        <v>5.0060000000000002E-4</v>
      </c>
      <c r="EA34" s="4">
        <v>4.4279999999999998E-4</v>
      </c>
      <c r="EB34" s="4">
        <v>3.9510000000000001E-4</v>
      </c>
      <c r="EC34" s="4">
        <v>3.5159999999999998E-4</v>
      </c>
      <c r="ED34" s="4">
        <v>3.1530000000000002E-4</v>
      </c>
      <c r="EE34" s="4">
        <v>2.8289999999999999E-4</v>
      </c>
      <c r="EF34" s="4">
        <v>2.5510000000000002E-4</v>
      </c>
      <c r="EG34" s="4">
        <v>2.307E-4</v>
      </c>
      <c r="EH34" s="4">
        <v>2.096E-4</v>
      </c>
      <c r="EI34" s="4">
        <v>1.9120000000000001E-4</v>
      </c>
      <c r="EJ34" s="4">
        <v>1.749E-4</v>
      </c>
      <c r="EK34" s="4">
        <v>1.605E-4</v>
      </c>
      <c r="EL34" s="4">
        <v>1.4779999999999999E-4</v>
      </c>
      <c r="EM34" s="4">
        <v>1.361E-4</v>
      </c>
      <c r="EN34" s="4">
        <v>1.2520000000000001E-4</v>
      </c>
      <c r="EO34" s="4">
        <v>1.109E-4</v>
      </c>
      <c r="EP34" s="4">
        <v>9.6000000000000002E-5</v>
      </c>
      <c r="EQ34" s="4">
        <v>7.5799999999999999E-5</v>
      </c>
      <c r="ER34" s="4">
        <v>8.1600000000000005E-5</v>
      </c>
      <c r="ES34" s="4">
        <v>7.6799999999999997E-5</v>
      </c>
      <c r="ET34" s="4">
        <v>7.2899999999999997E-5</v>
      </c>
      <c r="EU34" s="4">
        <v>6.9300000000000004E-5</v>
      </c>
      <c r="EV34" s="4">
        <v>6.6099999999999994E-5</v>
      </c>
      <c r="EW34" s="4">
        <v>6.3200000000000005E-5</v>
      </c>
      <c r="EX34" s="4">
        <v>6.0399999999999998E-5</v>
      </c>
      <c r="EY34" s="4">
        <v>5.7800000000000002E-5</v>
      </c>
      <c r="EZ34" s="4">
        <v>5.5399999999999998E-5</v>
      </c>
      <c r="FA34" s="4">
        <v>5.3199999999999999E-5</v>
      </c>
      <c r="FB34" s="4">
        <v>5.1E-5</v>
      </c>
      <c r="FC34" s="4">
        <v>4.8999999999999998E-5</v>
      </c>
      <c r="FD34" s="4">
        <v>4.71E-5</v>
      </c>
      <c r="FE34" s="4">
        <v>4.5399999999999999E-5</v>
      </c>
      <c r="FF34" s="4">
        <v>4.3699999999999998E-5</v>
      </c>
      <c r="FG34" s="4">
        <v>4.21E-5</v>
      </c>
      <c r="FH34" s="4">
        <v>4.07E-5</v>
      </c>
      <c r="FI34" s="4">
        <v>3.93E-5</v>
      </c>
      <c r="FJ34" s="4">
        <v>3.8000000000000002E-5</v>
      </c>
      <c r="FK34" s="4">
        <v>3.68E-5</v>
      </c>
      <c r="FL34" s="4">
        <v>3.5599999999999998E-5</v>
      </c>
      <c r="FM34" s="4">
        <v>3.4499999999999998E-5</v>
      </c>
      <c r="FN34" s="4">
        <v>3.3500000000000001E-5</v>
      </c>
      <c r="FO34" s="4">
        <v>3.26E-5</v>
      </c>
      <c r="FP34" s="4">
        <v>3.1699999999999998E-5</v>
      </c>
      <c r="FQ34" s="4">
        <v>3.0899999999999999E-5</v>
      </c>
      <c r="FR34" s="4">
        <v>3.01E-5</v>
      </c>
      <c r="FS34" s="4">
        <v>2.9300000000000001E-5</v>
      </c>
      <c r="FT34" s="4">
        <v>2.8600000000000001E-5</v>
      </c>
      <c r="FU34" s="4">
        <v>2.8E-5</v>
      </c>
      <c r="FV34" s="4">
        <v>2.73E-5</v>
      </c>
      <c r="FW34" s="4">
        <v>2.6699999999999998E-5</v>
      </c>
      <c r="FX34" s="4">
        <v>2.62E-5</v>
      </c>
      <c r="FY34" s="4">
        <v>2.5599999999999999E-5</v>
      </c>
      <c r="FZ34" s="4">
        <v>2.51E-5</v>
      </c>
      <c r="GA34" s="4">
        <v>2.4600000000000002E-5</v>
      </c>
      <c r="GB34" s="4">
        <v>2.4199999999999999E-5</v>
      </c>
      <c r="GC34" s="4">
        <v>2.37E-5</v>
      </c>
      <c r="GD34" s="4">
        <v>2.3300000000000001E-5</v>
      </c>
      <c r="GE34" s="4">
        <v>2.2900000000000001E-5</v>
      </c>
      <c r="GF34" s="4">
        <v>2.2500000000000001E-5</v>
      </c>
      <c r="GG34" s="4">
        <v>2.2099999999999998E-5</v>
      </c>
      <c r="GH34" s="4">
        <v>2.1800000000000001E-5</v>
      </c>
      <c r="GI34" s="4">
        <v>2.1399999999999998E-5</v>
      </c>
      <c r="GJ34" s="4">
        <v>2.1100000000000001E-5</v>
      </c>
      <c r="GK34" s="4">
        <v>2.0800000000000001E-5</v>
      </c>
      <c r="GL34" s="4">
        <v>2.0400000000000001E-5</v>
      </c>
      <c r="GM34" s="4">
        <v>2.0100000000000001E-5</v>
      </c>
      <c r="GN34" s="4">
        <v>1.98E-5</v>
      </c>
      <c r="GO34" s="4">
        <v>1.9599999999999999E-5</v>
      </c>
      <c r="GP34" s="4">
        <v>1.9300000000000002E-5</v>
      </c>
      <c r="GQ34" s="4">
        <v>1.9000000000000001E-5</v>
      </c>
      <c r="GR34" s="4">
        <v>1.8700000000000001E-5</v>
      </c>
      <c r="GS34" s="4">
        <v>1.8499999999999999E-5</v>
      </c>
      <c r="GT34" s="4">
        <v>1.8199999999999999E-5</v>
      </c>
      <c r="GU34" s="4">
        <v>1.7900000000000001E-5</v>
      </c>
      <c r="GV34" s="4">
        <v>1.77E-5</v>
      </c>
      <c r="GW34" s="4">
        <v>1.7499999999999998E-5</v>
      </c>
      <c r="GX34" s="4">
        <v>1.7200000000000001E-5</v>
      </c>
      <c r="GY34" s="4">
        <v>1.7E-5</v>
      </c>
      <c r="GZ34" s="4">
        <v>1.6799999999999998E-5</v>
      </c>
      <c r="HA34" s="4">
        <v>1.6500000000000001E-5</v>
      </c>
      <c r="HB34" s="4">
        <v>1.63E-5</v>
      </c>
      <c r="HC34" s="4">
        <v>1.6099999999999998E-5</v>
      </c>
      <c r="HD34" s="4">
        <v>1.59E-5</v>
      </c>
      <c r="HE34" s="4">
        <v>1.56E-5</v>
      </c>
      <c r="HF34" s="4">
        <v>1.5400000000000002E-5</v>
      </c>
      <c r="HG34" s="4">
        <v>1.52E-5</v>
      </c>
      <c r="HH34" s="4">
        <v>1.5E-5</v>
      </c>
      <c r="HI34" s="4">
        <v>1.4800000000000001E-5</v>
      </c>
      <c r="HJ34" s="4">
        <v>1.4600000000000001E-5</v>
      </c>
      <c r="HK34" s="4">
        <v>1.4399999999999999E-5</v>
      </c>
      <c r="HL34" s="4">
        <v>1.42E-5</v>
      </c>
      <c r="HM34" s="4">
        <v>1.4E-5</v>
      </c>
      <c r="HN34" s="4">
        <v>1.38E-5</v>
      </c>
      <c r="HO34" s="4">
        <v>1.3699999999999999E-5</v>
      </c>
      <c r="HP34" s="4">
        <v>1.3499999999999999E-5</v>
      </c>
      <c r="HQ34" s="4">
        <v>1.33E-5</v>
      </c>
      <c r="HR34" s="4">
        <v>1.31E-5</v>
      </c>
      <c r="HS34" s="4">
        <v>1.29E-5</v>
      </c>
      <c r="HT34" s="4">
        <v>1.2799999999999999E-5</v>
      </c>
      <c r="HU34" s="4">
        <v>1.26E-5</v>
      </c>
      <c r="HV34" s="4">
        <v>1.24E-5</v>
      </c>
      <c r="HW34" s="4">
        <v>1.22E-5</v>
      </c>
      <c r="HX34" s="4">
        <v>1.2099999999999999E-5</v>
      </c>
      <c r="HY34" s="4">
        <v>1.19E-5</v>
      </c>
      <c r="HZ34" s="4">
        <v>1.17E-5</v>
      </c>
      <c r="IA34" s="4">
        <v>1.1600000000000001E-5</v>
      </c>
      <c r="IB34" s="4">
        <v>1.1399999999999999E-5</v>
      </c>
      <c r="IC34" s="4">
        <v>1.13E-5</v>
      </c>
      <c r="ID34" s="4">
        <v>1.11E-5</v>
      </c>
      <c r="IE34" s="4">
        <v>1.1E-5</v>
      </c>
      <c r="IF34" s="4">
        <v>1.08E-5</v>
      </c>
      <c r="IG34" s="4">
        <v>7.5460000000000002E-4</v>
      </c>
      <c r="IH34" s="4"/>
      <c r="II34" s="4">
        <f t="shared" si="245"/>
        <v>0.11735504296698306</v>
      </c>
      <c r="IJ34">
        <f t="shared" si="246"/>
        <v>0.35928750000000004</v>
      </c>
      <c r="IN34" s="4"/>
      <c r="IO34" s="4"/>
      <c r="IP34" s="4"/>
      <c r="IQ34" s="4"/>
      <c r="IR34" s="4"/>
      <c r="IS34" s="4"/>
      <c r="IT34" s="4"/>
      <c r="IU34" s="4"/>
      <c r="IV34" s="4"/>
    </row>
    <row r="35" spans="1:256" x14ac:dyDescent="0.35">
      <c r="A35" s="1">
        <v>27</v>
      </c>
      <c r="B35" s="4">
        <v>1.0734799999999999E-2</v>
      </c>
      <c r="C35" s="4">
        <v>1.0734799999999999E-2</v>
      </c>
      <c r="D35" s="4">
        <v>1.0684600000000001E-2</v>
      </c>
      <c r="E35" s="4">
        <v>1.08465E-2</v>
      </c>
      <c r="F35" s="4">
        <v>1.01003E-2</v>
      </c>
      <c r="G35" s="4">
        <v>9.4511999999999999E-3</v>
      </c>
      <c r="H35" s="4">
        <v>8.8492999999999992E-3</v>
      </c>
      <c r="I35" s="4">
        <v>8.2281999999999998E-3</v>
      </c>
      <c r="J35" s="4">
        <v>7.6861000000000004E-3</v>
      </c>
      <c r="K35" s="4">
        <v>7.1894000000000003E-3</v>
      </c>
      <c r="L35" s="4">
        <v>6.7511999999999997E-3</v>
      </c>
      <c r="M35" s="4">
        <v>6.3617999999999999E-3</v>
      </c>
      <c r="N35" s="4">
        <v>6.0131999999999998E-3</v>
      </c>
      <c r="O35" s="4">
        <v>5.7102000000000003E-3</v>
      </c>
      <c r="P35" s="4">
        <v>5.4362000000000004E-3</v>
      </c>
      <c r="Q35" s="4">
        <v>5.1893E-3</v>
      </c>
      <c r="R35" s="4">
        <v>4.9670000000000001E-3</v>
      </c>
      <c r="S35" s="4">
        <v>4.7654000000000004E-3</v>
      </c>
      <c r="T35" s="4">
        <v>4.5814999999999996E-3</v>
      </c>
      <c r="U35" s="4">
        <v>4.4126E-3</v>
      </c>
      <c r="V35" s="4">
        <v>4.2557000000000003E-3</v>
      </c>
      <c r="W35" s="4">
        <v>4.1070000000000004E-3</v>
      </c>
      <c r="X35" s="4">
        <v>3.9576000000000004E-3</v>
      </c>
      <c r="Y35" s="4">
        <v>3.7981E-3</v>
      </c>
      <c r="Z35" s="4">
        <v>3.5193999999999998E-3</v>
      </c>
      <c r="AA35" s="4">
        <v>3.1681000000000001E-3</v>
      </c>
      <c r="AB35" s="4">
        <v>2.5940999999999998E-3</v>
      </c>
      <c r="AC35" s="4">
        <v>2.8275000000000002E-3</v>
      </c>
      <c r="AD35" s="4">
        <v>2.7672999999999999E-3</v>
      </c>
      <c r="AE35" s="4">
        <v>2.7222000000000001E-3</v>
      </c>
      <c r="AF35" s="4">
        <v>2.6787E-3</v>
      </c>
      <c r="AG35" s="4">
        <v>2.6389E-3</v>
      </c>
      <c r="AH35" s="4">
        <v>2.5993000000000001E-3</v>
      </c>
      <c r="AI35" s="4">
        <v>2.5603000000000002E-3</v>
      </c>
      <c r="AJ35" s="4">
        <v>2.5213000000000002E-3</v>
      </c>
      <c r="AK35" s="4">
        <v>2.4827E-3</v>
      </c>
      <c r="AL35" s="4">
        <v>2.4445000000000001E-3</v>
      </c>
      <c r="AM35" s="4">
        <v>2.4069E-3</v>
      </c>
      <c r="AN35" s="4">
        <v>2.3698999999999999E-3</v>
      </c>
      <c r="AO35" s="4">
        <v>2.3333999999999998E-3</v>
      </c>
      <c r="AP35" s="4">
        <v>2.2977000000000002E-3</v>
      </c>
      <c r="AQ35" s="4">
        <v>2.2626999999999999E-3</v>
      </c>
      <c r="AR35" s="4">
        <v>2.2282999999999999E-3</v>
      </c>
      <c r="AS35" s="4">
        <v>2.1946999999999999E-3</v>
      </c>
      <c r="AT35" s="4">
        <v>2.1616999999999999E-3</v>
      </c>
      <c r="AU35" s="4">
        <v>2.1294999999999999E-3</v>
      </c>
      <c r="AV35" s="4">
        <v>2.0979000000000002E-3</v>
      </c>
      <c r="AW35" s="4">
        <v>2.0669999999999998E-3</v>
      </c>
      <c r="AX35" s="4">
        <v>2.0366999999999998E-3</v>
      </c>
      <c r="AY35" s="4">
        <v>2.0070000000000001E-3</v>
      </c>
      <c r="AZ35" s="4">
        <v>1.9780000000000002E-3</v>
      </c>
      <c r="BA35" s="4">
        <v>1.9495000000000001E-3</v>
      </c>
      <c r="BB35" s="4">
        <v>1.9216000000000001E-3</v>
      </c>
      <c r="BC35" s="4">
        <v>1.8943E-3</v>
      </c>
      <c r="BD35" s="4">
        <v>1.8675E-3</v>
      </c>
      <c r="BE35" s="4">
        <v>1.8411E-3</v>
      </c>
      <c r="BF35" s="4">
        <v>1.8152999999999999E-3</v>
      </c>
      <c r="BG35" s="4">
        <v>1.7899000000000001E-3</v>
      </c>
      <c r="BH35" s="4">
        <v>1.7649E-3</v>
      </c>
      <c r="BI35" s="4">
        <v>1.7404E-3</v>
      </c>
      <c r="BJ35" s="4">
        <v>1.7163E-3</v>
      </c>
      <c r="BK35" s="4">
        <v>1.6926000000000001E-3</v>
      </c>
      <c r="BL35" s="4">
        <v>1.6692E-3</v>
      </c>
      <c r="BM35" s="4">
        <v>1.6463000000000001E-3</v>
      </c>
      <c r="BN35" s="4">
        <v>1.6236E-3</v>
      </c>
      <c r="BO35" s="4">
        <v>1.6012999999999999E-3</v>
      </c>
      <c r="BP35" s="4">
        <v>1.5793999999999999E-3</v>
      </c>
      <c r="BQ35" s="4">
        <v>1.5578E-3</v>
      </c>
      <c r="BR35" s="4">
        <v>1.5365000000000001E-3</v>
      </c>
      <c r="BS35" s="4">
        <v>1.5154000000000001E-3</v>
      </c>
      <c r="BT35" s="4">
        <v>1.4947000000000001E-3</v>
      </c>
      <c r="BU35" s="4">
        <v>1.4743E-3</v>
      </c>
      <c r="BV35" s="4">
        <v>1.4541000000000001E-3</v>
      </c>
      <c r="BW35" s="4">
        <v>1.4342999999999999E-3</v>
      </c>
      <c r="BX35" s="4">
        <v>1.4147000000000001E-3</v>
      </c>
      <c r="BY35" s="4">
        <v>1.3952999999999999E-3</v>
      </c>
      <c r="BZ35" s="4">
        <v>1.3763E-3</v>
      </c>
      <c r="CA35" s="4">
        <v>1.3573999999999999E-3</v>
      </c>
      <c r="CB35" s="4">
        <v>1.3389000000000001E-3</v>
      </c>
      <c r="CC35" s="4">
        <v>1.3205000000000001E-3</v>
      </c>
      <c r="CD35" s="4">
        <v>1.3024E-3</v>
      </c>
      <c r="CE35" s="4">
        <v>1.2846000000000001E-3</v>
      </c>
      <c r="CF35" s="4">
        <v>1.2669999999999999E-3</v>
      </c>
      <c r="CG35" s="4">
        <v>1.2496E-3</v>
      </c>
      <c r="CH35" s="4">
        <v>1.2324E-3</v>
      </c>
      <c r="CI35" s="4">
        <v>1.2153999999999999E-3</v>
      </c>
      <c r="CJ35" s="4">
        <v>1.1987E-3</v>
      </c>
      <c r="CK35" s="4">
        <v>1.1822E-3</v>
      </c>
      <c r="CL35" s="4">
        <v>1.1659000000000001E-3</v>
      </c>
      <c r="CM35" s="4">
        <v>1.1498000000000001E-3</v>
      </c>
      <c r="CN35" s="4">
        <v>1.1339E-3</v>
      </c>
      <c r="CO35" s="4">
        <v>1.1183E-3</v>
      </c>
      <c r="CP35" s="4">
        <v>1.1027999999999999E-3</v>
      </c>
      <c r="CQ35" s="4">
        <v>1.0874999999999999E-3</v>
      </c>
      <c r="CR35" s="4">
        <v>1.0724E-3</v>
      </c>
      <c r="CS35" s="4">
        <v>1.0575999999999999E-3</v>
      </c>
      <c r="CT35" s="4">
        <v>1.0429E-3</v>
      </c>
      <c r="CU35" s="4">
        <v>1.0284000000000001E-3</v>
      </c>
      <c r="CV35" s="4">
        <v>1.0141E-3</v>
      </c>
      <c r="CW35" s="4">
        <v>1E-3</v>
      </c>
      <c r="CX35" s="4">
        <v>9.8609999999999995E-4</v>
      </c>
      <c r="CY35" s="4">
        <v>9.7230000000000005E-4</v>
      </c>
      <c r="CZ35" s="4">
        <v>9.588E-4</v>
      </c>
      <c r="DA35" s="4">
        <v>9.4539999999999999E-4</v>
      </c>
      <c r="DB35" s="4">
        <v>9.322E-4</v>
      </c>
      <c r="DC35" s="4">
        <v>9.1909999999999995E-4</v>
      </c>
      <c r="DD35" s="4">
        <v>9.0629999999999997E-4</v>
      </c>
      <c r="DE35" s="4">
        <v>8.9360000000000004E-4</v>
      </c>
      <c r="DF35" s="4">
        <v>8.811E-4</v>
      </c>
      <c r="DG35" s="4">
        <v>8.6870000000000003E-4</v>
      </c>
      <c r="DH35" s="4">
        <v>8.566E-4</v>
      </c>
      <c r="DI35" s="4">
        <v>8.4449999999999998E-4</v>
      </c>
      <c r="DJ35" s="4">
        <v>8.3270000000000002E-4</v>
      </c>
      <c r="DK35" s="4">
        <v>8.2100000000000001E-4</v>
      </c>
      <c r="DL35" s="4">
        <v>8.0940000000000005E-4</v>
      </c>
      <c r="DM35" s="4">
        <v>7.9810000000000005E-4</v>
      </c>
      <c r="DN35" s="4">
        <v>7.8680000000000004E-4</v>
      </c>
      <c r="DO35" s="4">
        <v>7.7579999999999999E-4</v>
      </c>
      <c r="DP35" s="4">
        <v>7.6480000000000005E-4</v>
      </c>
      <c r="DQ35" s="4">
        <v>5.31528E-2</v>
      </c>
      <c r="DR35" s="4">
        <v>0</v>
      </c>
      <c r="DS35" s="4">
        <v>5.02E-5</v>
      </c>
      <c r="DT35" s="4">
        <v>1.728E-4</v>
      </c>
      <c r="DU35" s="4">
        <v>7.4660000000000004E-4</v>
      </c>
      <c r="DV35" s="4">
        <v>6.4999999999999997E-4</v>
      </c>
      <c r="DW35" s="4">
        <v>6.0349999999999998E-4</v>
      </c>
      <c r="DX35" s="4">
        <v>6.2330000000000003E-4</v>
      </c>
      <c r="DY35" s="4">
        <v>5.4790000000000004E-4</v>
      </c>
      <c r="DZ35" s="4">
        <v>5.0060000000000002E-4</v>
      </c>
      <c r="EA35" s="4">
        <v>4.4270000000000003E-4</v>
      </c>
      <c r="EB35" s="4">
        <v>3.949E-4</v>
      </c>
      <c r="EC35" s="4">
        <v>3.5159999999999998E-4</v>
      </c>
      <c r="ED35" s="4">
        <v>3.143E-4</v>
      </c>
      <c r="EE35" s="4">
        <v>2.8239999999999998E-4</v>
      </c>
      <c r="EF35" s="4">
        <v>2.5460000000000001E-4</v>
      </c>
      <c r="EG35" s="4">
        <v>2.3039999999999999E-4</v>
      </c>
      <c r="EH35" s="4">
        <v>2.0929999999999999E-4</v>
      </c>
      <c r="EI35" s="4">
        <v>1.9090000000000001E-4</v>
      </c>
      <c r="EJ35" s="4">
        <v>1.7469999999999999E-4</v>
      </c>
      <c r="EK35" s="4">
        <v>1.604E-4</v>
      </c>
      <c r="EL35" s="4">
        <v>1.4770000000000001E-4</v>
      </c>
      <c r="EM35" s="4">
        <v>1.3640000000000001E-4</v>
      </c>
      <c r="EN35" s="4">
        <v>1.26E-4</v>
      </c>
      <c r="EO35" s="4">
        <v>1.1620000000000001E-4</v>
      </c>
      <c r="EP35" s="4">
        <v>1.033E-4</v>
      </c>
      <c r="EQ35" s="4">
        <v>8.9699999999999998E-5</v>
      </c>
      <c r="ER35" s="4">
        <v>7.1000000000000005E-5</v>
      </c>
      <c r="ES35" s="4">
        <v>7.6500000000000003E-5</v>
      </c>
      <c r="ET35" s="4">
        <v>7.2200000000000007E-5</v>
      </c>
      <c r="EU35" s="4">
        <v>6.8700000000000003E-5</v>
      </c>
      <c r="EV35" s="4">
        <v>6.5500000000000006E-5</v>
      </c>
      <c r="EW35" s="4">
        <v>6.2600000000000004E-5</v>
      </c>
      <c r="EX35" s="4">
        <v>5.9899999999999999E-5</v>
      </c>
      <c r="EY35" s="4">
        <v>5.7399999999999999E-5</v>
      </c>
      <c r="EZ35" s="4">
        <v>5.5099999999999998E-5</v>
      </c>
      <c r="FA35" s="4">
        <v>5.2800000000000003E-5</v>
      </c>
      <c r="FB35" s="4">
        <v>5.0800000000000002E-5</v>
      </c>
      <c r="FC35" s="4">
        <v>4.88E-5</v>
      </c>
      <c r="FD35" s="4">
        <v>4.6900000000000002E-5</v>
      </c>
      <c r="FE35" s="4">
        <v>4.5200000000000001E-5</v>
      </c>
      <c r="FF35" s="4">
        <v>4.35E-5</v>
      </c>
      <c r="FG35" s="4">
        <v>4.1999999999999998E-5</v>
      </c>
      <c r="FH35" s="4">
        <v>4.0500000000000002E-5</v>
      </c>
      <c r="FI35" s="4">
        <v>3.9199999999999997E-5</v>
      </c>
      <c r="FJ35" s="4">
        <v>3.79E-5</v>
      </c>
      <c r="FK35" s="4">
        <v>3.6699999999999998E-5</v>
      </c>
      <c r="FL35" s="4">
        <v>3.5500000000000002E-5</v>
      </c>
      <c r="FM35" s="4">
        <v>3.4499999999999998E-5</v>
      </c>
      <c r="FN35" s="4">
        <v>3.3500000000000001E-5</v>
      </c>
      <c r="FO35" s="4">
        <v>3.2499999999999997E-5</v>
      </c>
      <c r="FP35" s="4">
        <v>3.1600000000000002E-5</v>
      </c>
      <c r="FQ35" s="4">
        <v>3.0800000000000003E-5</v>
      </c>
      <c r="FR35" s="4">
        <v>3.0000000000000001E-5</v>
      </c>
      <c r="FS35" s="4">
        <v>2.9300000000000001E-5</v>
      </c>
      <c r="FT35" s="4">
        <v>2.8600000000000001E-5</v>
      </c>
      <c r="FU35" s="4">
        <v>2.7900000000000001E-5</v>
      </c>
      <c r="FV35" s="4">
        <v>2.73E-5</v>
      </c>
      <c r="FW35" s="4">
        <v>2.6699999999999998E-5</v>
      </c>
      <c r="FX35" s="4">
        <v>2.6100000000000001E-5</v>
      </c>
      <c r="FY35" s="4">
        <v>2.5599999999999999E-5</v>
      </c>
      <c r="FZ35" s="4">
        <v>2.51E-5</v>
      </c>
      <c r="GA35" s="4">
        <v>2.4600000000000002E-5</v>
      </c>
      <c r="GB35" s="4">
        <v>2.41E-5</v>
      </c>
      <c r="GC35" s="4">
        <v>2.37E-5</v>
      </c>
      <c r="GD35" s="4">
        <v>2.3300000000000001E-5</v>
      </c>
      <c r="GE35" s="4">
        <v>2.2900000000000001E-5</v>
      </c>
      <c r="GF35" s="4">
        <v>2.2500000000000001E-5</v>
      </c>
      <c r="GG35" s="4">
        <v>2.2099999999999998E-5</v>
      </c>
      <c r="GH35" s="4">
        <v>2.1800000000000001E-5</v>
      </c>
      <c r="GI35" s="4">
        <v>2.1399999999999998E-5</v>
      </c>
      <c r="GJ35" s="4">
        <v>2.1100000000000001E-5</v>
      </c>
      <c r="GK35" s="4">
        <v>2.0800000000000001E-5</v>
      </c>
      <c r="GL35" s="4">
        <v>2.0400000000000001E-5</v>
      </c>
      <c r="GM35" s="4">
        <v>2.0100000000000001E-5</v>
      </c>
      <c r="GN35" s="4">
        <v>1.98E-5</v>
      </c>
      <c r="GO35" s="4">
        <v>1.95E-5</v>
      </c>
      <c r="GP35" s="4">
        <v>1.9300000000000002E-5</v>
      </c>
      <c r="GQ35" s="4">
        <v>1.9000000000000001E-5</v>
      </c>
      <c r="GR35" s="4">
        <v>1.8700000000000001E-5</v>
      </c>
      <c r="GS35" s="4">
        <v>1.8499999999999999E-5</v>
      </c>
      <c r="GT35" s="4">
        <v>1.8199999999999999E-5</v>
      </c>
      <c r="GU35" s="4">
        <v>1.7900000000000001E-5</v>
      </c>
      <c r="GV35" s="4">
        <v>1.77E-5</v>
      </c>
      <c r="GW35" s="4">
        <v>1.7399999999999999E-5</v>
      </c>
      <c r="GX35" s="4">
        <v>1.7200000000000001E-5</v>
      </c>
      <c r="GY35" s="4">
        <v>1.7E-5</v>
      </c>
      <c r="GZ35" s="4">
        <v>1.6699999999999999E-5</v>
      </c>
      <c r="HA35" s="4">
        <v>1.6500000000000001E-5</v>
      </c>
      <c r="HB35" s="4">
        <v>1.63E-5</v>
      </c>
      <c r="HC35" s="4">
        <v>1.6099999999999998E-5</v>
      </c>
      <c r="HD35" s="4">
        <v>1.59E-5</v>
      </c>
      <c r="HE35" s="4">
        <v>1.56E-5</v>
      </c>
      <c r="HF35" s="4">
        <v>1.5400000000000002E-5</v>
      </c>
      <c r="HG35" s="4">
        <v>1.52E-5</v>
      </c>
      <c r="HH35" s="4">
        <v>1.5E-5</v>
      </c>
      <c r="HI35" s="4">
        <v>1.4800000000000001E-5</v>
      </c>
      <c r="HJ35" s="4">
        <v>1.4600000000000001E-5</v>
      </c>
      <c r="HK35" s="4">
        <v>1.4399999999999999E-5</v>
      </c>
      <c r="HL35" s="4">
        <v>1.42E-5</v>
      </c>
      <c r="HM35" s="4">
        <v>1.4E-5</v>
      </c>
      <c r="HN35" s="4">
        <v>1.38E-5</v>
      </c>
      <c r="HO35" s="4">
        <v>1.3699999999999999E-5</v>
      </c>
      <c r="HP35" s="4">
        <v>1.3499999999999999E-5</v>
      </c>
      <c r="HQ35" s="4">
        <v>1.33E-5</v>
      </c>
      <c r="HR35" s="4">
        <v>1.31E-5</v>
      </c>
      <c r="HS35" s="4">
        <v>1.29E-5</v>
      </c>
      <c r="HT35" s="4">
        <v>1.2799999999999999E-5</v>
      </c>
      <c r="HU35" s="4">
        <v>1.26E-5</v>
      </c>
      <c r="HV35" s="4">
        <v>1.24E-5</v>
      </c>
      <c r="HW35" s="4">
        <v>1.22E-5</v>
      </c>
      <c r="HX35" s="4">
        <v>1.2099999999999999E-5</v>
      </c>
      <c r="HY35" s="4">
        <v>1.19E-5</v>
      </c>
      <c r="HZ35" s="4">
        <v>1.17E-5</v>
      </c>
      <c r="IA35" s="4">
        <v>1.1600000000000001E-5</v>
      </c>
      <c r="IB35" s="4">
        <v>1.1399999999999999E-5</v>
      </c>
      <c r="IC35" s="4">
        <v>1.13E-5</v>
      </c>
      <c r="ID35" s="4">
        <v>1.11E-5</v>
      </c>
      <c r="IE35" s="4">
        <v>1.1E-5</v>
      </c>
      <c r="IF35" s="4">
        <v>1.08E-5</v>
      </c>
      <c r="IG35" s="4">
        <v>7.5460000000000002E-4</v>
      </c>
      <c r="IH35" s="4"/>
      <c r="II35" s="4">
        <f t="shared" si="245"/>
        <v>0.11740180867930569</v>
      </c>
      <c r="IJ35">
        <f t="shared" si="246"/>
        <v>0.3594169500000004</v>
      </c>
      <c r="IN35" s="4"/>
      <c r="IO35" s="4"/>
      <c r="IP35" s="4"/>
      <c r="IQ35" s="4"/>
      <c r="IR35" s="4"/>
      <c r="IS35" s="4"/>
      <c r="IT35" s="4"/>
      <c r="IU35" s="4"/>
      <c r="IV35" s="4"/>
    </row>
    <row r="36" spans="1:256" x14ac:dyDescent="0.35">
      <c r="A36" s="1">
        <v>28</v>
      </c>
      <c r="B36" s="4">
        <v>1.0734799999999999E-2</v>
      </c>
      <c r="C36" s="4">
        <v>1.0734799999999999E-2</v>
      </c>
      <c r="D36" s="4">
        <v>1.0684600000000001E-2</v>
      </c>
      <c r="E36" s="4">
        <v>1.05118E-2</v>
      </c>
      <c r="F36" s="4">
        <v>1.00999E-2</v>
      </c>
      <c r="G36" s="4">
        <v>9.4503E-3</v>
      </c>
      <c r="H36" s="4">
        <v>8.8477E-3</v>
      </c>
      <c r="I36" s="4">
        <v>8.2260000000000007E-3</v>
      </c>
      <c r="J36" s="4">
        <v>7.6801999999999999E-3</v>
      </c>
      <c r="K36" s="4">
        <v>7.1855E-3</v>
      </c>
      <c r="L36" s="4">
        <v>6.7467999999999998E-3</v>
      </c>
      <c r="M36" s="4">
        <v>6.3562999999999996E-3</v>
      </c>
      <c r="N36" s="4">
        <v>6.0102000000000003E-3</v>
      </c>
      <c r="O36" s="4">
        <v>5.6988000000000004E-3</v>
      </c>
      <c r="P36" s="4">
        <v>5.4278E-3</v>
      </c>
      <c r="Q36" s="4">
        <v>5.1815000000000003E-3</v>
      </c>
      <c r="R36" s="4">
        <v>4.9588999999999996E-3</v>
      </c>
      <c r="S36" s="4">
        <v>4.7578000000000004E-3</v>
      </c>
      <c r="T36" s="4">
        <v>4.5745999999999998E-3</v>
      </c>
      <c r="U36" s="4">
        <v>4.4067999999999998E-3</v>
      </c>
      <c r="V36" s="4">
        <v>4.2522000000000003E-3</v>
      </c>
      <c r="W36" s="4">
        <v>4.1079999999999997E-3</v>
      </c>
      <c r="X36" s="4">
        <v>3.9706000000000003E-3</v>
      </c>
      <c r="Y36" s="4">
        <v>3.8314999999999998E-3</v>
      </c>
      <c r="Z36" s="4">
        <v>3.6819000000000001E-3</v>
      </c>
      <c r="AA36" s="4">
        <v>3.4160000000000002E-3</v>
      </c>
      <c r="AB36" s="4">
        <v>3.0785000000000001E-3</v>
      </c>
      <c r="AC36" s="4">
        <v>2.5230999999999999E-3</v>
      </c>
      <c r="AD36" s="4">
        <v>2.7509000000000001E-3</v>
      </c>
      <c r="AE36" s="4">
        <v>2.6951000000000002E-3</v>
      </c>
      <c r="AF36" s="4">
        <v>2.6535E-3</v>
      </c>
      <c r="AG36" s="4">
        <v>2.6132E-3</v>
      </c>
      <c r="AH36" s="4">
        <v>2.5763000000000001E-3</v>
      </c>
      <c r="AI36" s="4">
        <v>2.5393999999999998E-3</v>
      </c>
      <c r="AJ36" s="4">
        <v>2.5029000000000002E-3</v>
      </c>
      <c r="AK36" s="4">
        <v>2.4662E-3</v>
      </c>
      <c r="AL36" s="4">
        <v>2.4298000000000002E-3</v>
      </c>
      <c r="AM36" s="4">
        <v>2.3938000000000002E-3</v>
      </c>
      <c r="AN36" s="4">
        <v>2.3581000000000001E-3</v>
      </c>
      <c r="AO36" s="4">
        <v>2.3229000000000001E-3</v>
      </c>
      <c r="AP36" s="4">
        <v>2.2883000000000001E-3</v>
      </c>
      <c r="AQ36" s="4">
        <v>2.2542E-3</v>
      </c>
      <c r="AR36" s="4">
        <v>2.2206999999999999E-3</v>
      </c>
      <c r="AS36" s="4">
        <v>2.1878000000000002E-3</v>
      </c>
      <c r="AT36" s="4">
        <v>2.1554999999999999E-3</v>
      </c>
      <c r="AU36" s="4">
        <v>2.1237999999999999E-3</v>
      </c>
      <c r="AV36" s="4">
        <v>2.0928000000000001E-3</v>
      </c>
      <c r="AW36" s="4">
        <v>2.0623E-3</v>
      </c>
      <c r="AX36" s="4">
        <v>2.0325E-3</v>
      </c>
      <c r="AY36" s="4">
        <v>2.0032000000000001E-3</v>
      </c>
      <c r="AZ36" s="4">
        <v>1.9745000000000001E-3</v>
      </c>
      <c r="BA36" s="4">
        <v>1.9464E-3</v>
      </c>
      <c r="BB36" s="4">
        <v>1.9187E-3</v>
      </c>
      <c r="BC36" s="4">
        <v>1.8916E-3</v>
      </c>
      <c r="BD36" s="4">
        <v>1.8649999999999999E-3</v>
      </c>
      <c r="BE36" s="4">
        <v>1.8389000000000001E-3</v>
      </c>
      <c r="BF36" s="4">
        <v>1.8132000000000001E-3</v>
      </c>
      <c r="BG36" s="4">
        <v>1.7880000000000001E-3</v>
      </c>
      <c r="BH36" s="4">
        <v>1.7631999999999999E-3</v>
      </c>
      <c r="BI36" s="4">
        <v>1.7388E-3</v>
      </c>
      <c r="BJ36" s="4">
        <v>1.7148E-3</v>
      </c>
      <c r="BK36" s="4">
        <v>1.6911999999999999E-3</v>
      </c>
      <c r="BL36" s="4">
        <v>1.668E-3</v>
      </c>
      <c r="BM36" s="4">
        <v>1.6451E-3</v>
      </c>
      <c r="BN36" s="4">
        <v>1.6225E-3</v>
      </c>
      <c r="BO36" s="4">
        <v>1.6003E-3</v>
      </c>
      <c r="BP36" s="4">
        <v>1.5785E-3</v>
      </c>
      <c r="BQ36" s="4">
        <v>1.5569E-3</v>
      </c>
      <c r="BR36" s="4">
        <v>1.5356E-3</v>
      </c>
      <c r="BS36" s="4">
        <v>1.5146999999999999E-3</v>
      </c>
      <c r="BT36" s="4">
        <v>1.4940000000000001E-3</v>
      </c>
      <c r="BU36" s="4">
        <v>1.4736E-3</v>
      </c>
      <c r="BV36" s="4">
        <v>1.4534999999999999E-3</v>
      </c>
      <c r="BW36" s="4">
        <v>1.4337E-3</v>
      </c>
      <c r="BX36" s="4">
        <v>1.4140999999999999E-3</v>
      </c>
      <c r="BY36" s="4">
        <v>1.3948000000000001E-3</v>
      </c>
      <c r="BZ36" s="4">
        <v>1.3757999999999999E-3</v>
      </c>
      <c r="CA36" s="4">
        <v>1.3569999999999999E-3</v>
      </c>
      <c r="CB36" s="4">
        <v>1.3385000000000001E-3</v>
      </c>
      <c r="CC36" s="4">
        <v>1.3201E-3</v>
      </c>
      <c r="CD36" s="4">
        <v>1.3021E-3</v>
      </c>
      <c r="CE36" s="4">
        <v>1.2842000000000001E-3</v>
      </c>
      <c r="CF36" s="4">
        <v>1.2666000000000001E-3</v>
      </c>
      <c r="CG36" s="4">
        <v>1.2493000000000001E-3</v>
      </c>
      <c r="CH36" s="4">
        <v>1.2321000000000001E-3</v>
      </c>
      <c r="CI36" s="4">
        <v>1.2152E-3</v>
      </c>
      <c r="CJ36" s="4">
        <v>1.1984999999999999E-3</v>
      </c>
      <c r="CK36" s="4">
        <v>1.1820000000000001E-3</v>
      </c>
      <c r="CL36" s="4">
        <v>1.1657E-3</v>
      </c>
      <c r="CM36" s="4">
        <v>1.1496E-3</v>
      </c>
      <c r="CN36" s="4">
        <v>1.1337000000000001E-3</v>
      </c>
      <c r="CO36" s="4">
        <v>1.1180999999999999E-3</v>
      </c>
      <c r="CP36" s="4">
        <v>1.1026E-3</v>
      </c>
      <c r="CQ36" s="4">
        <v>1.0874000000000001E-3</v>
      </c>
      <c r="CR36" s="4">
        <v>1.0723E-3</v>
      </c>
      <c r="CS36" s="4">
        <v>1.0574E-3</v>
      </c>
      <c r="CT36" s="4">
        <v>1.0428E-3</v>
      </c>
      <c r="CU36" s="4">
        <v>1.0283E-3</v>
      </c>
      <c r="CV36" s="4">
        <v>1.0139999999999999E-3</v>
      </c>
      <c r="CW36" s="4">
        <v>9.9989999999999996E-4</v>
      </c>
      <c r="CX36" s="4">
        <v>9.859999999999999E-4</v>
      </c>
      <c r="CY36" s="4">
        <v>9.722E-4</v>
      </c>
      <c r="CZ36" s="4">
        <v>9.5870000000000005E-4</v>
      </c>
      <c r="DA36" s="4">
        <v>9.4530000000000005E-4</v>
      </c>
      <c r="DB36" s="4">
        <v>9.3210000000000005E-4</v>
      </c>
      <c r="DC36" s="4">
        <v>9.1909999999999995E-4</v>
      </c>
      <c r="DD36" s="4">
        <v>9.0620000000000002E-4</v>
      </c>
      <c r="DE36" s="4">
        <v>8.9349999999999998E-4</v>
      </c>
      <c r="DF36" s="4">
        <v>8.8099999999999995E-4</v>
      </c>
      <c r="DG36" s="4">
        <v>8.6870000000000003E-4</v>
      </c>
      <c r="DH36" s="4">
        <v>8.5649999999999995E-4</v>
      </c>
      <c r="DI36" s="4">
        <v>8.4449999999999998E-4</v>
      </c>
      <c r="DJ36" s="4">
        <v>8.3259999999999996E-4</v>
      </c>
      <c r="DK36" s="4">
        <v>8.2089999999999995E-4</v>
      </c>
      <c r="DL36" s="4">
        <v>8.0940000000000005E-4</v>
      </c>
      <c r="DM36" s="4">
        <v>7.9799999999999999E-4</v>
      </c>
      <c r="DN36" s="4">
        <v>7.8680000000000004E-4</v>
      </c>
      <c r="DO36" s="4">
        <v>7.7570000000000004E-4</v>
      </c>
      <c r="DP36" s="4">
        <v>7.6480000000000005E-4</v>
      </c>
      <c r="DQ36" s="4">
        <v>5.3152199999999997E-2</v>
      </c>
      <c r="DR36" s="4">
        <v>0</v>
      </c>
      <c r="DS36" s="4">
        <v>5.02E-5</v>
      </c>
      <c r="DT36" s="4">
        <v>1.728E-4</v>
      </c>
      <c r="DU36" s="4">
        <v>6.914E-4</v>
      </c>
      <c r="DV36" s="4">
        <v>6.5010000000000003E-4</v>
      </c>
      <c r="DW36" s="4">
        <v>6.0369999999999998E-4</v>
      </c>
      <c r="DX36" s="4">
        <v>6.2339999999999997E-4</v>
      </c>
      <c r="DY36" s="4">
        <v>5.4810000000000004E-4</v>
      </c>
      <c r="DZ36" s="4">
        <v>5.0000000000000001E-4</v>
      </c>
      <c r="EA36" s="4">
        <v>4.4260000000000002E-4</v>
      </c>
      <c r="EB36" s="4">
        <v>3.948E-4</v>
      </c>
      <c r="EC36" s="4">
        <v>3.5139999999999998E-4</v>
      </c>
      <c r="ED36" s="4">
        <v>3.143E-4</v>
      </c>
      <c r="EE36" s="4">
        <v>2.8170000000000002E-4</v>
      </c>
      <c r="EF36" s="4">
        <v>2.543E-4</v>
      </c>
      <c r="EG36" s="4">
        <v>2.3010000000000001E-4</v>
      </c>
      <c r="EH36" s="4">
        <v>2.0900000000000001E-4</v>
      </c>
      <c r="EI36" s="4">
        <v>1.906E-4</v>
      </c>
      <c r="EJ36" s="4">
        <v>1.7450000000000001E-4</v>
      </c>
      <c r="EK36" s="4">
        <v>1.6019999999999999E-4</v>
      </c>
      <c r="EL36" s="4">
        <v>1.4760000000000001E-4</v>
      </c>
      <c r="EM36" s="4">
        <v>1.3640000000000001E-4</v>
      </c>
      <c r="EN36" s="4">
        <v>1.2630000000000001E-4</v>
      </c>
      <c r="EO36" s="4">
        <v>1.17E-4</v>
      </c>
      <c r="EP36" s="4">
        <v>1.083E-4</v>
      </c>
      <c r="EQ36" s="4">
        <v>9.6600000000000003E-5</v>
      </c>
      <c r="ER36" s="4">
        <v>8.3999999999999995E-5</v>
      </c>
      <c r="ES36" s="4">
        <v>6.6699999999999995E-5</v>
      </c>
      <c r="ET36" s="4">
        <v>7.1899999999999999E-5</v>
      </c>
      <c r="EU36" s="4">
        <v>6.8100000000000002E-5</v>
      </c>
      <c r="EV36" s="4">
        <v>6.4900000000000005E-5</v>
      </c>
      <c r="EW36" s="4">
        <v>6.2000000000000003E-5</v>
      </c>
      <c r="EX36" s="4">
        <v>5.94E-5</v>
      </c>
      <c r="EY36" s="4">
        <v>5.7000000000000003E-5</v>
      </c>
      <c r="EZ36" s="4">
        <v>5.4700000000000001E-5</v>
      </c>
      <c r="FA36" s="4">
        <v>5.2500000000000002E-5</v>
      </c>
      <c r="FB36" s="4">
        <v>5.0399999999999999E-5</v>
      </c>
      <c r="FC36" s="4">
        <v>4.85E-5</v>
      </c>
      <c r="FD36" s="4">
        <v>4.6699999999999997E-5</v>
      </c>
      <c r="FE36" s="4">
        <v>4.5000000000000003E-5</v>
      </c>
      <c r="FF36" s="4">
        <v>4.3399999999999998E-5</v>
      </c>
      <c r="FG36" s="4">
        <v>4.18E-5</v>
      </c>
      <c r="FH36" s="4">
        <v>4.0399999999999999E-5</v>
      </c>
      <c r="FI36" s="4">
        <v>3.8999999999999999E-5</v>
      </c>
      <c r="FJ36" s="4">
        <v>3.7799999999999997E-5</v>
      </c>
      <c r="FK36" s="4">
        <v>3.6600000000000002E-5</v>
      </c>
      <c r="FL36" s="4">
        <v>3.5500000000000002E-5</v>
      </c>
      <c r="FM36" s="4">
        <v>3.4400000000000003E-5</v>
      </c>
      <c r="FN36" s="4">
        <v>3.3399999999999999E-5</v>
      </c>
      <c r="FO36" s="4">
        <v>3.2499999999999997E-5</v>
      </c>
      <c r="FP36" s="4">
        <v>3.1600000000000002E-5</v>
      </c>
      <c r="FQ36" s="4">
        <v>3.0800000000000003E-5</v>
      </c>
      <c r="FR36" s="4">
        <v>3.0000000000000001E-5</v>
      </c>
      <c r="FS36" s="4">
        <v>2.9200000000000002E-5</v>
      </c>
      <c r="FT36" s="4">
        <v>2.8600000000000001E-5</v>
      </c>
      <c r="FU36" s="4">
        <v>2.7900000000000001E-5</v>
      </c>
      <c r="FV36" s="4">
        <v>2.73E-5</v>
      </c>
      <c r="FW36" s="4">
        <v>2.6699999999999998E-5</v>
      </c>
      <c r="FX36" s="4">
        <v>2.6100000000000001E-5</v>
      </c>
      <c r="FY36" s="4">
        <v>2.5599999999999999E-5</v>
      </c>
      <c r="FZ36" s="4">
        <v>2.51E-5</v>
      </c>
      <c r="GA36" s="4">
        <v>2.4600000000000002E-5</v>
      </c>
      <c r="GB36" s="4">
        <v>2.41E-5</v>
      </c>
      <c r="GC36" s="4">
        <v>2.37E-5</v>
      </c>
      <c r="GD36" s="4">
        <v>2.3300000000000001E-5</v>
      </c>
      <c r="GE36" s="4">
        <v>2.2900000000000001E-5</v>
      </c>
      <c r="GF36" s="4">
        <v>2.2500000000000001E-5</v>
      </c>
      <c r="GG36" s="4">
        <v>2.2099999999999998E-5</v>
      </c>
      <c r="GH36" s="4">
        <v>2.1800000000000001E-5</v>
      </c>
      <c r="GI36" s="4">
        <v>2.1399999999999998E-5</v>
      </c>
      <c r="GJ36" s="4">
        <v>2.1100000000000001E-5</v>
      </c>
      <c r="GK36" s="4">
        <v>2.0800000000000001E-5</v>
      </c>
      <c r="GL36" s="4">
        <v>2.0400000000000001E-5</v>
      </c>
      <c r="GM36" s="4">
        <v>2.0100000000000001E-5</v>
      </c>
      <c r="GN36" s="4">
        <v>1.98E-5</v>
      </c>
      <c r="GO36" s="4">
        <v>1.95E-5</v>
      </c>
      <c r="GP36" s="4">
        <v>1.9300000000000002E-5</v>
      </c>
      <c r="GQ36" s="4">
        <v>1.9000000000000001E-5</v>
      </c>
      <c r="GR36" s="4">
        <v>1.8700000000000001E-5</v>
      </c>
      <c r="GS36" s="4">
        <v>1.8499999999999999E-5</v>
      </c>
      <c r="GT36" s="4">
        <v>1.8199999999999999E-5</v>
      </c>
      <c r="GU36" s="4">
        <v>1.7900000000000001E-5</v>
      </c>
      <c r="GV36" s="4">
        <v>1.77E-5</v>
      </c>
      <c r="GW36" s="4">
        <v>1.7499999999999998E-5</v>
      </c>
      <c r="GX36" s="4">
        <v>1.7200000000000001E-5</v>
      </c>
      <c r="GY36" s="4">
        <v>1.7E-5</v>
      </c>
      <c r="GZ36" s="4">
        <v>1.6699999999999999E-5</v>
      </c>
      <c r="HA36" s="4">
        <v>1.6500000000000001E-5</v>
      </c>
      <c r="HB36" s="4">
        <v>1.63E-5</v>
      </c>
      <c r="HC36" s="4">
        <v>1.6099999999999998E-5</v>
      </c>
      <c r="HD36" s="4">
        <v>1.59E-5</v>
      </c>
      <c r="HE36" s="4">
        <v>1.56E-5</v>
      </c>
      <c r="HF36" s="4">
        <v>1.5400000000000002E-5</v>
      </c>
      <c r="HG36" s="4">
        <v>1.52E-5</v>
      </c>
      <c r="HH36" s="4">
        <v>1.5E-5</v>
      </c>
      <c r="HI36" s="4">
        <v>1.4800000000000001E-5</v>
      </c>
      <c r="HJ36" s="4">
        <v>1.4600000000000001E-5</v>
      </c>
      <c r="HK36" s="4">
        <v>1.4399999999999999E-5</v>
      </c>
      <c r="HL36" s="4">
        <v>1.42E-5</v>
      </c>
      <c r="HM36" s="4">
        <v>1.4E-5</v>
      </c>
      <c r="HN36" s="4">
        <v>1.38E-5</v>
      </c>
      <c r="HO36" s="4">
        <v>1.3699999999999999E-5</v>
      </c>
      <c r="HP36" s="4">
        <v>1.3499999999999999E-5</v>
      </c>
      <c r="HQ36" s="4">
        <v>1.33E-5</v>
      </c>
      <c r="HR36" s="4">
        <v>1.31E-5</v>
      </c>
      <c r="HS36" s="4">
        <v>1.29E-5</v>
      </c>
      <c r="HT36" s="4">
        <v>1.2799999999999999E-5</v>
      </c>
      <c r="HU36" s="4">
        <v>1.26E-5</v>
      </c>
      <c r="HV36" s="4">
        <v>1.24E-5</v>
      </c>
      <c r="HW36" s="4">
        <v>1.22E-5</v>
      </c>
      <c r="HX36" s="4">
        <v>1.2099999999999999E-5</v>
      </c>
      <c r="HY36" s="4">
        <v>1.19E-5</v>
      </c>
      <c r="HZ36" s="4">
        <v>1.17E-5</v>
      </c>
      <c r="IA36" s="4">
        <v>1.1600000000000001E-5</v>
      </c>
      <c r="IB36" s="4">
        <v>1.1399999999999999E-5</v>
      </c>
      <c r="IC36" s="4">
        <v>1.13E-5</v>
      </c>
      <c r="ID36" s="4">
        <v>1.11E-5</v>
      </c>
      <c r="IE36" s="4">
        <v>1.1E-5</v>
      </c>
      <c r="IF36" s="4">
        <v>1.08E-5</v>
      </c>
      <c r="IG36" s="4">
        <v>7.5460000000000002E-4</v>
      </c>
      <c r="IH36" s="4"/>
      <c r="II36" s="4">
        <f t="shared" si="245"/>
        <v>0.1173769961691285</v>
      </c>
      <c r="IJ36">
        <f t="shared" si="246"/>
        <v>0.35949718750000004</v>
      </c>
      <c r="IN36" s="4"/>
      <c r="IO36" s="4"/>
      <c r="IP36" s="4"/>
      <c r="IQ36" s="4"/>
      <c r="IR36" s="4"/>
      <c r="IS36" s="4"/>
      <c r="IT36" s="4"/>
      <c r="IU36" s="4"/>
      <c r="IV36" s="4"/>
    </row>
    <row r="37" spans="1:256" x14ac:dyDescent="0.35">
      <c r="A37" s="1">
        <v>29</v>
      </c>
      <c r="B37" s="4">
        <v>1.0734799999999999E-2</v>
      </c>
      <c r="C37" s="4">
        <v>1.0734799999999999E-2</v>
      </c>
      <c r="D37" s="4">
        <v>1.0684600000000001E-2</v>
      </c>
      <c r="E37" s="4">
        <v>1.05118E-2</v>
      </c>
      <c r="F37" s="4">
        <v>9.8204E-3</v>
      </c>
      <c r="G37" s="4">
        <v>9.4497999999999995E-3</v>
      </c>
      <c r="H37" s="4">
        <v>8.8465999999999996E-3</v>
      </c>
      <c r="I37" s="4">
        <v>8.2243000000000004E-3</v>
      </c>
      <c r="J37" s="4">
        <v>7.6778999999999997E-3</v>
      </c>
      <c r="K37" s="4">
        <v>7.1802000000000003E-3</v>
      </c>
      <c r="L37" s="4">
        <v>6.7428999999999996E-3</v>
      </c>
      <c r="M37" s="4">
        <v>6.352E-3</v>
      </c>
      <c r="N37" s="4">
        <v>6.0048999999999996E-3</v>
      </c>
      <c r="O37" s="4">
        <v>5.6958E-3</v>
      </c>
      <c r="P37" s="4">
        <v>5.4171000000000002E-3</v>
      </c>
      <c r="Q37" s="4">
        <v>5.1735000000000001E-3</v>
      </c>
      <c r="R37" s="4">
        <v>4.9513999999999999E-3</v>
      </c>
      <c r="S37" s="4">
        <v>4.7498999999999996E-3</v>
      </c>
      <c r="T37" s="4">
        <v>4.5672000000000004E-3</v>
      </c>
      <c r="U37" s="4">
        <v>4.4000999999999997E-3</v>
      </c>
      <c r="V37" s="4">
        <v>4.2465999999999997E-3</v>
      </c>
      <c r="W37" s="4">
        <v>4.1045999999999999E-3</v>
      </c>
      <c r="X37" s="4">
        <v>3.9715999999999996E-3</v>
      </c>
      <c r="Y37" s="4">
        <v>3.8443000000000001E-3</v>
      </c>
      <c r="Z37" s="4">
        <v>3.7144999999999999E-3</v>
      </c>
      <c r="AA37" s="4">
        <v>3.5736000000000001E-3</v>
      </c>
      <c r="AB37" s="4">
        <v>3.3195E-3</v>
      </c>
      <c r="AC37" s="4">
        <v>2.9945000000000002E-3</v>
      </c>
      <c r="AD37" s="4">
        <v>2.4564000000000001E-3</v>
      </c>
      <c r="AE37" s="4">
        <v>2.679E-3</v>
      </c>
      <c r="AF37" s="4">
        <v>2.627E-3</v>
      </c>
      <c r="AG37" s="4">
        <v>2.5885999999999999E-3</v>
      </c>
      <c r="AH37" s="4">
        <v>2.5512E-3</v>
      </c>
      <c r="AI37" s="4">
        <v>2.5168999999999999E-3</v>
      </c>
      <c r="AJ37" s="4">
        <v>2.4824000000000001E-3</v>
      </c>
      <c r="AK37" s="4">
        <v>2.4482000000000002E-3</v>
      </c>
      <c r="AL37" s="4">
        <v>2.4137E-3</v>
      </c>
      <c r="AM37" s="4">
        <v>2.3793999999999998E-3</v>
      </c>
      <c r="AN37" s="4">
        <v>2.3452999999999998E-3</v>
      </c>
      <c r="AO37" s="4">
        <v>2.3113999999999999E-3</v>
      </c>
      <c r="AP37" s="4">
        <v>2.2778999999999998E-3</v>
      </c>
      <c r="AQ37" s="4">
        <v>2.2449000000000002E-3</v>
      </c>
      <c r="AR37" s="4">
        <v>2.2122999999999999E-3</v>
      </c>
      <c r="AS37" s="4">
        <v>2.1803E-3</v>
      </c>
      <c r="AT37" s="4">
        <v>2.1486999999999999E-3</v>
      </c>
      <c r="AU37" s="4">
        <v>2.1177000000000001E-3</v>
      </c>
      <c r="AV37" s="4">
        <v>2.0872999999999998E-3</v>
      </c>
      <c r="AW37" s="4">
        <v>2.0573000000000002E-3</v>
      </c>
      <c r="AX37" s="4">
        <v>2.0279E-3</v>
      </c>
      <c r="AY37" s="4">
        <v>1.9991000000000002E-3</v>
      </c>
      <c r="AZ37" s="4">
        <v>1.9707000000000001E-3</v>
      </c>
      <c r="BA37" s="4">
        <v>1.9429E-3</v>
      </c>
      <c r="BB37" s="4">
        <v>1.9155999999999999E-3</v>
      </c>
      <c r="BC37" s="4">
        <v>1.8887999999999999E-3</v>
      </c>
      <c r="BD37" s="4">
        <v>1.8623999999999999E-3</v>
      </c>
      <c r="BE37" s="4">
        <v>1.8365E-3</v>
      </c>
      <c r="BF37" s="4">
        <v>1.8109999999999999E-3</v>
      </c>
      <c r="BG37" s="4">
        <v>1.786E-3</v>
      </c>
      <c r="BH37" s="4">
        <v>1.7612999999999999E-3</v>
      </c>
      <c r="BI37" s="4">
        <v>1.7371000000000001E-3</v>
      </c>
      <c r="BJ37" s="4">
        <v>1.7132E-3</v>
      </c>
      <c r="BK37" s="4">
        <v>1.6896999999999999E-3</v>
      </c>
      <c r="BL37" s="4">
        <v>1.6666000000000001E-3</v>
      </c>
      <c r="BM37" s="4">
        <v>1.6437999999999999E-3</v>
      </c>
      <c r="BN37" s="4">
        <v>1.6214000000000001E-3</v>
      </c>
      <c r="BO37" s="4">
        <v>1.5992999999999999E-3</v>
      </c>
      <c r="BP37" s="4">
        <v>1.5774999999999999E-3</v>
      </c>
      <c r="BQ37" s="4">
        <v>1.5560000000000001E-3</v>
      </c>
      <c r="BR37" s="4">
        <v>1.5348E-3</v>
      </c>
      <c r="BS37" s="4">
        <v>1.5139000000000001E-3</v>
      </c>
      <c r="BT37" s="4">
        <v>1.4932999999999999E-3</v>
      </c>
      <c r="BU37" s="4">
        <v>1.4729000000000001E-3</v>
      </c>
      <c r="BV37" s="4">
        <v>1.4529E-3</v>
      </c>
      <c r="BW37" s="4">
        <v>1.4331000000000001E-3</v>
      </c>
      <c r="BX37" s="4">
        <v>1.4136000000000001E-3</v>
      </c>
      <c r="BY37" s="4">
        <v>1.3943E-3</v>
      </c>
      <c r="BZ37" s="4">
        <v>1.3753000000000001E-3</v>
      </c>
      <c r="CA37" s="4">
        <v>1.3565000000000001E-3</v>
      </c>
      <c r="CB37" s="4">
        <v>1.338E-3</v>
      </c>
      <c r="CC37" s="4">
        <v>1.3197E-3</v>
      </c>
      <c r="CD37" s="4">
        <v>1.3017E-3</v>
      </c>
      <c r="CE37" s="4">
        <v>1.2838999999999999E-3</v>
      </c>
      <c r="CF37" s="4">
        <v>1.2662999999999999E-3</v>
      </c>
      <c r="CG37" s="4">
        <v>1.2489000000000001E-3</v>
      </c>
      <c r="CH37" s="4">
        <v>1.2317999999999999E-3</v>
      </c>
      <c r="CI37" s="4">
        <v>1.2149000000000001E-3</v>
      </c>
      <c r="CJ37" s="4">
        <v>1.1982E-3</v>
      </c>
      <c r="CK37" s="4">
        <v>1.1816999999999999E-3</v>
      </c>
      <c r="CL37" s="4">
        <v>1.1654E-3</v>
      </c>
      <c r="CM37" s="4">
        <v>1.1494000000000001E-3</v>
      </c>
      <c r="CN37" s="4">
        <v>1.1335E-3</v>
      </c>
      <c r="CO37" s="4">
        <v>1.1179E-3</v>
      </c>
      <c r="CP37" s="4">
        <v>1.1023999999999999E-3</v>
      </c>
      <c r="CQ37" s="4">
        <v>1.0872E-3</v>
      </c>
      <c r="CR37" s="4">
        <v>1.0721000000000001E-3</v>
      </c>
      <c r="CS37" s="4">
        <v>1.0572999999999999E-3</v>
      </c>
      <c r="CT37" s="4">
        <v>1.0426000000000001E-3</v>
      </c>
      <c r="CU37" s="4">
        <v>1.0281000000000001E-3</v>
      </c>
      <c r="CV37" s="4">
        <v>1.0139000000000001E-3</v>
      </c>
      <c r="CW37" s="4">
        <v>9.9979999999999991E-4</v>
      </c>
      <c r="CX37" s="4">
        <v>9.858E-4</v>
      </c>
      <c r="CY37" s="4">
        <v>9.7210000000000005E-4</v>
      </c>
      <c r="CZ37" s="4">
        <v>9.5859999999999999E-4</v>
      </c>
      <c r="DA37" s="4">
        <v>9.4519999999999999E-4</v>
      </c>
      <c r="DB37" s="4">
        <v>9.3199999999999999E-4</v>
      </c>
      <c r="DC37" s="4">
        <v>9.19E-4</v>
      </c>
      <c r="DD37" s="4">
        <v>9.0609999999999996E-4</v>
      </c>
      <c r="DE37" s="4">
        <v>8.9349999999999998E-4</v>
      </c>
      <c r="DF37" s="4">
        <v>8.809E-4</v>
      </c>
      <c r="DG37" s="4">
        <v>8.6859999999999997E-4</v>
      </c>
      <c r="DH37" s="4">
        <v>8.564E-4</v>
      </c>
      <c r="DI37" s="4">
        <v>8.4440000000000003E-4</v>
      </c>
      <c r="DJ37" s="4">
        <v>8.3259999999999996E-4</v>
      </c>
      <c r="DK37" s="4">
        <v>8.2089999999999995E-4</v>
      </c>
      <c r="DL37" s="4">
        <v>8.0929999999999999E-4</v>
      </c>
      <c r="DM37" s="4">
        <v>7.9799999999999999E-4</v>
      </c>
      <c r="DN37" s="4">
        <v>7.8680000000000004E-4</v>
      </c>
      <c r="DO37" s="4">
        <v>7.7570000000000004E-4</v>
      </c>
      <c r="DP37" s="4">
        <v>7.6480000000000005E-4</v>
      </c>
      <c r="DQ37" s="4">
        <v>5.31516E-2</v>
      </c>
      <c r="DR37" s="4">
        <v>0</v>
      </c>
      <c r="DS37" s="4">
        <v>5.02E-5</v>
      </c>
      <c r="DT37" s="4">
        <v>1.729E-4</v>
      </c>
      <c r="DU37" s="4">
        <v>6.914E-4</v>
      </c>
      <c r="DV37" s="4">
        <v>6.1410000000000002E-4</v>
      </c>
      <c r="DW37" s="4">
        <v>6.0389999999999999E-4</v>
      </c>
      <c r="DX37" s="4">
        <v>6.2350000000000003E-4</v>
      </c>
      <c r="DY37" s="4">
        <v>5.4819999999999999E-4</v>
      </c>
      <c r="DZ37" s="4">
        <v>5.0009999999999996E-4</v>
      </c>
      <c r="EA37" s="4">
        <v>4.4220000000000001E-4</v>
      </c>
      <c r="EB37" s="4">
        <v>3.947E-4</v>
      </c>
      <c r="EC37" s="4">
        <v>3.5139999999999998E-4</v>
      </c>
      <c r="ED37" s="4">
        <v>3.1419999999999999E-4</v>
      </c>
      <c r="EE37" s="4">
        <v>2.8180000000000002E-4</v>
      </c>
      <c r="EF37" s="4">
        <v>2.5369999999999999E-4</v>
      </c>
      <c r="EG37" s="4">
        <v>2.298E-4</v>
      </c>
      <c r="EH37" s="4">
        <v>2.0880000000000001E-4</v>
      </c>
      <c r="EI37" s="4">
        <v>1.9039999999999999E-4</v>
      </c>
      <c r="EJ37" s="4">
        <v>1.7420000000000001E-4</v>
      </c>
      <c r="EK37" s="4">
        <v>1.6009999999999999E-4</v>
      </c>
      <c r="EL37" s="4">
        <v>1.4750000000000001E-4</v>
      </c>
      <c r="EM37" s="4">
        <v>1.3630000000000001E-4</v>
      </c>
      <c r="EN37" s="4">
        <v>1.2630000000000001E-4</v>
      </c>
      <c r="EO37" s="4">
        <v>1.1739999999999999E-4</v>
      </c>
      <c r="EP37" s="4">
        <v>1.091E-4</v>
      </c>
      <c r="EQ37" s="4">
        <v>1.0119999999999999E-4</v>
      </c>
      <c r="ER37" s="4">
        <v>9.0500000000000004E-5</v>
      </c>
      <c r="ES37" s="4">
        <v>7.8899999999999993E-5</v>
      </c>
      <c r="ET37" s="4">
        <v>6.2799999999999995E-5</v>
      </c>
      <c r="EU37" s="4">
        <v>6.7799999999999995E-5</v>
      </c>
      <c r="EV37" s="4">
        <v>6.4300000000000004E-5</v>
      </c>
      <c r="EW37" s="4">
        <v>6.1500000000000004E-5</v>
      </c>
      <c r="EX37" s="4">
        <v>5.8799999999999999E-5</v>
      </c>
      <c r="EY37" s="4">
        <v>5.6400000000000002E-5</v>
      </c>
      <c r="EZ37" s="4">
        <v>5.4200000000000003E-5</v>
      </c>
      <c r="FA37" s="4">
        <v>5.2099999999999999E-5</v>
      </c>
      <c r="FB37" s="4">
        <v>5.0099999999999998E-5</v>
      </c>
      <c r="FC37" s="4">
        <v>4.8199999999999999E-5</v>
      </c>
      <c r="FD37" s="4">
        <v>4.6400000000000003E-5</v>
      </c>
      <c r="FE37" s="4">
        <v>4.4700000000000002E-5</v>
      </c>
      <c r="FF37" s="4">
        <v>4.3099999999999997E-5</v>
      </c>
      <c r="FG37" s="4">
        <v>4.1600000000000002E-5</v>
      </c>
      <c r="FH37" s="4">
        <v>4.0200000000000001E-5</v>
      </c>
      <c r="FI37" s="4">
        <v>3.8899999999999997E-5</v>
      </c>
      <c r="FJ37" s="4">
        <v>3.7599999999999999E-5</v>
      </c>
      <c r="FK37" s="4">
        <v>3.65E-5</v>
      </c>
      <c r="FL37" s="4">
        <v>3.5299999999999997E-5</v>
      </c>
      <c r="FM37" s="4">
        <v>3.43E-5</v>
      </c>
      <c r="FN37" s="4">
        <v>3.3300000000000003E-5</v>
      </c>
      <c r="FO37" s="4">
        <v>3.2400000000000001E-5</v>
      </c>
      <c r="FP37" s="4">
        <v>3.15E-5</v>
      </c>
      <c r="FQ37" s="4">
        <v>3.0700000000000001E-5</v>
      </c>
      <c r="FR37" s="4">
        <v>2.9899999999999998E-5</v>
      </c>
      <c r="FS37" s="4">
        <v>2.9200000000000002E-5</v>
      </c>
      <c r="FT37" s="4">
        <v>2.8500000000000002E-5</v>
      </c>
      <c r="FU37" s="4">
        <v>2.7800000000000001E-5</v>
      </c>
      <c r="FV37" s="4">
        <v>2.72E-5</v>
      </c>
      <c r="FW37" s="4">
        <v>2.6599999999999999E-5</v>
      </c>
      <c r="FX37" s="4">
        <v>2.6100000000000001E-5</v>
      </c>
      <c r="FY37" s="4">
        <v>2.5599999999999999E-5</v>
      </c>
      <c r="FZ37" s="4">
        <v>2.51E-5</v>
      </c>
      <c r="GA37" s="4">
        <v>2.4600000000000002E-5</v>
      </c>
      <c r="GB37" s="4">
        <v>2.41E-5</v>
      </c>
      <c r="GC37" s="4">
        <v>2.37E-5</v>
      </c>
      <c r="GD37" s="4">
        <v>2.3300000000000001E-5</v>
      </c>
      <c r="GE37" s="4">
        <v>2.2900000000000001E-5</v>
      </c>
      <c r="GF37" s="4">
        <v>2.2500000000000001E-5</v>
      </c>
      <c r="GG37" s="4">
        <v>2.2099999999999998E-5</v>
      </c>
      <c r="GH37" s="4">
        <v>2.1699999999999999E-5</v>
      </c>
      <c r="GI37" s="4">
        <v>2.1399999999999998E-5</v>
      </c>
      <c r="GJ37" s="4">
        <v>2.1100000000000001E-5</v>
      </c>
      <c r="GK37" s="4">
        <v>2.0699999999999998E-5</v>
      </c>
      <c r="GL37" s="4">
        <v>2.0400000000000001E-5</v>
      </c>
      <c r="GM37" s="4">
        <v>2.0100000000000001E-5</v>
      </c>
      <c r="GN37" s="4">
        <v>1.98E-5</v>
      </c>
      <c r="GO37" s="4">
        <v>1.95E-5</v>
      </c>
      <c r="GP37" s="4">
        <v>1.9300000000000002E-5</v>
      </c>
      <c r="GQ37" s="4">
        <v>1.9000000000000001E-5</v>
      </c>
      <c r="GR37" s="4">
        <v>1.8700000000000001E-5</v>
      </c>
      <c r="GS37" s="4">
        <v>1.84E-5</v>
      </c>
      <c r="GT37" s="4">
        <v>1.8199999999999999E-5</v>
      </c>
      <c r="GU37" s="4">
        <v>1.7900000000000001E-5</v>
      </c>
      <c r="GV37" s="4">
        <v>1.77E-5</v>
      </c>
      <c r="GW37" s="4">
        <v>1.7399999999999999E-5</v>
      </c>
      <c r="GX37" s="4">
        <v>1.7200000000000001E-5</v>
      </c>
      <c r="GY37" s="4">
        <v>1.7E-5</v>
      </c>
      <c r="GZ37" s="4">
        <v>1.6699999999999999E-5</v>
      </c>
      <c r="HA37" s="4">
        <v>1.6500000000000001E-5</v>
      </c>
      <c r="HB37" s="4">
        <v>1.63E-5</v>
      </c>
      <c r="HC37" s="4">
        <v>1.6099999999999998E-5</v>
      </c>
      <c r="HD37" s="4">
        <v>1.59E-5</v>
      </c>
      <c r="HE37" s="4">
        <v>1.56E-5</v>
      </c>
      <c r="HF37" s="4">
        <v>1.5400000000000002E-5</v>
      </c>
      <c r="HG37" s="4">
        <v>1.52E-5</v>
      </c>
      <c r="HH37" s="4">
        <v>1.5E-5</v>
      </c>
      <c r="HI37" s="4">
        <v>1.4800000000000001E-5</v>
      </c>
      <c r="HJ37" s="4">
        <v>1.4600000000000001E-5</v>
      </c>
      <c r="HK37" s="4">
        <v>1.4399999999999999E-5</v>
      </c>
      <c r="HL37" s="4">
        <v>1.42E-5</v>
      </c>
      <c r="HM37" s="4">
        <v>1.4E-5</v>
      </c>
      <c r="HN37" s="4">
        <v>1.38E-5</v>
      </c>
      <c r="HO37" s="4">
        <v>1.3699999999999999E-5</v>
      </c>
      <c r="HP37" s="4">
        <v>1.3499999999999999E-5</v>
      </c>
      <c r="HQ37" s="4">
        <v>1.33E-5</v>
      </c>
      <c r="HR37" s="4">
        <v>1.31E-5</v>
      </c>
      <c r="HS37" s="4">
        <v>1.29E-5</v>
      </c>
      <c r="HT37" s="4">
        <v>1.2799999999999999E-5</v>
      </c>
      <c r="HU37" s="4">
        <v>1.26E-5</v>
      </c>
      <c r="HV37" s="4">
        <v>1.24E-5</v>
      </c>
      <c r="HW37" s="4">
        <v>1.22E-5</v>
      </c>
      <c r="HX37" s="4">
        <v>1.2099999999999999E-5</v>
      </c>
      <c r="HY37" s="4">
        <v>1.19E-5</v>
      </c>
      <c r="HZ37" s="4">
        <v>1.17E-5</v>
      </c>
      <c r="IA37" s="4">
        <v>1.1600000000000001E-5</v>
      </c>
      <c r="IB37" s="4">
        <v>1.1399999999999999E-5</v>
      </c>
      <c r="IC37" s="4">
        <v>1.13E-5</v>
      </c>
      <c r="ID37" s="4">
        <v>1.11E-5</v>
      </c>
      <c r="IE37" s="4">
        <v>1.1E-5</v>
      </c>
      <c r="IF37" s="4">
        <v>1.08E-5</v>
      </c>
      <c r="IG37" s="4">
        <v>7.5460000000000002E-4</v>
      </c>
      <c r="IH37" s="4"/>
      <c r="II37" s="4">
        <f t="shared" si="245"/>
        <v>0.11710828809757576</v>
      </c>
      <c r="IJ37">
        <f t="shared" si="246"/>
        <v>0.35953304999999985</v>
      </c>
      <c r="IN37" s="4"/>
      <c r="IO37" s="4"/>
      <c r="IP37" s="4"/>
      <c r="IQ37" s="4"/>
      <c r="IR37" s="4"/>
      <c r="IS37" s="4"/>
      <c r="IT37" s="4"/>
      <c r="IU37" s="4"/>
      <c r="IV37" s="4"/>
    </row>
    <row r="38" spans="1:256" x14ac:dyDescent="0.35">
      <c r="A38" s="1">
        <v>30</v>
      </c>
      <c r="B38" s="4">
        <v>1.0734799999999999E-2</v>
      </c>
      <c r="C38" s="4">
        <v>1.0734799999999999E-2</v>
      </c>
      <c r="D38" s="4">
        <v>1.0684600000000001E-2</v>
      </c>
      <c r="E38" s="4">
        <v>1.0511700000000001E-2</v>
      </c>
      <c r="F38" s="4">
        <v>9.8204E-3</v>
      </c>
      <c r="G38" s="4">
        <v>9.2063000000000006E-3</v>
      </c>
      <c r="H38" s="4">
        <v>8.8459000000000003E-3</v>
      </c>
      <c r="I38" s="4">
        <v>8.2231000000000005E-3</v>
      </c>
      <c r="J38" s="4">
        <v>7.6760999999999999E-3</v>
      </c>
      <c r="K38" s="4">
        <v>7.1777999999999998E-3</v>
      </c>
      <c r="L38" s="4">
        <v>6.7380000000000001E-3</v>
      </c>
      <c r="M38" s="4">
        <v>6.3482E-3</v>
      </c>
      <c r="N38" s="4">
        <v>6.0006E-3</v>
      </c>
      <c r="O38" s="4">
        <v>5.6906999999999999E-3</v>
      </c>
      <c r="P38" s="4">
        <v>5.4140000000000004E-3</v>
      </c>
      <c r="Q38" s="4">
        <v>5.1634000000000003E-3</v>
      </c>
      <c r="R38" s="4">
        <v>4.9437999999999999E-3</v>
      </c>
      <c r="S38" s="4">
        <v>4.7426999999999999E-3</v>
      </c>
      <c r="T38" s="4">
        <v>4.5595999999999996E-3</v>
      </c>
      <c r="U38" s="4">
        <v>4.3928999999999999E-3</v>
      </c>
      <c r="V38" s="4">
        <v>4.2399999999999998E-3</v>
      </c>
      <c r="W38" s="4">
        <v>4.0990999999999996E-3</v>
      </c>
      <c r="X38" s="4">
        <v>3.9683000000000001E-3</v>
      </c>
      <c r="Y38" s="4">
        <v>3.8452999999999998E-3</v>
      </c>
      <c r="Z38" s="4">
        <v>3.7269E-3</v>
      </c>
      <c r="AA38" s="4">
        <v>3.6053999999999999E-3</v>
      </c>
      <c r="AB38" s="4">
        <v>3.4724000000000001E-3</v>
      </c>
      <c r="AC38" s="4">
        <v>3.2288999999999998E-3</v>
      </c>
      <c r="AD38" s="4">
        <v>2.9155000000000001E-3</v>
      </c>
      <c r="AE38" s="4">
        <v>2.3936000000000001E-3</v>
      </c>
      <c r="AF38" s="4">
        <v>2.6112000000000002E-3</v>
      </c>
      <c r="AG38" s="4">
        <v>2.5626999999999998E-3</v>
      </c>
      <c r="AH38" s="4">
        <v>2.5271E-3</v>
      </c>
      <c r="AI38" s="4">
        <v>2.4924000000000001E-3</v>
      </c>
      <c r="AJ38" s="4">
        <v>2.4604000000000002E-3</v>
      </c>
      <c r="AK38" s="4">
        <v>2.4282000000000001E-3</v>
      </c>
      <c r="AL38" s="4">
        <v>2.3961E-3</v>
      </c>
      <c r="AM38" s="4">
        <v>2.3636E-3</v>
      </c>
      <c r="AN38" s="4">
        <v>2.3311999999999999E-3</v>
      </c>
      <c r="AO38" s="4">
        <v>2.2988000000000001E-3</v>
      </c>
      <c r="AP38" s="4">
        <v>2.2667E-3</v>
      </c>
      <c r="AQ38" s="4">
        <v>2.2347999999999999E-3</v>
      </c>
      <c r="AR38" s="4">
        <v>2.2033000000000001E-3</v>
      </c>
      <c r="AS38" s="4">
        <v>2.1721000000000002E-3</v>
      </c>
      <c r="AT38" s="4">
        <v>2.1413999999999999E-3</v>
      </c>
      <c r="AU38" s="4">
        <v>2.1110999999999999E-3</v>
      </c>
      <c r="AV38" s="4">
        <v>2.0812999999999999E-3</v>
      </c>
      <c r="AW38" s="4">
        <v>2.0519000000000002E-3</v>
      </c>
      <c r="AX38" s="4">
        <v>2.0230000000000001E-3</v>
      </c>
      <c r="AY38" s="4">
        <v>1.9946E-3</v>
      </c>
      <c r="AZ38" s="4">
        <v>1.9667E-3</v>
      </c>
      <c r="BA38" s="4">
        <v>1.9392000000000001E-3</v>
      </c>
      <c r="BB38" s="4">
        <v>1.9122E-3</v>
      </c>
      <c r="BC38" s="4">
        <v>1.8856999999999999E-3</v>
      </c>
      <c r="BD38" s="4">
        <v>1.8596000000000001E-3</v>
      </c>
      <c r="BE38" s="4">
        <v>1.8339000000000001E-3</v>
      </c>
      <c r="BF38" s="4">
        <v>1.8086000000000001E-3</v>
      </c>
      <c r="BG38" s="4">
        <v>1.7838000000000001E-3</v>
      </c>
      <c r="BH38" s="4">
        <v>1.7593000000000001E-3</v>
      </c>
      <c r="BI38" s="4">
        <v>1.7351999999999999E-3</v>
      </c>
      <c r="BJ38" s="4">
        <v>1.7114999999999999E-3</v>
      </c>
      <c r="BK38" s="4">
        <v>1.6881999999999999E-3</v>
      </c>
      <c r="BL38" s="4">
        <v>1.6651999999999999E-3</v>
      </c>
      <c r="BM38" s="4">
        <v>1.6425000000000001E-3</v>
      </c>
      <c r="BN38" s="4">
        <v>1.6201E-3</v>
      </c>
      <c r="BO38" s="4">
        <v>1.5981000000000001E-3</v>
      </c>
      <c r="BP38" s="4">
        <v>1.5763999999999999E-3</v>
      </c>
      <c r="BQ38" s="4">
        <v>1.555E-3</v>
      </c>
      <c r="BR38" s="4">
        <v>1.5338999999999999E-3</v>
      </c>
      <c r="BS38" s="4">
        <v>1.513E-3</v>
      </c>
      <c r="BT38" s="4">
        <v>1.4924999999999999E-3</v>
      </c>
      <c r="BU38" s="4">
        <v>1.4721999999999999E-3</v>
      </c>
      <c r="BV38" s="4">
        <v>1.4522000000000001E-3</v>
      </c>
      <c r="BW38" s="4">
        <v>1.4325E-3</v>
      </c>
      <c r="BX38" s="4">
        <v>1.413E-3</v>
      </c>
      <c r="BY38" s="4">
        <v>1.3937999999999999E-3</v>
      </c>
      <c r="BZ38" s="4">
        <v>1.3748E-3</v>
      </c>
      <c r="CA38" s="4">
        <v>1.356E-3</v>
      </c>
      <c r="CB38" s="4">
        <v>1.3376E-3</v>
      </c>
      <c r="CC38" s="4">
        <v>1.3193E-3</v>
      </c>
      <c r="CD38" s="4">
        <v>1.3013E-3</v>
      </c>
      <c r="CE38" s="4">
        <v>1.2834999999999999E-3</v>
      </c>
      <c r="CF38" s="4">
        <v>1.2658999999999999E-3</v>
      </c>
      <c r="CG38" s="4">
        <v>1.2486000000000001E-3</v>
      </c>
      <c r="CH38" s="4">
        <v>1.2315E-3</v>
      </c>
      <c r="CI38" s="4">
        <v>1.2145999999999999E-3</v>
      </c>
      <c r="CJ38" s="4">
        <v>1.1979E-3</v>
      </c>
      <c r="CK38" s="4">
        <v>1.1815E-3</v>
      </c>
      <c r="CL38" s="4">
        <v>1.1651999999999999E-3</v>
      </c>
      <c r="CM38" s="4">
        <v>1.1492E-3</v>
      </c>
      <c r="CN38" s="4">
        <v>1.1333000000000001E-3</v>
      </c>
      <c r="CO38" s="4">
        <v>1.1176999999999999E-3</v>
      </c>
      <c r="CP38" s="4">
        <v>1.1022E-3</v>
      </c>
      <c r="CQ38" s="4">
        <v>1.0870000000000001E-3</v>
      </c>
      <c r="CR38" s="4">
        <v>1.072E-3</v>
      </c>
      <c r="CS38" s="4">
        <v>1.0571000000000001E-3</v>
      </c>
      <c r="CT38" s="4">
        <v>1.0425E-3</v>
      </c>
      <c r="CU38" s="4">
        <v>1.0280000000000001E-3</v>
      </c>
      <c r="CV38" s="4">
        <v>1.0137E-3</v>
      </c>
      <c r="CW38" s="4">
        <v>9.9960000000000001E-4</v>
      </c>
      <c r="CX38" s="4">
        <v>9.8569999999999994E-4</v>
      </c>
      <c r="CY38" s="4">
        <v>9.7199999999999999E-4</v>
      </c>
      <c r="CZ38" s="4">
        <v>9.5850000000000004E-4</v>
      </c>
      <c r="DA38" s="4">
        <v>9.4510000000000004E-4</v>
      </c>
      <c r="DB38" s="4">
        <v>9.3190000000000005E-4</v>
      </c>
      <c r="DC38" s="4">
        <v>9.1889999999999995E-4</v>
      </c>
      <c r="DD38" s="4">
        <v>9.0600000000000001E-4</v>
      </c>
      <c r="DE38" s="4">
        <v>8.9340000000000003E-4</v>
      </c>
      <c r="DF38" s="4">
        <v>8.809E-4</v>
      </c>
      <c r="DG38" s="4">
        <v>8.6850000000000002E-4</v>
      </c>
      <c r="DH38" s="4">
        <v>8.564E-4</v>
      </c>
      <c r="DI38" s="4">
        <v>8.4440000000000003E-4</v>
      </c>
      <c r="DJ38" s="4">
        <v>8.3250000000000002E-4</v>
      </c>
      <c r="DK38" s="4">
        <v>8.208E-4</v>
      </c>
      <c r="DL38" s="4">
        <v>8.0929999999999999E-4</v>
      </c>
      <c r="DM38" s="4">
        <v>7.9790000000000004E-4</v>
      </c>
      <c r="DN38" s="4">
        <v>7.8669999999999999E-4</v>
      </c>
      <c r="DO38" s="4">
        <v>7.7559999999999999E-4</v>
      </c>
      <c r="DP38" s="4">
        <v>7.6469999999999999E-4</v>
      </c>
      <c r="DQ38" s="4">
        <v>5.3150999999999997E-2</v>
      </c>
      <c r="DR38" s="4">
        <v>0</v>
      </c>
      <c r="DS38" s="4">
        <v>5.02E-5</v>
      </c>
      <c r="DT38" s="4">
        <v>1.729E-4</v>
      </c>
      <c r="DU38" s="4">
        <v>6.9149999999999995E-4</v>
      </c>
      <c r="DV38" s="4">
        <v>6.1629999999999996E-4</v>
      </c>
      <c r="DW38" s="4">
        <v>5.7640000000000002E-4</v>
      </c>
      <c r="DX38" s="4">
        <v>6.2449999999999995E-4</v>
      </c>
      <c r="DY38" s="4">
        <v>5.4949999999999997E-4</v>
      </c>
      <c r="DZ38" s="4">
        <v>5.0100000000000003E-4</v>
      </c>
      <c r="EA38" s="4">
        <v>4.4299999999999998E-4</v>
      </c>
      <c r="EB38" s="4">
        <v>3.9510000000000001E-4</v>
      </c>
      <c r="EC38" s="4">
        <v>3.5179999999999999E-4</v>
      </c>
      <c r="ED38" s="4">
        <v>3.146E-4</v>
      </c>
      <c r="EE38" s="4">
        <v>2.8219999999999997E-4</v>
      </c>
      <c r="EF38" s="4">
        <v>2.542E-4</v>
      </c>
      <c r="EG38" s="4">
        <v>2.297E-4</v>
      </c>
      <c r="EH38" s="4">
        <v>2.0890000000000001E-4</v>
      </c>
      <c r="EI38" s="4">
        <v>1.905E-4</v>
      </c>
      <c r="EJ38" s="4">
        <v>1.7440000000000001E-4</v>
      </c>
      <c r="EK38" s="4">
        <v>1.6019999999999999E-4</v>
      </c>
      <c r="EL38" s="4">
        <v>1.4760000000000001E-4</v>
      </c>
      <c r="EM38" s="4">
        <v>1.3640000000000001E-4</v>
      </c>
      <c r="EN38" s="4">
        <v>1.2650000000000001E-4</v>
      </c>
      <c r="EO38" s="4">
        <v>1.176E-4</v>
      </c>
      <c r="EP38" s="4">
        <v>1.0959999999999999E-4</v>
      </c>
      <c r="EQ38" s="4">
        <v>1.021E-4</v>
      </c>
      <c r="ER38" s="4">
        <v>9.5000000000000005E-5</v>
      </c>
      <c r="ES38" s="4">
        <v>8.5199999999999997E-5</v>
      </c>
      <c r="ET38" s="4">
        <v>7.4499999999999995E-5</v>
      </c>
      <c r="EU38" s="4">
        <v>5.94E-5</v>
      </c>
      <c r="EV38" s="4">
        <v>6.41E-5</v>
      </c>
      <c r="EW38" s="4">
        <v>6.0999999999999999E-5</v>
      </c>
      <c r="EX38" s="4">
        <v>5.8400000000000003E-5</v>
      </c>
      <c r="EY38" s="4">
        <v>5.5999999999999999E-5</v>
      </c>
      <c r="EZ38" s="4">
        <v>5.38E-5</v>
      </c>
      <c r="FA38" s="4">
        <v>5.1700000000000003E-5</v>
      </c>
      <c r="FB38" s="4">
        <v>4.9799999999999998E-5</v>
      </c>
      <c r="FC38" s="4">
        <v>4.7899999999999999E-5</v>
      </c>
      <c r="FD38" s="4">
        <v>4.6199999999999998E-5</v>
      </c>
      <c r="FE38" s="4">
        <v>4.4499999999999997E-5</v>
      </c>
      <c r="FF38" s="4">
        <v>4.3000000000000002E-5</v>
      </c>
      <c r="FG38" s="4">
        <v>4.1499999999999999E-5</v>
      </c>
      <c r="FH38" s="4">
        <v>4.0099999999999999E-5</v>
      </c>
      <c r="FI38" s="4">
        <v>3.8800000000000001E-5</v>
      </c>
      <c r="FJ38" s="4">
        <v>3.7499999999999997E-5</v>
      </c>
      <c r="FK38" s="4">
        <v>3.6399999999999997E-5</v>
      </c>
      <c r="FL38" s="4">
        <v>3.5299999999999997E-5</v>
      </c>
      <c r="FM38" s="4">
        <v>3.4199999999999998E-5</v>
      </c>
      <c r="FN38" s="4">
        <v>3.3200000000000001E-5</v>
      </c>
      <c r="FO38" s="4">
        <v>3.2299999999999999E-5</v>
      </c>
      <c r="FP38" s="4">
        <v>3.15E-5</v>
      </c>
      <c r="FQ38" s="4">
        <v>3.0599999999999998E-5</v>
      </c>
      <c r="FR38" s="4">
        <v>2.9899999999999998E-5</v>
      </c>
      <c r="FS38" s="4">
        <v>2.9099999999999999E-5</v>
      </c>
      <c r="FT38" s="4">
        <v>2.8500000000000002E-5</v>
      </c>
      <c r="FU38" s="4">
        <v>2.7800000000000001E-5</v>
      </c>
      <c r="FV38" s="4">
        <v>2.72E-5</v>
      </c>
      <c r="FW38" s="4">
        <v>2.6599999999999999E-5</v>
      </c>
      <c r="FX38" s="4">
        <v>2.6100000000000001E-5</v>
      </c>
      <c r="FY38" s="4">
        <v>2.55E-5</v>
      </c>
      <c r="FZ38" s="4">
        <v>2.5000000000000001E-5</v>
      </c>
      <c r="GA38" s="4">
        <v>2.4600000000000002E-5</v>
      </c>
      <c r="GB38" s="4">
        <v>2.41E-5</v>
      </c>
      <c r="GC38" s="4">
        <v>2.37E-5</v>
      </c>
      <c r="GD38" s="4">
        <v>2.3200000000000001E-5</v>
      </c>
      <c r="GE38" s="4">
        <v>2.2799999999999999E-5</v>
      </c>
      <c r="GF38" s="4">
        <v>2.2500000000000001E-5</v>
      </c>
      <c r="GG38" s="4">
        <v>2.2099999999999998E-5</v>
      </c>
      <c r="GH38" s="4">
        <v>2.1699999999999999E-5</v>
      </c>
      <c r="GI38" s="4">
        <v>2.1399999999999998E-5</v>
      </c>
      <c r="GJ38" s="4">
        <v>2.1100000000000001E-5</v>
      </c>
      <c r="GK38" s="4">
        <v>2.0699999999999998E-5</v>
      </c>
      <c r="GL38" s="4">
        <v>2.0400000000000001E-5</v>
      </c>
      <c r="GM38" s="4">
        <v>2.0100000000000001E-5</v>
      </c>
      <c r="GN38" s="4">
        <v>1.98E-5</v>
      </c>
      <c r="GO38" s="4">
        <v>1.95E-5</v>
      </c>
      <c r="GP38" s="4">
        <v>1.9199999999999999E-5</v>
      </c>
      <c r="GQ38" s="4">
        <v>1.9000000000000001E-5</v>
      </c>
      <c r="GR38" s="4">
        <v>1.8700000000000001E-5</v>
      </c>
      <c r="GS38" s="4">
        <v>1.84E-5</v>
      </c>
      <c r="GT38" s="4">
        <v>1.8199999999999999E-5</v>
      </c>
      <c r="GU38" s="4">
        <v>1.7900000000000001E-5</v>
      </c>
      <c r="GV38" s="4">
        <v>1.77E-5</v>
      </c>
      <c r="GW38" s="4">
        <v>1.7399999999999999E-5</v>
      </c>
      <c r="GX38" s="4">
        <v>1.7200000000000001E-5</v>
      </c>
      <c r="GY38" s="4">
        <v>1.7E-5</v>
      </c>
      <c r="GZ38" s="4">
        <v>1.6699999999999999E-5</v>
      </c>
      <c r="HA38" s="4">
        <v>1.6500000000000001E-5</v>
      </c>
      <c r="HB38" s="4">
        <v>1.63E-5</v>
      </c>
      <c r="HC38" s="4">
        <v>1.6099999999999998E-5</v>
      </c>
      <c r="HD38" s="4">
        <v>1.59E-5</v>
      </c>
      <c r="HE38" s="4">
        <v>1.56E-5</v>
      </c>
      <c r="HF38" s="4">
        <v>1.5400000000000002E-5</v>
      </c>
      <c r="HG38" s="4">
        <v>1.52E-5</v>
      </c>
      <c r="HH38" s="4">
        <v>1.5E-5</v>
      </c>
      <c r="HI38" s="4">
        <v>1.4800000000000001E-5</v>
      </c>
      <c r="HJ38" s="4">
        <v>1.4600000000000001E-5</v>
      </c>
      <c r="HK38" s="4">
        <v>1.4399999999999999E-5</v>
      </c>
      <c r="HL38" s="4">
        <v>1.42E-5</v>
      </c>
      <c r="HM38" s="4">
        <v>1.4E-5</v>
      </c>
      <c r="HN38" s="4">
        <v>1.38E-5</v>
      </c>
      <c r="HO38" s="4">
        <v>1.3699999999999999E-5</v>
      </c>
      <c r="HP38" s="4">
        <v>1.3499999999999999E-5</v>
      </c>
      <c r="HQ38" s="4">
        <v>1.33E-5</v>
      </c>
      <c r="HR38" s="4">
        <v>1.31E-5</v>
      </c>
      <c r="HS38" s="4">
        <v>1.29E-5</v>
      </c>
      <c r="HT38" s="4">
        <v>1.2799999999999999E-5</v>
      </c>
      <c r="HU38" s="4">
        <v>1.26E-5</v>
      </c>
      <c r="HV38" s="4">
        <v>1.24E-5</v>
      </c>
      <c r="HW38" s="4">
        <v>1.22E-5</v>
      </c>
      <c r="HX38" s="4">
        <v>1.2099999999999999E-5</v>
      </c>
      <c r="HY38" s="4">
        <v>1.19E-5</v>
      </c>
      <c r="HZ38" s="4">
        <v>1.17E-5</v>
      </c>
      <c r="IA38" s="4">
        <v>1.1600000000000001E-5</v>
      </c>
      <c r="IB38" s="4">
        <v>1.1399999999999999E-5</v>
      </c>
      <c r="IC38" s="4">
        <v>1.13E-5</v>
      </c>
      <c r="ID38" s="4">
        <v>1.11E-5</v>
      </c>
      <c r="IE38" s="4">
        <v>1.1E-5</v>
      </c>
      <c r="IF38" s="4">
        <v>1.08E-5</v>
      </c>
      <c r="IG38" s="4">
        <v>7.5460000000000002E-4</v>
      </c>
      <c r="IH38" s="4"/>
      <c r="II38" s="4">
        <f t="shared" si="245"/>
        <v>0.11682939908791258</v>
      </c>
      <c r="IJ38">
        <f t="shared" si="246"/>
        <v>0.35952679999999954</v>
      </c>
      <c r="IN38" s="4"/>
      <c r="IO38" s="4"/>
      <c r="IP38" s="4"/>
      <c r="IQ38" s="4"/>
      <c r="IR38" s="4"/>
      <c r="IS38" s="4"/>
      <c r="IT38" s="4"/>
      <c r="IU38" s="4"/>
      <c r="IV38" s="4"/>
    </row>
    <row r="39" spans="1:256" x14ac:dyDescent="0.35">
      <c r="A39" s="1">
        <v>31</v>
      </c>
      <c r="B39" s="4">
        <v>1.0734799999999999E-2</v>
      </c>
      <c r="C39" s="4">
        <v>1.0734799999999999E-2</v>
      </c>
      <c r="D39" s="4">
        <v>1.0684600000000001E-2</v>
      </c>
      <c r="E39" s="4">
        <v>1.0511700000000001E-2</v>
      </c>
      <c r="F39" s="4">
        <v>9.8201999999999994E-3</v>
      </c>
      <c r="G39" s="4">
        <v>9.2040000000000004E-3</v>
      </c>
      <c r="H39" s="4">
        <v>8.6300000000000005E-3</v>
      </c>
      <c r="I39" s="4">
        <v>8.2214999999999996E-3</v>
      </c>
      <c r="J39" s="4">
        <v>7.6734999999999998E-3</v>
      </c>
      <c r="K39" s="4">
        <v>7.175E-3</v>
      </c>
      <c r="L39" s="4">
        <v>6.7348E-3</v>
      </c>
      <c r="M39" s="4">
        <v>6.3429000000000003E-3</v>
      </c>
      <c r="N39" s="4">
        <v>5.9963999999999998E-3</v>
      </c>
      <c r="O39" s="4">
        <v>5.6860000000000001E-3</v>
      </c>
      <c r="P39" s="4">
        <v>5.4085000000000001E-3</v>
      </c>
      <c r="Q39" s="4">
        <v>5.1598E-3</v>
      </c>
      <c r="R39" s="4">
        <v>4.9337000000000001E-3</v>
      </c>
      <c r="S39" s="4">
        <v>4.7349000000000002E-3</v>
      </c>
      <c r="T39" s="4">
        <v>4.5522000000000002E-3</v>
      </c>
      <c r="U39" s="4">
        <v>4.3851999999999997E-3</v>
      </c>
      <c r="V39" s="4">
        <v>4.2328000000000001E-3</v>
      </c>
      <c r="W39" s="4">
        <v>4.0924000000000004E-3</v>
      </c>
      <c r="X39" s="4">
        <v>3.9626000000000001E-3</v>
      </c>
      <c r="Y39" s="4">
        <v>3.8417999999999998E-3</v>
      </c>
      <c r="Z39" s="4">
        <v>3.7277999999999999E-3</v>
      </c>
      <c r="AA39" s="4">
        <v>3.6174000000000002E-3</v>
      </c>
      <c r="AB39" s="4">
        <v>3.5033E-3</v>
      </c>
      <c r="AC39" s="4">
        <v>3.3774999999999999E-3</v>
      </c>
      <c r="AD39" s="4">
        <v>3.1438E-3</v>
      </c>
      <c r="AE39" s="4">
        <v>2.8410000000000002E-3</v>
      </c>
      <c r="AF39" s="4">
        <v>2.3341999999999998E-3</v>
      </c>
      <c r="AG39" s="4">
        <v>2.5471000000000001E-3</v>
      </c>
      <c r="AH39" s="4">
        <v>2.5016999999999999E-3</v>
      </c>
      <c r="AI39" s="4">
        <v>2.4686999999999999E-3</v>
      </c>
      <c r="AJ39" s="4">
        <v>2.4364E-3</v>
      </c>
      <c r="AK39" s="4">
        <v>2.4066000000000001E-3</v>
      </c>
      <c r="AL39" s="4">
        <v>2.3765000000000001E-3</v>
      </c>
      <c r="AM39" s="4">
        <v>2.3462999999999999E-3</v>
      </c>
      <c r="AN39" s="4">
        <v>2.3157E-3</v>
      </c>
      <c r="AO39" s="4">
        <v>2.2850000000000001E-3</v>
      </c>
      <c r="AP39" s="4">
        <v>2.2542999999999999E-3</v>
      </c>
      <c r="AQ39" s="4">
        <v>2.2236999999999999E-3</v>
      </c>
      <c r="AR39" s="4">
        <v>2.1933E-3</v>
      </c>
      <c r="AS39" s="4">
        <v>2.1632000000000001E-3</v>
      </c>
      <c r="AT39" s="4">
        <v>2.1332999999999999E-3</v>
      </c>
      <c r="AU39" s="4">
        <v>2.1039000000000001E-3</v>
      </c>
      <c r="AV39" s="4">
        <v>2.0747000000000001E-3</v>
      </c>
      <c r="AW39" s="4">
        <v>2.0460000000000001E-3</v>
      </c>
      <c r="AX39" s="4">
        <v>2.0176999999999999E-3</v>
      </c>
      <c r="AY39" s="4">
        <v>1.9897999999999999E-3</v>
      </c>
      <c r="AZ39" s="4">
        <v>1.9623000000000002E-3</v>
      </c>
      <c r="BA39" s="4">
        <v>1.9352E-3</v>
      </c>
      <c r="BB39" s="4">
        <v>1.9086000000000001E-3</v>
      </c>
      <c r="BC39" s="4">
        <v>1.8824E-3</v>
      </c>
      <c r="BD39" s="4">
        <v>1.8565000000000001E-3</v>
      </c>
      <c r="BE39" s="4">
        <v>1.8311E-3</v>
      </c>
      <c r="BF39" s="4">
        <v>1.8060999999999999E-3</v>
      </c>
      <c r="BG39" s="4">
        <v>1.7814E-3</v>
      </c>
      <c r="BH39" s="4">
        <v>1.7572E-3</v>
      </c>
      <c r="BI39" s="4">
        <v>1.7332999999999999E-3</v>
      </c>
      <c r="BJ39" s="4">
        <v>1.7097E-3</v>
      </c>
      <c r="BK39" s="4">
        <v>1.6865000000000001E-3</v>
      </c>
      <c r="BL39" s="4">
        <v>1.6636000000000001E-3</v>
      </c>
      <c r="BM39" s="4">
        <v>1.6410999999999999E-3</v>
      </c>
      <c r="BN39" s="4">
        <v>1.6188000000000001E-3</v>
      </c>
      <c r="BO39" s="4">
        <v>1.5969000000000001E-3</v>
      </c>
      <c r="BP39" s="4">
        <v>1.5753E-3</v>
      </c>
      <c r="BQ39" s="4">
        <v>1.5539E-3</v>
      </c>
      <c r="BR39" s="4">
        <v>1.5329E-3</v>
      </c>
      <c r="BS39" s="4">
        <v>1.5120999999999999E-3</v>
      </c>
      <c r="BT39" s="4">
        <v>1.4917000000000001E-3</v>
      </c>
      <c r="BU39" s="4">
        <v>1.4714000000000001E-3</v>
      </c>
      <c r="BV39" s="4">
        <v>1.4515000000000001E-3</v>
      </c>
      <c r="BW39" s="4">
        <v>1.4318E-3</v>
      </c>
      <c r="BX39" s="4">
        <v>1.4124000000000001E-3</v>
      </c>
      <c r="BY39" s="4">
        <v>1.3932E-3</v>
      </c>
      <c r="BZ39" s="4">
        <v>1.3741999999999999E-3</v>
      </c>
      <c r="CA39" s="4">
        <v>1.3554999999999999E-3</v>
      </c>
      <c r="CB39" s="4">
        <v>1.3370999999999999E-3</v>
      </c>
      <c r="CC39" s="4">
        <v>1.3189E-3</v>
      </c>
      <c r="CD39" s="4">
        <v>1.3009E-3</v>
      </c>
      <c r="CE39" s="4">
        <v>1.2830999999999999E-3</v>
      </c>
      <c r="CF39" s="4">
        <v>1.2656E-3</v>
      </c>
      <c r="CG39" s="4">
        <v>1.2482999999999999E-3</v>
      </c>
      <c r="CH39" s="4">
        <v>1.2312E-3</v>
      </c>
      <c r="CI39" s="4">
        <v>1.2143E-3</v>
      </c>
      <c r="CJ39" s="4">
        <v>1.1976000000000001E-3</v>
      </c>
      <c r="CK39" s="4">
        <v>1.1812000000000001E-3</v>
      </c>
      <c r="CL39" s="4">
        <v>1.1649E-3</v>
      </c>
      <c r="CM39" s="4">
        <v>1.1489E-3</v>
      </c>
      <c r="CN39" s="4">
        <v>1.1330999999999999E-3</v>
      </c>
      <c r="CO39" s="4">
        <v>1.1175E-3</v>
      </c>
      <c r="CP39" s="4">
        <v>1.1019999999999999E-3</v>
      </c>
      <c r="CQ39" s="4">
        <v>1.0868E-3</v>
      </c>
      <c r="CR39" s="4">
        <v>1.0717999999999999E-3</v>
      </c>
      <c r="CS39" s="4">
        <v>1.0568999999999999E-3</v>
      </c>
      <c r="CT39" s="4">
        <v>1.0422999999999999E-3</v>
      </c>
      <c r="CU39" s="4">
        <v>1.0277999999999999E-3</v>
      </c>
      <c r="CV39" s="4">
        <v>1.0135999999999999E-3</v>
      </c>
      <c r="CW39" s="4">
        <v>9.9949999999999995E-4</v>
      </c>
      <c r="CX39" s="4">
        <v>9.856000000000001E-4</v>
      </c>
      <c r="CY39" s="4">
        <v>9.7190000000000004E-4</v>
      </c>
      <c r="CZ39" s="4">
        <v>9.5830000000000004E-4</v>
      </c>
      <c r="DA39" s="4">
        <v>9.4499999999999998E-4</v>
      </c>
      <c r="DB39" s="4">
        <v>9.3179999999999999E-4</v>
      </c>
      <c r="DC39" s="4">
        <v>9.188E-4</v>
      </c>
      <c r="DD39" s="4">
        <v>9.0600000000000001E-4</v>
      </c>
      <c r="DE39" s="4">
        <v>8.9329999999999998E-4</v>
      </c>
      <c r="DF39" s="4">
        <v>8.8080000000000005E-4</v>
      </c>
      <c r="DG39" s="4">
        <v>8.6850000000000002E-4</v>
      </c>
      <c r="DH39" s="4">
        <v>8.5630000000000005E-4</v>
      </c>
      <c r="DI39" s="4">
        <v>8.4429999999999998E-4</v>
      </c>
      <c r="DJ39" s="4">
        <v>8.3239999999999996E-4</v>
      </c>
      <c r="DK39" s="4">
        <v>8.208E-4</v>
      </c>
      <c r="DL39" s="4">
        <v>8.0920000000000005E-4</v>
      </c>
      <c r="DM39" s="4">
        <v>7.9790000000000004E-4</v>
      </c>
      <c r="DN39" s="4">
        <v>7.8669999999999999E-4</v>
      </c>
      <c r="DO39" s="4">
        <v>7.7559999999999999E-4</v>
      </c>
      <c r="DP39" s="4">
        <v>7.6469999999999999E-4</v>
      </c>
      <c r="DQ39" s="4">
        <v>5.3150299999999998E-2</v>
      </c>
      <c r="DR39" s="4">
        <v>0</v>
      </c>
      <c r="DS39" s="4">
        <v>5.02E-5</v>
      </c>
      <c r="DT39" s="4">
        <v>1.73E-4</v>
      </c>
      <c r="DU39" s="4">
        <v>6.9160000000000001E-4</v>
      </c>
      <c r="DV39" s="4">
        <v>6.1649999999999997E-4</v>
      </c>
      <c r="DW39" s="4">
        <v>5.7569999999999995E-4</v>
      </c>
      <c r="DX39" s="4">
        <v>5.9889999999999997E-4</v>
      </c>
      <c r="DY39" s="4">
        <v>5.4960000000000002E-4</v>
      </c>
      <c r="DZ39" s="4">
        <v>5.0089999999999998E-4</v>
      </c>
      <c r="EA39" s="4">
        <v>4.4299999999999998E-4</v>
      </c>
      <c r="EB39" s="4">
        <v>3.9510000000000001E-4</v>
      </c>
      <c r="EC39" s="4">
        <v>3.5159999999999998E-4</v>
      </c>
      <c r="ED39" s="4">
        <v>3.146E-4</v>
      </c>
      <c r="EE39" s="4">
        <v>2.8210000000000003E-4</v>
      </c>
      <c r="EF39" s="4">
        <v>2.541E-4</v>
      </c>
      <c r="EG39" s="4">
        <v>2.298E-4</v>
      </c>
      <c r="EH39" s="4">
        <v>2.085E-4</v>
      </c>
      <c r="EI39" s="4">
        <v>1.9029999999999999E-4</v>
      </c>
      <c r="EJ39" s="4">
        <v>1.7420000000000001E-4</v>
      </c>
      <c r="EK39" s="4">
        <v>1.6000000000000001E-4</v>
      </c>
      <c r="EL39" s="4">
        <v>1.474E-4</v>
      </c>
      <c r="EM39" s="4">
        <v>1.3630000000000001E-4</v>
      </c>
      <c r="EN39" s="4">
        <v>1.2640000000000001E-4</v>
      </c>
      <c r="EO39" s="4">
        <v>1.175E-4</v>
      </c>
      <c r="EP39" s="4">
        <v>1.0950000000000001E-4</v>
      </c>
      <c r="EQ39" s="4">
        <v>1.024E-4</v>
      </c>
      <c r="ER39" s="4">
        <v>9.5699999999999995E-5</v>
      </c>
      <c r="ES39" s="4">
        <v>8.92E-5</v>
      </c>
      <c r="ET39" s="4">
        <v>8.0199999999999998E-5</v>
      </c>
      <c r="EU39" s="4">
        <v>7.0300000000000001E-5</v>
      </c>
      <c r="EV39" s="4">
        <v>5.6199999999999997E-5</v>
      </c>
      <c r="EW39" s="4">
        <v>6.0699999999999998E-5</v>
      </c>
      <c r="EX39" s="4">
        <v>5.7800000000000002E-5</v>
      </c>
      <c r="EY39" s="4">
        <v>5.5500000000000001E-5</v>
      </c>
      <c r="EZ39" s="4">
        <v>5.3300000000000001E-5</v>
      </c>
      <c r="FA39" s="4">
        <v>5.1199999999999998E-5</v>
      </c>
      <c r="FB39" s="4">
        <v>4.9299999999999999E-5</v>
      </c>
      <c r="FC39" s="4">
        <v>4.7599999999999998E-5</v>
      </c>
      <c r="FD39" s="4">
        <v>4.5800000000000002E-5</v>
      </c>
      <c r="FE39" s="4">
        <v>4.4199999999999997E-5</v>
      </c>
      <c r="FF39" s="4">
        <v>4.2700000000000001E-5</v>
      </c>
      <c r="FG39" s="4">
        <v>4.1199999999999999E-5</v>
      </c>
      <c r="FH39" s="4">
        <v>3.9900000000000001E-5</v>
      </c>
      <c r="FI39" s="4">
        <v>3.8600000000000003E-5</v>
      </c>
      <c r="FJ39" s="4">
        <v>3.7400000000000001E-5</v>
      </c>
      <c r="FK39" s="4">
        <v>3.6199999999999999E-5</v>
      </c>
      <c r="FL39" s="4">
        <v>3.5099999999999999E-5</v>
      </c>
      <c r="FM39" s="4">
        <v>3.4100000000000002E-5</v>
      </c>
      <c r="FN39" s="4">
        <v>3.3099999999999998E-5</v>
      </c>
      <c r="FO39" s="4">
        <v>3.2199999999999997E-5</v>
      </c>
      <c r="FP39" s="4">
        <v>3.1399999999999998E-5</v>
      </c>
      <c r="FQ39" s="4">
        <v>3.0599999999999998E-5</v>
      </c>
      <c r="FR39" s="4">
        <v>2.9799999999999999E-5</v>
      </c>
      <c r="FS39" s="4">
        <v>2.9099999999999999E-5</v>
      </c>
      <c r="FT39" s="4">
        <v>2.8399999999999999E-5</v>
      </c>
      <c r="FU39" s="4">
        <v>2.7699999999999999E-5</v>
      </c>
      <c r="FV39" s="4">
        <v>2.7100000000000001E-5</v>
      </c>
      <c r="FW39" s="4">
        <v>2.6599999999999999E-5</v>
      </c>
      <c r="FX39" s="4">
        <v>2.5999999999999998E-5</v>
      </c>
      <c r="FY39" s="4">
        <v>2.55E-5</v>
      </c>
      <c r="FZ39" s="4">
        <v>2.5000000000000001E-5</v>
      </c>
      <c r="GA39" s="4">
        <v>2.4499999999999999E-5</v>
      </c>
      <c r="GB39" s="4">
        <v>2.41E-5</v>
      </c>
      <c r="GC39" s="4">
        <v>2.3600000000000001E-5</v>
      </c>
      <c r="GD39" s="4">
        <v>2.3200000000000001E-5</v>
      </c>
      <c r="GE39" s="4">
        <v>2.2799999999999999E-5</v>
      </c>
      <c r="GF39" s="4">
        <v>2.2399999999999999E-5</v>
      </c>
      <c r="GG39" s="4">
        <v>2.2099999999999998E-5</v>
      </c>
      <c r="GH39" s="4">
        <v>2.1699999999999999E-5</v>
      </c>
      <c r="GI39" s="4">
        <v>2.1399999999999998E-5</v>
      </c>
      <c r="GJ39" s="4">
        <v>2.0999999999999999E-5</v>
      </c>
      <c r="GK39" s="4">
        <v>2.0699999999999998E-5</v>
      </c>
      <c r="GL39" s="4">
        <v>2.0400000000000001E-5</v>
      </c>
      <c r="GM39" s="4">
        <v>2.0100000000000001E-5</v>
      </c>
      <c r="GN39" s="4">
        <v>1.98E-5</v>
      </c>
      <c r="GO39" s="4">
        <v>1.95E-5</v>
      </c>
      <c r="GP39" s="4">
        <v>1.9199999999999999E-5</v>
      </c>
      <c r="GQ39" s="4">
        <v>1.9000000000000001E-5</v>
      </c>
      <c r="GR39" s="4">
        <v>1.8700000000000001E-5</v>
      </c>
      <c r="GS39" s="4">
        <v>1.84E-5</v>
      </c>
      <c r="GT39" s="4">
        <v>1.8199999999999999E-5</v>
      </c>
      <c r="GU39" s="4">
        <v>1.7900000000000001E-5</v>
      </c>
      <c r="GV39" s="4">
        <v>1.77E-5</v>
      </c>
      <c r="GW39" s="4">
        <v>1.7399999999999999E-5</v>
      </c>
      <c r="GX39" s="4">
        <v>1.7200000000000001E-5</v>
      </c>
      <c r="GY39" s="4">
        <v>1.7E-5</v>
      </c>
      <c r="GZ39" s="4">
        <v>1.6699999999999999E-5</v>
      </c>
      <c r="HA39" s="4">
        <v>1.6500000000000001E-5</v>
      </c>
      <c r="HB39" s="4">
        <v>1.63E-5</v>
      </c>
      <c r="HC39" s="4">
        <v>1.6099999999999998E-5</v>
      </c>
      <c r="HD39" s="4">
        <v>1.5800000000000001E-5</v>
      </c>
      <c r="HE39" s="4">
        <v>1.56E-5</v>
      </c>
      <c r="HF39" s="4">
        <v>1.5400000000000002E-5</v>
      </c>
      <c r="HG39" s="4">
        <v>1.52E-5</v>
      </c>
      <c r="HH39" s="4">
        <v>1.5E-5</v>
      </c>
      <c r="HI39" s="4">
        <v>1.4800000000000001E-5</v>
      </c>
      <c r="HJ39" s="4">
        <v>1.4600000000000001E-5</v>
      </c>
      <c r="HK39" s="4">
        <v>1.4399999999999999E-5</v>
      </c>
      <c r="HL39" s="4">
        <v>1.42E-5</v>
      </c>
      <c r="HM39" s="4">
        <v>1.4E-5</v>
      </c>
      <c r="HN39" s="4">
        <v>1.38E-5</v>
      </c>
      <c r="HO39" s="4">
        <v>1.3699999999999999E-5</v>
      </c>
      <c r="HP39" s="4">
        <v>1.3499999999999999E-5</v>
      </c>
      <c r="HQ39" s="4">
        <v>1.33E-5</v>
      </c>
      <c r="HR39" s="4">
        <v>1.31E-5</v>
      </c>
      <c r="HS39" s="4">
        <v>1.29E-5</v>
      </c>
      <c r="HT39" s="4">
        <v>1.2799999999999999E-5</v>
      </c>
      <c r="HU39" s="4">
        <v>1.26E-5</v>
      </c>
      <c r="HV39" s="4">
        <v>1.24E-5</v>
      </c>
      <c r="HW39" s="4">
        <v>1.22E-5</v>
      </c>
      <c r="HX39" s="4">
        <v>1.2099999999999999E-5</v>
      </c>
      <c r="HY39" s="4">
        <v>1.19E-5</v>
      </c>
      <c r="HZ39" s="4">
        <v>1.17E-5</v>
      </c>
      <c r="IA39" s="4">
        <v>1.1600000000000001E-5</v>
      </c>
      <c r="IB39" s="4">
        <v>1.1399999999999999E-5</v>
      </c>
      <c r="IC39" s="4">
        <v>1.13E-5</v>
      </c>
      <c r="ID39" s="4">
        <v>1.11E-5</v>
      </c>
      <c r="IE39" s="4">
        <v>1.1E-5</v>
      </c>
      <c r="IF39" s="4">
        <v>1.08E-5</v>
      </c>
      <c r="IG39" s="4">
        <v>7.5449999999999996E-4</v>
      </c>
      <c r="IH39" s="4"/>
      <c r="II39" s="4">
        <f t="shared" si="245"/>
        <v>0.11654294386041376</v>
      </c>
      <c r="IJ39">
        <f t="shared" si="246"/>
        <v>0.35948808749999978</v>
      </c>
      <c r="IN39" s="4"/>
      <c r="IO39" s="4"/>
      <c r="IP39" s="4"/>
      <c r="IQ39" s="4"/>
      <c r="IR39" s="4"/>
      <c r="IS39" s="4"/>
      <c r="IT39" s="4"/>
      <c r="IU39" s="4"/>
      <c r="IV39" s="4"/>
    </row>
    <row r="40" spans="1:256" x14ac:dyDescent="0.35">
      <c r="A40" s="1">
        <v>32</v>
      </c>
      <c r="B40" s="4">
        <v>1.0734799999999999E-2</v>
      </c>
      <c r="C40" s="4">
        <v>1.0734799999999999E-2</v>
      </c>
      <c r="D40" s="4">
        <v>1.0684600000000001E-2</v>
      </c>
      <c r="E40" s="4">
        <v>1.0511700000000001E-2</v>
      </c>
      <c r="F40" s="4">
        <v>9.8201E-3</v>
      </c>
      <c r="G40" s="4">
        <v>9.2037999999999998E-3</v>
      </c>
      <c r="H40" s="4">
        <v>8.6283000000000002E-3</v>
      </c>
      <c r="I40" s="4">
        <v>8.0310999999999994E-3</v>
      </c>
      <c r="J40" s="4">
        <v>7.6718999999999997E-3</v>
      </c>
      <c r="K40" s="4">
        <v>7.1726999999999997E-3</v>
      </c>
      <c r="L40" s="4">
        <v>6.7320000000000001E-3</v>
      </c>
      <c r="M40" s="4">
        <v>6.3397000000000002E-3</v>
      </c>
      <c r="N40" s="4">
        <v>5.9912999999999998E-3</v>
      </c>
      <c r="O40" s="4">
        <v>5.6817999999999999E-3</v>
      </c>
      <c r="P40" s="4">
        <v>5.4038999999999997E-3</v>
      </c>
      <c r="Q40" s="4">
        <v>5.1544E-3</v>
      </c>
      <c r="R40" s="4">
        <v>4.9300999999999998E-3</v>
      </c>
      <c r="S40" s="4">
        <v>4.7253E-3</v>
      </c>
      <c r="T40" s="4">
        <v>4.5446000000000002E-3</v>
      </c>
      <c r="U40" s="4">
        <v>4.3779999999999999E-3</v>
      </c>
      <c r="V40" s="4">
        <v>4.2252000000000001E-3</v>
      </c>
      <c r="W40" s="4">
        <v>4.0854000000000003E-3</v>
      </c>
      <c r="X40" s="4">
        <v>3.9560999999999997E-3</v>
      </c>
      <c r="Y40" s="4">
        <v>3.8363E-3</v>
      </c>
      <c r="Z40" s="4">
        <v>3.7242999999999998E-3</v>
      </c>
      <c r="AA40" s="4">
        <v>3.6181999999999998E-3</v>
      </c>
      <c r="AB40" s="4">
        <v>3.5149999999999999E-3</v>
      </c>
      <c r="AC40" s="4">
        <v>3.4077000000000001E-3</v>
      </c>
      <c r="AD40" s="4">
        <v>3.2881999999999998E-3</v>
      </c>
      <c r="AE40" s="4">
        <v>3.0634999999999998E-3</v>
      </c>
      <c r="AF40" s="4">
        <v>2.7707000000000001E-3</v>
      </c>
      <c r="AG40" s="4">
        <v>2.2780999999999999E-3</v>
      </c>
      <c r="AH40" s="4">
        <v>2.4865E-3</v>
      </c>
      <c r="AI40" s="4">
        <v>2.4439000000000002E-3</v>
      </c>
      <c r="AJ40" s="4">
        <v>2.4133000000000002E-3</v>
      </c>
      <c r="AK40" s="4">
        <v>2.3831E-3</v>
      </c>
      <c r="AL40" s="4">
        <v>2.3554000000000001E-3</v>
      </c>
      <c r="AM40" s="4">
        <v>2.3270999999999999E-3</v>
      </c>
      <c r="AN40" s="4">
        <v>2.2988000000000001E-3</v>
      </c>
      <c r="AO40" s="4">
        <v>2.2698000000000002E-3</v>
      </c>
      <c r="AP40" s="4">
        <v>2.2407999999999998E-3</v>
      </c>
      <c r="AQ40" s="4">
        <v>2.2116000000000002E-3</v>
      </c>
      <c r="AR40" s="4">
        <v>2.1825E-3</v>
      </c>
      <c r="AS40" s="4">
        <v>2.1535E-3</v>
      </c>
      <c r="AT40" s="4">
        <v>2.1245999999999999E-3</v>
      </c>
      <c r="AU40" s="4">
        <v>2.0960000000000002E-3</v>
      </c>
      <c r="AV40" s="4">
        <v>2.0676000000000002E-3</v>
      </c>
      <c r="AW40" s="4">
        <v>2.0395999999999999E-3</v>
      </c>
      <c r="AX40" s="4">
        <v>2.0119000000000001E-3</v>
      </c>
      <c r="AY40" s="4">
        <v>1.9846E-3</v>
      </c>
      <c r="AZ40" s="4">
        <v>1.9575999999999999E-3</v>
      </c>
      <c r="BA40" s="4">
        <v>1.9308999999999999E-3</v>
      </c>
      <c r="BB40" s="4">
        <v>1.9047000000000001E-3</v>
      </c>
      <c r="BC40" s="4">
        <v>1.8787999999999999E-3</v>
      </c>
      <c r="BD40" s="4">
        <v>1.8533E-3</v>
      </c>
      <c r="BE40" s="4">
        <v>1.8282000000000001E-3</v>
      </c>
      <c r="BF40" s="4">
        <v>1.8033999999999999E-3</v>
      </c>
      <c r="BG40" s="4">
        <v>1.779E-3</v>
      </c>
      <c r="BH40" s="4">
        <v>1.7549E-3</v>
      </c>
      <c r="BI40" s="4">
        <v>1.7312E-3</v>
      </c>
      <c r="BJ40" s="4">
        <v>1.7078E-3</v>
      </c>
      <c r="BK40" s="4">
        <v>1.6846999999999999E-3</v>
      </c>
      <c r="BL40" s="4">
        <v>1.6620000000000001E-3</v>
      </c>
      <c r="BM40" s="4">
        <v>1.6396E-3</v>
      </c>
      <c r="BN40" s="4">
        <v>1.6174E-3</v>
      </c>
      <c r="BO40" s="4">
        <v>1.5956E-3</v>
      </c>
      <c r="BP40" s="4">
        <v>1.5740999999999999E-3</v>
      </c>
      <c r="BQ40" s="4">
        <v>1.5528E-3</v>
      </c>
      <c r="BR40" s="4">
        <v>1.5319000000000001E-3</v>
      </c>
      <c r="BS40" s="4">
        <v>1.5112000000000001E-3</v>
      </c>
      <c r="BT40" s="4">
        <v>1.4908E-3</v>
      </c>
      <c r="BU40" s="4">
        <v>1.4706000000000001E-3</v>
      </c>
      <c r="BV40" s="4">
        <v>1.4507000000000001E-3</v>
      </c>
      <c r="BW40" s="4">
        <v>1.4311E-3</v>
      </c>
      <c r="BX40" s="4">
        <v>1.4117000000000001E-3</v>
      </c>
      <c r="BY40" s="4">
        <v>1.3925999999999999E-3</v>
      </c>
      <c r="BZ40" s="4">
        <v>1.3737000000000001E-3</v>
      </c>
      <c r="CA40" s="4">
        <v>1.3550000000000001E-3</v>
      </c>
      <c r="CB40" s="4">
        <v>1.3366000000000001E-3</v>
      </c>
      <c r="CC40" s="4">
        <v>1.3184E-3</v>
      </c>
      <c r="CD40" s="4">
        <v>1.3004E-3</v>
      </c>
      <c r="CE40" s="4">
        <v>1.2826999999999999E-3</v>
      </c>
      <c r="CF40" s="4">
        <v>1.2652E-3</v>
      </c>
      <c r="CG40" s="4">
        <v>1.2478999999999999E-3</v>
      </c>
      <c r="CH40" s="4">
        <v>1.2308E-3</v>
      </c>
      <c r="CI40" s="4">
        <v>1.214E-3</v>
      </c>
      <c r="CJ40" s="4">
        <v>1.1973000000000001E-3</v>
      </c>
      <c r="CK40" s="4">
        <v>1.1808999999999999E-3</v>
      </c>
      <c r="CL40" s="4">
        <v>1.1647000000000001E-3</v>
      </c>
      <c r="CM40" s="4">
        <v>1.1486999999999999E-3</v>
      </c>
      <c r="CN40" s="4">
        <v>1.1329000000000001E-3</v>
      </c>
      <c r="CO40" s="4">
        <v>1.1172000000000001E-3</v>
      </c>
      <c r="CP40" s="4">
        <v>1.1018E-3</v>
      </c>
      <c r="CQ40" s="4">
        <v>1.0866000000000001E-3</v>
      </c>
      <c r="CR40" s="4">
        <v>1.0716E-3</v>
      </c>
      <c r="CS40" s="4">
        <v>1.0568000000000001E-3</v>
      </c>
      <c r="CT40" s="4">
        <v>1.0421E-3</v>
      </c>
      <c r="CU40" s="4">
        <v>1.0277000000000001E-3</v>
      </c>
      <c r="CV40" s="4">
        <v>1.0134E-3</v>
      </c>
      <c r="CW40" s="4">
        <v>9.993999999999999E-4</v>
      </c>
      <c r="CX40" s="4">
        <v>9.8550000000000005E-4</v>
      </c>
      <c r="CY40" s="4">
        <v>9.7179999999999999E-4</v>
      </c>
      <c r="CZ40" s="4">
        <v>9.5819999999999998E-4</v>
      </c>
      <c r="DA40" s="4">
        <v>9.4490000000000004E-4</v>
      </c>
      <c r="DB40" s="4">
        <v>9.3170000000000004E-4</v>
      </c>
      <c r="DC40" s="4">
        <v>9.1870000000000005E-4</v>
      </c>
      <c r="DD40" s="4">
        <v>9.0589999999999996E-4</v>
      </c>
      <c r="DE40" s="4">
        <v>8.9320000000000003E-4</v>
      </c>
      <c r="DF40" s="4">
        <v>8.8069999999999999E-4</v>
      </c>
      <c r="DG40" s="4">
        <v>8.6839999999999997E-4</v>
      </c>
      <c r="DH40" s="4">
        <v>8.5619999999999999E-4</v>
      </c>
      <c r="DI40" s="4">
        <v>8.4420000000000003E-4</v>
      </c>
      <c r="DJ40" s="4">
        <v>8.3239999999999996E-4</v>
      </c>
      <c r="DK40" s="4">
        <v>8.2070000000000005E-4</v>
      </c>
      <c r="DL40" s="4">
        <v>8.0920000000000005E-4</v>
      </c>
      <c r="DM40" s="4">
        <v>7.9779999999999998E-4</v>
      </c>
      <c r="DN40" s="4">
        <v>7.8660000000000004E-4</v>
      </c>
      <c r="DO40" s="4">
        <v>7.7550000000000004E-4</v>
      </c>
      <c r="DP40" s="4">
        <v>7.6460000000000005E-4</v>
      </c>
      <c r="DQ40" s="4">
        <v>5.3149700000000001E-2</v>
      </c>
      <c r="DR40" s="4">
        <v>0</v>
      </c>
      <c r="DS40" s="4">
        <v>5.02E-5</v>
      </c>
      <c r="DT40" s="4">
        <v>1.73E-4</v>
      </c>
      <c r="DU40" s="4">
        <v>6.9169999999999995E-4</v>
      </c>
      <c r="DV40" s="4">
        <v>6.1660000000000003E-4</v>
      </c>
      <c r="DW40" s="4">
        <v>5.7589999999999996E-4</v>
      </c>
      <c r="DX40" s="4">
        <v>5.9849999999999997E-4</v>
      </c>
      <c r="DY40" s="4">
        <v>5.2999999999999998E-4</v>
      </c>
      <c r="DZ40" s="4">
        <v>5.0199999999999995E-4</v>
      </c>
      <c r="EA40" s="4">
        <v>4.4440000000000001E-4</v>
      </c>
      <c r="EB40" s="4">
        <v>3.9669999999999999E-4</v>
      </c>
      <c r="EC40" s="4">
        <v>3.5330000000000002E-4</v>
      </c>
      <c r="ED40" s="4">
        <v>3.1609999999999999E-4</v>
      </c>
      <c r="EE40" s="4">
        <v>2.8370000000000001E-4</v>
      </c>
      <c r="EF40" s="4">
        <v>2.5559999999999998E-4</v>
      </c>
      <c r="EG40" s="4">
        <v>2.3110000000000001E-4</v>
      </c>
      <c r="EH40" s="4">
        <v>2.098E-4</v>
      </c>
      <c r="EI40" s="4">
        <v>1.9110000000000001E-4</v>
      </c>
      <c r="EJ40" s="4">
        <v>1.75E-4</v>
      </c>
      <c r="EK40" s="4">
        <v>1.607E-4</v>
      </c>
      <c r="EL40" s="4">
        <v>1.4809999999999999E-4</v>
      </c>
      <c r="EM40" s="4">
        <v>1.3679999999999999E-4</v>
      </c>
      <c r="EN40" s="4">
        <v>1.2689999999999999E-4</v>
      </c>
      <c r="EO40" s="4">
        <v>1.1790000000000001E-4</v>
      </c>
      <c r="EP40" s="4">
        <v>1.1E-4</v>
      </c>
      <c r="EQ40" s="4">
        <v>1.0280000000000001E-4</v>
      </c>
      <c r="ER40" s="4">
        <v>9.6299999999999996E-5</v>
      </c>
      <c r="ES40" s="4">
        <v>9.0199999999999997E-5</v>
      </c>
      <c r="ET40" s="4">
        <v>8.4300000000000003E-5</v>
      </c>
      <c r="EU40" s="4">
        <v>7.6000000000000004E-5</v>
      </c>
      <c r="EV40" s="4">
        <v>6.6699999999999995E-5</v>
      </c>
      <c r="EW40" s="4">
        <v>5.3399999999999997E-5</v>
      </c>
      <c r="EX40" s="4">
        <v>5.77E-5</v>
      </c>
      <c r="EY40" s="4">
        <v>5.5099999999999998E-5</v>
      </c>
      <c r="EZ40" s="4">
        <v>5.2899999999999998E-5</v>
      </c>
      <c r="FA40" s="4">
        <v>5.0899999999999997E-5</v>
      </c>
      <c r="FB40" s="4">
        <v>4.8999999999999998E-5</v>
      </c>
      <c r="FC40" s="4">
        <v>4.7200000000000002E-5</v>
      </c>
      <c r="FD40" s="4">
        <v>4.5599999999999997E-5</v>
      </c>
      <c r="FE40" s="4">
        <v>4.3999999999999999E-5</v>
      </c>
      <c r="FF40" s="4">
        <v>4.2500000000000003E-5</v>
      </c>
      <c r="FG40" s="4">
        <v>4.1100000000000003E-5</v>
      </c>
      <c r="FH40" s="4">
        <v>3.9700000000000003E-5</v>
      </c>
      <c r="FI40" s="4">
        <v>3.8399999999999998E-5</v>
      </c>
      <c r="FJ40" s="4">
        <v>3.7200000000000003E-5</v>
      </c>
      <c r="FK40" s="4">
        <v>3.6100000000000003E-5</v>
      </c>
      <c r="FL40" s="4">
        <v>3.4999999999999997E-5</v>
      </c>
      <c r="FM40" s="4">
        <v>3.4E-5</v>
      </c>
      <c r="FN40" s="4">
        <v>3.3000000000000003E-5</v>
      </c>
      <c r="FO40" s="4">
        <v>3.2100000000000001E-5</v>
      </c>
      <c r="FP40" s="4">
        <v>3.1300000000000002E-5</v>
      </c>
      <c r="FQ40" s="4">
        <v>3.0499999999999999E-5</v>
      </c>
      <c r="FR40" s="4">
        <v>2.97E-5</v>
      </c>
      <c r="FS40" s="4">
        <v>2.9E-5</v>
      </c>
      <c r="FT40" s="4">
        <v>2.83E-5</v>
      </c>
      <c r="FU40" s="4">
        <v>2.7699999999999999E-5</v>
      </c>
      <c r="FV40" s="4">
        <v>2.7100000000000001E-5</v>
      </c>
      <c r="FW40" s="4">
        <v>2.65E-5</v>
      </c>
      <c r="FX40" s="4">
        <v>2.5999999999999998E-5</v>
      </c>
      <c r="FY40" s="4">
        <v>2.5400000000000001E-5</v>
      </c>
      <c r="FZ40" s="4">
        <v>2.5000000000000001E-5</v>
      </c>
      <c r="GA40" s="4">
        <v>2.4499999999999999E-5</v>
      </c>
      <c r="GB40" s="4">
        <v>2.4000000000000001E-5</v>
      </c>
      <c r="GC40" s="4">
        <v>2.3600000000000001E-5</v>
      </c>
      <c r="GD40" s="4">
        <v>2.3200000000000001E-5</v>
      </c>
      <c r="GE40" s="4">
        <v>2.2799999999999999E-5</v>
      </c>
      <c r="GF40" s="4">
        <v>2.2399999999999999E-5</v>
      </c>
      <c r="GG40" s="4">
        <v>2.1999999999999999E-5</v>
      </c>
      <c r="GH40" s="4">
        <v>2.1699999999999999E-5</v>
      </c>
      <c r="GI40" s="4">
        <v>2.1299999999999999E-5</v>
      </c>
      <c r="GJ40" s="4">
        <v>2.0999999999999999E-5</v>
      </c>
      <c r="GK40" s="4">
        <v>2.0699999999999998E-5</v>
      </c>
      <c r="GL40" s="4">
        <v>2.0400000000000001E-5</v>
      </c>
      <c r="GM40" s="4">
        <v>2.0100000000000001E-5</v>
      </c>
      <c r="GN40" s="4">
        <v>1.98E-5</v>
      </c>
      <c r="GO40" s="4">
        <v>1.95E-5</v>
      </c>
      <c r="GP40" s="4">
        <v>1.9199999999999999E-5</v>
      </c>
      <c r="GQ40" s="4">
        <v>1.8899999999999999E-5</v>
      </c>
      <c r="GR40" s="4">
        <v>1.8700000000000001E-5</v>
      </c>
      <c r="GS40" s="4">
        <v>1.84E-5</v>
      </c>
      <c r="GT40" s="4">
        <v>1.8199999999999999E-5</v>
      </c>
      <c r="GU40" s="4">
        <v>1.7900000000000001E-5</v>
      </c>
      <c r="GV40" s="4">
        <v>1.77E-5</v>
      </c>
      <c r="GW40" s="4">
        <v>1.7399999999999999E-5</v>
      </c>
      <c r="GX40" s="4">
        <v>1.7200000000000001E-5</v>
      </c>
      <c r="GY40" s="4">
        <v>1.7E-5</v>
      </c>
      <c r="GZ40" s="4">
        <v>1.6699999999999999E-5</v>
      </c>
      <c r="HA40" s="4">
        <v>1.6500000000000001E-5</v>
      </c>
      <c r="HB40" s="4">
        <v>1.63E-5</v>
      </c>
      <c r="HC40" s="4">
        <v>1.6099999999999998E-5</v>
      </c>
      <c r="HD40" s="4">
        <v>1.5800000000000001E-5</v>
      </c>
      <c r="HE40" s="4">
        <v>1.56E-5</v>
      </c>
      <c r="HF40" s="4">
        <v>1.5400000000000002E-5</v>
      </c>
      <c r="HG40" s="4">
        <v>1.52E-5</v>
      </c>
      <c r="HH40" s="4">
        <v>1.5E-5</v>
      </c>
      <c r="HI40" s="4">
        <v>1.4800000000000001E-5</v>
      </c>
      <c r="HJ40" s="4">
        <v>1.4600000000000001E-5</v>
      </c>
      <c r="HK40" s="4">
        <v>1.4399999999999999E-5</v>
      </c>
      <c r="HL40" s="4">
        <v>1.42E-5</v>
      </c>
      <c r="HM40" s="4">
        <v>1.4E-5</v>
      </c>
      <c r="HN40" s="4">
        <v>1.38E-5</v>
      </c>
      <c r="HO40" s="4">
        <v>1.3699999999999999E-5</v>
      </c>
      <c r="HP40" s="4">
        <v>1.3499999999999999E-5</v>
      </c>
      <c r="HQ40" s="4">
        <v>1.33E-5</v>
      </c>
      <c r="HR40" s="4">
        <v>1.31E-5</v>
      </c>
      <c r="HS40" s="4">
        <v>1.29E-5</v>
      </c>
      <c r="HT40" s="4">
        <v>1.2799999999999999E-5</v>
      </c>
      <c r="HU40" s="4">
        <v>1.26E-5</v>
      </c>
      <c r="HV40" s="4">
        <v>1.24E-5</v>
      </c>
      <c r="HW40" s="4">
        <v>1.22E-5</v>
      </c>
      <c r="HX40" s="4">
        <v>1.2099999999999999E-5</v>
      </c>
      <c r="HY40" s="4">
        <v>1.19E-5</v>
      </c>
      <c r="HZ40" s="4">
        <v>1.17E-5</v>
      </c>
      <c r="IA40" s="4">
        <v>1.1600000000000001E-5</v>
      </c>
      <c r="IB40" s="4">
        <v>1.1399999999999999E-5</v>
      </c>
      <c r="IC40" s="4">
        <v>1.13E-5</v>
      </c>
      <c r="ID40" s="4">
        <v>1.11E-5</v>
      </c>
      <c r="IE40" s="4">
        <v>1.1E-5</v>
      </c>
      <c r="IF40" s="4">
        <v>1.08E-5</v>
      </c>
      <c r="IG40" s="4">
        <v>7.5449999999999996E-4</v>
      </c>
      <c r="IH40" s="4"/>
      <c r="II40" s="4">
        <f t="shared" si="245"/>
        <v>0.1164282585737493</v>
      </c>
      <c r="IJ40">
        <f t="shared" ref="IJ40:IJ71" si="247">SUM(C34:DQ41)/8</f>
        <v>0.35942047499999996</v>
      </c>
      <c r="IN40" s="4"/>
      <c r="IO40" s="4"/>
      <c r="IP40" s="4"/>
      <c r="IQ40" s="4"/>
      <c r="IR40" s="4"/>
      <c r="IS40" s="4"/>
      <c r="IT40" s="4"/>
      <c r="IU40" s="4"/>
      <c r="IV40" s="4"/>
    </row>
    <row r="41" spans="1:256" x14ac:dyDescent="0.35">
      <c r="A41" s="1">
        <v>33</v>
      </c>
      <c r="B41" s="4">
        <v>1.0734799999999999E-2</v>
      </c>
      <c r="C41" s="4">
        <v>1.0734799999999999E-2</v>
      </c>
      <c r="D41" s="4">
        <v>1.0684600000000001E-2</v>
      </c>
      <c r="E41" s="4">
        <v>1.0511599999999999E-2</v>
      </c>
      <c r="F41" s="4">
        <v>9.8198999999999995E-3</v>
      </c>
      <c r="G41" s="4">
        <v>9.2034999999999999E-3</v>
      </c>
      <c r="H41" s="4">
        <v>8.6279000000000008E-3</v>
      </c>
      <c r="I41" s="4">
        <v>8.0298000000000001E-3</v>
      </c>
      <c r="J41" s="4">
        <v>7.5011000000000001E-3</v>
      </c>
      <c r="K41" s="4">
        <v>7.1698999999999999E-3</v>
      </c>
      <c r="L41" s="4">
        <v>6.7283000000000004E-3</v>
      </c>
      <c r="M41" s="4">
        <v>6.3353000000000003E-3</v>
      </c>
      <c r="N41" s="4">
        <v>5.9864000000000002E-3</v>
      </c>
      <c r="O41" s="4">
        <v>5.6752E-3</v>
      </c>
      <c r="P41" s="4">
        <v>5.3981000000000003E-3</v>
      </c>
      <c r="Q41" s="4">
        <v>5.1482999999999998E-3</v>
      </c>
      <c r="R41" s="4">
        <v>4.9233000000000002E-3</v>
      </c>
      <c r="S41" s="4">
        <v>4.7201999999999999E-3</v>
      </c>
      <c r="T41" s="4">
        <v>4.5342000000000004E-3</v>
      </c>
      <c r="U41" s="4">
        <v>4.3696000000000004E-3</v>
      </c>
      <c r="V41" s="4">
        <v>4.2173000000000002E-3</v>
      </c>
      <c r="W41" s="4">
        <v>4.0771000000000002E-3</v>
      </c>
      <c r="X41" s="4">
        <v>3.9484999999999998E-3</v>
      </c>
      <c r="Y41" s="4">
        <v>3.8292999999999999E-3</v>
      </c>
      <c r="Z41" s="4">
        <v>3.7182999999999999E-3</v>
      </c>
      <c r="AA41" s="4">
        <v>3.6143999999999998E-3</v>
      </c>
      <c r="AB41" s="4">
        <v>3.5154000000000001E-3</v>
      </c>
      <c r="AC41" s="4">
        <v>3.4187000000000002E-3</v>
      </c>
      <c r="AD41" s="4">
        <v>3.3173999999999999E-3</v>
      </c>
      <c r="AE41" s="4">
        <v>3.2039E-3</v>
      </c>
      <c r="AF41" s="4">
        <v>2.9875000000000001E-3</v>
      </c>
      <c r="AG41" s="4">
        <v>2.7039999999999998E-3</v>
      </c>
      <c r="AH41" s="4">
        <v>2.2247E-3</v>
      </c>
      <c r="AI41" s="4">
        <v>2.4288000000000001E-3</v>
      </c>
      <c r="AJ41" s="4">
        <v>2.3888999999999998E-3</v>
      </c>
      <c r="AK41" s="4">
        <v>2.3603999999999999E-3</v>
      </c>
      <c r="AL41" s="4">
        <v>2.3322999999999998E-3</v>
      </c>
      <c r="AM41" s="4">
        <v>2.3064000000000001E-3</v>
      </c>
      <c r="AN41" s="4">
        <v>2.2799000000000001E-3</v>
      </c>
      <c r="AO41" s="4">
        <v>2.2531999999999999E-3</v>
      </c>
      <c r="AP41" s="4">
        <v>2.2258999999999998E-3</v>
      </c>
      <c r="AQ41" s="4">
        <v>2.1982999999999998E-3</v>
      </c>
      <c r="AR41" s="4">
        <v>2.1706E-3</v>
      </c>
      <c r="AS41" s="4">
        <v>2.1427999999999998E-3</v>
      </c>
      <c r="AT41" s="4">
        <v>2.1150000000000001E-3</v>
      </c>
      <c r="AU41" s="4">
        <v>2.0874000000000001E-3</v>
      </c>
      <c r="AV41" s="4">
        <v>2.0598999999999999E-3</v>
      </c>
      <c r="AW41" s="4">
        <v>2.0325999999999999E-3</v>
      </c>
      <c r="AX41" s="4">
        <v>2.0056000000000002E-3</v>
      </c>
      <c r="AY41" s="4">
        <v>1.9789E-3</v>
      </c>
      <c r="AZ41" s="4">
        <v>1.9524E-3</v>
      </c>
      <c r="BA41" s="4">
        <v>1.9262999999999999E-3</v>
      </c>
      <c r="BB41" s="4">
        <v>1.9005000000000001E-3</v>
      </c>
      <c r="BC41" s="4">
        <v>1.8749999999999999E-3</v>
      </c>
      <c r="BD41" s="4">
        <v>1.8498E-3</v>
      </c>
      <c r="BE41" s="4">
        <v>1.825E-3</v>
      </c>
      <c r="BF41" s="4">
        <v>1.8005E-3</v>
      </c>
      <c r="BG41" s="4">
        <v>1.7763E-3</v>
      </c>
      <c r="BH41" s="4">
        <v>1.7524000000000001E-3</v>
      </c>
      <c r="BI41" s="4">
        <v>1.7289E-3</v>
      </c>
      <c r="BJ41" s="4">
        <v>1.7057000000000001E-3</v>
      </c>
      <c r="BK41" s="4">
        <v>1.6827999999999999E-3</v>
      </c>
      <c r="BL41" s="4">
        <v>1.6601999999999999E-3</v>
      </c>
      <c r="BM41" s="4">
        <v>1.6379000000000001E-3</v>
      </c>
      <c r="BN41" s="4">
        <v>1.6159E-3</v>
      </c>
      <c r="BO41" s="4">
        <v>1.5942E-3</v>
      </c>
      <c r="BP41" s="4">
        <v>1.5728000000000001E-3</v>
      </c>
      <c r="BQ41" s="4">
        <v>1.5517E-3</v>
      </c>
      <c r="BR41" s="4">
        <v>1.5307999999999999E-3</v>
      </c>
      <c r="BS41" s="4">
        <v>1.5102E-3</v>
      </c>
      <c r="BT41" s="4">
        <v>1.4897999999999999E-3</v>
      </c>
      <c r="BU41" s="4">
        <v>1.4698000000000001E-3</v>
      </c>
      <c r="BV41" s="4">
        <v>1.4499000000000001E-3</v>
      </c>
      <c r="BW41" s="4">
        <v>1.4303E-3</v>
      </c>
      <c r="BX41" s="4">
        <v>1.4109999999999999E-3</v>
      </c>
      <c r="BY41" s="4">
        <v>1.3919E-3</v>
      </c>
      <c r="BZ41" s="4">
        <v>1.3730999999999999E-3</v>
      </c>
      <c r="CA41" s="4">
        <v>1.3544E-3</v>
      </c>
      <c r="CB41" s="4">
        <v>1.3361E-3</v>
      </c>
      <c r="CC41" s="4">
        <v>1.3179000000000001E-3</v>
      </c>
      <c r="CD41" s="4">
        <v>1.2999999999999999E-3</v>
      </c>
      <c r="CE41" s="4">
        <v>1.2823000000000001E-3</v>
      </c>
      <c r="CF41" s="4">
        <v>1.2648E-3</v>
      </c>
      <c r="CG41" s="4">
        <v>1.2474999999999999E-3</v>
      </c>
      <c r="CH41" s="4">
        <v>1.2305E-3</v>
      </c>
      <c r="CI41" s="4">
        <v>1.2136E-3</v>
      </c>
      <c r="CJ41" s="4">
        <v>1.1969999999999999E-3</v>
      </c>
      <c r="CK41" s="4">
        <v>1.1806E-3</v>
      </c>
      <c r="CL41" s="4">
        <v>1.1643999999999999E-3</v>
      </c>
      <c r="CM41" s="4">
        <v>1.1483999999999999E-3</v>
      </c>
      <c r="CN41" s="4">
        <v>1.1326000000000001E-3</v>
      </c>
      <c r="CO41" s="4">
        <v>1.1169999999999999E-3</v>
      </c>
      <c r="CP41" s="4">
        <v>1.1016000000000001E-3</v>
      </c>
      <c r="CQ41" s="4">
        <v>1.0864E-3</v>
      </c>
      <c r="CR41" s="4">
        <v>1.0713999999999999E-3</v>
      </c>
      <c r="CS41" s="4">
        <v>1.0566E-3</v>
      </c>
      <c r="CT41" s="4">
        <v>1.042E-3</v>
      </c>
      <c r="CU41" s="4">
        <v>1.0275E-3</v>
      </c>
      <c r="CV41" s="4">
        <v>1.0133E-3</v>
      </c>
      <c r="CW41" s="4">
        <v>9.992E-4</v>
      </c>
      <c r="CX41" s="4">
        <v>9.8529999999999993E-4</v>
      </c>
      <c r="CY41" s="4">
        <v>9.7159999999999998E-4</v>
      </c>
      <c r="CZ41" s="4">
        <v>9.5810000000000003E-4</v>
      </c>
      <c r="DA41" s="4">
        <v>9.4479999999999998E-4</v>
      </c>
      <c r="DB41" s="4">
        <v>9.3159999999999998E-4</v>
      </c>
      <c r="DC41" s="4">
        <v>9.1859999999999999E-4</v>
      </c>
      <c r="DD41" s="4">
        <v>9.0580000000000001E-4</v>
      </c>
      <c r="DE41" s="4">
        <v>8.9309999999999997E-4</v>
      </c>
      <c r="DF41" s="4">
        <v>8.8060000000000005E-4</v>
      </c>
      <c r="DG41" s="4">
        <v>8.6830000000000002E-4</v>
      </c>
      <c r="DH41" s="4">
        <v>8.5610000000000005E-4</v>
      </c>
      <c r="DI41" s="4">
        <v>8.4409999999999997E-4</v>
      </c>
      <c r="DJ41" s="4">
        <v>8.3230000000000001E-4</v>
      </c>
      <c r="DK41" s="4">
        <v>8.206E-4</v>
      </c>
      <c r="DL41" s="4">
        <v>8.0909999999999999E-4</v>
      </c>
      <c r="DM41" s="4">
        <v>7.9779999999999998E-4</v>
      </c>
      <c r="DN41" s="4">
        <v>7.8649999999999998E-4</v>
      </c>
      <c r="DO41" s="4">
        <v>7.7550000000000004E-4</v>
      </c>
      <c r="DP41" s="4">
        <v>7.6460000000000005E-4</v>
      </c>
      <c r="DQ41" s="4">
        <v>5.3148899999999999E-2</v>
      </c>
      <c r="DR41" s="4">
        <v>0</v>
      </c>
      <c r="DS41" s="4">
        <v>5.02E-5</v>
      </c>
      <c r="DT41" s="4">
        <v>1.7310000000000001E-4</v>
      </c>
      <c r="DU41" s="4">
        <v>6.9180000000000001E-4</v>
      </c>
      <c r="DV41" s="4">
        <v>6.1680000000000003E-4</v>
      </c>
      <c r="DW41" s="4">
        <v>5.7600000000000001E-4</v>
      </c>
      <c r="DX41" s="4">
        <v>5.9860000000000002E-4</v>
      </c>
      <c r="DY41" s="4">
        <v>5.2950000000000002E-4</v>
      </c>
      <c r="DZ41" s="4">
        <v>4.839E-4</v>
      </c>
      <c r="EA41" s="4">
        <v>4.4279999999999998E-4</v>
      </c>
      <c r="EB41" s="4">
        <v>3.947E-4</v>
      </c>
      <c r="EC41" s="4">
        <v>3.5110000000000002E-4</v>
      </c>
      <c r="ED41" s="4">
        <v>3.1389999999999999E-4</v>
      </c>
      <c r="EE41" s="4">
        <v>2.8140000000000001E-4</v>
      </c>
      <c r="EF41" s="4">
        <v>2.5349999999999998E-4</v>
      </c>
      <c r="EG41" s="4">
        <v>2.2919999999999999E-4</v>
      </c>
      <c r="EH41" s="4">
        <v>2.0799999999999999E-4</v>
      </c>
      <c r="EI41" s="4">
        <v>1.896E-4</v>
      </c>
      <c r="EJ41" s="4">
        <v>1.7330000000000001E-4</v>
      </c>
      <c r="EK41" s="4">
        <v>1.593E-4</v>
      </c>
      <c r="EL41" s="4">
        <v>1.4679999999999999E-4</v>
      </c>
      <c r="EM41" s="4">
        <v>1.3569999999999999E-4</v>
      </c>
      <c r="EN41" s="4">
        <v>1.259E-4</v>
      </c>
      <c r="EO41" s="4">
        <v>1.171E-4</v>
      </c>
      <c r="EP41" s="4">
        <v>1.092E-4</v>
      </c>
      <c r="EQ41" s="4">
        <v>1.022E-4</v>
      </c>
      <c r="ER41" s="4">
        <v>9.5799999999999998E-5</v>
      </c>
      <c r="ES41" s="4">
        <v>9.0099999999999995E-5</v>
      </c>
      <c r="ET41" s="4">
        <v>8.4599999999999996E-5</v>
      </c>
      <c r="EU41" s="4">
        <v>7.9300000000000003E-5</v>
      </c>
      <c r="EV41" s="4">
        <v>7.1600000000000006E-5</v>
      </c>
      <c r="EW41" s="4">
        <v>6.3E-5</v>
      </c>
      <c r="EX41" s="4">
        <v>5.0500000000000001E-5</v>
      </c>
      <c r="EY41" s="4">
        <v>5.4599999999999999E-5</v>
      </c>
      <c r="EZ41" s="4">
        <v>5.2200000000000002E-5</v>
      </c>
      <c r="FA41" s="4">
        <v>5.0300000000000003E-5</v>
      </c>
      <c r="FB41" s="4">
        <v>4.8399999999999997E-5</v>
      </c>
      <c r="FC41" s="4">
        <v>4.6699999999999997E-5</v>
      </c>
      <c r="FD41" s="4">
        <v>4.5099999999999998E-5</v>
      </c>
      <c r="FE41" s="4">
        <v>4.3600000000000003E-5</v>
      </c>
      <c r="FF41" s="4">
        <v>4.2200000000000003E-5</v>
      </c>
      <c r="FG41" s="4">
        <v>4.0800000000000002E-5</v>
      </c>
      <c r="FH41" s="4">
        <v>3.9499999999999998E-5</v>
      </c>
      <c r="FI41" s="4">
        <v>3.82E-5</v>
      </c>
      <c r="FJ41" s="4">
        <v>3.6999999999999998E-5</v>
      </c>
      <c r="FK41" s="4">
        <v>3.5899999999999998E-5</v>
      </c>
      <c r="FL41" s="4">
        <v>3.4900000000000001E-5</v>
      </c>
      <c r="FM41" s="4">
        <v>3.3899999999999997E-5</v>
      </c>
      <c r="FN41" s="4">
        <v>3.29E-5</v>
      </c>
      <c r="FO41" s="4">
        <v>3.1999999999999999E-5</v>
      </c>
      <c r="FP41" s="4">
        <v>3.1199999999999999E-5</v>
      </c>
      <c r="FQ41" s="4">
        <v>3.04E-5</v>
      </c>
      <c r="FR41" s="4">
        <v>2.97E-5</v>
      </c>
      <c r="FS41" s="4">
        <v>2.9E-5</v>
      </c>
      <c r="FT41" s="4">
        <v>2.83E-5</v>
      </c>
      <c r="FU41" s="4">
        <v>2.76E-5</v>
      </c>
      <c r="FV41" s="4">
        <v>2.6999999999999999E-5</v>
      </c>
      <c r="FW41" s="4">
        <v>2.65E-5</v>
      </c>
      <c r="FX41" s="4">
        <v>2.5899999999999999E-5</v>
      </c>
      <c r="FY41" s="4">
        <v>2.5400000000000001E-5</v>
      </c>
      <c r="FZ41" s="4">
        <v>2.4899999999999999E-5</v>
      </c>
      <c r="GA41" s="4">
        <v>2.4499999999999999E-5</v>
      </c>
      <c r="GB41" s="4">
        <v>2.4000000000000001E-5</v>
      </c>
      <c r="GC41" s="4">
        <v>2.3600000000000001E-5</v>
      </c>
      <c r="GD41" s="4">
        <v>2.3200000000000001E-5</v>
      </c>
      <c r="GE41" s="4">
        <v>2.2799999999999999E-5</v>
      </c>
      <c r="GF41" s="4">
        <v>2.2399999999999999E-5</v>
      </c>
      <c r="GG41" s="4">
        <v>2.1999999999999999E-5</v>
      </c>
      <c r="GH41" s="4">
        <v>2.1699999999999999E-5</v>
      </c>
      <c r="GI41" s="4">
        <v>2.1299999999999999E-5</v>
      </c>
      <c r="GJ41" s="4">
        <v>2.0999999999999999E-5</v>
      </c>
      <c r="GK41" s="4">
        <v>2.0699999999999998E-5</v>
      </c>
      <c r="GL41" s="4">
        <v>2.0400000000000001E-5</v>
      </c>
      <c r="GM41" s="4">
        <v>2.0100000000000001E-5</v>
      </c>
      <c r="GN41" s="4">
        <v>1.98E-5</v>
      </c>
      <c r="GO41" s="4">
        <v>1.95E-5</v>
      </c>
      <c r="GP41" s="4">
        <v>1.9199999999999999E-5</v>
      </c>
      <c r="GQ41" s="4">
        <v>1.8899999999999999E-5</v>
      </c>
      <c r="GR41" s="4">
        <v>1.8700000000000001E-5</v>
      </c>
      <c r="GS41" s="4">
        <v>1.84E-5</v>
      </c>
      <c r="GT41" s="4">
        <v>1.8199999999999999E-5</v>
      </c>
      <c r="GU41" s="4">
        <v>1.7900000000000001E-5</v>
      </c>
      <c r="GV41" s="4">
        <v>1.77E-5</v>
      </c>
      <c r="GW41" s="4">
        <v>1.7399999999999999E-5</v>
      </c>
      <c r="GX41" s="4">
        <v>1.7200000000000001E-5</v>
      </c>
      <c r="GY41" s="4">
        <v>1.7E-5</v>
      </c>
      <c r="GZ41" s="4">
        <v>1.6699999999999999E-5</v>
      </c>
      <c r="HA41" s="4">
        <v>1.6500000000000001E-5</v>
      </c>
      <c r="HB41" s="4">
        <v>1.63E-5</v>
      </c>
      <c r="HC41" s="4">
        <v>1.6099999999999998E-5</v>
      </c>
      <c r="HD41" s="4">
        <v>1.5800000000000001E-5</v>
      </c>
      <c r="HE41" s="4">
        <v>1.56E-5</v>
      </c>
      <c r="HF41" s="4">
        <v>1.5400000000000002E-5</v>
      </c>
      <c r="HG41" s="4">
        <v>1.52E-5</v>
      </c>
      <c r="HH41" s="4">
        <v>1.5E-5</v>
      </c>
      <c r="HI41" s="4">
        <v>1.4800000000000001E-5</v>
      </c>
      <c r="HJ41" s="4">
        <v>1.4600000000000001E-5</v>
      </c>
      <c r="HK41" s="4">
        <v>1.4399999999999999E-5</v>
      </c>
      <c r="HL41" s="4">
        <v>1.42E-5</v>
      </c>
      <c r="HM41" s="4">
        <v>1.4E-5</v>
      </c>
      <c r="HN41" s="4">
        <v>1.38E-5</v>
      </c>
      <c r="HO41" s="4">
        <v>1.3699999999999999E-5</v>
      </c>
      <c r="HP41" s="4">
        <v>1.3499999999999999E-5</v>
      </c>
      <c r="HQ41" s="4">
        <v>1.33E-5</v>
      </c>
      <c r="HR41" s="4">
        <v>1.31E-5</v>
      </c>
      <c r="HS41" s="4">
        <v>1.29E-5</v>
      </c>
      <c r="HT41" s="4">
        <v>1.2799999999999999E-5</v>
      </c>
      <c r="HU41" s="4">
        <v>1.26E-5</v>
      </c>
      <c r="HV41" s="4">
        <v>1.24E-5</v>
      </c>
      <c r="HW41" s="4">
        <v>1.22E-5</v>
      </c>
      <c r="HX41" s="4">
        <v>1.2099999999999999E-5</v>
      </c>
      <c r="HY41" s="4">
        <v>1.19E-5</v>
      </c>
      <c r="HZ41" s="4">
        <v>1.17E-5</v>
      </c>
      <c r="IA41" s="4">
        <v>1.1600000000000001E-5</v>
      </c>
      <c r="IB41" s="4">
        <v>1.1399999999999999E-5</v>
      </c>
      <c r="IC41" s="4">
        <v>1.13E-5</v>
      </c>
      <c r="ID41" s="4">
        <v>1.11E-5</v>
      </c>
      <c r="IE41" s="4">
        <v>1.1E-5</v>
      </c>
      <c r="IF41" s="4">
        <v>1.08E-5</v>
      </c>
      <c r="IG41" s="4">
        <v>7.5449999999999996E-4</v>
      </c>
      <c r="IH41" s="4"/>
      <c r="II41" s="4">
        <f t="shared" si="245"/>
        <v>0.11627280722910865</v>
      </c>
      <c r="IJ41">
        <f t="shared" si="247"/>
        <v>0.35937207499999974</v>
      </c>
      <c r="IN41" s="4"/>
      <c r="IO41" s="4"/>
      <c r="IP41" s="4"/>
      <c r="IQ41" s="4"/>
      <c r="IR41" s="4"/>
      <c r="IS41" s="4"/>
      <c r="IT41" s="4"/>
      <c r="IU41" s="4"/>
      <c r="IV41" s="4"/>
    </row>
    <row r="42" spans="1:256" x14ac:dyDescent="0.35">
      <c r="A42" s="1">
        <v>34</v>
      </c>
      <c r="B42" s="4">
        <v>1.0734799999999999E-2</v>
      </c>
      <c r="C42" s="4">
        <v>1.0734799999999999E-2</v>
      </c>
      <c r="D42" s="4">
        <v>1.0684600000000001E-2</v>
      </c>
      <c r="E42" s="4">
        <v>1.0511599999999999E-2</v>
      </c>
      <c r="F42" s="4">
        <v>9.8198000000000001E-3</v>
      </c>
      <c r="G42" s="4">
        <v>9.2031999999999999E-3</v>
      </c>
      <c r="H42" s="4">
        <v>8.6274999999999998E-3</v>
      </c>
      <c r="I42" s="4">
        <v>8.0292999999999996E-3</v>
      </c>
      <c r="J42" s="4">
        <v>7.5002999999999997E-3</v>
      </c>
      <c r="K42" s="4">
        <v>7.0172000000000003E-3</v>
      </c>
      <c r="L42" s="4">
        <v>6.7270999999999997E-3</v>
      </c>
      <c r="M42" s="4">
        <v>6.3336E-3</v>
      </c>
      <c r="N42" s="4">
        <v>5.9842000000000003E-3</v>
      </c>
      <c r="O42" s="4">
        <v>5.6725999999999999E-3</v>
      </c>
      <c r="P42" s="4">
        <v>5.3939000000000001E-3</v>
      </c>
      <c r="Q42" s="4">
        <v>5.1446E-3</v>
      </c>
      <c r="R42" s="4">
        <v>4.9192000000000003E-3</v>
      </c>
      <c r="S42" s="4">
        <v>4.7153000000000004E-3</v>
      </c>
      <c r="T42" s="4">
        <v>4.5307000000000004E-3</v>
      </c>
      <c r="U42" s="4">
        <v>4.3609E-3</v>
      </c>
      <c r="V42" s="4">
        <v>4.2104000000000004E-3</v>
      </c>
      <c r="W42" s="4">
        <v>4.0705000000000003E-3</v>
      </c>
      <c r="X42" s="4">
        <v>3.9414000000000003E-3</v>
      </c>
      <c r="Y42" s="4">
        <v>3.8227000000000001E-3</v>
      </c>
      <c r="Z42" s="4">
        <v>3.7122000000000001E-3</v>
      </c>
      <c r="AA42" s="4">
        <v>3.6091000000000001E-3</v>
      </c>
      <c r="AB42" s="4">
        <v>3.5122E-3</v>
      </c>
      <c r="AC42" s="4">
        <v>3.4196000000000001E-3</v>
      </c>
      <c r="AD42" s="4">
        <v>3.3286000000000001E-3</v>
      </c>
      <c r="AE42" s="4">
        <v>3.2328000000000001E-3</v>
      </c>
      <c r="AF42" s="4">
        <v>3.1245999999999999E-3</v>
      </c>
      <c r="AG42" s="4">
        <v>2.9158999999999999E-3</v>
      </c>
      <c r="AH42" s="4">
        <v>2.6410000000000001E-3</v>
      </c>
      <c r="AI42" s="4">
        <v>2.1741E-3</v>
      </c>
      <c r="AJ42" s="4">
        <v>2.3741000000000001E-3</v>
      </c>
      <c r="AK42" s="4">
        <v>2.3365999999999999E-3</v>
      </c>
      <c r="AL42" s="4">
        <v>2.3100999999999998E-3</v>
      </c>
      <c r="AM42" s="4">
        <v>2.2837999999999999E-3</v>
      </c>
      <c r="AN42" s="4">
        <v>2.2596000000000001E-3</v>
      </c>
      <c r="AO42" s="4">
        <v>2.2347999999999999E-3</v>
      </c>
      <c r="AP42" s="4">
        <v>2.2095999999999999E-3</v>
      </c>
      <c r="AQ42" s="4">
        <v>2.1836999999999998E-3</v>
      </c>
      <c r="AR42" s="4">
        <v>2.1575000000000001E-3</v>
      </c>
      <c r="AS42" s="4">
        <v>2.1310999999999999E-3</v>
      </c>
      <c r="AT42" s="4">
        <v>2.1045999999999999E-3</v>
      </c>
      <c r="AU42" s="4">
        <v>2.078E-3</v>
      </c>
      <c r="AV42" s="4">
        <v>2.0514999999999999E-3</v>
      </c>
      <c r="AW42" s="4">
        <v>2.0249999999999999E-3</v>
      </c>
      <c r="AX42" s="4">
        <v>1.9987999999999998E-3</v>
      </c>
      <c r="AY42" s="4">
        <v>1.9727E-3</v>
      </c>
      <c r="AZ42" s="4">
        <v>1.9468E-3</v>
      </c>
      <c r="BA42" s="4">
        <v>1.9212000000000001E-3</v>
      </c>
      <c r="BB42" s="4">
        <v>1.8959000000000001E-3</v>
      </c>
      <c r="BC42" s="4">
        <v>1.8707999999999999E-3</v>
      </c>
      <c r="BD42" s="4">
        <v>1.846E-3</v>
      </c>
      <c r="BE42" s="4">
        <v>1.8215E-3</v>
      </c>
      <c r="BF42" s="4">
        <v>1.7972999999999999E-3</v>
      </c>
      <c r="BG42" s="4">
        <v>1.7734000000000001E-3</v>
      </c>
      <c r="BH42" s="4">
        <v>1.7497999999999999E-3</v>
      </c>
      <c r="BI42" s="4">
        <v>1.7265E-3</v>
      </c>
      <c r="BJ42" s="4">
        <v>1.7034999999999999E-3</v>
      </c>
      <c r="BK42" s="4">
        <v>1.6808000000000001E-3</v>
      </c>
      <c r="BL42" s="4">
        <v>1.6584E-3</v>
      </c>
      <c r="BM42" s="4">
        <v>1.6362E-3</v>
      </c>
      <c r="BN42" s="4">
        <v>1.6144E-3</v>
      </c>
      <c r="BO42" s="4">
        <v>1.5927999999999999E-3</v>
      </c>
      <c r="BP42" s="4">
        <v>1.5715E-3</v>
      </c>
      <c r="BQ42" s="4">
        <v>1.5504E-3</v>
      </c>
      <c r="BR42" s="4">
        <v>1.5296000000000001E-3</v>
      </c>
      <c r="BS42" s="4">
        <v>1.5091E-3</v>
      </c>
      <c r="BT42" s="4">
        <v>1.4889E-3</v>
      </c>
      <c r="BU42" s="4">
        <v>1.4687999999999999E-3</v>
      </c>
      <c r="BV42" s="4">
        <v>1.4491E-3</v>
      </c>
      <c r="BW42" s="4">
        <v>1.4295E-3</v>
      </c>
      <c r="BX42" s="4">
        <v>1.4103E-3</v>
      </c>
      <c r="BY42" s="4">
        <v>1.3912E-3</v>
      </c>
      <c r="BZ42" s="4">
        <v>1.3724E-3</v>
      </c>
      <c r="CA42" s="4">
        <v>1.3538000000000001E-3</v>
      </c>
      <c r="CB42" s="4">
        <v>1.3355000000000001E-3</v>
      </c>
      <c r="CC42" s="4">
        <v>1.3174E-3</v>
      </c>
      <c r="CD42" s="4">
        <v>1.2995000000000001E-3</v>
      </c>
      <c r="CE42" s="4">
        <v>1.2818E-3</v>
      </c>
      <c r="CF42" s="4">
        <v>1.2643999999999999E-3</v>
      </c>
      <c r="CG42" s="4">
        <v>1.2470999999999999E-3</v>
      </c>
      <c r="CH42" s="4">
        <v>1.2301E-3</v>
      </c>
      <c r="CI42" s="4">
        <v>1.2133000000000001E-3</v>
      </c>
      <c r="CJ42" s="4">
        <v>1.1967E-3</v>
      </c>
      <c r="CK42" s="4">
        <v>1.1803E-3</v>
      </c>
      <c r="CL42" s="4">
        <v>1.1640999999999999E-3</v>
      </c>
      <c r="CM42" s="4">
        <v>1.1481E-3</v>
      </c>
      <c r="CN42" s="4">
        <v>1.1322999999999999E-3</v>
      </c>
      <c r="CO42" s="4">
        <v>1.1168E-3</v>
      </c>
      <c r="CP42" s="4">
        <v>1.1014E-3</v>
      </c>
      <c r="CQ42" s="4">
        <v>1.0862000000000001E-3</v>
      </c>
      <c r="CR42" s="4">
        <v>1.0712E-3</v>
      </c>
      <c r="CS42" s="4">
        <v>1.0564000000000001E-3</v>
      </c>
      <c r="CT42" s="4">
        <v>1.0418000000000001E-3</v>
      </c>
      <c r="CU42" s="4">
        <v>1.0273999999999999E-3</v>
      </c>
      <c r="CV42" s="4">
        <v>1.0131000000000001E-3</v>
      </c>
      <c r="CW42" s="4">
        <v>9.9909999999999994E-4</v>
      </c>
      <c r="CX42" s="4">
        <v>9.8520000000000009E-4</v>
      </c>
      <c r="CY42" s="4">
        <v>9.7150000000000003E-4</v>
      </c>
      <c r="CZ42" s="4">
        <v>9.5799999999999998E-4</v>
      </c>
      <c r="DA42" s="4">
        <v>9.4459999999999998E-4</v>
      </c>
      <c r="DB42" s="4">
        <v>9.3150000000000004E-4</v>
      </c>
      <c r="DC42" s="4">
        <v>9.1850000000000005E-4</v>
      </c>
      <c r="DD42" s="4">
        <v>9.0569999999999995E-4</v>
      </c>
      <c r="DE42" s="4">
        <v>8.9300000000000002E-4</v>
      </c>
      <c r="DF42" s="4">
        <v>8.8049999999999999E-4</v>
      </c>
      <c r="DG42" s="4">
        <v>8.6819999999999996E-4</v>
      </c>
      <c r="DH42" s="4">
        <v>8.5610000000000005E-4</v>
      </c>
      <c r="DI42" s="4">
        <v>8.4409999999999997E-4</v>
      </c>
      <c r="DJ42" s="4">
        <v>8.3219999999999995E-4</v>
      </c>
      <c r="DK42" s="4">
        <v>8.206E-4</v>
      </c>
      <c r="DL42" s="4">
        <v>8.0909999999999999E-4</v>
      </c>
      <c r="DM42" s="4">
        <v>7.9770000000000004E-4</v>
      </c>
      <c r="DN42" s="4">
        <v>7.8649999999999998E-4</v>
      </c>
      <c r="DO42" s="4">
        <v>7.7539999999999998E-4</v>
      </c>
      <c r="DP42" s="4">
        <v>7.6449999999999999E-4</v>
      </c>
      <c r="DQ42" s="4">
        <v>5.31482E-2</v>
      </c>
      <c r="DR42" s="4">
        <v>0</v>
      </c>
      <c r="DS42" s="4">
        <v>5.02E-5</v>
      </c>
      <c r="DT42" s="4">
        <v>1.7310000000000001E-4</v>
      </c>
      <c r="DU42" s="4">
        <v>6.9189999999999996E-4</v>
      </c>
      <c r="DV42" s="4">
        <v>6.1669999999999997E-4</v>
      </c>
      <c r="DW42" s="4">
        <v>5.7609999999999996E-4</v>
      </c>
      <c r="DX42" s="4">
        <v>5.9860000000000002E-4</v>
      </c>
      <c r="DY42" s="4">
        <v>5.2950000000000002E-4</v>
      </c>
      <c r="DZ42" s="4">
        <v>4.838E-4</v>
      </c>
      <c r="EA42" s="4">
        <v>4.2870000000000001E-4</v>
      </c>
      <c r="EB42" s="4">
        <v>3.946E-4</v>
      </c>
      <c r="EC42" s="4">
        <v>3.5110000000000002E-4</v>
      </c>
      <c r="ED42" s="4">
        <v>3.1379999999999998E-4</v>
      </c>
      <c r="EE42" s="4">
        <v>2.8130000000000001E-4</v>
      </c>
      <c r="EF42" s="4">
        <v>2.5339999999999998E-4</v>
      </c>
      <c r="EG42" s="4">
        <v>2.2910000000000001E-4</v>
      </c>
      <c r="EH42" s="4">
        <v>2.0799999999999999E-4</v>
      </c>
      <c r="EI42" s="4">
        <v>1.895E-4</v>
      </c>
      <c r="EJ42" s="4">
        <v>1.7330000000000001E-4</v>
      </c>
      <c r="EK42" s="4">
        <v>1.5899999999999999E-4</v>
      </c>
      <c r="EL42" s="4">
        <v>1.4660000000000001E-4</v>
      </c>
      <c r="EM42" s="4">
        <v>1.3559999999999999E-4</v>
      </c>
      <c r="EN42" s="4">
        <v>1.2569999999999999E-4</v>
      </c>
      <c r="EO42" s="4">
        <v>1.169E-4</v>
      </c>
      <c r="EP42" s="4">
        <v>1.091E-4</v>
      </c>
      <c r="EQ42" s="4">
        <v>1.021E-4</v>
      </c>
      <c r="ER42" s="4">
        <v>9.5799999999999998E-5</v>
      </c>
      <c r="ES42" s="4">
        <v>9.0099999999999995E-5</v>
      </c>
      <c r="ET42" s="4">
        <v>8.4900000000000004E-5</v>
      </c>
      <c r="EU42" s="4">
        <v>7.9900000000000004E-5</v>
      </c>
      <c r="EV42" s="4">
        <v>7.4999999999999993E-5</v>
      </c>
      <c r="EW42" s="4">
        <v>6.7899999999999997E-5</v>
      </c>
      <c r="EX42" s="4">
        <v>5.9899999999999999E-5</v>
      </c>
      <c r="EY42" s="4">
        <v>4.8099999999999997E-5</v>
      </c>
      <c r="EZ42" s="4">
        <v>5.1999999999999997E-5</v>
      </c>
      <c r="FA42" s="4">
        <v>4.9799999999999998E-5</v>
      </c>
      <c r="FB42" s="4">
        <v>4.8000000000000001E-5</v>
      </c>
      <c r="FC42" s="4">
        <v>4.6300000000000001E-5</v>
      </c>
      <c r="FD42" s="4">
        <v>4.4700000000000002E-5</v>
      </c>
      <c r="FE42" s="4">
        <v>4.3300000000000002E-5</v>
      </c>
      <c r="FF42" s="4">
        <v>4.1900000000000002E-5</v>
      </c>
      <c r="FG42" s="4">
        <v>4.0500000000000002E-5</v>
      </c>
      <c r="FH42" s="4">
        <v>3.9199999999999997E-5</v>
      </c>
      <c r="FI42" s="4">
        <v>3.8000000000000002E-5</v>
      </c>
      <c r="FJ42" s="4">
        <v>3.68E-5</v>
      </c>
      <c r="FK42" s="4">
        <v>3.5800000000000003E-5</v>
      </c>
      <c r="FL42" s="4">
        <v>3.4700000000000003E-5</v>
      </c>
      <c r="FM42" s="4">
        <v>3.3699999999999999E-5</v>
      </c>
      <c r="FN42" s="4">
        <v>3.2799999999999998E-5</v>
      </c>
      <c r="FO42" s="4">
        <v>3.1900000000000003E-5</v>
      </c>
      <c r="FP42" s="4">
        <v>3.1099999999999997E-5</v>
      </c>
      <c r="FQ42" s="4">
        <v>3.0300000000000001E-5</v>
      </c>
      <c r="FR42" s="4">
        <v>2.9600000000000001E-5</v>
      </c>
      <c r="FS42" s="4">
        <v>2.8900000000000001E-5</v>
      </c>
      <c r="FT42" s="4">
        <v>2.8200000000000001E-5</v>
      </c>
      <c r="FU42" s="4">
        <v>2.76E-5</v>
      </c>
      <c r="FV42" s="4">
        <v>2.6999999999999999E-5</v>
      </c>
      <c r="FW42" s="4">
        <v>2.6400000000000001E-5</v>
      </c>
      <c r="FX42" s="4">
        <v>2.5899999999999999E-5</v>
      </c>
      <c r="FY42" s="4">
        <v>2.5400000000000001E-5</v>
      </c>
      <c r="FZ42" s="4">
        <v>2.4899999999999999E-5</v>
      </c>
      <c r="GA42" s="4">
        <v>2.44E-5</v>
      </c>
      <c r="GB42" s="4">
        <v>2.4000000000000001E-5</v>
      </c>
      <c r="GC42" s="4">
        <v>2.3600000000000001E-5</v>
      </c>
      <c r="GD42" s="4">
        <v>2.3200000000000001E-5</v>
      </c>
      <c r="GE42" s="4">
        <v>2.2799999999999999E-5</v>
      </c>
      <c r="GF42" s="4">
        <v>2.2399999999999999E-5</v>
      </c>
      <c r="GG42" s="4">
        <v>2.1999999999999999E-5</v>
      </c>
      <c r="GH42" s="4">
        <v>2.1699999999999999E-5</v>
      </c>
      <c r="GI42" s="4">
        <v>2.1299999999999999E-5</v>
      </c>
      <c r="GJ42" s="4">
        <v>2.0999999999999999E-5</v>
      </c>
      <c r="GK42" s="4">
        <v>2.0699999999999998E-5</v>
      </c>
      <c r="GL42" s="4">
        <v>2.0400000000000001E-5</v>
      </c>
      <c r="GM42" s="4">
        <v>2.0100000000000001E-5</v>
      </c>
      <c r="GN42" s="4">
        <v>1.98E-5</v>
      </c>
      <c r="GO42" s="4">
        <v>1.95E-5</v>
      </c>
      <c r="GP42" s="4">
        <v>1.9199999999999999E-5</v>
      </c>
      <c r="GQ42" s="4">
        <v>1.8899999999999999E-5</v>
      </c>
      <c r="GR42" s="4">
        <v>1.8700000000000001E-5</v>
      </c>
      <c r="GS42" s="4">
        <v>1.84E-5</v>
      </c>
      <c r="GT42" s="4">
        <v>1.8199999999999999E-5</v>
      </c>
      <c r="GU42" s="4">
        <v>1.7900000000000001E-5</v>
      </c>
      <c r="GV42" s="4">
        <v>1.77E-5</v>
      </c>
      <c r="GW42" s="4">
        <v>1.7399999999999999E-5</v>
      </c>
      <c r="GX42" s="4">
        <v>1.7200000000000001E-5</v>
      </c>
      <c r="GY42" s="4">
        <v>1.6900000000000001E-5</v>
      </c>
      <c r="GZ42" s="4">
        <v>1.6699999999999999E-5</v>
      </c>
      <c r="HA42" s="4">
        <v>1.6500000000000001E-5</v>
      </c>
      <c r="HB42" s="4">
        <v>1.63E-5</v>
      </c>
      <c r="HC42" s="4">
        <v>1.6099999999999998E-5</v>
      </c>
      <c r="HD42" s="4">
        <v>1.5800000000000001E-5</v>
      </c>
      <c r="HE42" s="4">
        <v>1.56E-5</v>
      </c>
      <c r="HF42" s="4">
        <v>1.5400000000000002E-5</v>
      </c>
      <c r="HG42" s="4">
        <v>1.52E-5</v>
      </c>
      <c r="HH42" s="4">
        <v>1.5E-5</v>
      </c>
      <c r="HI42" s="4">
        <v>1.4800000000000001E-5</v>
      </c>
      <c r="HJ42" s="4">
        <v>1.4600000000000001E-5</v>
      </c>
      <c r="HK42" s="4">
        <v>1.4399999999999999E-5</v>
      </c>
      <c r="HL42" s="4">
        <v>1.42E-5</v>
      </c>
      <c r="HM42" s="4">
        <v>1.4E-5</v>
      </c>
      <c r="HN42" s="4">
        <v>1.38E-5</v>
      </c>
      <c r="HO42" s="4">
        <v>1.36E-5</v>
      </c>
      <c r="HP42" s="4">
        <v>1.3499999999999999E-5</v>
      </c>
      <c r="HQ42" s="4">
        <v>1.33E-5</v>
      </c>
      <c r="HR42" s="4">
        <v>1.31E-5</v>
      </c>
      <c r="HS42" s="4">
        <v>1.29E-5</v>
      </c>
      <c r="HT42" s="4">
        <v>1.27E-5</v>
      </c>
      <c r="HU42" s="4">
        <v>1.26E-5</v>
      </c>
      <c r="HV42" s="4">
        <v>1.24E-5</v>
      </c>
      <c r="HW42" s="4">
        <v>1.22E-5</v>
      </c>
      <c r="HX42" s="4">
        <v>1.2099999999999999E-5</v>
      </c>
      <c r="HY42" s="4">
        <v>1.19E-5</v>
      </c>
      <c r="HZ42" s="4">
        <v>1.17E-5</v>
      </c>
      <c r="IA42" s="4">
        <v>1.1600000000000001E-5</v>
      </c>
      <c r="IB42" s="4">
        <v>1.1399999999999999E-5</v>
      </c>
      <c r="IC42" s="4">
        <v>1.13E-5</v>
      </c>
      <c r="ID42" s="4">
        <v>1.11E-5</v>
      </c>
      <c r="IE42" s="4">
        <v>1.1E-5</v>
      </c>
      <c r="IF42" s="4">
        <v>1.08E-5</v>
      </c>
      <c r="IG42" s="4">
        <v>7.5449999999999996E-4</v>
      </c>
      <c r="IH42" s="4"/>
      <c r="II42" s="4">
        <f t="shared" si="245"/>
        <v>0.11611302907459163</v>
      </c>
      <c r="IJ42">
        <f t="shared" si="247"/>
        <v>0.35934382499999978</v>
      </c>
      <c r="IN42" s="4"/>
      <c r="IO42" s="4"/>
      <c r="IP42" s="4"/>
      <c r="IQ42" s="4"/>
      <c r="IR42" s="4"/>
      <c r="IS42" s="4"/>
      <c r="IT42" s="4"/>
      <c r="IU42" s="4"/>
      <c r="IV42" s="4"/>
    </row>
    <row r="43" spans="1:256" x14ac:dyDescent="0.35">
      <c r="A43" s="1">
        <v>35</v>
      </c>
      <c r="B43" s="4">
        <v>1.0734799999999999E-2</v>
      </c>
      <c r="C43" s="4">
        <v>1.0734799999999999E-2</v>
      </c>
      <c r="D43" s="4">
        <v>1.0684600000000001E-2</v>
      </c>
      <c r="E43" s="4">
        <v>1.05115E-2</v>
      </c>
      <c r="F43" s="4">
        <v>9.8195999999999995E-3</v>
      </c>
      <c r="G43" s="4">
        <v>9.2031000000000005E-3</v>
      </c>
      <c r="H43" s="4">
        <v>8.6271000000000004E-3</v>
      </c>
      <c r="I43" s="4">
        <v>8.0289000000000003E-3</v>
      </c>
      <c r="J43" s="4">
        <v>7.4998E-3</v>
      </c>
      <c r="K43" s="4">
        <v>7.0165000000000002E-3</v>
      </c>
      <c r="L43" s="4">
        <v>6.5884000000000003E-3</v>
      </c>
      <c r="M43" s="4">
        <v>6.3324999999999996E-3</v>
      </c>
      <c r="N43" s="4">
        <v>5.9825E-3</v>
      </c>
      <c r="O43" s="4">
        <v>5.6703999999999999E-3</v>
      </c>
      <c r="P43" s="4">
        <v>5.3911999999999996E-3</v>
      </c>
      <c r="Q43" s="4">
        <v>5.1405000000000001E-3</v>
      </c>
      <c r="R43" s="4">
        <v>4.9154999999999997E-3</v>
      </c>
      <c r="S43" s="4">
        <v>4.7111999999999996E-3</v>
      </c>
      <c r="T43" s="4">
        <v>4.5258E-3</v>
      </c>
      <c r="U43" s="4">
        <v>4.3572999999999997E-3</v>
      </c>
      <c r="V43" s="4">
        <v>4.2018999999999997E-3</v>
      </c>
      <c r="W43" s="4">
        <v>4.0637E-3</v>
      </c>
      <c r="X43" s="4">
        <v>3.9348999999999999E-3</v>
      </c>
      <c r="Y43" s="4">
        <v>3.8157E-3</v>
      </c>
      <c r="Z43" s="4">
        <v>3.7057000000000001E-3</v>
      </c>
      <c r="AA43" s="4">
        <v>3.6031000000000001E-3</v>
      </c>
      <c r="AB43" s="4">
        <v>3.5070000000000001E-3</v>
      </c>
      <c r="AC43" s="4">
        <v>3.4164E-3</v>
      </c>
      <c r="AD43" s="4">
        <v>3.3295E-3</v>
      </c>
      <c r="AE43" s="4">
        <v>3.2437E-3</v>
      </c>
      <c r="AF43" s="4">
        <v>3.1529000000000001E-3</v>
      </c>
      <c r="AG43" s="4">
        <v>3.0496E-3</v>
      </c>
      <c r="AH43" s="4">
        <v>2.8479E-3</v>
      </c>
      <c r="AI43" s="4">
        <v>2.5810999999999998E-3</v>
      </c>
      <c r="AJ43" s="4">
        <v>2.1259999999999999E-3</v>
      </c>
      <c r="AK43" s="4">
        <v>2.3221000000000001E-3</v>
      </c>
      <c r="AL43" s="4">
        <v>2.2867999999999999E-3</v>
      </c>
      <c r="AM43" s="4">
        <v>2.2621E-3</v>
      </c>
      <c r="AN43" s="4">
        <v>2.2374999999999999E-3</v>
      </c>
      <c r="AO43" s="4">
        <v>2.2149000000000001E-3</v>
      </c>
      <c r="AP43" s="4">
        <v>2.1914999999999999E-3</v>
      </c>
      <c r="AQ43" s="4">
        <v>2.1676999999999998E-3</v>
      </c>
      <c r="AR43" s="4">
        <v>2.1432000000000001E-3</v>
      </c>
      <c r="AS43" s="4">
        <v>2.1183E-3</v>
      </c>
      <c r="AT43" s="4">
        <v>2.0931000000000001E-3</v>
      </c>
      <c r="AU43" s="4">
        <v>2.0677E-3</v>
      </c>
      <c r="AV43" s="4">
        <v>2.0422000000000001E-3</v>
      </c>
      <c r="AW43" s="4">
        <v>2.0167000000000002E-3</v>
      </c>
      <c r="AX43" s="4">
        <v>1.9913000000000001E-3</v>
      </c>
      <c r="AY43" s="4">
        <v>1.9659999999999999E-3</v>
      </c>
      <c r="AZ43" s="4">
        <v>1.9407999999999999E-3</v>
      </c>
      <c r="BA43" s="4">
        <v>1.9157E-3</v>
      </c>
      <c r="BB43" s="4">
        <v>1.8909E-3</v>
      </c>
      <c r="BC43" s="4">
        <v>1.8663E-3</v>
      </c>
      <c r="BD43" s="4">
        <v>1.8419E-3</v>
      </c>
      <c r="BE43" s="4">
        <v>1.8178000000000001E-3</v>
      </c>
      <c r="BF43" s="4">
        <v>1.7939E-3</v>
      </c>
      <c r="BG43" s="4">
        <v>1.7703E-3</v>
      </c>
      <c r="BH43" s="4">
        <v>1.7470000000000001E-3</v>
      </c>
      <c r="BI43" s="4">
        <v>1.7239E-3</v>
      </c>
      <c r="BJ43" s="4">
        <v>1.7011000000000001E-3</v>
      </c>
      <c r="BK43" s="4">
        <v>1.6785999999999999E-3</v>
      </c>
      <c r="BL43" s="4">
        <v>1.6563999999999999E-3</v>
      </c>
      <c r="BM43" s="4">
        <v>1.6344E-3</v>
      </c>
      <c r="BN43" s="4">
        <v>1.6126999999999999E-3</v>
      </c>
      <c r="BO43" s="4">
        <v>1.5912000000000001E-3</v>
      </c>
      <c r="BP43" s="4">
        <v>1.57E-3</v>
      </c>
      <c r="BQ43" s="4">
        <v>1.5491000000000001E-3</v>
      </c>
      <c r="BR43" s="4">
        <v>1.5284000000000001E-3</v>
      </c>
      <c r="BS43" s="4">
        <v>1.508E-3</v>
      </c>
      <c r="BT43" s="4">
        <v>1.4878000000000001E-3</v>
      </c>
      <c r="BU43" s="4">
        <v>1.4679000000000001E-3</v>
      </c>
      <c r="BV43" s="4">
        <v>1.4482E-3</v>
      </c>
      <c r="BW43" s="4">
        <v>1.4287E-3</v>
      </c>
      <c r="BX43" s="4">
        <v>1.4094999999999999E-3</v>
      </c>
      <c r="BY43" s="4">
        <v>1.3905E-3</v>
      </c>
      <c r="BZ43" s="4">
        <v>1.3717E-3</v>
      </c>
      <c r="CA43" s="4">
        <v>1.3531999999999999E-3</v>
      </c>
      <c r="CB43" s="4">
        <v>1.3349E-3</v>
      </c>
      <c r="CC43" s="4">
        <v>1.3167999999999999E-3</v>
      </c>
      <c r="CD43" s="4">
        <v>1.299E-3</v>
      </c>
      <c r="CE43" s="4">
        <v>1.2813E-3</v>
      </c>
      <c r="CF43" s="4">
        <v>1.2639000000000001E-3</v>
      </c>
      <c r="CG43" s="4">
        <v>1.2466999999999999E-3</v>
      </c>
      <c r="CH43" s="4">
        <v>1.2297E-3</v>
      </c>
      <c r="CI43" s="4">
        <v>1.2129E-3</v>
      </c>
      <c r="CJ43" s="4">
        <v>1.1963E-3</v>
      </c>
      <c r="CK43" s="4">
        <v>1.1800000000000001E-3</v>
      </c>
      <c r="CL43" s="4">
        <v>1.1638E-3</v>
      </c>
      <c r="CM43" s="4">
        <v>1.1478E-3</v>
      </c>
      <c r="CN43" s="4">
        <v>1.1321E-3</v>
      </c>
      <c r="CO43" s="4">
        <v>1.1165000000000001E-3</v>
      </c>
      <c r="CP43" s="4">
        <v>1.1011E-3</v>
      </c>
      <c r="CQ43" s="4">
        <v>1.0859999999999999E-3</v>
      </c>
      <c r="CR43" s="4">
        <v>1.0709999999999999E-3</v>
      </c>
      <c r="CS43" s="4">
        <v>1.0562E-3</v>
      </c>
      <c r="CT43" s="4">
        <v>1.0415999999999999E-3</v>
      </c>
      <c r="CU43" s="4">
        <v>1.0272E-3</v>
      </c>
      <c r="CV43" s="4">
        <v>1.0129E-3</v>
      </c>
      <c r="CW43" s="4">
        <v>9.9890000000000005E-4</v>
      </c>
      <c r="CX43" s="4">
        <v>9.8499999999999998E-4</v>
      </c>
      <c r="CY43" s="4">
        <v>9.7130000000000003E-4</v>
      </c>
      <c r="CZ43" s="4">
        <v>9.5779999999999997E-4</v>
      </c>
      <c r="DA43" s="4">
        <v>9.4450000000000003E-4</v>
      </c>
      <c r="DB43" s="4">
        <v>9.3139999999999998E-4</v>
      </c>
      <c r="DC43" s="4">
        <v>9.1839999999999999E-4</v>
      </c>
      <c r="DD43" s="4">
        <v>9.056E-4</v>
      </c>
      <c r="DE43" s="4">
        <v>8.9289999999999997E-4</v>
      </c>
      <c r="DF43" s="4">
        <v>8.8040000000000004E-4</v>
      </c>
      <c r="DG43" s="4">
        <v>8.6810000000000001E-4</v>
      </c>
      <c r="DH43" s="4">
        <v>8.5599999999999999E-4</v>
      </c>
      <c r="DI43" s="4">
        <v>8.4400000000000002E-4</v>
      </c>
      <c r="DJ43" s="4">
        <v>8.3219999999999995E-4</v>
      </c>
      <c r="DK43" s="4">
        <v>8.2050000000000005E-4</v>
      </c>
      <c r="DL43" s="4">
        <v>8.0900000000000004E-4</v>
      </c>
      <c r="DM43" s="4">
        <v>7.9759999999999998E-4</v>
      </c>
      <c r="DN43" s="4">
        <v>7.8640000000000003E-4</v>
      </c>
      <c r="DO43" s="4">
        <v>7.7539999999999998E-4</v>
      </c>
      <c r="DP43" s="4">
        <v>7.6449999999999999E-4</v>
      </c>
      <c r="DQ43" s="4">
        <v>5.3147399999999997E-2</v>
      </c>
      <c r="DR43" s="4">
        <v>0</v>
      </c>
      <c r="DS43" s="4">
        <v>5.02E-5</v>
      </c>
      <c r="DT43" s="4">
        <v>1.7320000000000001E-4</v>
      </c>
      <c r="DU43" s="4">
        <v>6.9209999999999996E-4</v>
      </c>
      <c r="DV43" s="4">
        <v>6.1680000000000003E-4</v>
      </c>
      <c r="DW43" s="4">
        <v>5.7609999999999996E-4</v>
      </c>
      <c r="DX43" s="4">
        <v>5.9869999999999997E-4</v>
      </c>
      <c r="DY43" s="4">
        <v>5.2950000000000002E-4</v>
      </c>
      <c r="DZ43" s="4">
        <v>4.838E-4</v>
      </c>
      <c r="EA43" s="4">
        <v>4.2870000000000001E-4</v>
      </c>
      <c r="EB43" s="4">
        <v>3.8279999999999998E-4</v>
      </c>
      <c r="EC43" s="4">
        <v>3.5100000000000002E-4</v>
      </c>
      <c r="ED43" s="4">
        <v>3.1379999999999998E-4</v>
      </c>
      <c r="EE43" s="4">
        <v>2.8130000000000001E-4</v>
      </c>
      <c r="EF43" s="4">
        <v>2.5329999999999998E-4</v>
      </c>
      <c r="EG43" s="4">
        <v>2.2890000000000001E-4</v>
      </c>
      <c r="EH43" s="4">
        <v>2.0790000000000001E-4</v>
      </c>
      <c r="EI43" s="4">
        <v>1.894E-4</v>
      </c>
      <c r="EJ43" s="4">
        <v>1.7320000000000001E-4</v>
      </c>
      <c r="EK43" s="4">
        <v>1.5899999999999999E-4</v>
      </c>
      <c r="EL43" s="4">
        <v>1.4630000000000001E-4</v>
      </c>
      <c r="EM43" s="4">
        <v>1.3540000000000001E-4</v>
      </c>
      <c r="EN43" s="4">
        <v>1.2559999999999999E-4</v>
      </c>
      <c r="EO43" s="4">
        <v>1.1680000000000001E-4</v>
      </c>
      <c r="EP43" s="4">
        <v>1.0900000000000001E-4</v>
      </c>
      <c r="EQ43" s="4">
        <v>1.02E-4</v>
      </c>
      <c r="ER43" s="4">
        <v>9.5699999999999995E-5</v>
      </c>
      <c r="ES43" s="4">
        <v>9.0099999999999995E-5</v>
      </c>
      <c r="ET43" s="4">
        <v>8.4900000000000004E-5</v>
      </c>
      <c r="EU43" s="4">
        <v>8.0199999999999998E-5</v>
      </c>
      <c r="EV43" s="4">
        <v>7.5699999999999997E-5</v>
      </c>
      <c r="EW43" s="4">
        <v>7.1199999999999996E-5</v>
      </c>
      <c r="EX43" s="4">
        <v>6.4599999999999998E-5</v>
      </c>
      <c r="EY43" s="4">
        <v>5.7000000000000003E-5</v>
      </c>
      <c r="EZ43" s="4">
        <v>4.5800000000000002E-5</v>
      </c>
      <c r="FA43" s="4">
        <v>4.9599999999999999E-5</v>
      </c>
      <c r="FB43" s="4">
        <v>4.7599999999999998E-5</v>
      </c>
      <c r="FC43" s="4">
        <v>4.5899999999999998E-5</v>
      </c>
      <c r="FD43" s="4">
        <v>4.4299999999999999E-5</v>
      </c>
      <c r="FE43" s="4">
        <v>4.2899999999999999E-5</v>
      </c>
      <c r="FF43" s="4">
        <v>4.1499999999999999E-5</v>
      </c>
      <c r="FG43" s="4">
        <v>4.0200000000000001E-5</v>
      </c>
      <c r="FH43" s="4">
        <v>3.8999999999999999E-5</v>
      </c>
      <c r="FI43" s="4">
        <v>3.7799999999999997E-5</v>
      </c>
      <c r="FJ43" s="4">
        <v>3.6600000000000002E-5</v>
      </c>
      <c r="FK43" s="4">
        <v>3.5599999999999998E-5</v>
      </c>
      <c r="FL43" s="4">
        <v>3.4600000000000001E-5</v>
      </c>
      <c r="FM43" s="4">
        <v>3.3599999999999997E-5</v>
      </c>
      <c r="FN43" s="4">
        <v>3.2700000000000002E-5</v>
      </c>
      <c r="FO43" s="4">
        <v>3.18E-5</v>
      </c>
      <c r="FP43" s="4">
        <v>3.1000000000000001E-5</v>
      </c>
      <c r="FQ43" s="4">
        <v>3.0199999999999999E-5</v>
      </c>
      <c r="FR43" s="4">
        <v>2.9499999999999999E-5</v>
      </c>
      <c r="FS43" s="4">
        <v>2.8799999999999999E-5</v>
      </c>
      <c r="FT43" s="4">
        <v>2.8200000000000001E-5</v>
      </c>
      <c r="FU43" s="4">
        <v>2.7500000000000001E-5</v>
      </c>
      <c r="FV43" s="4">
        <v>2.69E-5</v>
      </c>
      <c r="FW43" s="4">
        <v>2.6400000000000001E-5</v>
      </c>
      <c r="FX43" s="4">
        <v>2.58E-5</v>
      </c>
      <c r="FY43" s="4">
        <v>2.5299999999999998E-5</v>
      </c>
      <c r="FZ43" s="4">
        <v>2.4899999999999999E-5</v>
      </c>
      <c r="GA43" s="4">
        <v>2.44E-5</v>
      </c>
      <c r="GB43" s="4">
        <v>2.3900000000000002E-5</v>
      </c>
      <c r="GC43" s="4">
        <v>2.3499999999999999E-5</v>
      </c>
      <c r="GD43" s="4">
        <v>2.3099999999999999E-5</v>
      </c>
      <c r="GE43" s="4">
        <v>2.27E-5</v>
      </c>
      <c r="GF43" s="4">
        <v>2.2399999999999999E-5</v>
      </c>
      <c r="GG43" s="4">
        <v>2.1999999999999999E-5</v>
      </c>
      <c r="GH43" s="4">
        <v>2.16E-5</v>
      </c>
      <c r="GI43" s="4">
        <v>2.1299999999999999E-5</v>
      </c>
      <c r="GJ43" s="4">
        <v>2.0999999999999999E-5</v>
      </c>
      <c r="GK43" s="4">
        <v>2.0699999999999998E-5</v>
      </c>
      <c r="GL43" s="4">
        <v>2.0299999999999999E-5</v>
      </c>
      <c r="GM43" s="4">
        <v>2.0000000000000002E-5</v>
      </c>
      <c r="GN43" s="4">
        <v>1.98E-5</v>
      </c>
      <c r="GO43" s="4">
        <v>1.95E-5</v>
      </c>
      <c r="GP43" s="4">
        <v>1.9199999999999999E-5</v>
      </c>
      <c r="GQ43" s="4">
        <v>1.8899999999999999E-5</v>
      </c>
      <c r="GR43" s="4">
        <v>1.8700000000000001E-5</v>
      </c>
      <c r="GS43" s="4">
        <v>1.84E-5</v>
      </c>
      <c r="GT43" s="4">
        <v>1.8099999999999999E-5</v>
      </c>
      <c r="GU43" s="4">
        <v>1.7900000000000001E-5</v>
      </c>
      <c r="GV43" s="4">
        <v>1.7600000000000001E-5</v>
      </c>
      <c r="GW43" s="4">
        <v>1.7399999999999999E-5</v>
      </c>
      <c r="GX43" s="4">
        <v>1.7200000000000001E-5</v>
      </c>
      <c r="GY43" s="4">
        <v>1.6900000000000001E-5</v>
      </c>
      <c r="GZ43" s="4">
        <v>1.6699999999999999E-5</v>
      </c>
      <c r="HA43" s="4">
        <v>1.6500000000000001E-5</v>
      </c>
      <c r="HB43" s="4">
        <v>1.63E-5</v>
      </c>
      <c r="HC43" s="4">
        <v>1.5999999999999999E-5</v>
      </c>
      <c r="HD43" s="4">
        <v>1.5800000000000001E-5</v>
      </c>
      <c r="HE43" s="4">
        <v>1.56E-5</v>
      </c>
      <c r="HF43" s="4">
        <v>1.5400000000000002E-5</v>
      </c>
      <c r="HG43" s="4">
        <v>1.52E-5</v>
      </c>
      <c r="HH43" s="4">
        <v>1.5E-5</v>
      </c>
      <c r="HI43" s="4">
        <v>1.4800000000000001E-5</v>
      </c>
      <c r="HJ43" s="4">
        <v>1.4600000000000001E-5</v>
      </c>
      <c r="HK43" s="4">
        <v>1.4399999999999999E-5</v>
      </c>
      <c r="HL43" s="4">
        <v>1.42E-5</v>
      </c>
      <c r="HM43" s="4">
        <v>1.4E-5</v>
      </c>
      <c r="HN43" s="4">
        <v>1.38E-5</v>
      </c>
      <c r="HO43" s="4">
        <v>1.36E-5</v>
      </c>
      <c r="HP43" s="4">
        <v>1.3499999999999999E-5</v>
      </c>
      <c r="HQ43" s="4">
        <v>1.33E-5</v>
      </c>
      <c r="HR43" s="4">
        <v>1.31E-5</v>
      </c>
      <c r="HS43" s="4">
        <v>1.29E-5</v>
      </c>
      <c r="HT43" s="4">
        <v>1.27E-5</v>
      </c>
      <c r="HU43" s="4">
        <v>1.26E-5</v>
      </c>
      <c r="HV43" s="4">
        <v>1.24E-5</v>
      </c>
      <c r="HW43" s="4">
        <v>1.22E-5</v>
      </c>
      <c r="HX43" s="4">
        <v>1.2099999999999999E-5</v>
      </c>
      <c r="HY43" s="4">
        <v>1.19E-5</v>
      </c>
      <c r="HZ43" s="4">
        <v>1.17E-5</v>
      </c>
      <c r="IA43" s="4">
        <v>1.1600000000000001E-5</v>
      </c>
      <c r="IB43" s="4">
        <v>1.1399999999999999E-5</v>
      </c>
      <c r="IC43" s="4">
        <v>1.13E-5</v>
      </c>
      <c r="ID43" s="4">
        <v>1.11E-5</v>
      </c>
      <c r="IE43" s="4">
        <v>1.1E-5</v>
      </c>
      <c r="IF43" s="4">
        <v>1.08E-5</v>
      </c>
      <c r="IG43" s="4">
        <v>7.5449999999999996E-4</v>
      </c>
      <c r="IH43" s="4"/>
      <c r="II43" s="4">
        <f t="shared" si="245"/>
        <v>0.11598626531532243</v>
      </c>
      <c r="IJ43">
        <f t="shared" si="247"/>
        <v>0.35933478749999986</v>
      </c>
      <c r="IN43" s="4"/>
      <c r="IO43" s="4"/>
      <c r="IP43" s="4"/>
      <c r="IQ43" s="4"/>
      <c r="IR43" s="4"/>
      <c r="IS43" s="4"/>
      <c r="IT43" s="4"/>
      <c r="IU43" s="4"/>
      <c r="IV43" s="4"/>
    </row>
    <row r="44" spans="1:256" x14ac:dyDescent="0.35">
      <c r="A44" s="1">
        <v>36</v>
      </c>
      <c r="B44" s="4">
        <v>1.0734799999999999E-2</v>
      </c>
      <c r="C44" s="4">
        <v>1.0734799999999999E-2</v>
      </c>
      <c r="D44" s="4">
        <v>1.0684600000000001E-2</v>
      </c>
      <c r="E44" s="4">
        <v>1.0511400000000001E-2</v>
      </c>
      <c r="F44" s="4">
        <v>9.8194000000000007E-3</v>
      </c>
      <c r="G44" s="4">
        <v>9.2028000000000006E-3</v>
      </c>
      <c r="H44" s="4">
        <v>8.6271000000000004E-3</v>
      </c>
      <c r="I44" s="4">
        <v>8.0283999999999998E-3</v>
      </c>
      <c r="J44" s="4">
        <v>7.4993999999999998E-3</v>
      </c>
      <c r="K44" s="4">
        <v>7.0159000000000003E-3</v>
      </c>
      <c r="L44" s="4">
        <v>6.5878000000000004E-3</v>
      </c>
      <c r="M44" s="4">
        <v>6.2056000000000004E-3</v>
      </c>
      <c r="N44" s="4">
        <v>5.9814999999999998E-3</v>
      </c>
      <c r="O44" s="4">
        <v>5.6686999999999996E-3</v>
      </c>
      <c r="P44" s="4">
        <v>5.3891E-3</v>
      </c>
      <c r="Q44" s="4">
        <v>5.1378999999999999E-3</v>
      </c>
      <c r="R44" s="4">
        <v>4.9116000000000003E-3</v>
      </c>
      <c r="S44" s="4">
        <v>4.7076000000000002E-3</v>
      </c>
      <c r="T44" s="4">
        <v>4.5218000000000003E-3</v>
      </c>
      <c r="U44" s="4">
        <v>4.3524999999999996E-3</v>
      </c>
      <c r="V44" s="4">
        <v>4.1983000000000003E-3</v>
      </c>
      <c r="W44" s="4">
        <v>4.0556000000000004E-3</v>
      </c>
      <c r="X44" s="4">
        <v>3.9283E-3</v>
      </c>
      <c r="Y44" s="4">
        <v>3.8094000000000001E-3</v>
      </c>
      <c r="Z44" s="4">
        <v>3.6989000000000002E-3</v>
      </c>
      <c r="AA44" s="4">
        <v>3.5967E-3</v>
      </c>
      <c r="AB44" s="4">
        <v>3.5011E-3</v>
      </c>
      <c r="AC44" s="4">
        <v>3.4112999999999999E-3</v>
      </c>
      <c r="AD44" s="4">
        <v>3.3262999999999999E-3</v>
      </c>
      <c r="AE44" s="4">
        <v>3.2445999999999998E-3</v>
      </c>
      <c r="AF44" s="4">
        <v>3.1635000000000001E-3</v>
      </c>
      <c r="AG44" s="4">
        <v>3.0772E-3</v>
      </c>
      <c r="AH44" s="4">
        <v>2.9784E-3</v>
      </c>
      <c r="AI44" s="4">
        <v>2.7834000000000001E-3</v>
      </c>
      <c r="AJ44" s="4">
        <v>2.5241E-3</v>
      </c>
      <c r="AK44" s="4">
        <v>2.0801999999999999E-3</v>
      </c>
      <c r="AL44" s="4">
        <v>2.2726000000000001E-3</v>
      </c>
      <c r="AM44" s="4">
        <v>2.2391999999999998E-3</v>
      </c>
      <c r="AN44" s="4">
        <v>2.2162000000000002E-3</v>
      </c>
      <c r="AO44" s="4">
        <v>2.1932000000000002E-3</v>
      </c>
      <c r="AP44" s="4">
        <v>2.1719999999999999E-3</v>
      </c>
      <c r="AQ44" s="4">
        <v>2.15E-3</v>
      </c>
      <c r="AR44" s="4">
        <v>2.1275000000000001E-3</v>
      </c>
      <c r="AS44" s="4">
        <v>2.1042000000000001E-3</v>
      </c>
      <c r="AT44" s="4">
        <v>2.0804999999999999E-3</v>
      </c>
      <c r="AU44" s="4">
        <v>2.0565000000000002E-3</v>
      </c>
      <c r="AV44" s="4">
        <v>2.0320999999999998E-3</v>
      </c>
      <c r="AW44" s="4">
        <v>2.0076999999999998E-3</v>
      </c>
      <c r="AX44" s="4">
        <v>1.9832000000000001E-3</v>
      </c>
      <c r="AY44" s="4">
        <v>1.9586E-3</v>
      </c>
      <c r="AZ44" s="4">
        <v>1.9341E-3</v>
      </c>
      <c r="BA44" s="4">
        <v>1.9097999999999999E-3</v>
      </c>
      <c r="BB44" s="4">
        <v>1.8855E-3</v>
      </c>
      <c r="BC44" s="4">
        <v>1.8614E-3</v>
      </c>
      <c r="BD44" s="4">
        <v>1.8374999999999999E-3</v>
      </c>
      <c r="BE44" s="4">
        <v>1.8138E-3</v>
      </c>
      <c r="BF44" s="4">
        <v>1.7902E-3</v>
      </c>
      <c r="BG44" s="4">
        <v>1.7669999999999999E-3</v>
      </c>
      <c r="BH44" s="4">
        <v>1.7439000000000001E-3</v>
      </c>
      <c r="BI44" s="4">
        <v>1.7210999999999999E-3</v>
      </c>
      <c r="BJ44" s="4">
        <v>1.6986E-3</v>
      </c>
      <c r="BK44" s="4">
        <v>1.6762999999999999E-3</v>
      </c>
      <c r="BL44" s="4">
        <v>1.6542E-3</v>
      </c>
      <c r="BM44" s="4">
        <v>1.6324E-3</v>
      </c>
      <c r="BN44" s="4">
        <v>1.6107999999999999E-3</v>
      </c>
      <c r="BO44" s="4">
        <v>1.5895E-3</v>
      </c>
      <c r="BP44" s="4">
        <v>1.5685E-3</v>
      </c>
      <c r="BQ44" s="4">
        <v>1.5476999999999999E-3</v>
      </c>
      <c r="BR44" s="4">
        <v>1.5271E-3</v>
      </c>
      <c r="BS44" s="4">
        <v>1.5068E-3</v>
      </c>
      <c r="BT44" s="4">
        <v>1.4867000000000001E-3</v>
      </c>
      <c r="BU44" s="4">
        <v>1.4668000000000001E-3</v>
      </c>
      <c r="BV44" s="4">
        <v>1.4472E-3</v>
      </c>
      <c r="BW44" s="4">
        <v>1.4277999999999999E-3</v>
      </c>
      <c r="BX44" s="4">
        <v>1.4086999999999999E-3</v>
      </c>
      <c r="BY44" s="4">
        <v>1.3897E-3</v>
      </c>
      <c r="BZ44" s="4">
        <v>1.371E-3</v>
      </c>
      <c r="CA44" s="4">
        <v>1.3525E-3</v>
      </c>
      <c r="CB44" s="4">
        <v>1.3343000000000001E-3</v>
      </c>
      <c r="CC44" s="4">
        <v>1.3162E-3</v>
      </c>
      <c r="CD44" s="4">
        <v>1.2983999999999999E-3</v>
      </c>
      <c r="CE44" s="4">
        <v>1.2807999999999999E-3</v>
      </c>
      <c r="CF44" s="4">
        <v>1.2634E-3</v>
      </c>
      <c r="CG44" s="4">
        <v>1.2463000000000001E-3</v>
      </c>
      <c r="CH44" s="4">
        <v>1.2293E-3</v>
      </c>
      <c r="CI44" s="4">
        <v>1.2125E-3</v>
      </c>
      <c r="CJ44" s="4">
        <v>1.196E-3</v>
      </c>
      <c r="CK44" s="4">
        <v>1.1796E-3</v>
      </c>
      <c r="CL44" s="4">
        <v>1.1635E-3</v>
      </c>
      <c r="CM44" s="4">
        <v>1.1475000000000001E-3</v>
      </c>
      <c r="CN44" s="4">
        <v>1.1318000000000001E-3</v>
      </c>
      <c r="CO44" s="4">
        <v>1.1161999999999999E-3</v>
      </c>
      <c r="CP44" s="4">
        <v>1.1008999999999999E-3</v>
      </c>
      <c r="CQ44" s="4">
        <v>1.0857E-3</v>
      </c>
      <c r="CR44" s="4">
        <v>1.0708E-3</v>
      </c>
      <c r="CS44" s="4">
        <v>1.0560000000000001E-3</v>
      </c>
      <c r="CT44" s="4">
        <v>1.0414000000000001E-3</v>
      </c>
      <c r="CU44" s="4">
        <v>1.0269999999999999E-3</v>
      </c>
      <c r="CV44" s="4">
        <v>1.0127999999999999E-3</v>
      </c>
      <c r="CW44" s="4">
        <v>9.9869999999999994E-4</v>
      </c>
      <c r="CX44" s="4">
        <v>9.8489999999999992E-4</v>
      </c>
      <c r="CY44" s="4">
        <v>9.7119999999999997E-4</v>
      </c>
      <c r="CZ44" s="4">
        <v>9.5770000000000002E-4</v>
      </c>
      <c r="DA44" s="4">
        <v>9.4439999999999997E-4</v>
      </c>
      <c r="DB44" s="4">
        <v>9.3119999999999997E-4</v>
      </c>
      <c r="DC44" s="4">
        <v>9.1830000000000004E-4</v>
      </c>
      <c r="DD44" s="4">
        <v>9.054E-4</v>
      </c>
      <c r="DE44" s="4">
        <v>8.9280000000000002E-4</v>
      </c>
      <c r="DF44" s="4">
        <v>8.8029999999999998E-4</v>
      </c>
      <c r="DG44" s="4">
        <v>8.6799999999999996E-4</v>
      </c>
      <c r="DH44" s="4">
        <v>8.5590000000000004E-4</v>
      </c>
      <c r="DI44" s="4">
        <v>8.4389999999999997E-4</v>
      </c>
      <c r="DJ44" s="4">
        <v>8.3210000000000001E-4</v>
      </c>
      <c r="DK44" s="4">
        <v>8.2039999999999999E-4</v>
      </c>
      <c r="DL44" s="4">
        <v>8.0889999999999998E-4</v>
      </c>
      <c r="DM44" s="4">
        <v>7.9759999999999998E-4</v>
      </c>
      <c r="DN44" s="4">
        <v>7.8640000000000003E-4</v>
      </c>
      <c r="DO44" s="4">
        <v>7.7530000000000003E-4</v>
      </c>
      <c r="DP44" s="4">
        <v>7.6440000000000004E-4</v>
      </c>
      <c r="DQ44" s="4">
        <v>5.3146499999999999E-2</v>
      </c>
      <c r="DR44" s="4">
        <v>0</v>
      </c>
      <c r="DS44" s="4">
        <v>5.02E-5</v>
      </c>
      <c r="DT44" s="4">
        <v>1.7320000000000001E-4</v>
      </c>
      <c r="DU44" s="4">
        <v>6.9220000000000002E-4</v>
      </c>
      <c r="DV44" s="4">
        <v>6.1700000000000004E-4</v>
      </c>
      <c r="DW44" s="4">
        <v>5.7629999999999997E-4</v>
      </c>
      <c r="DX44" s="4">
        <v>5.9900000000000003E-4</v>
      </c>
      <c r="DY44" s="4">
        <v>5.2979999999999998E-4</v>
      </c>
      <c r="DZ44" s="4">
        <v>4.841E-4</v>
      </c>
      <c r="EA44" s="4">
        <v>4.2890000000000002E-4</v>
      </c>
      <c r="EB44" s="4">
        <v>3.8299999999999999E-4</v>
      </c>
      <c r="EC44" s="4">
        <v>3.412E-4</v>
      </c>
      <c r="ED44" s="4">
        <v>3.1389999999999999E-4</v>
      </c>
      <c r="EE44" s="4">
        <v>2.8140000000000001E-4</v>
      </c>
      <c r="EF44" s="4">
        <v>2.5329999999999998E-4</v>
      </c>
      <c r="EG44" s="4">
        <v>2.2900000000000001E-4</v>
      </c>
      <c r="EH44" s="4">
        <v>2.0780000000000001E-4</v>
      </c>
      <c r="EI44" s="4">
        <v>1.894E-4</v>
      </c>
      <c r="EJ44" s="4">
        <v>1.7320000000000001E-4</v>
      </c>
      <c r="EK44" s="4">
        <v>1.5890000000000001E-4</v>
      </c>
      <c r="EL44" s="4">
        <v>1.4640000000000001E-4</v>
      </c>
      <c r="EM44" s="4">
        <v>1.351E-4</v>
      </c>
      <c r="EN44" s="4">
        <v>1.2540000000000001E-4</v>
      </c>
      <c r="EO44" s="4">
        <v>1.166E-4</v>
      </c>
      <c r="EP44" s="4">
        <v>1.088E-4</v>
      </c>
      <c r="EQ44" s="4">
        <v>1.0179999999999999E-4</v>
      </c>
      <c r="ER44" s="4">
        <v>9.5600000000000006E-5</v>
      </c>
      <c r="ES44" s="4">
        <v>8.9900000000000003E-5</v>
      </c>
      <c r="ET44" s="4">
        <v>8.4800000000000001E-5</v>
      </c>
      <c r="EU44" s="4">
        <v>8.0199999999999998E-5</v>
      </c>
      <c r="EV44" s="4">
        <v>7.5900000000000002E-5</v>
      </c>
      <c r="EW44" s="4">
        <v>7.1699999999999995E-5</v>
      </c>
      <c r="EX44" s="4">
        <v>6.7600000000000003E-5</v>
      </c>
      <c r="EY44" s="4">
        <v>6.1400000000000002E-5</v>
      </c>
      <c r="EZ44" s="4">
        <v>5.4299999999999998E-5</v>
      </c>
      <c r="FA44" s="4">
        <v>4.3699999999999998E-5</v>
      </c>
      <c r="FB44" s="4">
        <v>4.7299999999999998E-5</v>
      </c>
      <c r="FC44" s="4">
        <v>4.5399999999999999E-5</v>
      </c>
      <c r="FD44" s="4">
        <v>4.3900000000000003E-5</v>
      </c>
      <c r="FE44" s="4">
        <v>4.2500000000000003E-5</v>
      </c>
      <c r="FF44" s="4">
        <v>4.1100000000000003E-5</v>
      </c>
      <c r="FG44" s="4">
        <v>3.9900000000000001E-5</v>
      </c>
      <c r="FH44" s="4">
        <v>3.8699999999999999E-5</v>
      </c>
      <c r="FI44" s="4">
        <v>3.7499999999999997E-5</v>
      </c>
      <c r="FJ44" s="4">
        <v>3.6399999999999997E-5</v>
      </c>
      <c r="FK44" s="4">
        <v>3.54E-5</v>
      </c>
      <c r="FL44" s="4">
        <v>3.4400000000000003E-5</v>
      </c>
      <c r="FM44" s="4">
        <v>3.3399999999999999E-5</v>
      </c>
      <c r="FN44" s="4">
        <v>3.2499999999999997E-5</v>
      </c>
      <c r="FO44" s="4">
        <v>3.1699999999999998E-5</v>
      </c>
      <c r="FP44" s="4">
        <v>3.0899999999999999E-5</v>
      </c>
      <c r="FQ44" s="4">
        <v>3.01E-5</v>
      </c>
      <c r="FR44" s="4">
        <v>2.94E-5</v>
      </c>
      <c r="FS44" s="4">
        <v>2.87E-5</v>
      </c>
      <c r="FT44" s="4">
        <v>2.8099999999999999E-5</v>
      </c>
      <c r="FU44" s="4">
        <v>2.7500000000000001E-5</v>
      </c>
      <c r="FV44" s="4">
        <v>2.69E-5</v>
      </c>
      <c r="FW44" s="4">
        <v>2.6299999999999999E-5</v>
      </c>
      <c r="FX44" s="4">
        <v>2.58E-5</v>
      </c>
      <c r="FY44" s="4">
        <v>2.5299999999999998E-5</v>
      </c>
      <c r="FZ44" s="4">
        <v>2.48E-5</v>
      </c>
      <c r="GA44" s="4">
        <v>2.44E-5</v>
      </c>
      <c r="GB44" s="4">
        <v>2.3900000000000002E-5</v>
      </c>
      <c r="GC44" s="4">
        <v>2.3499999999999999E-5</v>
      </c>
      <c r="GD44" s="4">
        <v>2.3099999999999999E-5</v>
      </c>
      <c r="GE44" s="4">
        <v>2.27E-5</v>
      </c>
      <c r="GF44" s="4">
        <v>2.23E-5</v>
      </c>
      <c r="GG44" s="4">
        <v>2.1999999999999999E-5</v>
      </c>
      <c r="GH44" s="4">
        <v>2.16E-5</v>
      </c>
      <c r="GI44" s="4">
        <v>2.1299999999999999E-5</v>
      </c>
      <c r="GJ44" s="4">
        <v>2.0999999999999999E-5</v>
      </c>
      <c r="GK44" s="4">
        <v>2.0599999999999999E-5</v>
      </c>
      <c r="GL44" s="4">
        <v>2.0299999999999999E-5</v>
      </c>
      <c r="GM44" s="4">
        <v>2.0000000000000002E-5</v>
      </c>
      <c r="GN44" s="4">
        <v>1.9700000000000001E-5</v>
      </c>
      <c r="GO44" s="4">
        <v>1.95E-5</v>
      </c>
      <c r="GP44" s="4">
        <v>1.9199999999999999E-5</v>
      </c>
      <c r="GQ44" s="4">
        <v>1.8899999999999999E-5</v>
      </c>
      <c r="GR44" s="4">
        <v>1.8600000000000001E-5</v>
      </c>
      <c r="GS44" s="4">
        <v>1.84E-5</v>
      </c>
      <c r="GT44" s="4">
        <v>1.8099999999999999E-5</v>
      </c>
      <c r="GU44" s="4">
        <v>1.7900000000000001E-5</v>
      </c>
      <c r="GV44" s="4">
        <v>1.7600000000000001E-5</v>
      </c>
      <c r="GW44" s="4">
        <v>1.7399999999999999E-5</v>
      </c>
      <c r="GX44" s="4">
        <v>1.7200000000000001E-5</v>
      </c>
      <c r="GY44" s="4">
        <v>1.6900000000000001E-5</v>
      </c>
      <c r="GZ44" s="4">
        <v>1.6699999999999999E-5</v>
      </c>
      <c r="HA44" s="4">
        <v>1.6500000000000001E-5</v>
      </c>
      <c r="HB44" s="4">
        <v>1.63E-5</v>
      </c>
      <c r="HC44" s="4">
        <v>1.5999999999999999E-5</v>
      </c>
      <c r="HD44" s="4">
        <v>1.5800000000000001E-5</v>
      </c>
      <c r="HE44" s="4">
        <v>1.56E-5</v>
      </c>
      <c r="HF44" s="4">
        <v>1.5400000000000002E-5</v>
      </c>
      <c r="HG44" s="4">
        <v>1.52E-5</v>
      </c>
      <c r="HH44" s="4">
        <v>1.5E-5</v>
      </c>
      <c r="HI44" s="4">
        <v>1.4800000000000001E-5</v>
      </c>
      <c r="HJ44" s="4">
        <v>1.4600000000000001E-5</v>
      </c>
      <c r="HK44" s="4">
        <v>1.4399999999999999E-5</v>
      </c>
      <c r="HL44" s="4">
        <v>1.42E-5</v>
      </c>
      <c r="HM44" s="4">
        <v>1.4E-5</v>
      </c>
      <c r="HN44" s="4">
        <v>1.38E-5</v>
      </c>
      <c r="HO44" s="4">
        <v>1.36E-5</v>
      </c>
      <c r="HP44" s="4">
        <v>1.3499999999999999E-5</v>
      </c>
      <c r="HQ44" s="4">
        <v>1.33E-5</v>
      </c>
      <c r="HR44" s="4">
        <v>1.31E-5</v>
      </c>
      <c r="HS44" s="4">
        <v>1.29E-5</v>
      </c>
      <c r="HT44" s="4">
        <v>1.27E-5</v>
      </c>
      <c r="HU44" s="4">
        <v>1.26E-5</v>
      </c>
      <c r="HV44" s="4">
        <v>1.24E-5</v>
      </c>
      <c r="HW44" s="4">
        <v>1.22E-5</v>
      </c>
      <c r="HX44" s="4">
        <v>1.2099999999999999E-5</v>
      </c>
      <c r="HY44" s="4">
        <v>1.19E-5</v>
      </c>
      <c r="HZ44" s="4">
        <v>1.17E-5</v>
      </c>
      <c r="IA44" s="4">
        <v>1.1600000000000001E-5</v>
      </c>
      <c r="IB44" s="4">
        <v>1.1399999999999999E-5</v>
      </c>
      <c r="IC44" s="4">
        <v>1.13E-5</v>
      </c>
      <c r="ID44" s="4">
        <v>1.11E-5</v>
      </c>
      <c r="IE44" s="4">
        <v>1.1E-5</v>
      </c>
      <c r="IF44" s="4">
        <v>1.08E-5</v>
      </c>
      <c r="IG44" s="4">
        <v>7.5449999999999996E-4</v>
      </c>
      <c r="IH44" s="4"/>
      <c r="II44" s="4">
        <f t="shared" si="245"/>
        <v>0.115815851399268</v>
      </c>
      <c r="IJ44">
        <f t="shared" si="247"/>
        <v>0.35933941249999979</v>
      </c>
      <c r="IN44" s="4"/>
      <c r="IO44" s="4"/>
      <c r="IP44" s="4"/>
      <c r="IQ44" s="4"/>
      <c r="IR44" s="4"/>
      <c r="IS44" s="4"/>
      <c r="IT44" s="4"/>
      <c r="IU44" s="4"/>
      <c r="IV44" s="4"/>
    </row>
    <row r="45" spans="1:256" x14ac:dyDescent="0.35">
      <c r="A45" s="1">
        <v>37</v>
      </c>
      <c r="B45" s="4">
        <v>1.0654E-2</v>
      </c>
      <c r="C45" s="4">
        <v>1.0734799999999999E-2</v>
      </c>
      <c r="D45" s="4">
        <v>1.0684600000000001E-2</v>
      </c>
      <c r="E45" s="4">
        <v>1.0511400000000001E-2</v>
      </c>
      <c r="F45" s="4">
        <v>9.8192000000000002E-3</v>
      </c>
      <c r="G45" s="4">
        <v>9.2023999999999995E-3</v>
      </c>
      <c r="H45" s="4">
        <v>8.6265000000000005E-3</v>
      </c>
      <c r="I45" s="4">
        <v>8.0280999999999998E-3</v>
      </c>
      <c r="J45" s="4">
        <v>7.4986999999999996E-3</v>
      </c>
      <c r="K45" s="4">
        <v>7.0153000000000004E-3</v>
      </c>
      <c r="L45" s="4">
        <v>6.587E-3</v>
      </c>
      <c r="M45" s="4">
        <v>6.2047999999999999E-3</v>
      </c>
      <c r="N45" s="4">
        <v>5.8643999999999996E-3</v>
      </c>
      <c r="O45" s="4">
        <v>5.6676000000000001E-3</v>
      </c>
      <c r="P45" s="4">
        <v>5.3873999999999997E-3</v>
      </c>
      <c r="Q45" s="4">
        <v>5.1357E-3</v>
      </c>
      <c r="R45" s="4">
        <v>4.9090000000000002E-3</v>
      </c>
      <c r="S45" s="4">
        <v>4.7038000000000002E-3</v>
      </c>
      <c r="T45" s="4">
        <v>4.5182E-3</v>
      </c>
      <c r="U45" s="4">
        <v>4.3486000000000002E-3</v>
      </c>
      <c r="V45" s="4">
        <v>4.1935999999999996E-3</v>
      </c>
      <c r="W45" s="4">
        <v>4.0518999999999998E-3</v>
      </c>
      <c r="X45" s="4">
        <v>3.9205000000000004E-3</v>
      </c>
      <c r="Y45" s="4">
        <v>3.8029000000000001E-3</v>
      </c>
      <c r="Z45" s="4">
        <v>3.6927000000000001E-3</v>
      </c>
      <c r="AA45" s="4">
        <v>3.5901000000000001E-3</v>
      </c>
      <c r="AB45" s="4">
        <v>3.4949E-3</v>
      </c>
      <c r="AC45" s="4">
        <v>3.4055000000000001E-3</v>
      </c>
      <c r="AD45" s="4">
        <v>3.3213000000000001E-3</v>
      </c>
      <c r="AE45" s="4">
        <v>3.2415E-3</v>
      </c>
      <c r="AF45" s="4">
        <v>3.1643999999999999E-3</v>
      </c>
      <c r="AG45" s="4">
        <v>3.0875999999999998E-3</v>
      </c>
      <c r="AH45" s="4">
        <v>3.0054999999999999E-3</v>
      </c>
      <c r="AI45" s="4">
        <v>2.9107999999999998E-3</v>
      </c>
      <c r="AJ45" s="4">
        <v>2.722E-3</v>
      </c>
      <c r="AK45" s="4">
        <v>2.4697999999999999E-3</v>
      </c>
      <c r="AL45" s="4">
        <v>2.0365000000000001E-3</v>
      </c>
      <c r="AM45" s="4">
        <v>2.2252999999999999E-3</v>
      </c>
      <c r="AN45" s="4">
        <v>2.1938000000000001E-3</v>
      </c>
      <c r="AO45" s="4">
        <v>2.1722999999999998E-3</v>
      </c>
      <c r="AP45" s="4">
        <v>2.1507000000000002E-3</v>
      </c>
      <c r="AQ45" s="4">
        <v>2.1308E-3</v>
      </c>
      <c r="AR45" s="4">
        <v>2.1101000000000002E-3</v>
      </c>
      <c r="AS45" s="4">
        <v>2.0888999999999999E-3</v>
      </c>
      <c r="AT45" s="4">
        <v>2.0666999999999999E-3</v>
      </c>
      <c r="AU45" s="4">
        <v>2.0441000000000001E-3</v>
      </c>
      <c r="AV45" s="4">
        <v>2.0211000000000001E-3</v>
      </c>
      <c r="AW45" s="4">
        <v>1.9978000000000001E-3</v>
      </c>
      <c r="AX45" s="4">
        <v>1.9742000000000002E-3</v>
      </c>
      <c r="AY45" s="4">
        <v>1.9506E-3</v>
      </c>
      <c r="AZ45" s="4">
        <v>1.9269000000000001E-3</v>
      </c>
      <c r="BA45" s="4">
        <v>1.9032000000000001E-3</v>
      </c>
      <c r="BB45" s="4">
        <v>1.8795999999999999E-3</v>
      </c>
      <c r="BC45" s="4">
        <v>1.8561000000000001E-3</v>
      </c>
      <c r="BD45" s="4">
        <v>1.8327E-3</v>
      </c>
      <c r="BE45" s="4">
        <v>1.8094000000000001E-3</v>
      </c>
      <c r="BF45" s="4">
        <v>1.7863E-3</v>
      </c>
      <c r="BG45" s="4">
        <v>1.7634E-3</v>
      </c>
      <c r="BH45" s="4">
        <v>1.7405999999999999E-3</v>
      </c>
      <c r="BI45" s="4">
        <v>1.7181E-3</v>
      </c>
      <c r="BJ45" s="4">
        <v>1.6957999999999999E-3</v>
      </c>
      <c r="BK45" s="4">
        <v>1.6738E-3</v>
      </c>
      <c r="BL45" s="4">
        <v>1.6519E-3</v>
      </c>
      <c r="BM45" s="4">
        <v>1.6302999999999999E-3</v>
      </c>
      <c r="BN45" s="4">
        <v>1.6088999999999999E-3</v>
      </c>
      <c r="BO45" s="4">
        <v>1.5878000000000001E-3</v>
      </c>
      <c r="BP45" s="4">
        <v>1.5667999999999999E-3</v>
      </c>
      <c r="BQ45" s="4">
        <v>1.5462E-3</v>
      </c>
      <c r="BR45" s="4">
        <v>1.5257000000000001E-3</v>
      </c>
      <c r="BS45" s="4">
        <v>1.5054999999999999E-3</v>
      </c>
      <c r="BT45" s="4">
        <v>1.4855000000000001E-3</v>
      </c>
      <c r="BU45" s="4">
        <v>1.4656999999999999E-3</v>
      </c>
      <c r="BV45" s="4">
        <v>1.4461999999999999E-3</v>
      </c>
      <c r="BW45" s="4">
        <v>1.4269E-3</v>
      </c>
      <c r="BX45" s="4">
        <v>1.4078000000000001E-3</v>
      </c>
      <c r="BY45" s="4">
        <v>1.3889E-3</v>
      </c>
      <c r="BZ45" s="4">
        <v>1.3703000000000001E-3</v>
      </c>
      <c r="CA45" s="4">
        <v>1.3518E-3</v>
      </c>
      <c r="CB45" s="4">
        <v>1.3336000000000001E-3</v>
      </c>
      <c r="CC45" s="4">
        <v>1.3156000000000001E-3</v>
      </c>
      <c r="CD45" s="4">
        <v>1.2979000000000001E-3</v>
      </c>
      <c r="CE45" s="4">
        <v>1.2803000000000001E-3</v>
      </c>
      <c r="CF45" s="4">
        <v>1.2629E-3</v>
      </c>
      <c r="CG45" s="4">
        <v>1.2458E-3</v>
      </c>
      <c r="CH45" s="4">
        <v>1.2289E-3</v>
      </c>
      <c r="CI45" s="4">
        <v>1.2121E-3</v>
      </c>
      <c r="CJ45" s="4">
        <v>1.1956E-3</v>
      </c>
      <c r="CK45" s="4">
        <v>1.1793000000000001E-3</v>
      </c>
      <c r="CL45" s="4">
        <v>1.1631E-3</v>
      </c>
      <c r="CM45" s="4">
        <v>1.1471999999999999E-3</v>
      </c>
      <c r="CN45" s="4">
        <v>1.1314999999999999E-3</v>
      </c>
      <c r="CO45" s="4">
        <v>1.116E-3</v>
      </c>
      <c r="CP45" s="4">
        <v>1.1006E-3</v>
      </c>
      <c r="CQ45" s="4">
        <v>1.0855000000000001E-3</v>
      </c>
      <c r="CR45" s="4">
        <v>1.0705000000000001E-3</v>
      </c>
      <c r="CS45" s="4">
        <v>1.0558E-3</v>
      </c>
      <c r="CT45" s="4">
        <v>1.0411999999999999E-3</v>
      </c>
      <c r="CU45" s="4">
        <v>1.0268E-3</v>
      </c>
      <c r="CV45" s="4">
        <v>1.0126E-3</v>
      </c>
      <c r="CW45" s="4">
        <v>9.986000000000001E-4</v>
      </c>
      <c r="CX45" s="4">
        <v>9.8470000000000003E-4</v>
      </c>
      <c r="CY45" s="4">
        <v>9.7099999999999997E-4</v>
      </c>
      <c r="CZ45" s="4">
        <v>9.5759999999999997E-4</v>
      </c>
      <c r="DA45" s="4">
        <v>9.4419999999999997E-4</v>
      </c>
      <c r="DB45" s="4">
        <v>9.3110000000000003E-4</v>
      </c>
      <c r="DC45" s="4">
        <v>9.1810000000000004E-4</v>
      </c>
      <c r="DD45" s="4">
        <v>9.0530000000000005E-4</v>
      </c>
      <c r="DE45" s="4">
        <v>8.9269999999999996E-4</v>
      </c>
      <c r="DF45" s="4">
        <v>8.8020000000000004E-4</v>
      </c>
      <c r="DG45" s="4">
        <v>8.6790000000000001E-4</v>
      </c>
      <c r="DH45" s="4">
        <v>8.5579999999999999E-4</v>
      </c>
      <c r="DI45" s="4">
        <v>8.4380000000000002E-4</v>
      </c>
      <c r="DJ45" s="4">
        <v>8.3199999999999995E-4</v>
      </c>
      <c r="DK45" s="4">
        <v>8.2039999999999999E-4</v>
      </c>
      <c r="DL45" s="4">
        <v>8.0880000000000004E-4</v>
      </c>
      <c r="DM45" s="4">
        <v>7.9750000000000003E-4</v>
      </c>
      <c r="DN45" s="4">
        <v>7.8629999999999998E-4</v>
      </c>
      <c r="DO45" s="4">
        <v>7.7530000000000003E-4</v>
      </c>
      <c r="DP45" s="4">
        <v>7.6440000000000004E-4</v>
      </c>
      <c r="DQ45" s="4">
        <v>5.3145699999999997E-2</v>
      </c>
      <c r="DR45" s="4">
        <v>0</v>
      </c>
      <c r="DS45" s="4">
        <v>5.02E-5</v>
      </c>
      <c r="DT45" s="4">
        <v>1.7330000000000001E-4</v>
      </c>
      <c r="DU45" s="4">
        <v>6.9240000000000002E-4</v>
      </c>
      <c r="DV45" s="4">
        <v>6.1720000000000004E-4</v>
      </c>
      <c r="DW45" s="4">
        <v>5.7649999999999997E-4</v>
      </c>
      <c r="DX45" s="4">
        <v>5.9920000000000004E-4</v>
      </c>
      <c r="DY45" s="4">
        <v>5.2990000000000003E-4</v>
      </c>
      <c r="DZ45" s="4">
        <v>4.8420000000000001E-4</v>
      </c>
      <c r="EA45" s="4">
        <v>4.2920000000000002E-4</v>
      </c>
      <c r="EB45" s="4">
        <v>3.836E-4</v>
      </c>
      <c r="EC45" s="4">
        <v>3.4220000000000002E-4</v>
      </c>
      <c r="ED45" s="4">
        <v>3.0679999999999998E-4</v>
      </c>
      <c r="EE45" s="4">
        <v>2.832E-4</v>
      </c>
      <c r="EF45" s="4">
        <v>2.5539999999999997E-4</v>
      </c>
      <c r="EG45" s="4">
        <v>2.3120000000000001E-4</v>
      </c>
      <c r="EH45" s="4">
        <v>2.1010000000000001E-4</v>
      </c>
      <c r="EI45" s="4">
        <v>1.916E-4</v>
      </c>
      <c r="EJ45" s="4">
        <v>1.7540000000000001E-4</v>
      </c>
      <c r="EK45" s="4">
        <v>1.6110000000000001E-4</v>
      </c>
      <c r="EL45" s="4">
        <v>1.484E-4</v>
      </c>
      <c r="EM45" s="4">
        <v>1.371E-4</v>
      </c>
      <c r="EN45" s="4">
        <v>1.2689999999999999E-4</v>
      </c>
      <c r="EO45" s="4">
        <v>1.181E-4</v>
      </c>
      <c r="EP45" s="4">
        <v>1.102E-4</v>
      </c>
      <c r="EQ45" s="4">
        <v>1.03E-4</v>
      </c>
      <c r="ER45" s="4">
        <v>9.6700000000000006E-5</v>
      </c>
      <c r="ES45" s="4">
        <v>9.09E-5</v>
      </c>
      <c r="ET45" s="4">
        <v>8.5699999999999996E-5</v>
      </c>
      <c r="EU45" s="4">
        <v>8.1000000000000004E-5</v>
      </c>
      <c r="EV45" s="4">
        <v>7.6699999999999994E-5</v>
      </c>
      <c r="EW45" s="4">
        <v>7.2600000000000003E-5</v>
      </c>
      <c r="EX45" s="4">
        <v>6.8700000000000003E-5</v>
      </c>
      <c r="EY45" s="4">
        <v>6.4800000000000003E-5</v>
      </c>
      <c r="EZ45" s="4">
        <v>5.8999999999999998E-5</v>
      </c>
      <c r="FA45" s="4">
        <v>5.2200000000000002E-5</v>
      </c>
      <c r="FB45" s="4">
        <v>4.1999999999999998E-5</v>
      </c>
      <c r="FC45" s="4">
        <v>4.5500000000000001E-5</v>
      </c>
      <c r="FD45" s="4">
        <v>4.3699999999999998E-5</v>
      </c>
      <c r="FE45" s="4">
        <v>4.2299999999999998E-5</v>
      </c>
      <c r="FF45" s="4">
        <v>4.0899999999999998E-5</v>
      </c>
      <c r="FG45" s="4">
        <v>3.9700000000000003E-5</v>
      </c>
      <c r="FH45" s="4">
        <v>3.8500000000000001E-5</v>
      </c>
      <c r="FI45" s="4">
        <v>3.7400000000000001E-5</v>
      </c>
      <c r="FJ45" s="4">
        <v>3.6300000000000001E-5</v>
      </c>
      <c r="FK45" s="4">
        <v>3.5299999999999997E-5</v>
      </c>
      <c r="FL45" s="4">
        <v>3.43E-5</v>
      </c>
      <c r="FM45" s="4">
        <v>3.3300000000000003E-5</v>
      </c>
      <c r="FN45" s="4">
        <v>3.2499999999999997E-5</v>
      </c>
      <c r="FO45" s="4">
        <v>3.1600000000000002E-5</v>
      </c>
      <c r="FP45" s="4">
        <v>3.0800000000000003E-5</v>
      </c>
      <c r="FQ45" s="4">
        <v>3.01E-5</v>
      </c>
      <c r="FR45" s="4">
        <v>2.94E-5</v>
      </c>
      <c r="FS45" s="4">
        <v>2.87E-5</v>
      </c>
      <c r="FT45" s="4">
        <v>2.8E-5</v>
      </c>
      <c r="FU45" s="4">
        <v>2.7399999999999999E-5</v>
      </c>
      <c r="FV45" s="4">
        <v>2.6800000000000001E-5</v>
      </c>
      <c r="FW45" s="4">
        <v>2.6299999999999999E-5</v>
      </c>
      <c r="FX45" s="4">
        <v>2.58E-5</v>
      </c>
      <c r="FY45" s="4">
        <v>2.5299999999999998E-5</v>
      </c>
      <c r="FZ45" s="4">
        <v>2.48E-5</v>
      </c>
      <c r="GA45" s="4">
        <v>2.4300000000000001E-5</v>
      </c>
      <c r="GB45" s="4">
        <v>2.3900000000000002E-5</v>
      </c>
      <c r="GC45" s="4">
        <v>2.3499999999999999E-5</v>
      </c>
      <c r="GD45" s="4">
        <v>2.3099999999999999E-5</v>
      </c>
      <c r="GE45" s="4">
        <v>2.27E-5</v>
      </c>
      <c r="GF45" s="4">
        <v>2.23E-5</v>
      </c>
      <c r="GG45" s="4">
        <v>2.19E-5</v>
      </c>
      <c r="GH45" s="4">
        <v>2.16E-5</v>
      </c>
      <c r="GI45" s="4">
        <v>2.1299999999999999E-5</v>
      </c>
      <c r="GJ45" s="4">
        <v>2.09E-5</v>
      </c>
      <c r="GK45" s="4">
        <v>2.0599999999999999E-5</v>
      </c>
      <c r="GL45" s="4">
        <v>2.0299999999999999E-5</v>
      </c>
      <c r="GM45" s="4">
        <v>2.0000000000000002E-5</v>
      </c>
      <c r="GN45" s="4">
        <v>1.9700000000000001E-5</v>
      </c>
      <c r="GO45" s="4">
        <v>1.9400000000000001E-5</v>
      </c>
      <c r="GP45" s="4">
        <v>1.9199999999999999E-5</v>
      </c>
      <c r="GQ45" s="4">
        <v>1.8899999999999999E-5</v>
      </c>
      <c r="GR45" s="4">
        <v>1.8600000000000001E-5</v>
      </c>
      <c r="GS45" s="4">
        <v>1.84E-5</v>
      </c>
      <c r="GT45" s="4">
        <v>1.8099999999999999E-5</v>
      </c>
      <c r="GU45" s="4">
        <v>1.7900000000000001E-5</v>
      </c>
      <c r="GV45" s="4">
        <v>1.7600000000000001E-5</v>
      </c>
      <c r="GW45" s="4">
        <v>1.7399999999999999E-5</v>
      </c>
      <c r="GX45" s="4">
        <v>1.7200000000000001E-5</v>
      </c>
      <c r="GY45" s="4">
        <v>1.6900000000000001E-5</v>
      </c>
      <c r="GZ45" s="4">
        <v>1.6699999999999999E-5</v>
      </c>
      <c r="HA45" s="4">
        <v>1.6500000000000001E-5</v>
      </c>
      <c r="HB45" s="4">
        <v>1.63E-5</v>
      </c>
      <c r="HC45" s="4">
        <v>1.5999999999999999E-5</v>
      </c>
      <c r="HD45" s="4">
        <v>1.5800000000000001E-5</v>
      </c>
      <c r="HE45" s="4">
        <v>1.56E-5</v>
      </c>
      <c r="HF45" s="4">
        <v>1.5400000000000002E-5</v>
      </c>
      <c r="HG45" s="4">
        <v>1.52E-5</v>
      </c>
      <c r="HH45" s="4">
        <v>1.5E-5</v>
      </c>
      <c r="HI45" s="4">
        <v>1.4800000000000001E-5</v>
      </c>
      <c r="HJ45" s="4">
        <v>1.4600000000000001E-5</v>
      </c>
      <c r="HK45" s="4">
        <v>1.4399999999999999E-5</v>
      </c>
      <c r="HL45" s="4">
        <v>1.42E-5</v>
      </c>
      <c r="HM45" s="4">
        <v>1.4E-5</v>
      </c>
      <c r="HN45" s="4">
        <v>1.38E-5</v>
      </c>
      <c r="HO45" s="4">
        <v>1.36E-5</v>
      </c>
      <c r="HP45" s="4">
        <v>1.3499999999999999E-5</v>
      </c>
      <c r="HQ45" s="4">
        <v>1.33E-5</v>
      </c>
      <c r="HR45" s="4">
        <v>1.31E-5</v>
      </c>
      <c r="HS45" s="4">
        <v>1.29E-5</v>
      </c>
      <c r="HT45" s="4">
        <v>1.27E-5</v>
      </c>
      <c r="HU45" s="4">
        <v>1.26E-5</v>
      </c>
      <c r="HV45" s="4">
        <v>1.24E-5</v>
      </c>
      <c r="HW45" s="4">
        <v>1.22E-5</v>
      </c>
      <c r="HX45" s="4">
        <v>1.2099999999999999E-5</v>
      </c>
      <c r="HY45" s="4">
        <v>1.19E-5</v>
      </c>
      <c r="HZ45" s="4">
        <v>1.17E-5</v>
      </c>
      <c r="IA45" s="4">
        <v>1.1600000000000001E-5</v>
      </c>
      <c r="IB45" s="4">
        <v>1.1399999999999999E-5</v>
      </c>
      <c r="IC45" s="4">
        <v>1.13E-5</v>
      </c>
      <c r="ID45" s="4">
        <v>1.11E-5</v>
      </c>
      <c r="IE45" s="4">
        <v>1.1E-5</v>
      </c>
      <c r="IF45" s="4">
        <v>1.08E-5</v>
      </c>
      <c r="IG45" s="4">
        <v>7.5449999999999996E-4</v>
      </c>
      <c r="IH45" s="4"/>
      <c r="II45" s="4">
        <f t="shared" si="245"/>
        <v>0.11586427761609236</v>
      </c>
      <c r="IJ45">
        <f t="shared" si="247"/>
        <v>0.3593393999999997</v>
      </c>
      <c r="IN45" s="4"/>
      <c r="IO45" s="4"/>
      <c r="IP45" s="4"/>
      <c r="IQ45" s="4"/>
      <c r="IR45" s="4"/>
      <c r="IS45" s="4"/>
      <c r="IT45" s="4"/>
      <c r="IU45" s="4"/>
      <c r="IV45" s="4"/>
    </row>
    <row r="46" spans="1:256" x14ac:dyDescent="0.35">
      <c r="A46" s="1">
        <v>38</v>
      </c>
      <c r="B46" s="4">
        <v>1.0654E-2</v>
      </c>
      <c r="C46" s="4">
        <v>1.0654E-2</v>
      </c>
      <c r="D46" s="4">
        <v>1.0684600000000001E-2</v>
      </c>
      <c r="E46" s="4">
        <v>1.0511299999999999E-2</v>
      </c>
      <c r="F46" s="4">
        <v>9.8189999999999996E-3</v>
      </c>
      <c r="G46" s="4">
        <v>9.2020000000000001E-3</v>
      </c>
      <c r="H46" s="4">
        <v>8.6259000000000006E-3</v>
      </c>
      <c r="I46" s="4">
        <v>8.0272999999999994E-3</v>
      </c>
      <c r="J46" s="4">
        <v>7.4982E-3</v>
      </c>
      <c r="K46" s="4">
        <v>7.0143999999999996E-3</v>
      </c>
      <c r="L46" s="4">
        <v>6.5861000000000001E-3</v>
      </c>
      <c r="M46" s="4">
        <v>6.2034999999999998E-3</v>
      </c>
      <c r="N46" s="4">
        <v>5.8625999999999999E-3</v>
      </c>
      <c r="O46" s="4">
        <v>5.5576000000000002E-3</v>
      </c>
      <c r="P46" s="4">
        <v>5.3842999999999999E-3</v>
      </c>
      <c r="Q46" s="4">
        <v>5.1319E-3</v>
      </c>
      <c r="R46" s="4">
        <v>4.9045E-3</v>
      </c>
      <c r="S46" s="4">
        <v>4.6988000000000004E-3</v>
      </c>
      <c r="T46" s="4">
        <v>4.5120999999999998E-3</v>
      </c>
      <c r="U46" s="4">
        <v>4.3428E-3</v>
      </c>
      <c r="V46" s="4">
        <v>4.1875000000000002E-3</v>
      </c>
      <c r="W46" s="4">
        <v>4.0451999999999997E-3</v>
      </c>
      <c r="X46" s="4">
        <v>3.9148999999999998E-3</v>
      </c>
      <c r="Y46" s="4">
        <v>3.7935E-3</v>
      </c>
      <c r="Z46" s="4">
        <v>3.6847999999999998E-3</v>
      </c>
      <c r="AA46" s="4">
        <v>3.5825000000000002E-3</v>
      </c>
      <c r="AB46" s="4">
        <v>3.4870999999999999E-3</v>
      </c>
      <c r="AC46" s="4">
        <v>3.3982000000000001E-3</v>
      </c>
      <c r="AD46" s="4">
        <v>3.3146E-3</v>
      </c>
      <c r="AE46" s="4">
        <v>3.2355999999999999E-3</v>
      </c>
      <c r="AF46" s="4">
        <v>3.1605000000000001E-3</v>
      </c>
      <c r="AG46" s="4">
        <v>3.0877999999999999E-3</v>
      </c>
      <c r="AH46" s="4">
        <v>3.0149999999999999E-3</v>
      </c>
      <c r="AI46" s="4">
        <v>2.9367E-3</v>
      </c>
      <c r="AJ46" s="4">
        <v>2.846E-3</v>
      </c>
      <c r="AK46" s="4">
        <v>2.663E-3</v>
      </c>
      <c r="AL46" s="4">
        <v>2.4175999999999998E-3</v>
      </c>
      <c r="AM46" s="4">
        <v>1.9945000000000002E-3</v>
      </c>
      <c r="AN46" s="4">
        <v>2.1798E-3</v>
      </c>
      <c r="AO46" s="4">
        <v>2.1500999999999998E-3</v>
      </c>
      <c r="AP46" s="4">
        <v>2.1299999999999999E-3</v>
      </c>
      <c r="AQ46" s="4">
        <v>2.1098000000000002E-3</v>
      </c>
      <c r="AR46" s="4">
        <v>2.0910999999999998E-3</v>
      </c>
      <c r="AS46" s="4">
        <v>2.0715999999999998E-3</v>
      </c>
      <c r="AT46" s="4">
        <v>2.0514999999999999E-3</v>
      </c>
      <c r="AU46" s="4">
        <v>2.0303999999999999E-3</v>
      </c>
      <c r="AV46" s="4">
        <v>2.0089000000000001E-3</v>
      </c>
      <c r="AW46" s="4">
        <v>1.9867999999999999E-3</v>
      </c>
      <c r="AX46" s="4">
        <v>1.9643999999999998E-3</v>
      </c>
      <c r="AY46" s="4">
        <v>1.9418E-3</v>
      </c>
      <c r="AZ46" s="4">
        <v>1.9189999999999999E-3</v>
      </c>
      <c r="BA46" s="4">
        <v>1.8961E-3</v>
      </c>
      <c r="BB46" s="4">
        <v>1.8732E-3</v>
      </c>
      <c r="BC46" s="4">
        <v>1.8503E-3</v>
      </c>
      <c r="BD46" s="4">
        <v>1.8274000000000001E-3</v>
      </c>
      <c r="BE46" s="4">
        <v>1.8046E-3</v>
      </c>
      <c r="BF46" s="4">
        <v>1.7819999999999999E-3</v>
      </c>
      <c r="BG46" s="4">
        <v>1.7593999999999999E-3</v>
      </c>
      <c r="BH46" s="4">
        <v>1.7371000000000001E-3</v>
      </c>
      <c r="BI46" s="4">
        <v>1.7149000000000001E-3</v>
      </c>
      <c r="BJ46" s="4">
        <v>1.6929E-3</v>
      </c>
      <c r="BK46" s="4">
        <v>1.6711E-3</v>
      </c>
      <c r="BL46" s="4">
        <v>1.6494000000000001E-3</v>
      </c>
      <c r="BM46" s="4">
        <v>1.6280000000000001E-3</v>
      </c>
      <c r="BN46" s="4">
        <v>1.6068E-3</v>
      </c>
      <c r="BO46" s="4">
        <v>1.5858000000000001E-3</v>
      </c>
      <c r="BP46" s="4">
        <v>1.5651E-3</v>
      </c>
      <c r="BQ46" s="4">
        <v>1.5445000000000001E-3</v>
      </c>
      <c r="BR46" s="4">
        <v>1.5242000000000001E-3</v>
      </c>
      <c r="BS46" s="4">
        <v>1.5041E-3</v>
      </c>
      <c r="BT46" s="4">
        <v>1.4842E-3</v>
      </c>
      <c r="BU46" s="4">
        <v>1.4645000000000001E-3</v>
      </c>
      <c r="BV46" s="4">
        <v>1.4450999999999999E-3</v>
      </c>
      <c r="BW46" s="4">
        <v>1.4258999999999999E-3</v>
      </c>
      <c r="BX46" s="4">
        <v>1.4069E-3</v>
      </c>
      <c r="BY46" s="4">
        <v>1.3881E-3</v>
      </c>
      <c r="BZ46" s="4">
        <v>1.3695000000000001E-3</v>
      </c>
      <c r="CA46" s="4">
        <v>1.3511E-3</v>
      </c>
      <c r="CB46" s="4">
        <v>1.3328999999999999E-3</v>
      </c>
      <c r="CC46" s="4">
        <v>1.315E-3</v>
      </c>
      <c r="CD46" s="4">
        <v>1.2972999999999999E-3</v>
      </c>
      <c r="CE46" s="4">
        <v>1.2796999999999999E-3</v>
      </c>
      <c r="CF46" s="4">
        <v>1.2623999999999999E-3</v>
      </c>
      <c r="CG46" s="4">
        <v>1.2453E-3</v>
      </c>
      <c r="CH46" s="4">
        <v>1.2283999999999999E-3</v>
      </c>
      <c r="CI46" s="4">
        <v>1.2117E-3</v>
      </c>
      <c r="CJ46" s="4">
        <v>1.1952E-3</v>
      </c>
      <c r="CK46" s="4">
        <v>1.1789000000000001E-3</v>
      </c>
      <c r="CL46" s="4">
        <v>1.1628000000000001E-3</v>
      </c>
      <c r="CM46" s="4">
        <v>1.1469E-3</v>
      </c>
      <c r="CN46" s="4">
        <v>1.1312E-3</v>
      </c>
      <c r="CO46" s="4">
        <v>1.1157000000000001E-3</v>
      </c>
      <c r="CP46" s="4">
        <v>1.1004000000000001E-3</v>
      </c>
      <c r="CQ46" s="4">
        <v>1.0851999999999999E-3</v>
      </c>
      <c r="CR46" s="4">
        <v>1.0702999999999999E-3</v>
      </c>
      <c r="CS46" s="4">
        <v>1.0555E-3</v>
      </c>
      <c r="CT46" s="4">
        <v>1.041E-3</v>
      </c>
      <c r="CU46" s="4">
        <v>1.0265999999999999E-3</v>
      </c>
      <c r="CV46" s="4">
        <v>1.0124000000000001E-3</v>
      </c>
      <c r="CW46" s="4">
        <v>9.9839999999999998E-4</v>
      </c>
      <c r="CX46" s="4">
        <v>9.8449999999999992E-4</v>
      </c>
      <c r="CY46" s="4">
        <v>9.7090000000000002E-4</v>
      </c>
      <c r="CZ46" s="4">
        <v>9.5739999999999996E-4</v>
      </c>
      <c r="DA46" s="4">
        <v>9.4410000000000002E-4</v>
      </c>
      <c r="DB46" s="4">
        <v>9.3099999999999997E-4</v>
      </c>
      <c r="DC46" s="4">
        <v>9.1799999999999998E-4</v>
      </c>
      <c r="DD46" s="4">
        <v>9.0519999999999999E-4</v>
      </c>
      <c r="DE46" s="4">
        <v>8.9260000000000001E-4</v>
      </c>
      <c r="DF46" s="4">
        <v>8.8009999999999998E-4</v>
      </c>
      <c r="DG46" s="4">
        <v>8.6779999999999995E-4</v>
      </c>
      <c r="DH46" s="4">
        <v>8.5570000000000004E-4</v>
      </c>
      <c r="DI46" s="4">
        <v>8.4369999999999996E-4</v>
      </c>
      <c r="DJ46" s="4">
        <v>8.319E-4</v>
      </c>
      <c r="DK46" s="4">
        <v>8.2030000000000004E-4</v>
      </c>
      <c r="DL46" s="4">
        <v>8.0880000000000004E-4</v>
      </c>
      <c r="DM46" s="4">
        <v>7.9739999999999998E-4</v>
      </c>
      <c r="DN46" s="4">
        <v>7.8620000000000003E-4</v>
      </c>
      <c r="DO46" s="4">
        <v>7.7519999999999998E-4</v>
      </c>
      <c r="DP46" s="4">
        <v>7.6429999999999998E-4</v>
      </c>
      <c r="DQ46" s="4">
        <v>5.3144700000000003E-2</v>
      </c>
      <c r="DR46" s="4">
        <v>0</v>
      </c>
      <c r="DS46" s="4">
        <v>4.8199999999999999E-5</v>
      </c>
      <c r="DT46" s="4">
        <v>1.7340000000000001E-4</v>
      </c>
      <c r="DU46" s="4">
        <v>6.9249999999999997E-4</v>
      </c>
      <c r="DV46" s="4">
        <v>6.1740000000000005E-4</v>
      </c>
      <c r="DW46" s="4">
        <v>5.7660000000000003E-4</v>
      </c>
      <c r="DX46" s="4">
        <v>5.9880000000000003E-4</v>
      </c>
      <c r="DY46" s="4">
        <v>5.2879999999999995E-4</v>
      </c>
      <c r="DZ46" s="4">
        <v>4.8280000000000003E-4</v>
      </c>
      <c r="EA46" s="4">
        <v>4.2729999999999998E-4</v>
      </c>
      <c r="EB46" s="4">
        <v>3.814E-4</v>
      </c>
      <c r="EC46" s="4">
        <v>3.3990000000000002E-4</v>
      </c>
      <c r="ED46" s="4">
        <v>3.0430000000000002E-4</v>
      </c>
      <c r="EE46" s="4">
        <v>2.7320000000000003E-4</v>
      </c>
      <c r="EF46" s="4">
        <v>2.5280000000000002E-4</v>
      </c>
      <c r="EG46" s="4">
        <v>2.285E-4</v>
      </c>
      <c r="EH46" s="4">
        <v>2.075E-4</v>
      </c>
      <c r="EI46" s="4">
        <v>1.8909999999999999E-4</v>
      </c>
      <c r="EJ46" s="4">
        <v>1.73E-4</v>
      </c>
      <c r="EK46" s="4">
        <v>1.5880000000000001E-4</v>
      </c>
      <c r="EL46" s="4">
        <v>1.4630000000000001E-4</v>
      </c>
      <c r="EM46" s="4">
        <v>1.3520000000000001E-4</v>
      </c>
      <c r="EN46" s="4">
        <v>1.2530000000000001E-4</v>
      </c>
      <c r="EO46" s="4">
        <v>1.164E-4</v>
      </c>
      <c r="EP46" s="4">
        <v>1.087E-4</v>
      </c>
      <c r="EQ46" s="4">
        <v>1.0170000000000001E-4</v>
      </c>
      <c r="ER46" s="4">
        <v>9.5500000000000004E-5</v>
      </c>
      <c r="ES46" s="4">
        <v>8.9900000000000003E-5</v>
      </c>
      <c r="ET46" s="4">
        <v>8.4800000000000001E-5</v>
      </c>
      <c r="EU46" s="4">
        <v>8.0199999999999998E-5</v>
      </c>
      <c r="EV46" s="4">
        <v>7.6000000000000004E-5</v>
      </c>
      <c r="EW46" s="4">
        <v>7.2100000000000004E-5</v>
      </c>
      <c r="EX46" s="4">
        <v>6.8499999999999998E-5</v>
      </c>
      <c r="EY46" s="4">
        <v>6.4900000000000005E-5</v>
      </c>
      <c r="EZ46" s="4">
        <v>6.1400000000000002E-5</v>
      </c>
      <c r="FA46" s="4">
        <v>5.5899999999999997E-5</v>
      </c>
      <c r="FB46" s="4">
        <v>4.9599999999999999E-5</v>
      </c>
      <c r="FC46" s="4">
        <v>4.0000000000000003E-5</v>
      </c>
      <c r="FD46" s="4">
        <v>4.3300000000000002E-5</v>
      </c>
      <c r="FE46" s="4">
        <v>4.1699999999999997E-5</v>
      </c>
      <c r="FF46" s="4">
        <v>4.0399999999999999E-5</v>
      </c>
      <c r="FG46" s="4">
        <v>3.9199999999999997E-5</v>
      </c>
      <c r="FH46" s="4">
        <v>3.8099999999999998E-5</v>
      </c>
      <c r="FI46" s="4">
        <v>3.6999999999999998E-5</v>
      </c>
      <c r="FJ46" s="4">
        <v>3.5899999999999998E-5</v>
      </c>
      <c r="FK46" s="4">
        <v>3.4999999999999997E-5</v>
      </c>
      <c r="FL46" s="4">
        <v>3.4E-5</v>
      </c>
      <c r="FM46" s="4">
        <v>3.3099999999999998E-5</v>
      </c>
      <c r="FN46" s="4">
        <v>3.2199999999999997E-5</v>
      </c>
      <c r="FO46" s="4">
        <v>3.1399999999999998E-5</v>
      </c>
      <c r="FP46" s="4">
        <v>3.0700000000000001E-5</v>
      </c>
      <c r="FQ46" s="4">
        <v>2.9899999999999998E-5</v>
      </c>
      <c r="FR46" s="4">
        <v>2.9200000000000002E-5</v>
      </c>
      <c r="FS46" s="4">
        <v>2.8600000000000001E-5</v>
      </c>
      <c r="FT46" s="4">
        <v>2.7900000000000001E-5</v>
      </c>
      <c r="FU46" s="4">
        <v>2.73E-5</v>
      </c>
      <c r="FV46" s="4">
        <v>2.6800000000000001E-5</v>
      </c>
      <c r="FW46" s="4">
        <v>2.62E-5</v>
      </c>
      <c r="FX46" s="4">
        <v>2.5700000000000001E-5</v>
      </c>
      <c r="FY46" s="4">
        <v>2.5199999999999999E-5</v>
      </c>
      <c r="FZ46" s="4">
        <v>2.4700000000000001E-5</v>
      </c>
      <c r="GA46" s="4">
        <v>2.4300000000000001E-5</v>
      </c>
      <c r="GB46" s="4">
        <v>2.3799999999999999E-5</v>
      </c>
      <c r="GC46" s="4">
        <v>2.34E-5</v>
      </c>
      <c r="GD46" s="4">
        <v>2.3E-5</v>
      </c>
      <c r="GE46" s="4">
        <v>2.26E-5</v>
      </c>
      <c r="GF46" s="4">
        <v>2.23E-5</v>
      </c>
      <c r="GG46" s="4">
        <v>2.19E-5</v>
      </c>
      <c r="GH46" s="4">
        <v>2.16E-5</v>
      </c>
      <c r="GI46" s="4">
        <v>2.12E-5</v>
      </c>
      <c r="GJ46" s="4">
        <v>2.09E-5</v>
      </c>
      <c r="GK46" s="4">
        <v>2.0599999999999999E-5</v>
      </c>
      <c r="GL46" s="4">
        <v>2.0299999999999999E-5</v>
      </c>
      <c r="GM46" s="4">
        <v>2.0000000000000002E-5</v>
      </c>
      <c r="GN46" s="4">
        <v>1.9700000000000001E-5</v>
      </c>
      <c r="GO46" s="4">
        <v>1.9400000000000001E-5</v>
      </c>
      <c r="GP46" s="4">
        <v>1.9199999999999999E-5</v>
      </c>
      <c r="GQ46" s="4">
        <v>1.8899999999999999E-5</v>
      </c>
      <c r="GR46" s="4">
        <v>1.8600000000000001E-5</v>
      </c>
      <c r="GS46" s="4">
        <v>1.84E-5</v>
      </c>
      <c r="GT46" s="4">
        <v>1.8099999999999999E-5</v>
      </c>
      <c r="GU46" s="4">
        <v>1.7900000000000001E-5</v>
      </c>
      <c r="GV46" s="4">
        <v>1.7600000000000001E-5</v>
      </c>
      <c r="GW46" s="4">
        <v>1.7399999999999999E-5</v>
      </c>
      <c r="GX46" s="4">
        <v>1.7200000000000001E-5</v>
      </c>
      <c r="GY46" s="4">
        <v>1.6900000000000001E-5</v>
      </c>
      <c r="GZ46" s="4">
        <v>1.6699999999999999E-5</v>
      </c>
      <c r="HA46" s="4">
        <v>1.6500000000000001E-5</v>
      </c>
      <c r="HB46" s="4">
        <v>1.6200000000000001E-5</v>
      </c>
      <c r="HC46" s="4">
        <v>1.5999999999999999E-5</v>
      </c>
      <c r="HD46" s="4">
        <v>1.5800000000000001E-5</v>
      </c>
      <c r="HE46" s="4">
        <v>1.56E-5</v>
      </c>
      <c r="HF46" s="4">
        <v>1.5400000000000002E-5</v>
      </c>
      <c r="HG46" s="4">
        <v>1.52E-5</v>
      </c>
      <c r="HH46" s="4">
        <v>1.5E-5</v>
      </c>
      <c r="HI46" s="4">
        <v>1.4800000000000001E-5</v>
      </c>
      <c r="HJ46" s="4">
        <v>1.4600000000000001E-5</v>
      </c>
      <c r="HK46" s="4">
        <v>1.4399999999999999E-5</v>
      </c>
      <c r="HL46" s="4">
        <v>1.42E-5</v>
      </c>
      <c r="HM46" s="4">
        <v>1.4E-5</v>
      </c>
      <c r="HN46" s="4">
        <v>1.38E-5</v>
      </c>
      <c r="HO46" s="4">
        <v>1.36E-5</v>
      </c>
      <c r="HP46" s="4">
        <v>1.3499999999999999E-5</v>
      </c>
      <c r="HQ46" s="4">
        <v>1.33E-5</v>
      </c>
      <c r="HR46" s="4">
        <v>1.31E-5</v>
      </c>
      <c r="HS46" s="4">
        <v>1.29E-5</v>
      </c>
      <c r="HT46" s="4">
        <v>1.27E-5</v>
      </c>
      <c r="HU46" s="4">
        <v>1.26E-5</v>
      </c>
      <c r="HV46" s="4">
        <v>1.24E-5</v>
      </c>
      <c r="HW46" s="4">
        <v>1.22E-5</v>
      </c>
      <c r="HX46" s="4">
        <v>1.2099999999999999E-5</v>
      </c>
      <c r="HY46" s="4">
        <v>1.19E-5</v>
      </c>
      <c r="HZ46" s="4">
        <v>1.17E-5</v>
      </c>
      <c r="IA46" s="4">
        <v>1.1600000000000001E-5</v>
      </c>
      <c r="IB46" s="4">
        <v>1.1399999999999999E-5</v>
      </c>
      <c r="IC46" s="4">
        <v>1.13E-5</v>
      </c>
      <c r="ID46" s="4">
        <v>1.11E-5</v>
      </c>
      <c r="IE46" s="4">
        <v>1.1E-5</v>
      </c>
      <c r="IF46" s="4">
        <v>1.08E-5</v>
      </c>
      <c r="IG46" s="4">
        <v>7.5449999999999996E-4</v>
      </c>
      <c r="IH46" s="4"/>
      <c r="II46" s="4">
        <f t="shared" si="245"/>
        <v>0.11211766085712987</v>
      </c>
      <c r="IJ46">
        <f t="shared" si="247"/>
        <v>0.35948573749999929</v>
      </c>
      <c r="IN46" s="4"/>
      <c r="IO46" s="4"/>
      <c r="IP46" s="4"/>
      <c r="IQ46" s="4"/>
      <c r="IR46" s="4"/>
      <c r="IS46" s="4"/>
      <c r="IT46" s="4"/>
      <c r="IU46" s="4"/>
      <c r="IV46" s="4"/>
    </row>
    <row r="47" spans="1:256" x14ac:dyDescent="0.35">
      <c r="A47" s="1">
        <v>39</v>
      </c>
      <c r="B47" s="4">
        <v>1.0654E-2</v>
      </c>
      <c r="C47" s="4">
        <v>1.0654E-2</v>
      </c>
      <c r="D47" s="4">
        <v>1.06058E-2</v>
      </c>
      <c r="E47" s="4">
        <v>1.04361E-2</v>
      </c>
      <c r="F47" s="4">
        <v>9.7535E-3</v>
      </c>
      <c r="G47" s="4">
        <v>9.1403999999999999E-3</v>
      </c>
      <c r="H47" s="4">
        <v>8.5669000000000006E-3</v>
      </c>
      <c r="I47" s="4">
        <v>7.9711000000000001E-3</v>
      </c>
      <c r="J47" s="4">
        <v>7.4428000000000003E-3</v>
      </c>
      <c r="K47" s="4">
        <v>6.9601000000000003E-3</v>
      </c>
      <c r="L47" s="4">
        <v>6.5317999999999999E-3</v>
      </c>
      <c r="M47" s="4">
        <v>6.1491999999999996E-3</v>
      </c>
      <c r="N47" s="4">
        <v>5.8079999999999998E-3</v>
      </c>
      <c r="O47" s="4">
        <v>5.5024999999999996E-3</v>
      </c>
      <c r="P47" s="4">
        <v>5.2283E-3</v>
      </c>
      <c r="Q47" s="4">
        <v>4.9813000000000001E-3</v>
      </c>
      <c r="R47" s="4">
        <v>4.7580000000000001E-3</v>
      </c>
      <c r="S47" s="4">
        <v>4.5554000000000002E-3</v>
      </c>
      <c r="T47" s="4">
        <v>4.3709999999999999E-3</v>
      </c>
      <c r="U47" s="4">
        <v>4.2025999999999999E-3</v>
      </c>
      <c r="V47" s="4">
        <v>4.0480999999999998E-3</v>
      </c>
      <c r="W47" s="4">
        <v>3.9061E-3</v>
      </c>
      <c r="X47" s="4">
        <v>3.7750000000000001E-3</v>
      </c>
      <c r="Y47" s="4">
        <v>3.6537000000000002E-3</v>
      </c>
      <c r="Z47" s="4">
        <v>3.5412E-3</v>
      </c>
      <c r="AA47" s="4">
        <v>3.4364E-3</v>
      </c>
      <c r="AB47" s="4">
        <v>3.3384999999999999E-3</v>
      </c>
      <c r="AC47" s="4">
        <v>3.2468000000000002E-3</v>
      </c>
      <c r="AD47" s="4">
        <v>3.1606999999999998E-3</v>
      </c>
      <c r="AE47" s="4">
        <v>3.0796999999999999E-3</v>
      </c>
      <c r="AF47" s="4">
        <v>3.0030999999999999E-3</v>
      </c>
      <c r="AG47" s="4">
        <v>2.9307000000000001E-3</v>
      </c>
      <c r="AH47" s="4">
        <v>2.8620999999999998E-3</v>
      </c>
      <c r="AI47" s="4">
        <v>2.7969000000000002E-3</v>
      </c>
      <c r="AJ47" s="4">
        <v>2.7349000000000002E-3</v>
      </c>
      <c r="AK47" s="4">
        <v>2.6759000000000002E-3</v>
      </c>
      <c r="AL47" s="4">
        <v>2.6194999999999999E-3</v>
      </c>
      <c r="AM47" s="4">
        <v>2.5657000000000002E-3</v>
      </c>
      <c r="AN47" s="4">
        <v>2.5143000000000001E-3</v>
      </c>
      <c r="AO47" s="4">
        <v>2.4650000000000002E-3</v>
      </c>
      <c r="AP47" s="4">
        <v>2.4177000000000001E-3</v>
      </c>
      <c r="AQ47" s="4">
        <v>2.3722999999999999E-3</v>
      </c>
      <c r="AR47" s="4">
        <v>2.3287E-3</v>
      </c>
      <c r="AS47" s="4">
        <v>2.2867E-3</v>
      </c>
      <c r="AT47" s="4">
        <v>2.2461999999999998E-3</v>
      </c>
      <c r="AU47" s="4">
        <v>2.2071999999999999E-3</v>
      </c>
      <c r="AV47" s="4">
        <v>2.1695E-3</v>
      </c>
      <c r="AW47" s="4">
        <v>2.1329999999999999E-3</v>
      </c>
      <c r="AX47" s="4">
        <v>2.0977000000000001E-3</v>
      </c>
      <c r="AY47" s="4">
        <v>2.0634E-3</v>
      </c>
      <c r="AZ47" s="4">
        <v>2.0301999999999998E-3</v>
      </c>
      <c r="BA47" s="4">
        <v>1.9980000000000002E-3</v>
      </c>
      <c r="BB47" s="4">
        <v>1.9666000000000002E-3</v>
      </c>
      <c r="BC47" s="4">
        <v>1.9361000000000001E-3</v>
      </c>
      <c r="BD47" s="4">
        <v>1.9063000000000001E-3</v>
      </c>
      <c r="BE47" s="4">
        <v>1.8772999999999999E-3</v>
      </c>
      <c r="BF47" s="4">
        <v>1.8489999999999999E-3</v>
      </c>
      <c r="BG47" s="4">
        <v>1.8213000000000001E-3</v>
      </c>
      <c r="BH47" s="4">
        <v>1.7943E-3</v>
      </c>
      <c r="BI47" s="4">
        <v>1.7677999999999999E-3</v>
      </c>
      <c r="BJ47" s="4">
        <v>1.7419E-3</v>
      </c>
      <c r="BK47" s="4">
        <v>1.7166E-3</v>
      </c>
      <c r="BL47" s="4">
        <v>1.6917E-3</v>
      </c>
      <c r="BM47" s="4">
        <v>1.6673E-3</v>
      </c>
      <c r="BN47" s="4">
        <v>1.6433999999999999E-3</v>
      </c>
      <c r="BO47" s="4">
        <v>1.6199000000000001E-3</v>
      </c>
      <c r="BP47" s="4">
        <v>1.5968E-3</v>
      </c>
      <c r="BQ47" s="4">
        <v>1.5740999999999999E-3</v>
      </c>
      <c r="BR47" s="4">
        <v>1.5518000000000001E-3</v>
      </c>
      <c r="BS47" s="4">
        <v>1.5299000000000001E-3</v>
      </c>
      <c r="BT47" s="4">
        <v>1.5083E-3</v>
      </c>
      <c r="BU47" s="4">
        <v>1.4871000000000001E-3</v>
      </c>
      <c r="BV47" s="4">
        <v>1.4662E-3</v>
      </c>
      <c r="BW47" s="4">
        <v>1.4457000000000001E-3</v>
      </c>
      <c r="BX47" s="4">
        <v>1.4254000000000001E-3</v>
      </c>
      <c r="BY47" s="4">
        <v>1.4055000000000001E-3</v>
      </c>
      <c r="BZ47" s="4">
        <v>1.3858E-3</v>
      </c>
      <c r="CA47" s="4">
        <v>1.3664E-3</v>
      </c>
      <c r="CB47" s="4">
        <v>1.3473999999999999E-3</v>
      </c>
      <c r="CC47" s="4">
        <v>1.3285E-3</v>
      </c>
      <c r="CD47" s="4">
        <v>1.31E-3</v>
      </c>
      <c r="CE47" s="4">
        <v>1.2917E-3</v>
      </c>
      <c r="CF47" s="4">
        <v>1.2737E-3</v>
      </c>
      <c r="CG47" s="4">
        <v>1.2558999999999999E-3</v>
      </c>
      <c r="CH47" s="4">
        <v>1.2384E-3</v>
      </c>
      <c r="CI47" s="4">
        <v>1.2210999999999999E-3</v>
      </c>
      <c r="CJ47" s="4">
        <v>1.2041E-3</v>
      </c>
      <c r="CK47" s="4">
        <v>1.1873000000000001E-3</v>
      </c>
      <c r="CL47" s="4">
        <v>1.1707E-3</v>
      </c>
      <c r="CM47" s="4">
        <v>1.1543E-3</v>
      </c>
      <c r="CN47" s="4">
        <v>1.1382E-3</v>
      </c>
      <c r="CO47" s="4">
        <v>1.1222999999999999E-3</v>
      </c>
      <c r="CP47" s="4">
        <v>1.1065999999999999E-3</v>
      </c>
      <c r="CQ47" s="4">
        <v>1.0911E-3</v>
      </c>
      <c r="CR47" s="4">
        <v>1.0759000000000001E-3</v>
      </c>
      <c r="CS47" s="4">
        <v>1.0608E-3</v>
      </c>
      <c r="CT47" s="4">
        <v>1.0459E-3</v>
      </c>
      <c r="CU47" s="4">
        <v>1.0313E-3</v>
      </c>
      <c r="CV47" s="4">
        <v>1.0168E-3</v>
      </c>
      <c r="CW47" s="4">
        <v>1.0026E-3</v>
      </c>
      <c r="CX47" s="4">
        <v>9.8850000000000001E-4</v>
      </c>
      <c r="CY47" s="4">
        <v>9.7460000000000005E-4</v>
      </c>
      <c r="CZ47" s="4">
        <v>9.6089999999999999E-4</v>
      </c>
      <c r="DA47" s="4">
        <v>9.4740000000000004E-4</v>
      </c>
      <c r="DB47" s="4">
        <v>9.3409999999999999E-4</v>
      </c>
      <c r="DC47" s="4">
        <v>9.2100000000000005E-4</v>
      </c>
      <c r="DD47" s="4">
        <v>9.0799999999999995E-4</v>
      </c>
      <c r="DE47" s="4">
        <v>8.9519999999999997E-4</v>
      </c>
      <c r="DF47" s="4">
        <v>8.8259999999999999E-4</v>
      </c>
      <c r="DG47" s="4">
        <v>8.7020000000000001E-4</v>
      </c>
      <c r="DH47" s="4">
        <v>8.5789999999999998E-4</v>
      </c>
      <c r="DI47" s="4">
        <v>8.4579999999999996E-4</v>
      </c>
      <c r="DJ47" s="4">
        <v>8.3390000000000005E-4</v>
      </c>
      <c r="DK47" s="4">
        <v>8.2209999999999998E-4</v>
      </c>
      <c r="DL47" s="4">
        <v>8.1050000000000002E-4</v>
      </c>
      <c r="DM47" s="4">
        <v>7.9909999999999996E-4</v>
      </c>
      <c r="DN47" s="4">
        <v>7.8779999999999996E-4</v>
      </c>
      <c r="DO47" s="4">
        <v>7.7669999999999996E-4</v>
      </c>
      <c r="DP47" s="4">
        <v>7.6570000000000002E-4</v>
      </c>
      <c r="DQ47" s="4">
        <v>5.3164200000000002E-2</v>
      </c>
      <c r="DR47" s="4">
        <v>0</v>
      </c>
      <c r="DS47" s="4">
        <v>4.8199999999999999E-5</v>
      </c>
      <c r="DT47" s="4">
        <v>1.697E-4</v>
      </c>
      <c r="DU47" s="4">
        <v>6.826E-4</v>
      </c>
      <c r="DV47" s="4">
        <v>6.1309999999999999E-4</v>
      </c>
      <c r="DW47" s="4">
        <v>5.7359999999999996E-4</v>
      </c>
      <c r="DX47" s="4">
        <v>5.9579999999999995E-4</v>
      </c>
      <c r="DY47" s="4">
        <v>5.2820000000000005E-4</v>
      </c>
      <c r="DZ47" s="4">
        <v>4.8280000000000003E-4</v>
      </c>
      <c r="EA47" s="4">
        <v>4.283E-4</v>
      </c>
      <c r="EB47" s="4">
        <v>3.8259999999999998E-4</v>
      </c>
      <c r="EC47" s="4">
        <v>3.412E-4</v>
      </c>
      <c r="ED47" s="4">
        <v>3.055E-4</v>
      </c>
      <c r="EE47" s="4">
        <v>2.742E-4</v>
      </c>
      <c r="EF47" s="4">
        <v>2.4699999999999999E-4</v>
      </c>
      <c r="EG47" s="4">
        <v>2.2330000000000001E-4</v>
      </c>
      <c r="EH47" s="4">
        <v>2.0259999999999999E-4</v>
      </c>
      <c r="EI47" s="4">
        <v>1.8440000000000001E-4</v>
      </c>
      <c r="EJ47" s="4">
        <v>1.685E-4</v>
      </c>
      <c r="EK47" s="4">
        <v>1.5440000000000001E-4</v>
      </c>
      <c r="EL47" s="4">
        <v>1.4200000000000001E-4</v>
      </c>
      <c r="EM47" s="4">
        <v>1.3100000000000001E-4</v>
      </c>
      <c r="EN47" s="4">
        <v>1.2129999999999999E-4</v>
      </c>
      <c r="EO47" s="4">
        <v>1.126E-4</v>
      </c>
      <c r="EP47" s="4">
        <v>1.048E-4</v>
      </c>
      <c r="EQ47" s="4">
        <v>9.7899999999999994E-5</v>
      </c>
      <c r="ER47" s="4">
        <v>9.1700000000000006E-5</v>
      </c>
      <c r="ES47" s="4">
        <v>8.6100000000000006E-5</v>
      </c>
      <c r="ET47" s="4">
        <v>8.1100000000000006E-5</v>
      </c>
      <c r="EU47" s="4">
        <v>7.6500000000000003E-5</v>
      </c>
      <c r="EV47" s="4">
        <v>7.2399999999999998E-5</v>
      </c>
      <c r="EW47" s="4">
        <v>6.86E-5</v>
      </c>
      <c r="EX47" s="4">
        <v>6.5199999999999999E-5</v>
      </c>
      <c r="EY47" s="4">
        <v>6.2000000000000003E-5</v>
      </c>
      <c r="EZ47" s="4">
        <v>5.8999999999999998E-5</v>
      </c>
      <c r="FA47" s="4">
        <v>5.63E-5</v>
      </c>
      <c r="FB47" s="4">
        <v>5.38E-5</v>
      </c>
      <c r="FC47" s="4">
        <v>5.1499999999999998E-5</v>
      </c>
      <c r="FD47" s="4">
        <v>4.9299999999999999E-5</v>
      </c>
      <c r="FE47" s="4">
        <v>4.7299999999999998E-5</v>
      </c>
      <c r="FF47" s="4">
        <v>4.5399999999999999E-5</v>
      </c>
      <c r="FG47" s="4">
        <v>4.3600000000000003E-5</v>
      </c>
      <c r="FH47" s="4">
        <v>4.1999999999999998E-5</v>
      </c>
      <c r="FI47" s="4">
        <v>4.0500000000000002E-5</v>
      </c>
      <c r="FJ47" s="4">
        <v>3.8999999999999999E-5</v>
      </c>
      <c r="FK47" s="4">
        <v>3.7700000000000002E-5</v>
      </c>
      <c r="FL47" s="4">
        <v>3.65E-5</v>
      </c>
      <c r="FM47" s="4">
        <v>3.5299999999999997E-5</v>
      </c>
      <c r="FN47" s="4">
        <v>3.4199999999999998E-5</v>
      </c>
      <c r="FO47" s="4">
        <v>3.3200000000000001E-5</v>
      </c>
      <c r="FP47" s="4">
        <v>3.2299999999999999E-5</v>
      </c>
      <c r="FQ47" s="4">
        <v>3.1399999999999998E-5</v>
      </c>
      <c r="FR47" s="4">
        <v>3.0499999999999999E-5</v>
      </c>
      <c r="FS47" s="4">
        <v>2.9799999999999999E-5</v>
      </c>
      <c r="FT47" s="4">
        <v>2.9E-5</v>
      </c>
      <c r="FU47" s="4">
        <v>2.83E-5</v>
      </c>
      <c r="FV47" s="4">
        <v>2.7699999999999999E-5</v>
      </c>
      <c r="FW47" s="4">
        <v>2.6999999999999999E-5</v>
      </c>
      <c r="FX47" s="4">
        <v>2.65E-5</v>
      </c>
      <c r="FY47" s="4">
        <v>2.5899999999999999E-5</v>
      </c>
      <c r="FZ47" s="4">
        <v>2.5400000000000001E-5</v>
      </c>
      <c r="GA47" s="4">
        <v>2.4899999999999999E-5</v>
      </c>
      <c r="GB47" s="4">
        <v>2.44E-5</v>
      </c>
      <c r="GC47" s="4">
        <v>2.3900000000000002E-5</v>
      </c>
      <c r="GD47" s="4">
        <v>2.3499999999999999E-5</v>
      </c>
      <c r="GE47" s="4">
        <v>2.3099999999999999E-5</v>
      </c>
      <c r="GF47" s="4">
        <v>2.27E-5</v>
      </c>
      <c r="GG47" s="4">
        <v>2.23E-5</v>
      </c>
      <c r="GH47" s="4">
        <v>2.19E-5</v>
      </c>
      <c r="GI47" s="4">
        <v>2.16E-5</v>
      </c>
      <c r="GJ47" s="4">
        <v>2.12E-5</v>
      </c>
      <c r="GK47" s="4">
        <v>2.09E-5</v>
      </c>
      <c r="GL47" s="4">
        <v>2.0599999999999999E-5</v>
      </c>
      <c r="GM47" s="4">
        <v>2.0299999999999999E-5</v>
      </c>
      <c r="GN47" s="4">
        <v>1.9899999999999999E-5</v>
      </c>
      <c r="GO47" s="4">
        <v>1.9700000000000001E-5</v>
      </c>
      <c r="GP47" s="4">
        <v>1.9400000000000001E-5</v>
      </c>
      <c r="GQ47" s="4">
        <v>1.91E-5</v>
      </c>
      <c r="GR47" s="4">
        <v>1.88E-5</v>
      </c>
      <c r="GS47" s="4">
        <v>1.8499999999999999E-5</v>
      </c>
      <c r="GT47" s="4">
        <v>1.8300000000000001E-5</v>
      </c>
      <c r="GU47" s="4">
        <v>1.8E-5</v>
      </c>
      <c r="GV47" s="4">
        <v>1.7799999999999999E-5</v>
      </c>
      <c r="GW47" s="4">
        <v>1.7499999999999998E-5</v>
      </c>
      <c r="GX47" s="4">
        <v>1.73E-5</v>
      </c>
      <c r="GY47" s="4">
        <v>1.7E-5</v>
      </c>
      <c r="GZ47" s="4">
        <v>1.6799999999999998E-5</v>
      </c>
      <c r="HA47" s="4">
        <v>1.66E-5</v>
      </c>
      <c r="HB47" s="4">
        <v>1.6399999999999999E-5</v>
      </c>
      <c r="HC47" s="4">
        <v>1.6099999999999998E-5</v>
      </c>
      <c r="HD47" s="4">
        <v>1.59E-5</v>
      </c>
      <c r="HE47" s="4">
        <v>1.5699999999999999E-5</v>
      </c>
      <c r="HF47" s="4">
        <v>1.5500000000000001E-5</v>
      </c>
      <c r="HG47" s="4">
        <v>1.5299999999999999E-5</v>
      </c>
      <c r="HH47" s="4">
        <v>1.5099999999999999E-5</v>
      </c>
      <c r="HI47" s="4">
        <v>1.49E-5</v>
      </c>
      <c r="HJ47" s="4">
        <v>1.47E-5</v>
      </c>
      <c r="HK47" s="4">
        <v>1.45E-5</v>
      </c>
      <c r="HL47" s="4">
        <v>1.43E-5</v>
      </c>
      <c r="HM47" s="4">
        <v>1.4100000000000001E-5</v>
      </c>
      <c r="HN47" s="4">
        <v>1.3900000000000001E-5</v>
      </c>
      <c r="HO47" s="4">
        <v>1.3699999999999999E-5</v>
      </c>
      <c r="HP47" s="4">
        <v>1.3499999999999999E-5</v>
      </c>
      <c r="HQ47" s="4">
        <v>1.33E-5</v>
      </c>
      <c r="HR47" s="4">
        <v>1.31E-5</v>
      </c>
      <c r="HS47" s="4">
        <v>1.2999999999999999E-5</v>
      </c>
      <c r="HT47" s="4">
        <v>1.2799999999999999E-5</v>
      </c>
      <c r="HU47" s="4">
        <v>1.26E-5</v>
      </c>
      <c r="HV47" s="4">
        <v>1.24E-5</v>
      </c>
      <c r="HW47" s="4">
        <v>1.2300000000000001E-5</v>
      </c>
      <c r="HX47" s="4">
        <v>1.2099999999999999E-5</v>
      </c>
      <c r="HY47" s="4">
        <v>1.19E-5</v>
      </c>
      <c r="HZ47" s="4">
        <v>1.1800000000000001E-5</v>
      </c>
      <c r="IA47" s="4">
        <v>1.1600000000000001E-5</v>
      </c>
      <c r="IB47" s="4">
        <v>1.1399999999999999E-5</v>
      </c>
      <c r="IC47" s="4">
        <v>1.13E-5</v>
      </c>
      <c r="ID47" s="4">
        <v>1.11E-5</v>
      </c>
      <c r="IE47" s="4">
        <v>1.1E-5</v>
      </c>
      <c r="IF47" s="4">
        <v>1.08E-5</v>
      </c>
      <c r="IG47" s="4">
        <v>7.5480000000000002E-4</v>
      </c>
      <c r="IH47" s="4"/>
      <c r="II47" s="4">
        <f t="shared" si="245"/>
        <v>1.1424401594196449</v>
      </c>
      <c r="IJ47">
        <f t="shared" si="247"/>
        <v>0.31457227499999968</v>
      </c>
      <c r="IN47" s="4"/>
      <c r="IO47" s="4"/>
      <c r="IP47" s="4"/>
      <c r="IQ47" s="4"/>
      <c r="IR47" s="4"/>
      <c r="IS47" s="4"/>
      <c r="IT47" s="4"/>
      <c r="IU47" s="4"/>
      <c r="IV47" s="4"/>
    </row>
    <row r="48" spans="1:256" x14ac:dyDescent="0.35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>
        <f t="shared" si="247"/>
        <v>0.26966116249999988</v>
      </c>
    </row>
    <row r="49" spans="2:244" x14ac:dyDescent="0.35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>
        <f t="shared" si="247"/>
        <v>0.22474716250000012</v>
      </c>
    </row>
    <row r="50" spans="2:244" x14ac:dyDescent="0.3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>
        <f t="shared" si="247"/>
        <v>0.17982937500000012</v>
      </c>
    </row>
    <row r="51" spans="2:244" x14ac:dyDescent="0.3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>
        <f t="shared" si="247"/>
        <v>0.13490687499999995</v>
      </c>
    </row>
    <row r="52" spans="2:244" x14ac:dyDescent="0.35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J52">
        <f t="shared" si="247"/>
        <v>8.9979162500000001E-2</v>
      </c>
    </row>
    <row r="53" spans="2:244" x14ac:dyDescent="0.35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J53">
        <f t="shared" si="247"/>
        <v>4.5060874999999986E-2</v>
      </c>
    </row>
    <row r="54" spans="2:244" x14ac:dyDescent="0.3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J54">
        <f t="shared" si="247"/>
        <v>0</v>
      </c>
    </row>
    <row r="55" spans="2:244" x14ac:dyDescent="0.3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J55">
        <f t="shared" si="247"/>
        <v>0</v>
      </c>
    </row>
    <row r="56" spans="2:244" x14ac:dyDescent="0.3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J56">
        <f t="shared" si="247"/>
        <v>0</v>
      </c>
    </row>
    <row r="57" spans="2:244" x14ac:dyDescent="0.35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J57">
        <f t="shared" si="247"/>
        <v>0</v>
      </c>
    </row>
    <row r="58" spans="2:244" x14ac:dyDescent="0.3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J58">
        <f t="shared" si="247"/>
        <v>0</v>
      </c>
    </row>
    <row r="59" spans="2:244" x14ac:dyDescent="0.35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J59">
        <f t="shared" si="247"/>
        <v>0</v>
      </c>
    </row>
    <row r="60" spans="2:244" x14ac:dyDescent="0.35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J60">
        <f t="shared" si="247"/>
        <v>0</v>
      </c>
    </row>
    <row r="61" spans="2:244" x14ac:dyDescent="0.35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J61">
        <f t="shared" si="247"/>
        <v>0</v>
      </c>
    </row>
    <row r="62" spans="2:244" x14ac:dyDescent="0.35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J62">
        <f t="shared" si="247"/>
        <v>0</v>
      </c>
    </row>
    <row r="63" spans="2:244" x14ac:dyDescent="0.35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J63">
        <f t="shared" si="247"/>
        <v>0</v>
      </c>
    </row>
    <row r="64" spans="2:244" x14ac:dyDescent="0.35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</row>
    <row r="65" spans="2:242" x14ac:dyDescent="0.35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</row>
    <row r="66" spans="2:242" x14ac:dyDescent="0.35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</row>
    <row r="67" spans="2:242" x14ac:dyDescent="0.35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42"/>
  <sheetViews>
    <sheetView tabSelected="1" zoomScale="60" zoomScaleNormal="60" workbookViewId="0">
      <selection activeCell="A2" sqref="A2:L42"/>
    </sheetView>
  </sheetViews>
  <sheetFormatPr defaultRowHeight="14.5" x14ac:dyDescent="0.35"/>
  <sheetData>
    <row r="1" spans="1:12" x14ac:dyDescent="0.35">
      <c r="A1" t="s">
        <v>56</v>
      </c>
      <c r="B1" t="s">
        <v>290</v>
      </c>
      <c r="C1" t="s">
        <v>293</v>
      </c>
      <c r="D1" t="s">
        <v>294</v>
      </c>
      <c r="E1" t="s">
        <v>295</v>
      </c>
      <c r="F1" t="s">
        <v>296</v>
      </c>
      <c r="G1" t="s">
        <v>297</v>
      </c>
      <c r="H1" t="s">
        <v>298</v>
      </c>
      <c r="I1" t="s">
        <v>299</v>
      </c>
      <c r="J1" t="s">
        <v>288</v>
      </c>
      <c r="K1" s="6" t="s">
        <v>300</v>
      </c>
      <c r="L1" t="s">
        <v>57</v>
      </c>
    </row>
    <row r="2" spans="1:12" x14ac:dyDescent="0.35">
      <c r="A2" s="11">
        <v>2020</v>
      </c>
      <c r="B2" s="12">
        <f>output_transition_aggregates!AK2</f>
        <v>2.7535205706949997</v>
      </c>
      <c r="C2" s="12">
        <f>aggregates_normalized!R2</f>
        <v>0</v>
      </c>
      <c r="D2" s="11">
        <f>aggregates_normalized!K2</f>
        <v>0</v>
      </c>
      <c r="E2" s="12">
        <f>aggregates_normalized!AA2</f>
        <v>0</v>
      </c>
      <c r="F2" s="13">
        <f>100*(output_transition_aggregates!AM2-output_transition_aggregates!AM$2)</f>
        <v>0</v>
      </c>
      <c r="G2" s="11">
        <f>100*(output_transition_firms_age!II8-output_transition_firms_age!II$8)</f>
        <v>0</v>
      </c>
      <c r="H2" s="12">
        <f>aggregates_normalized!J2</f>
        <v>0</v>
      </c>
      <c r="I2" s="12">
        <f>aggregates_normalized!S2</f>
        <v>0</v>
      </c>
      <c r="J2" s="12">
        <f>aggregates_normalized!C2</f>
        <v>0</v>
      </c>
      <c r="K2" s="12">
        <f>output_transition_aggregates!AL2</f>
        <v>0</v>
      </c>
      <c r="L2" s="11">
        <v>0</v>
      </c>
    </row>
    <row r="3" spans="1:12" x14ac:dyDescent="0.35">
      <c r="A3" s="11">
        <f>A2+0.25</f>
        <v>2020.25</v>
      </c>
      <c r="B3" s="12">
        <f>output_transition_aggregates!AK3</f>
        <v>1.3767602853474998</v>
      </c>
      <c r="C3" s="12">
        <f>aggregates_normalized!R3</f>
        <v>-14.356493178193064</v>
      </c>
      <c r="D3" s="11">
        <f>aggregates_normalized!K3</f>
        <v>-18.609509999999997</v>
      </c>
      <c r="E3" s="12">
        <f>aggregates_normalized!AA3</f>
        <v>0</v>
      </c>
      <c r="F3" s="13">
        <f>100*(output_transition_aggregates!AM3-output_transition_aggregates!AM$2)</f>
        <v>-1.3035054300254367</v>
      </c>
      <c r="G3" s="11">
        <f>100*(output_transition_firms_age!II9-output_transition_firms_age!II$8)</f>
        <v>3.5768016356286112</v>
      </c>
      <c r="H3" s="12">
        <f>aggregates_normalized!J3</f>
        <v>-1.7098542638572578</v>
      </c>
      <c r="I3" s="12">
        <f>aggregates_normalized!S3</f>
        <v>-70.802109152662695</v>
      </c>
      <c r="J3" s="12">
        <f>aggregates_normalized!C3</f>
        <v>26.161155737115461</v>
      </c>
      <c r="K3" s="12">
        <f>output_transition_aggregates!AL3</f>
        <v>16.372997748906968</v>
      </c>
      <c r="L3" s="11">
        <v>0</v>
      </c>
    </row>
    <row r="4" spans="1:12" x14ac:dyDescent="0.35">
      <c r="A4" s="11">
        <f t="shared" ref="A4:A42" si="0">A3+0.25</f>
        <v>2020.5</v>
      </c>
      <c r="B4" s="12">
        <f>output_transition_aggregates!AK4</f>
        <v>0.68838014267374992</v>
      </c>
      <c r="C4" s="12">
        <f>aggregates_normalized!R4</f>
        <v>-8.3042648644895518</v>
      </c>
      <c r="D4" s="11">
        <f>aggregates_normalized!K4</f>
        <v>-10.749959999999991</v>
      </c>
      <c r="E4" s="12">
        <f>aggregates_normalized!AA4</f>
        <v>-1.204460570327559</v>
      </c>
      <c r="F4" s="13">
        <f>100*(output_transition_aggregates!AM4-output_transition_aggregates!AM$2)</f>
        <v>-1.3688784254545048</v>
      </c>
      <c r="G4" s="11">
        <f>100*(output_transition_firms_age!II10-output_transition_firms_age!II$8)</f>
        <v>3.2015566664004886</v>
      </c>
      <c r="H4" s="12">
        <f>aggregates_normalized!J4</f>
        <v>-1.8638089699318905</v>
      </c>
      <c r="I4" s="12">
        <f>aggregates_normalized!S4</f>
        <v>-36.290218509922035</v>
      </c>
      <c r="J4" s="12">
        <f>aggregates_normalized!C4</f>
        <v>13.080577868557741</v>
      </c>
      <c r="K4" s="12">
        <f>output_transition_aggregates!AL4</f>
        <v>8.5842865229471155</v>
      </c>
      <c r="L4" s="11">
        <v>0</v>
      </c>
    </row>
    <row r="5" spans="1:12" x14ac:dyDescent="0.35">
      <c r="A5" s="11">
        <f t="shared" si="0"/>
        <v>2020.75</v>
      </c>
      <c r="B5" s="12">
        <f>output_transition_aggregates!AK5</f>
        <v>0.34419007133687496</v>
      </c>
      <c r="C5" s="12">
        <f>aggregates_normalized!R5</f>
        <v>-5.1758030581765642</v>
      </c>
      <c r="D5" s="11">
        <f>aggregates_normalized!K5</f>
        <v>-6.1891099999999977</v>
      </c>
      <c r="E5" s="12">
        <f>aggregates_normalized!AA5</f>
        <v>-2.0982996344926508</v>
      </c>
      <c r="F5" s="13">
        <f>100*(output_transition_aggregates!AM5-output_transition_aggregates!AM$2)</f>
        <v>-1.0748989412029231</v>
      </c>
      <c r="G5" s="11">
        <f>100*(output_transition_firms_age!II11-output_transition_firms_age!II$8)</f>
        <v>2.9076841863658816</v>
      </c>
      <c r="H5" s="12">
        <f>aggregates_normalized!J5</f>
        <v>-1.9085479781472126</v>
      </c>
      <c r="I5" s="12">
        <f>aggregates_normalized!S5</f>
        <v>-18.609888812938312</v>
      </c>
      <c r="J5" s="12">
        <f>aggregates_normalized!C5</f>
        <v>6.5402952423366356</v>
      </c>
      <c r="K5" s="12">
        <f>output_transition_aggregates!AL5</f>
        <v>3.3973670034777026</v>
      </c>
      <c r="L5" s="11">
        <v>0</v>
      </c>
    </row>
    <row r="6" spans="1:12" x14ac:dyDescent="0.35">
      <c r="A6" s="11">
        <f t="shared" si="0"/>
        <v>2021</v>
      </c>
      <c r="B6" s="12">
        <f>output_transition_aggregates!AK6</f>
        <v>0.17209503566843748</v>
      </c>
      <c r="C6" s="12">
        <f>aggregates_normalized!R6</f>
        <v>-3.4899246168672793</v>
      </c>
      <c r="D6" s="11">
        <f>aggregates_normalized!K6</f>
        <v>-3.6082899999999918</v>
      </c>
      <c r="E6" s="12">
        <f>aggregates_normalized!AA6</f>
        <v>-2.7702316575099584</v>
      </c>
      <c r="F6" s="13">
        <f>100*(output_transition_aggregates!AM6-output_transition_aggregates!AM$2)</f>
        <v>-0.61517382058885184</v>
      </c>
      <c r="G6" s="11">
        <f>100*(output_transition_firms_age!II12-output_transition_firms_age!II$8)</f>
        <v>2.691943176340418</v>
      </c>
      <c r="H6" s="12">
        <f>aggregates_normalized!J6</f>
        <v>-1.8900125117364275</v>
      </c>
      <c r="I6" s="12">
        <f>aggregates_normalized!S6</f>
        <v>-9.2771377003989635</v>
      </c>
      <c r="J6" s="12">
        <f>aggregates_normalized!C6</f>
        <v>3.2701476211683289</v>
      </c>
      <c r="K6" s="12">
        <f>output_transition_aggregates!AL6</f>
        <v>0.4089677456255103</v>
      </c>
      <c r="L6" s="11">
        <v>0</v>
      </c>
    </row>
    <row r="7" spans="1:12" x14ac:dyDescent="0.35">
      <c r="A7" s="11">
        <f t="shared" si="0"/>
        <v>2021.25</v>
      </c>
      <c r="B7" s="12">
        <f>output_transition_aggregates!AK7</f>
        <v>8.604751783421874E-2</v>
      </c>
      <c r="C7" s="12">
        <f>aggregates_normalized!R7</f>
        <v>-2.6507628681401219</v>
      </c>
      <c r="D7" s="11">
        <f>aggregates_normalized!K7</f>
        <v>-2.2904399999999936</v>
      </c>
      <c r="E7" s="12">
        <f>aggregates_normalized!AA7</f>
        <v>-3.1971366483303898</v>
      </c>
      <c r="F7" s="13">
        <f>100*(output_transition_aggregates!AM7-output_transition_aggregates!AM$2)</f>
        <v>0.23706851804674856</v>
      </c>
      <c r="G7" s="11">
        <f>100*(output_transition_firms_age!II13-output_transition_firms_age!II$8)</f>
        <v>-1.781165023685559</v>
      </c>
      <c r="H7" s="12">
        <f>aggregates_normalized!J7</f>
        <v>-1.8616022726293147</v>
      </c>
      <c r="I7" s="12">
        <f>aggregates_normalized!S7</f>
        <v>-4.7193321040666536</v>
      </c>
      <c r="J7" s="12">
        <f>aggregates_normalized!C7</f>
        <v>1.6350738105841645</v>
      </c>
      <c r="K7" s="12">
        <f>output_transition_aggregates!AL7</f>
        <v>-1.1247847696307822</v>
      </c>
      <c r="L7" s="11">
        <v>0</v>
      </c>
    </row>
    <row r="8" spans="1:12" x14ac:dyDescent="0.35">
      <c r="A8" s="11">
        <f t="shared" si="0"/>
        <v>2021.5</v>
      </c>
      <c r="B8" s="12">
        <f>output_transition_aggregates!AK8</f>
        <v>4.302375891710937E-2</v>
      </c>
      <c r="C8" s="12">
        <f>aggregates_normalized!R8</f>
        <v>-2.2046005628384657</v>
      </c>
      <c r="D8" s="11">
        <f>aggregates_normalized!K8</f>
        <v>-1.5965699999999972</v>
      </c>
      <c r="E8" s="12">
        <f>aggregates_normalized!AA8</f>
        <v>-3.3922155948470478</v>
      </c>
      <c r="F8" s="13">
        <f>100*(output_transition_aggregates!AM8-output_transition_aggregates!AM$2)</f>
        <v>0.63659841557937447</v>
      </c>
      <c r="G8" s="11">
        <f>100*(output_transition_firms_age!II14-output_transition_firms_age!II$8)</f>
        <v>-1.3091996744935928</v>
      </c>
      <c r="H8" s="12">
        <f>aggregates_normalized!J8</f>
        <v>-1.8127860154552811</v>
      </c>
      <c r="I8" s="12">
        <f>aggregates_normalized!S8</f>
        <v>-2.450153067919203</v>
      </c>
      <c r="J8" s="12">
        <f>aggregates_normalized!C8</f>
        <v>0.81753690529207113</v>
      </c>
      <c r="K8" s="12">
        <f>output_transition_aggregates!AL8</f>
        <v>-1.9021480461195228</v>
      </c>
      <c r="L8" s="11">
        <v>0</v>
      </c>
    </row>
    <row r="9" spans="1:12" x14ac:dyDescent="0.35">
      <c r="A9" s="11">
        <f t="shared" si="0"/>
        <v>2021.75</v>
      </c>
      <c r="B9" s="12">
        <f>output_transition_aggregates!AK9</f>
        <v>2.1511879458554685E-2</v>
      </c>
      <c r="C9" s="12">
        <f>aggregates_normalized!R9</f>
        <v>-1.9285684750020571</v>
      </c>
      <c r="D9" s="11">
        <f>aggregates_normalized!K9</f>
        <v>-1.1756099999999936</v>
      </c>
      <c r="E9" s="12">
        <f>aggregates_normalized!AA9</f>
        <v>-3.4678838661613254</v>
      </c>
      <c r="F9" s="13">
        <f>100*(output_transition_aggregates!AM9-output_transition_aggregates!AM$2)</f>
        <v>0.8445237268489808</v>
      </c>
      <c r="G9" s="11">
        <f>100*(output_transition_firms_age!II15-output_transition_firms_age!II$8)</f>
        <v>-0.83402028856542076</v>
      </c>
      <c r="H9" s="12">
        <f>aggregates_normalized!J9</f>
        <v>-1.7716971534949555</v>
      </c>
      <c r="I9" s="12">
        <f>aggregates_normalized!S9</f>
        <v>-1.0960198003267085</v>
      </c>
      <c r="J9" s="12">
        <f>aggregates_normalized!C9</f>
        <v>0.40877476070382279</v>
      </c>
      <c r="K9" s="12">
        <f>output_transition_aggregates!AL9</f>
        <v>-2.3516475123968039</v>
      </c>
      <c r="L9" s="11">
        <v>0</v>
      </c>
    </row>
    <row r="10" spans="1:12" x14ac:dyDescent="0.35">
      <c r="A10" s="11">
        <f t="shared" si="0"/>
        <v>2022</v>
      </c>
      <c r="B10" s="12">
        <f>output_transition_aggregates!AK10</f>
        <v>1.0755939729277342E-2</v>
      </c>
      <c r="C10" s="12">
        <f>aggregates_normalized!R10</f>
        <v>-1.7734769637628545</v>
      </c>
      <c r="D10" s="11">
        <f>aggregates_normalized!K10</f>
        <v>-0.95339999999999314</v>
      </c>
      <c r="E10" s="12">
        <f>aggregates_normalized!AA10</f>
        <v>-3.4645410073035565</v>
      </c>
      <c r="F10" s="13">
        <f>100*(output_transition_aggregates!AM10-output_transition_aggregates!AM$2)</f>
        <v>0.91039868021684933</v>
      </c>
      <c r="G10" s="11">
        <f>100*(output_transition_firms_age!II16-output_transition_firms_age!II$8)</f>
        <v>-0.31471801933451865</v>
      </c>
      <c r="H10" s="12">
        <f>aggregates_normalized!J10</f>
        <v>-1.7248582236529697</v>
      </c>
      <c r="I10" s="12">
        <f>aggregates_normalized!S10</f>
        <v>-0.44371441925463717</v>
      </c>
      <c r="J10" s="12">
        <f>aggregates_normalized!C10</f>
        <v>0.20439368840969863</v>
      </c>
      <c r="K10" s="12">
        <f>output_transition_aggregates!AL10</f>
        <v>-2.5580235156915876</v>
      </c>
      <c r="L10" s="11">
        <v>0</v>
      </c>
    </row>
    <row r="11" spans="1:12" x14ac:dyDescent="0.35">
      <c r="A11" s="11">
        <f t="shared" si="0"/>
        <v>2022.25</v>
      </c>
      <c r="B11" s="12">
        <f>output_transition_aggregates!AK11</f>
        <v>5.3779698646386712E-3</v>
      </c>
      <c r="C11" s="12">
        <f>aggregates_normalized!R11</f>
        <v>-1.668108954520664</v>
      </c>
      <c r="D11" s="11">
        <f>aggregates_normalized!K11</f>
        <v>-0.81143999999999661</v>
      </c>
      <c r="E11" s="12">
        <f>aggregates_normalized!AA11</f>
        <v>-3.4238162205425637</v>
      </c>
      <c r="F11" s="13">
        <f>100*(output_transition_aggregates!AM11-output_transition_aggregates!AM$2)</f>
        <v>0.86920485735920572</v>
      </c>
      <c r="G11" s="11">
        <f>100*(output_transition_firms_age!II17-output_transition_firms_age!II$8)</f>
        <v>-0.20209042059839699</v>
      </c>
      <c r="H11" s="12">
        <f>aggregates_normalized!J11</f>
        <v>-1.676880353267729</v>
      </c>
      <c r="I11" s="12">
        <f>aggregates_normalized!S11</f>
        <v>-7.4392201615147702E-2</v>
      </c>
      <c r="J11" s="12">
        <f>aggregates_normalized!C11</f>
        <v>0.10220315226263654</v>
      </c>
      <c r="K11" s="12">
        <f>output_transition_aggregates!AL11</f>
        <v>-2.6697439925689181</v>
      </c>
      <c r="L11" s="11">
        <v>0</v>
      </c>
    </row>
    <row r="12" spans="1:12" x14ac:dyDescent="0.35">
      <c r="A12" s="11">
        <f t="shared" si="0"/>
        <v>2022.5</v>
      </c>
      <c r="B12" s="12">
        <f>output_transition_aggregates!AK12</f>
        <v>2.6889849323193356E-3</v>
      </c>
      <c r="C12" s="12">
        <f>aggregates_normalized!R12</f>
        <v>-1.5890263259541126</v>
      </c>
      <c r="D12" s="11">
        <f>aggregates_normalized!K12</f>
        <v>-0.71259999999999657</v>
      </c>
      <c r="E12" s="12">
        <f>aggregates_normalized!AA12</f>
        <v>-3.3650066021462477</v>
      </c>
      <c r="F12" s="13">
        <f>100*(output_transition_aggregates!AM12-output_transition_aggregates!AM$2)</f>
        <v>0.82657297700575172</v>
      </c>
      <c r="G12" s="11">
        <f>100*(output_transition_firms_age!II18-output_transition_firms_age!II$8)</f>
        <v>-0.17700614011584709</v>
      </c>
      <c r="H12" s="12">
        <f>aggregates_normalized!J12</f>
        <v>-1.6182644618359721</v>
      </c>
      <c r="I12" s="12">
        <f>aggregates_normalized!S12</f>
        <v>9.9478784667117459E-2</v>
      </c>
      <c r="J12" s="12">
        <f>aggregates_normalized!C12</f>
        <v>5.1107884189094399E-2</v>
      </c>
      <c r="K12" s="12">
        <f>output_transition_aggregates!AL12</f>
        <v>-2.7294912019453221</v>
      </c>
      <c r="L12" s="11">
        <v>0</v>
      </c>
    </row>
    <row r="13" spans="1:12" x14ac:dyDescent="0.35">
      <c r="A13" s="11">
        <f t="shared" si="0"/>
        <v>2022.75</v>
      </c>
      <c r="B13" s="12">
        <f>output_transition_aggregates!AK13</f>
        <v>1.3444924661596678E-3</v>
      </c>
      <c r="C13" s="12">
        <f>aggregates_normalized!R13</f>
        <v>-1.5225654686844448</v>
      </c>
      <c r="D13" s="11">
        <f>aggregates_normalized!K13</f>
        <v>-0.63544999999999296</v>
      </c>
      <c r="E13" s="12">
        <f>aggregates_normalized!AA13</f>
        <v>-3.2967788876444137</v>
      </c>
      <c r="F13" s="13">
        <f>100*(output_transition_aggregates!AM13-output_transition_aggregates!AM$2)</f>
        <v>0.78922782935223346</v>
      </c>
      <c r="G13" s="11">
        <f>100*(output_transition_firms_age!II19-output_transition_firms_age!II$8)</f>
        <v>-5.2673961945268188E-2</v>
      </c>
      <c r="H13" s="12">
        <f>aggregates_normalized!J13</f>
        <v>-1.5760564326056881</v>
      </c>
      <c r="I13" s="12">
        <f>aggregates_normalized!S13</f>
        <v>0.27783209990968061</v>
      </c>
      <c r="J13" s="12">
        <f>aggregates_normalized!C13</f>
        <v>2.5560250152323327E-2</v>
      </c>
      <c r="K13" s="12">
        <f>output_transition_aggregates!AL13</f>
        <v>-2.761287550078606</v>
      </c>
      <c r="L13" s="11">
        <v>0</v>
      </c>
    </row>
    <row r="14" spans="1:12" x14ac:dyDescent="0.35">
      <c r="A14" s="11">
        <f t="shared" si="0"/>
        <v>2023</v>
      </c>
      <c r="B14" s="12">
        <f>output_transition_aggregates!AK14</f>
        <v>6.722462330798339E-4</v>
      </c>
      <c r="C14" s="12">
        <f>aggregates_normalized!R14</f>
        <v>-1.4591783573086659</v>
      </c>
      <c r="D14" s="11">
        <f>aggregates_normalized!K14</f>
        <v>-0.56338999999999695</v>
      </c>
      <c r="E14" s="12">
        <f>aggregates_normalized!AA14</f>
        <v>-3.2209036443196837</v>
      </c>
      <c r="F14" s="13">
        <f>100*(output_transition_aggregates!AM14-output_transition_aggregates!AM$2)</f>
        <v>0.75924284883989035</v>
      </c>
      <c r="G14" s="11">
        <f>100*(output_transition_firms_age!II20-output_transition_firms_age!II$8)</f>
        <v>-1.8965450335887979E-2</v>
      </c>
      <c r="H14" s="12">
        <f>aggregates_normalized!J14</f>
        <v>-1.5234872081553941</v>
      </c>
      <c r="I14" s="12">
        <f>aggregates_normalized!S14</f>
        <v>0.39164349290543576</v>
      </c>
      <c r="J14" s="12">
        <f>aggregates_normalized!C14</f>
        <v>1.2780125076172766E-2</v>
      </c>
      <c r="K14" s="12">
        <f>output_transition_aggregates!AL14</f>
        <v>-2.7868564278519248</v>
      </c>
      <c r="L14" s="11">
        <v>0</v>
      </c>
    </row>
    <row r="15" spans="1:12" x14ac:dyDescent="0.35">
      <c r="A15" s="11">
        <f t="shared" si="0"/>
        <v>2023.25</v>
      </c>
      <c r="B15" s="12">
        <f>output_transition_aggregates!AK15</f>
        <v>3.3612311653991695E-4</v>
      </c>
      <c r="C15" s="12">
        <f>aggregates_normalized!R15</f>
        <v>-1.4265287048716657</v>
      </c>
      <c r="D15" s="11">
        <f>aggregates_normalized!K15</f>
        <v>-0.5416699999999941</v>
      </c>
      <c r="E15" s="12">
        <f>aggregates_normalized!AA15</f>
        <v>-3.1453536427256568</v>
      </c>
      <c r="F15" s="13">
        <f>100*(output_transition_aggregates!AM15-output_transition_aggregates!AM$2)</f>
        <v>0.70931587566804155</v>
      </c>
      <c r="G15" s="11">
        <f>100*(output_transition_firms_age!II21-output_transition_firms_age!II$8)</f>
        <v>7.7081878746901311E-2</v>
      </c>
      <c r="H15" s="12">
        <f>aggregates_normalized!J15</f>
        <v>-1.4744653089388104</v>
      </c>
      <c r="I15" s="12">
        <f>aggregates_normalized!S15</f>
        <v>0.35001928485887124</v>
      </c>
      <c r="J15" s="12">
        <f>aggregates_normalized!C15</f>
        <v>6.3963705958736128E-3</v>
      </c>
      <c r="K15" s="12">
        <f>output_transition_aggregates!AL15</f>
        <v>-2.7523644407494885</v>
      </c>
      <c r="L15" s="11">
        <v>0</v>
      </c>
    </row>
    <row r="16" spans="1:12" x14ac:dyDescent="0.35">
      <c r="A16" s="11">
        <f t="shared" si="0"/>
        <v>2023.5</v>
      </c>
      <c r="B16" s="12">
        <f>output_transition_aggregates!AK16</f>
        <v>1.6806155826995848E-4</v>
      </c>
      <c r="C16" s="12">
        <f>aggregates_normalized!R16</f>
        <v>-1.3892328428519285</v>
      </c>
      <c r="D16" s="11">
        <f>aggregates_normalized!K16</f>
        <v>-0.51001999999999992</v>
      </c>
      <c r="E16" s="12">
        <f>aggregates_normalized!AA16</f>
        <v>-3.0674452037689037</v>
      </c>
      <c r="F16" s="13">
        <f>100*(output_transition_aggregates!AM16-output_transition_aggregates!AM$2)</f>
        <v>0.68564465872773672</v>
      </c>
      <c r="G16" s="11">
        <f>100*(output_transition_firms_age!II22-output_transition_firms_age!II$8)</f>
        <v>0.14679417236201919</v>
      </c>
      <c r="H16" s="12">
        <f>aggregates_normalized!J16</f>
        <v>-1.4223073685735832</v>
      </c>
      <c r="I16" s="12">
        <f>aggregates_normalized!S16</f>
        <v>0.31998045126209185</v>
      </c>
      <c r="J16" s="12">
        <f>aggregates_normalized!C16</f>
        <v>3.204493355712934E-3</v>
      </c>
      <c r="K16" s="12">
        <f>output_transition_aggregates!AL16</f>
        <v>-2.7341463182087189</v>
      </c>
      <c r="L16" s="11">
        <v>0</v>
      </c>
    </row>
    <row r="17" spans="1:12" x14ac:dyDescent="0.35">
      <c r="A17" s="11">
        <f t="shared" si="0"/>
        <v>2023.75</v>
      </c>
      <c r="B17" s="12">
        <f>output_transition_aggregates!AK17</f>
        <v>8.4030779134979238E-5</v>
      </c>
      <c r="C17" s="12">
        <f>aggregates_normalized!R17</f>
        <v>-1.34245366586907</v>
      </c>
      <c r="D17" s="11">
        <f>aggregates_normalized!K17</f>
        <v>-0.4622799999999927</v>
      </c>
      <c r="E17" s="12">
        <f>aggregates_normalized!AA17</f>
        <v>-2.9904603121865048</v>
      </c>
      <c r="F17" s="13">
        <f>100*(output_transition_aggregates!AM17-output_transition_aggregates!AM$2)</f>
        <v>0.66512340065998654</v>
      </c>
      <c r="G17" s="11">
        <f>100*(output_transition_firms_age!II23-output_transition_firms_age!II$8)</f>
        <v>0.1656511905574351</v>
      </c>
      <c r="H17" s="12">
        <f>aggregates_normalized!J17</f>
        <v>-1.3755633504435538</v>
      </c>
      <c r="I17" s="12">
        <f>aggregates_normalized!S17</f>
        <v>0.3676594181864612</v>
      </c>
      <c r="J17" s="12">
        <f>aggregates_normalized!C17</f>
        <v>1.6022466778675692E-3</v>
      </c>
      <c r="K17" s="12">
        <f>output_transition_aggregates!AL17</f>
        <v>-2.7361873138099568</v>
      </c>
      <c r="L17" s="11">
        <v>0</v>
      </c>
    </row>
    <row r="18" spans="1:12" x14ac:dyDescent="0.35">
      <c r="A18" s="11">
        <f t="shared" si="0"/>
        <v>2024</v>
      </c>
      <c r="B18" s="12">
        <f>output_transition_aggregates!AK18</f>
        <v>4.2015389567489619E-5</v>
      </c>
      <c r="C18" s="12">
        <f>aggregates_normalized!R18</f>
        <v>-1.2977711071380238</v>
      </c>
      <c r="D18" s="11">
        <f>aggregates_normalized!K18</f>
        <v>-0.41782999999999682</v>
      </c>
      <c r="E18" s="12">
        <f>aggregates_normalized!AA18</f>
        <v>-2.913111915140365</v>
      </c>
      <c r="F18" s="13">
        <f>100*(output_transition_aggregates!AM18-output_transition_aggregates!AM$2)</f>
        <v>0.64616422959989372</v>
      </c>
      <c r="G18" s="11">
        <f>100*(output_transition_firms_age!II24-output_transition_firms_age!II$8)</f>
        <v>0.19211771393269489</v>
      </c>
      <c r="H18" s="12">
        <f>aggregates_normalized!J18</f>
        <v>-1.3435108743907631</v>
      </c>
      <c r="I18" s="12">
        <f>aggregates_normalized!S18</f>
        <v>0.47077105818027487</v>
      </c>
      <c r="J18" s="12">
        <f>aggregates_normalized!C18</f>
        <v>8.0743139672101449E-4</v>
      </c>
      <c r="K18" s="12">
        <f>output_transition_aggregates!AL18</f>
        <v>-2.7345789246208785</v>
      </c>
      <c r="L18" s="11">
        <v>0</v>
      </c>
    </row>
    <row r="19" spans="1:12" x14ac:dyDescent="0.35">
      <c r="A19" s="11">
        <f t="shared" si="0"/>
        <v>2024.25</v>
      </c>
      <c r="B19" s="12">
        <f>output_transition_aggregates!AK19</f>
        <v>2.1007694783744809E-5</v>
      </c>
      <c r="C19" s="12">
        <f>aggregates_normalized!R19</f>
        <v>-1.2647428986277798</v>
      </c>
      <c r="D19" s="11">
        <f>aggregates_normalized!K19</f>
        <v>-0.39012999999999964</v>
      </c>
      <c r="E19" s="12">
        <f>aggregates_normalized!AA19</f>
        <v>-2.8414665535753114</v>
      </c>
      <c r="F19" s="13">
        <f>100*(output_transition_aggregates!AM19-output_transition_aggregates!AM$2)</f>
        <v>0.61052818102393247</v>
      </c>
      <c r="G19" s="11">
        <f>100*(output_transition_firms_age!II25-output_transition_firms_age!II$8)</f>
        <v>0.13917087673640804</v>
      </c>
      <c r="H19" s="12">
        <f>aggregates_normalized!J19</f>
        <v>-1.2867457613418121</v>
      </c>
      <c r="I19" s="12">
        <f>aggregates_normalized!S19</f>
        <v>0.39581856544508298</v>
      </c>
      <c r="J19" s="12">
        <f>aggregates_normalized!C19</f>
        <v>4.0371569836050725E-4</v>
      </c>
      <c r="K19" s="12">
        <f>output_transition_aggregates!AL19</f>
        <v>-2.7174550350908433</v>
      </c>
      <c r="L19" s="11">
        <v>0</v>
      </c>
    </row>
    <row r="20" spans="1:12" x14ac:dyDescent="0.35">
      <c r="A20" s="11">
        <f t="shared" si="0"/>
        <v>2024.5</v>
      </c>
      <c r="B20" s="12">
        <f>output_transition_aggregates!AK20</f>
        <v>1.0503847391872405E-5</v>
      </c>
      <c r="C20" s="12">
        <f>aggregates_normalized!R20</f>
        <v>-1.2263437236082475</v>
      </c>
      <c r="D20" s="11">
        <f>aggregates_normalized!K20</f>
        <v>-0.35801999999999223</v>
      </c>
      <c r="E20" s="12">
        <f>aggregates_normalized!AA20</f>
        <v>-2.7728631587856101</v>
      </c>
      <c r="F20" s="13">
        <f>100*(output_transition_aggregates!AM20-output_transition_aggregates!AM$2)</f>
        <v>0.58219583607147096</v>
      </c>
      <c r="G20" s="11">
        <f>100*(output_transition_firms_age!II26-output_transition_firms_age!II$8)</f>
        <v>0.12762465873924767</v>
      </c>
      <c r="H20" s="12">
        <f>aggregates_normalized!J20</f>
        <v>-1.233128553405527</v>
      </c>
      <c r="I20" s="12">
        <f>aggregates_normalized!S20</f>
        <v>0.36527366244956117</v>
      </c>
      <c r="J20" s="12">
        <f>aggregates_normalized!C20</f>
        <v>2.0185784916915139E-4</v>
      </c>
      <c r="K20" s="12">
        <f>output_transition_aggregates!AL20</f>
        <v>-2.697266480882865</v>
      </c>
      <c r="L20" s="11">
        <v>0</v>
      </c>
    </row>
    <row r="21" spans="1:12" x14ac:dyDescent="0.35">
      <c r="A21" s="11">
        <f t="shared" si="0"/>
        <v>2024.75</v>
      </c>
      <c r="B21" s="12">
        <f>output_transition_aggregates!AK21</f>
        <v>5.2519236959362024E-6</v>
      </c>
      <c r="C21" s="12">
        <f>aggregates_normalized!R21</f>
        <v>-1.1902514757701099</v>
      </c>
      <c r="D21" s="11">
        <f>aggregates_normalized!K21</f>
        <v>-0.3260900000000011</v>
      </c>
      <c r="E21" s="12">
        <f>aggregates_normalized!AA21</f>
        <v>-2.7006003597103923</v>
      </c>
      <c r="F21" s="13">
        <f>100*(output_transition_aggregates!AM21-output_transition_aggregates!AM$2)</f>
        <v>0.56826816097225308</v>
      </c>
      <c r="G21" s="11">
        <f>100*(output_transition_firms_age!II27-output_transition_firms_age!II$8)</f>
        <v>0.16502973725907033</v>
      </c>
      <c r="H21" s="12">
        <f>aggregates_normalized!J21</f>
        <v>-1.1944322575169974</v>
      </c>
      <c r="I21" s="12">
        <f>aggregates_normalized!S21</f>
        <v>0.39003491517373146</v>
      </c>
      <c r="J21" s="12">
        <f>aggregates_normalized!C21</f>
        <v>1.0092892457347347E-4</v>
      </c>
      <c r="K21" s="12">
        <f>output_transition_aggregates!AL21</f>
        <v>-2.6837058651350443</v>
      </c>
      <c r="L21" s="11">
        <v>0</v>
      </c>
    </row>
    <row r="22" spans="1:12" x14ac:dyDescent="0.35">
      <c r="A22" s="11">
        <f t="shared" si="0"/>
        <v>2025</v>
      </c>
      <c r="B22" s="12">
        <f>output_transition_aggregates!AK22</f>
        <v>2.6259618479681012E-6</v>
      </c>
      <c r="C22" s="12">
        <f>aggregates_normalized!R22</f>
        <v>-1.1546930890609097</v>
      </c>
      <c r="D22" s="11">
        <f>aggregates_normalized!K22</f>
        <v>-0.29443000000000108</v>
      </c>
      <c r="E22" s="12">
        <f>aggregates_normalized!AA22</f>
        <v>-2.6281949412666594</v>
      </c>
      <c r="F22" s="13">
        <f>100*(output_transition_aggregates!AM22-output_transition_aggregates!AM$2)</f>
        <v>0.555704217420673</v>
      </c>
      <c r="G22" s="11">
        <f>100*(output_transition_firms_age!II28-output_transition_firms_age!II$8)</f>
        <v>0.19315630363414965</v>
      </c>
      <c r="H22" s="12">
        <f>aggregates_normalized!J22</f>
        <v>-1.1477080126602868</v>
      </c>
      <c r="I22" s="12">
        <f>aggregates_normalized!S22</f>
        <v>0.37514201572501626</v>
      </c>
      <c r="J22" s="12">
        <f>aggregates_normalized!C22</f>
        <v>5.0464462297838963E-5</v>
      </c>
      <c r="K22" s="12">
        <f>output_transition_aggregates!AL22</f>
        <v>-2.6709790803360001</v>
      </c>
      <c r="L22" s="11">
        <v>0</v>
      </c>
    </row>
    <row r="23" spans="1:12" x14ac:dyDescent="0.35">
      <c r="A23" s="11">
        <f t="shared" si="0"/>
        <v>2025.25</v>
      </c>
      <c r="B23" s="12">
        <f>output_transition_aggregates!AK23</f>
        <v>1.3129809239840506E-6</v>
      </c>
      <c r="C23" s="12">
        <f>aggregates_normalized!R23</f>
        <v>-1.1202477219175</v>
      </c>
      <c r="D23" s="11">
        <f>aggregates_normalized!K23</f>
        <v>-0.26340999999999726</v>
      </c>
      <c r="E23" s="12">
        <f>aggregates_normalized!AA23</f>
        <v>-2.557647053135137</v>
      </c>
      <c r="F23" s="13">
        <f>100*(output_transition_aggregates!AM23-output_transition_aggregates!AM$2)</f>
        <v>0.54290926854435173</v>
      </c>
      <c r="G23" s="11">
        <f>100*(output_transition_firms_age!II29-output_transition_firms_age!II$8)</f>
        <v>0.18154813976308803</v>
      </c>
      <c r="H23" s="12">
        <f>aggregates_normalized!J23</f>
        <v>-1.1303312600660864</v>
      </c>
      <c r="I23" s="12">
        <f>aggregates_normalized!S23</f>
        <v>0.48812200899430724</v>
      </c>
      <c r="J23" s="12">
        <f>aggregates_normalized!C23</f>
        <v>2.5232231148919482E-5</v>
      </c>
      <c r="K23" s="12">
        <f>output_transition_aggregates!AL23</f>
        <v>-2.6597420408615235</v>
      </c>
      <c r="L23" s="11">
        <v>0</v>
      </c>
    </row>
    <row r="24" spans="1:12" x14ac:dyDescent="0.35">
      <c r="A24" s="11">
        <f t="shared" si="0"/>
        <v>2025.5</v>
      </c>
      <c r="B24" s="12">
        <f>output_transition_aggregates!AK24</f>
        <v>6.564904619920253E-7</v>
      </c>
      <c r="C24" s="12">
        <f>aggregates_normalized!R24</f>
        <v>-1.0859738374397354</v>
      </c>
      <c r="D24" s="11">
        <f>aggregates_normalized!K24</f>
        <v>-0.23265000000000091</v>
      </c>
      <c r="E24" s="12">
        <f>aggregates_normalized!AA24</f>
        <v>-2.4842728665416591</v>
      </c>
      <c r="F24" s="13">
        <f>100*(output_transition_aggregates!AM24-output_transition_aggregates!AM$2)</f>
        <v>0.53042542582009</v>
      </c>
      <c r="G24" s="11">
        <f>100*(output_transition_firms_age!II30-output_transition_firms_age!II$8)</f>
        <v>0.17222205356649534</v>
      </c>
      <c r="H24" s="12">
        <f>aggregates_normalized!J24</f>
        <v>-1.0476433856937639</v>
      </c>
      <c r="I24" s="12">
        <f>aggregates_normalized!S24</f>
        <v>0.30168965727896957</v>
      </c>
      <c r="J24" s="12">
        <f>aggregates_normalized!C24</f>
        <v>1.2616115574459741E-5</v>
      </c>
      <c r="K24" s="12">
        <f>output_transition_aggregates!AL24</f>
        <v>-2.6482420506759752</v>
      </c>
      <c r="L24" s="11">
        <v>0</v>
      </c>
    </row>
    <row r="25" spans="1:12" x14ac:dyDescent="0.35">
      <c r="A25" s="11">
        <f t="shared" si="0"/>
        <v>2025.75</v>
      </c>
      <c r="B25" s="12">
        <f>output_transition_aggregates!AK25</f>
        <v>3.2824523099601265E-7</v>
      </c>
      <c r="C25" s="12">
        <f>aggregates_normalized!R25</f>
        <v>-1.0553593283366913</v>
      </c>
      <c r="D25" s="11">
        <f>aggregates_normalized!K25</f>
        <v>-0.20700999999999636</v>
      </c>
      <c r="E25" s="12">
        <f>aggregates_normalized!AA25</f>
        <v>-2.4155233738622273</v>
      </c>
      <c r="F25" s="13">
        <f>100*(output_transition_aggregates!AM25-output_transition_aggregates!AM$2)</f>
        <v>0.51910064894529895</v>
      </c>
      <c r="G25" s="11">
        <f>100*(output_transition_firms_age!II31-output_transition_firms_age!II$8)</f>
        <v>0.18423559688396096</v>
      </c>
      <c r="H25" s="12">
        <f>aggregates_normalized!J25</f>
        <v>-1.0244849279806068</v>
      </c>
      <c r="I25" s="12">
        <f>aggregates_normalized!S25</f>
        <v>0.3668460923670569</v>
      </c>
      <c r="J25" s="12">
        <f>aggregates_normalized!C25</f>
        <v>1.2616115574459741E-5</v>
      </c>
      <c r="K25" s="12">
        <f>output_transition_aggregates!AL25</f>
        <v>-2.6323109228059582</v>
      </c>
      <c r="L25" s="11">
        <v>0</v>
      </c>
    </row>
    <row r="26" spans="1:12" x14ac:dyDescent="0.35">
      <c r="A26" s="11">
        <f t="shared" si="0"/>
        <v>2026</v>
      </c>
      <c r="B26" s="12">
        <f>output_transition_aggregates!AK26</f>
        <v>1.6412261549800632E-7</v>
      </c>
      <c r="C26" s="12">
        <f>aggregates_normalized!R26</f>
        <v>-1.0260649122070142</v>
      </c>
      <c r="D26" s="11">
        <f>aggregates_normalized!K26</f>
        <v>-0.1837399999999989</v>
      </c>
      <c r="E26" s="12">
        <f>aggregates_normalized!AA26</f>
        <v>-2.3454955246477116</v>
      </c>
      <c r="F26" s="13">
        <f>100*(output_transition_aggregates!AM26-output_transition_aggregates!AM$2)</f>
        <v>0.50884653422996617</v>
      </c>
      <c r="G26" s="11">
        <f>100*(output_transition_firms_age!II32-output_transition_firms_age!II$8)</f>
        <v>0.20594309539471861</v>
      </c>
      <c r="H26" s="12">
        <f>aggregates_normalized!J26</f>
        <v>-0.9920369864614087</v>
      </c>
      <c r="I26" s="12">
        <f>aggregates_normalized!S26</f>
        <v>0.38219083949322386</v>
      </c>
      <c r="J26" s="12">
        <f>aggregates_normalized!C26</f>
        <v>1.2616115574459741E-5</v>
      </c>
      <c r="K26" s="12">
        <f>output_transition_aggregates!AL26</f>
        <v>-2.6131733068964991</v>
      </c>
      <c r="L26" s="11">
        <v>0</v>
      </c>
    </row>
    <row r="27" spans="1:12" x14ac:dyDescent="0.35">
      <c r="A27" s="11">
        <f t="shared" si="0"/>
        <v>2026.25</v>
      </c>
      <c r="B27" s="12">
        <f>output_transition_aggregates!AK27</f>
        <v>8.2061307749003162E-8</v>
      </c>
      <c r="C27" s="12">
        <f>aggregates_normalized!R27</f>
        <v>-1.0394599732603482</v>
      </c>
      <c r="D27" s="11">
        <f>aggregates_normalized!K27</f>
        <v>-0.22628000000000092</v>
      </c>
      <c r="E27" s="12">
        <f>aggregates_normalized!AA27</f>
        <v>-2.2717352222028087</v>
      </c>
      <c r="F27" s="13">
        <f>100*(output_transition_aggregates!AM27-output_transition_aggregates!AM$2)</f>
        <v>0.39893051809054836</v>
      </c>
      <c r="G27" s="11">
        <f>100*(output_transition_firms_age!II33-output_transition_firms_age!II$8)</f>
        <v>0.22079164189148515</v>
      </c>
      <c r="H27" s="12">
        <f>aggregates_normalized!J27</f>
        <v>-0.9554050203075537</v>
      </c>
      <c r="I27" s="12">
        <f>aggregates_normalized!S27</f>
        <v>0.13994626265940724</v>
      </c>
      <c r="J27" s="12">
        <f>aggregates_normalized!C27</f>
        <v>1.2616115574459741E-5</v>
      </c>
      <c r="K27" s="12">
        <f>output_transition_aggregates!AL27</f>
        <v>-2.5234614542174683</v>
      </c>
      <c r="L27" s="11">
        <v>0</v>
      </c>
    </row>
    <row r="28" spans="1:12" x14ac:dyDescent="0.35">
      <c r="A28" s="11">
        <f t="shared" si="0"/>
        <v>2026.5</v>
      </c>
      <c r="B28" s="12">
        <f>output_transition_aggregates!AK28</f>
        <v>4.1030653874501581E-8</v>
      </c>
      <c r="C28" s="12">
        <f>aggregates_normalized!R28</f>
        <v>-1.024479506430187</v>
      </c>
      <c r="D28" s="11">
        <f>aggregates_normalized!K28</f>
        <v>-0.22697999999999885</v>
      </c>
      <c r="E28" s="12">
        <f>aggregates_normalized!AA28</f>
        <v>-2.2050919741002595</v>
      </c>
      <c r="F28" s="13">
        <f>100*(output_transition_aggregates!AM28-output_transition_aggregates!AM$2)</f>
        <v>0.29355892488271418</v>
      </c>
      <c r="G28" s="11">
        <f>100*(output_transition_firms_age!II34-output_transition_firms_age!II$8)</f>
        <v>0.23733654030212437</v>
      </c>
      <c r="H28" s="12">
        <f>aggregates_normalized!J28</f>
        <v>-0.91574378868096717</v>
      </c>
      <c r="I28" s="12">
        <f>aggregates_normalized!S28</f>
        <v>4.2347164330491793E-2</v>
      </c>
      <c r="J28" s="12">
        <f>aggregates_normalized!C28</f>
        <v>1.2616115574459741E-5</v>
      </c>
      <c r="K28" s="12">
        <f>output_transition_aggregates!AL28</f>
        <v>-2.4747806079102652</v>
      </c>
      <c r="L28" s="11">
        <v>0</v>
      </c>
    </row>
    <row r="29" spans="1:12" x14ac:dyDescent="0.35">
      <c r="A29" s="11">
        <f t="shared" si="0"/>
        <v>2026.75</v>
      </c>
      <c r="B29" s="12">
        <f>output_transition_aggregates!AK29</f>
        <v>2.0515326937250791E-8</v>
      </c>
      <c r="C29" s="12">
        <f>aggregates_normalized!R29</f>
        <v>-1.0135110868720099</v>
      </c>
      <c r="D29" s="11">
        <f>aggregates_normalized!K29</f>
        <v>-0.23178999999999839</v>
      </c>
      <c r="E29" s="12">
        <f>aggregates_normalized!AA29</f>
        <v>-2.1471172007880845</v>
      </c>
      <c r="F29" s="13">
        <f>100*(output_transition_aggregates!AM29-output_transition_aggregates!AM$2)</f>
        <v>0.1960776040410131</v>
      </c>
      <c r="G29" s="11">
        <f>100*(output_transition_firms_age!II35-output_transition_firms_age!II$8)</f>
        <v>0.24201311153438793</v>
      </c>
      <c r="H29" s="12">
        <f>aggregates_normalized!J29</f>
        <v>-0.8802744909983784</v>
      </c>
      <c r="I29" s="12">
        <f>aggregates_normalized!S29</f>
        <v>-5.8487163368958761E-2</v>
      </c>
      <c r="J29" s="12">
        <f>aggregates_normalized!C29</f>
        <v>1.2616115574459741E-5</v>
      </c>
      <c r="K29" s="12">
        <f>output_transition_aggregates!AL29</f>
        <v>-2.4258637406417538</v>
      </c>
      <c r="L29" s="11">
        <v>0</v>
      </c>
    </row>
    <row r="30" spans="1:12" x14ac:dyDescent="0.35">
      <c r="A30" s="11">
        <f t="shared" si="0"/>
        <v>2027</v>
      </c>
      <c r="B30" s="12">
        <f>output_transition_aggregates!AK30</f>
        <v>1.0257663468625395E-8</v>
      </c>
      <c r="C30" s="12">
        <f>aggregates_normalized!R30</f>
        <v>-1.0009799101909689</v>
      </c>
      <c r="D30" s="11">
        <f>aggregates_normalized!K30</f>
        <v>-0.23219999999999352</v>
      </c>
      <c r="E30" s="12">
        <f>aggregates_normalized!AA30</f>
        <v>-2.0943845589001198</v>
      </c>
      <c r="F30" s="13">
        <f>100*(output_transition_aggregates!AM30-output_transition_aggregates!AM$2)</f>
        <v>0.11572004349096332</v>
      </c>
      <c r="G30" s="11">
        <f>100*(output_transition_firms_age!II36-output_transition_firms_age!II$8)</f>
        <v>0.2395318605166688</v>
      </c>
      <c r="H30" s="12">
        <f>aggregates_normalized!J30</f>
        <v>-0.8473717641928058</v>
      </c>
      <c r="I30" s="12">
        <f>aggregates_normalized!S30</f>
        <v>-0.13886182823352744</v>
      </c>
      <c r="J30" s="12">
        <f>aggregates_normalized!C30</f>
        <v>0</v>
      </c>
      <c r="K30" s="12">
        <f>output_transition_aggregates!AL30</f>
        <v>-2.3856816836642203</v>
      </c>
      <c r="L30" s="11">
        <v>0</v>
      </c>
    </row>
    <row r="31" spans="1:12" x14ac:dyDescent="0.35">
      <c r="A31" s="11">
        <f t="shared" si="0"/>
        <v>2027.25</v>
      </c>
      <c r="B31" s="12">
        <f>output_transition_aggregates!AK31</f>
        <v>5.1288317343126976E-9</v>
      </c>
      <c r="C31" s="12">
        <f>aggregates_normalized!R31</f>
        <v>-0.98824489562431284</v>
      </c>
      <c r="D31" s="11">
        <f>aggregates_normalized!K31</f>
        <v>-0.23073999999999595</v>
      </c>
      <c r="E31" s="12">
        <f>aggregates_normalized!AA31</f>
        <v>-2.0403074685745648</v>
      </c>
      <c r="F31" s="13">
        <f>100*(output_transition_aggregates!AM31-output_transition_aggregates!AM$2)</f>
        <v>0.11453377410287346</v>
      </c>
      <c r="G31" s="11">
        <f>100*(output_transition_firms_age!II37-output_transition_firms_age!II$8)</f>
        <v>0.21266105336139457</v>
      </c>
      <c r="H31" s="12">
        <f>aggregates_normalized!J31</f>
        <v>-0.81601926201556596</v>
      </c>
      <c r="I31" s="12">
        <f>aggregates_normalized!S31</f>
        <v>-0.21099479146146072</v>
      </c>
      <c r="J31" s="12">
        <f>aggregates_normalized!C31</f>
        <v>0</v>
      </c>
      <c r="K31" s="12">
        <f>output_transition_aggregates!AL31</f>
        <v>-2.350643685441689</v>
      </c>
      <c r="L31" s="11">
        <v>0</v>
      </c>
    </row>
    <row r="32" spans="1:12" x14ac:dyDescent="0.35">
      <c r="A32" s="11">
        <f t="shared" si="0"/>
        <v>2027.5</v>
      </c>
      <c r="B32" s="12">
        <f>output_transition_aggregates!AK32</f>
        <v>2.5644158671563488E-9</v>
      </c>
      <c r="C32" s="12">
        <f>aggregates_normalized!R32</f>
        <v>-0.97607286188455822</v>
      </c>
      <c r="D32" s="11">
        <f>aggregates_normalized!K32</f>
        <v>-0.22903999999999147</v>
      </c>
      <c r="E32" s="12">
        <f>aggregates_normalized!AA32</f>
        <v>-1.9876183082013998</v>
      </c>
      <c r="F32" s="13">
        <f>100*(output_transition_aggregates!AM32-output_transition_aggregates!AM$2)</f>
        <v>0.11468002018124451</v>
      </c>
      <c r="G32" s="11">
        <f>100*(output_transition_firms_age!II38-output_transition_firms_age!II$8)</f>
        <v>0.18477215239507683</v>
      </c>
      <c r="H32" s="12">
        <f>aggregates_normalized!J32</f>
        <v>-0.78974453642708387</v>
      </c>
      <c r="I32" s="12">
        <f>aggregates_normalized!S32</f>
        <v>-0.26308379171774421</v>
      </c>
      <c r="J32" s="12">
        <f>aggregates_normalized!C32</f>
        <v>0</v>
      </c>
      <c r="K32" s="12">
        <f>output_transition_aggregates!AL32</f>
        <v>-2.3180965450270818</v>
      </c>
      <c r="L32" s="11">
        <v>0</v>
      </c>
    </row>
    <row r="33" spans="1:12" x14ac:dyDescent="0.35">
      <c r="A33" s="11">
        <f t="shared" si="0"/>
        <v>2027.75</v>
      </c>
      <c r="B33" s="12">
        <f>output_transition_aggregates!AK33</f>
        <v>1.2822079335781744E-9</v>
      </c>
      <c r="C33" s="12">
        <f>aggregates_normalized!R33</f>
        <v>-0.96335078940589236</v>
      </c>
      <c r="D33" s="11">
        <f>aggregates_normalized!K33</f>
        <v>-0.22535999999999667</v>
      </c>
      <c r="E33" s="12">
        <f>aggregates_normalized!AA33</f>
        <v>-1.9326698483192573</v>
      </c>
      <c r="F33" s="13">
        <f>100*(output_transition_aggregates!AM33-output_transition_aggregates!AM$2)</f>
        <v>0.11590276548166384</v>
      </c>
      <c r="G33" s="11">
        <f>100*(output_transition_firms_age!II39-output_transition_firms_age!II$8)</f>
        <v>0.15612662964519519</v>
      </c>
      <c r="H33" s="12">
        <f>aggregates_normalized!J33</f>
        <v>-0.75881913695357017</v>
      </c>
      <c r="I33" s="12">
        <f>aggregates_normalized!S33</f>
        <v>-0.33333706860747547</v>
      </c>
      <c r="J33" s="12">
        <f>aggregates_normalized!C33</f>
        <v>0</v>
      </c>
      <c r="K33" s="12">
        <f>output_transition_aggregates!AL33</f>
        <v>-2.2899605939854073</v>
      </c>
      <c r="L33" s="11">
        <v>0</v>
      </c>
    </row>
    <row r="34" spans="1:12" x14ac:dyDescent="0.35">
      <c r="A34" s="11">
        <f t="shared" si="0"/>
        <v>2028</v>
      </c>
      <c r="B34" s="12">
        <f>output_transition_aggregates!AK34</f>
        <v>6.411039667890872E-10</v>
      </c>
      <c r="C34" s="12">
        <f>aggregates_normalized!R34</f>
        <v>-0.95295829276257349</v>
      </c>
      <c r="D34" s="11">
        <f>aggregates_normalized!K34</f>
        <v>-0.22426999999999309</v>
      </c>
      <c r="E34" s="12">
        <f>aggregates_normalized!AA34</f>
        <v>-1.8763891148236733</v>
      </c>
      <c r="F34" s="13">
        <f>100*(output_transition_aggregates!AM34-output_transition_aggregates!AM$2)</f>
        <v>0.11800408245076222</v>
      </c>
      <c r="G34" s="11">
        <f>100*(output_transition_firms_age!II40-output_transition_firms_age!II$8)</f>
        <v>0.14465810097874926</v>
      </c>
      <c r="H34" s="12">
        <f>aggregates_normalized!J34</f>
        <v>-0.72223858131035268</v>
      </c>
      <c r="I34" s="12">
        <f>aggregates_normalized!S34</f>
        <v>-0.44248539357197858</v>
      </c>
      <c r="J34" s="12">
        <f>aggregates_normalized!C34</f>
        <v>0</v>
      </c>
      <c r="K34" s="12">
        <f>output_transition_aggregates!AL34</f>
        <v>-2.261057151336221</v>
      </c>
      <c r="L34" s="11">
        <v>0</v>
      </c>
    </row>
    <row r="35" spans="1:12" x14ac:dyDescent="0.35">
      <c r="A35" s="11">
        <f t="shared" si="0"/>
        <v>2028.25</v>
      </c>
      <c r="B35" s="12">
        <f>output_transition_aggregates!AK35</f>
        <v>3.205519833945436E-10</v>
      </c>
      <c r="C35" s="12">
        <f>aggregates_normalized!R35</f>
        <v>-0.9410159810843588</v>
      </c>
      <c r="D35" s="11">
        <f>aggregates_normalized!K35</f>
        <v>-0.21947999999999412</v>
      </c>
      <c r="E35" s="12">
        <f>aggregates_normalized!AA35</f>
        <v>-1.8203292674232707</v>
      </c>
      <c r="F35" s="13">
        <f>100*(output_transition_aggregates!AM35-output_transition_aggregates!AM$2)</f>
        <v>0.11954071469188338</v>
      </c>
      <c r="G35" s="11">
        <f>100*(output_transition_firms_age!II41-output_transition_firms_age!II$8)</f>
        <v>0.12911296651468424</v>
      </c>
      <c r="H35" s="12">
        <f>aggregates_normalized!J35</f>
        <v>-0.69323909865828259</v>
      </c>
      <c r="I35" s="12">
        <f>aggregates_normalized!S35</f>
        <v>-0.50831056322269141</v>
      </c>
      <c r="J35" s="12">
        <f>aggregates_normalized!C35</f>
        <v>0</v>
      </c>
      <c r="K35" s="12">
        <f>output_transition_aggregates!AL35</f>
        <v>-2.238776134934195</v>
      </c>
      <c r="L35" s="11">
        <v>0</v>
      </c>
    </row>
    <row r="36" spans="1:12" x14ac:dyDescent="0.35">
      <c r="A36" s="11">
        <f t="shared" si="0"/>
        <v>2028.5</v>
      </c>
      <c r="B36" s="12">
        <f>output_transition_aggregates!AK36</f>
        <v>1.602759916972718E-10</v>
      </c>
      <c r="C36" s="12">
        <f>aggregates_normalized!R36</f>
        <v>-0.92950075830928736</v>
      </c>
      <c r="D36" s="11">
        <f>aggregates_normalized!K36</f>
        <v>-0.21440999999999821</v>
      </c>
      <c r="E36" s="12">
        <f>aggregates_normalized!AA36</f>
        <v>-1.7647529344674284</v>
      </c>
      <c r="F36" s="13">
        <f>100*(output_transition_aggregates!AM36-output_transition_aggregates!AM$2)</f>
        <v>0.12037056132778029</v>
      </c>
      <c r="G36" s="11">
        <f>100*(output_transition_firms_age!II42-output_transition_firms_age!II$8)</f>
        <v>0.11313515106298189</v>
      </c>
      <c r="H36" s="12">
        <f>aggregates_normalized!J36</f>
        <v>-0.66725306286027353</v>
      </c>
      <c r="I36" s="12">
        <f>aggregates_normalized!S36</f>
        <v>-0.56274917140172187</v>
      </c>
      <c r="J36" s="12">
        <f>aggregates_normalized!C36</f>
        <v>0</v>
      </c>
      <c r="K36" s="12">
        <f>output_transition_aggregates!AL36</f>
        <v>-2.218688640074884</v>
      </c>
      <c r="L36" s="11">
        <v>0</v>
      </c>
    </row>
    <row r="37" spans="1:12" x14ac:dyDescent="0.35">
      <c r="A37" s="11">
        <f t="shared" si="0"/>
        <v>2028.75</v>
      </c>
      <c r="B37" s="12">
        <f>output_transition_aggregates!AK37</f>
        <v>8.01379958486359E-11</v>
      </c>
      <c r="C37" s="12">
        <f>aggregates_normalized!R37</f>
        <v>-0.91825408385968199</v>
      </c>
      <c r="D37" s="11">
        <f>aggregates_normalized!K37</f>
        <v>-0.20902999999999894</v>
      </c>
      <c r="E37" s="12">
        <f>aggregates_normalized!AA37</f>
        <v>-1.709698379689184</v>
      </c>
      <c r="F37" s="13">
        <f>100*(output_transition_aggregates!AM37-output_transition_aggregates!AM$2)</f>
        <v>0.1205792874034467</v>
      </c>
      <c r="G37" s="11">
        <f>100*(output_transition_firms_age!II43-output_transition_firms_age!II$8)</f>
        <v>0.10045877513606138</v>
      </c>
      <c r="H37" s="12">
        <f>aggregates_normalized!J37</f>
        <v>-0.63440965587466813</v>
      </c>
      <c r="I37" s="12">
        <f>aggregates_normalized!S37</f>
        <v>-0.65002806877771935</v>
      </c>
      <c r="J37" s="12">
        <f>aggregates_normalized!C37</f>
        <v>0</v>
      </c>
      <c r="K37" s="12">
        <f>output_transition_aggregates!AL37</f>
        <v>-2.200394975675124</v>
      </c>
      <c r="L37" s="11">
        <v>0</v>
      </c>
    </row>
    <row r="38" spans="1:12" x14ac:dyDescent="0.35">
      <c r="A38" s="11">
        <f t="shared" si="0"/>
        <v>2029</v>
      </c>
      <c r="B38" s="12">
        <f>output_transition_aggregates!AK38</f>
        <v>4.006899792431795E-11</v>
      </c>
      <c r="C38" s="12">
        <f>aggregates_normalized!R38</f>
        <v>-0.90837927073533775</v>
      </c>
      <c r="D38" s="11">
        <f>aggregates_normalized!K38</f>
        <v>-0.20439999999999348</v>
      </c>
      <c r="E38" s="12">
        <f>aggregates_normalized!AA38</f>
        <v>-1.6596250672463397</v>
      </c>
      <c r="F38" s="13">
        <f>100*(output_transition_aggregates!AM38-output_transition_aggregates!AM$2)</f>
        <v>0.12037408668648802</v>
      </c>
      <c r="G38" s="11">
        <f>100*(output_transition_firms_age!II44-output_transition_firms_age!II$8)</f>
        <v>8.3417383530619282E-2</v>
      </c>
      <c r="H38" s="12">
        <f>aggregates_normalized!J38</f>
        <v>-0.60106400774669888</v>
      </c>
      <c r="I38" s="12">
        <f>aggregates_normalized!S38</f>
        <v>-0.74726568896469336</v>
      </c>
      <c r="J38" s="12">
        <f>aggregates_normalized!C38</f>
        <v>0</v>
      </c>
      <c r="K38" s="12">
        <f>output_transition_aggregates!AL38</f>
        <v>-2.1840446676194336</v>
      </c>
      <c r="L38" s="11">
        <v>0</v>
      </c>
    </row>
    <row r="39" spans="1:12" x14ac:dyDescent="0.35">
      <c r="A39" s="11">
        <f t="shared" si="0"/>
        <v>2029.25</v>
      </c>
      <c r="B39" s="12">
        <f>output_transition_aggregates!AK39</f>
        <v>2.0034498962158975E-11</v>
      </c>
      <c r="C39" s="12">
        <f>aggregates_normalized!R39</f>
        <v>-0.90871900054465549</v>
      </c>
      <c r="D39" s="11">
        <f>aggregates_normalized!K39</f>
        <v>-0.21576999999999291</v>
      </c>
      <c r="E39" s="12">
        <f>aggregates_normalized!AA39</f>
        <v>-1.6185489498457661</v>
      </c>
      <c r="F39" s="13">
        <f>100*(output_transition_aggregates!AM39-output_transition_aggregates!AM$2)</f>
        <v>9.7805298604175528E-2</v>
      </c>
      <c r="G39" s="11">
        <f>100*(output_transition_firms_age!II45-output_transition_firms_age!II$8)</f>
        <v>8.8260005213054715E-2</v>
      </c>
      <c r="H39" s="12">
        <f>aggregates_normalized!J39</f>
        <v>-0.57199729596532078</v>
      </c>
      <c r="I39" s="12">
        <f>aggregates_normalized!S39</f>
        <v>-0.88200666637989755</v>
      </c>
      <c r="J39" s="12">
        <f>aggregates_normalized!C39</f>
        <v>0</v>
      </c>
      <c r="K39" s="12">
        <f>output_transition_aggregates!AL39</f>
        <v>-2.1499585357123596</v>
      </c>
      <c r="L39" s="11">
        <v>0</v>
      </c>
    </row>
    <row r="40" spans="1:12" x14ac:dyDescent="0.35">
      <c r="A40" s="11">
        <f t="shared" si="0"/>
        <v>2029.5</v>
      </c>
      <c r="B40" s="12">
        <f>output_transition_aggregates!AK40</f>
        <v>1.0017249481079488E-11</v>
      </c>
      <c r="C40" s="12">
        <f>aggregates_normalized!R40</f>
        <v>-0.9043931076392786</v>
      </c>
      <c r="D40" s="11">
        <f>aggregates_normalized!K40</f>
        <v>-0.21879999999999677</v>
      </c>
      <c r="E40" s="12">
        <f>aggregates_normalized!AA40</f>
        <v>-1.5856925780028508</v>
      </c>
      <c r="F40" s="13">
        <f>100*(output_transition_aggregates!AM40-output_transition_aggregates!AM$2)</f>
        <v>3.202542685910581E-2</v>
      </c>
      <c r="G40" s="11">
        <f>100*(output_transition_firms_age!II46-output_transition_firms_age!II$8)</f>
        <v>-0.28640167068319372</v>
      </c>
      <c r="H40" s="12">
        <f>aggregates_normalized!J40</f>
        <v>-0.52694587003154769</v>
      </c>
      <c r="I40" s="12">
        <f>aggregates_normalized!S40</f>
        <v>1.6800419603827166</v>
      </c>
      <c r="J40" s="12">
        <f>aggregates_normalized!C40</f>
        <v>0</v>
      </c>
      <c r="K40" s="12">
        <f>output_transition_aggregates!AL40</f>
        <v>-2.1271601778415583</v>
      </c>
      <c r="L40" s="11">
        <v>0</v>
      </c>
    </row>
    <row r="41" spans="1:12" x14ac:dyDescent="0.35">
      <c r="A41" s="11">
        <f t="shared" si="0"/>
        <v>2029.75</v>
      </c>
      <c r="B41" s="12">
        <f>output_transition_aggregates!AK41</f>
        <v>5.0086247405397438E-12</v>
      </c>
      <c r="C41" s="12">
        <f>aggregates_normalized!R41</f>
        <v>0</v>
      </c>
      <c r="D41" s="11">
        <f>aggregates_normalized!K41</f>
        <v>0</v>
      </c>
      <c r="E41" s="12">
        <f>aggregates_normalized!AA41</f>
        <v>0</v>
      </c>
      <c r="F41" s="13">
        <f>100*(output_transition_aggregates!AM41-output_transition_aggregates!AM$2)</f>
        <v>-11.498167756396205</v>
      </c>
      <c r="G41" s="11">
        <f>100*(output_transition_firms_age!II47-output_transition_firms_age!II$8)</f>
        <v>102.74584818556831</v>
      </c>
      <c r="H41" s="12">
        <f>aggregates_normalized!J41</f>
        <v>0</v>
      </c>
      <c r="I41" s="12">
        <f>aggregates_normalized!S41</f>
        <v>0</v>
      </c>
      <c r="J41" s="12">
        <f>aggregates_normalized!C41</f>
        <v>0</v>
      </c>
      <c r="K41" s="12">
        <f>output_transition_aggregates!AL41</f>
        <v>0</v>
      </c>
      <c r="L41" s="11">
        <v>0</v>
      </c>
    </row>
    <row r="42" spans="1:12" x14ac:dyDescent="0.35">
      <c r="A42" s="11">
        <f t="shared" si="0"/>
        <v>2030</v>
      </c>
      <c r="B42" s="12">
        <f>output_transition_aggregates!AK42</f>
        <v>2.5043123702698719E-12</v>
      </c>
      <c r="C42" s="12">
        <f>aggregates_normalized!R42</f>
        <v>-100</v>
      </c>
      <c r="D42" s="11">
        <f>aggregates_normalized!K42</f>
        <v>-99.755099999999999</v>
      </c>
      <c r="E42" s="12">
        <f>aggregates_normalized!AA42</f>
        <v>-100</v>
      </c>
      <c r="F42" s="13">
        <f>100*(output_transition_aggregates!AM42-output_transition_aggregates!AM$2)</f>
        <v>-11.498167756396205</v>
      </c>
      <c r="G42" s="11">
        <f>100*(output_transition_firms_age!II48-output_transition_firms_age!II$8)</f>
        <v>-11.498167756396182</v>
      </c>
      <c r="H42" s="12">
        <f>aggregates_normalized!J42</f>
        <v>-100</v>
      </c>
      <c r="I42" s="12">
        <f>aggregates_normalized!S42</f>
        <v>-100</v>
      </c>
      <c r="J42" s="12">
        <f>aggregates_normalized!C42</f>
        <v>0</v>
      </c>
      <c r="K42" s="12" t="e">
        <f>output_transition_aggregates!AL42</f>
        <v>#DIV/0!</v>
      </c>
      <c r="L42" s="1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</vt:lpstr>
      <vt:lpstr>output_transition_firms_age</vt:lpstr>
      <vt:lpstr>for_matlab_figure_14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2021-11-25T14:51:21Z</dcterms:modified>
</cp:coreProperties>
</file>