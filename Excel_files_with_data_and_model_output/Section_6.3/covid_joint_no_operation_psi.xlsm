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Section_6.3\"/>
    </mc:Choice>
  </mc:AlternateContent>
  <xr:revisionPtr revIDLastSave="0" documentId="13_ncr:1_{FA21FD2E-7FE0-4255-A264-19345C53021C}" xr6:coauthVersionLast="47" xr6:coauthVersionMax="47" xr10:uidLastSave="{00000000-0000-0000-0000-000000000000}"/>
  <bookViews>
    <workbookView xWindow="-110" yWindow="-110" windowWidth="19420" windowHeight="10300" tabRatio="752" firstSheet="1" activeTab="3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  <sheet name="for_matlab" sheetId="55" r:id="rId4"/>
    <sheet name="output_transition_decomposition" sheetId="7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22" i="76" l="1"/>
  <c r="AM22" i="76"/>
  <c r="AM21" i="76"/>
  <c r="AN20" i="76"/>
  <c r="AM20" i="76"/>
  <c r="AM9" i="76"/>
  <c r="AM8" i="76"/>
  <c r="AN19" i="76"/>
  <c r="AN18" i="76"/>
  <c r="AN17" i="76"/>
  <c r="AN21" i="76" s="1"/>
  <c r="AM17" i="76"/>
  <c r="AM19" i="76"/>
  <c r="AM18" i="76"/>
  <c r="AM14" i="76"/>
  <c r="AT7" i="76"/>
  <c r="AS7" i="76"/>
  <c r="AR7" i="76"/>
  <c r="AQ7" i="76"/>
  <c r="AP7" i="76"/>
  <c r="AO7" i="76"/>
  <c r="AN7" i="76"/>
  <c r="AM7" i="76"/>
  <c r="AT6" i="76"/>
  <c r="AS6" i="76"/>
  <c r="AR6" i="76"/>
  <c r="AQ6" i="76"/>
  <c r="AP6" i="76"/>
  <c r="AO6" i="76"/>
  <c r="AN6" i="76"/>
  <c r="AM6" i="76"/>
  <c r="AT5" i="76"/>
  <c r="AS5" i="76"/>
  <c r="AR5" i="76"/>
  <c r="AQ5" i="76"/>
  <c r="AP5" i="76"/>
  <c r="AO5" i="76"/>
  <c r="AN5" i="76"/>
  <c r="AM5" i="76"/>
  <c r="AP14" i="76"/>
  <c r="AO14" i="76"/>
  <c r="AN14" i="76"/>
  <c r="AJ3" i="2"/>
  <c r="AA3" i="76"/>
  <c r="BE3" i="76" s="1"/>
  <c r="AB3" i="76"/>
  <c r="BF3" i="76" s="1"/>
  <c r="AC3" i="76"/>
  <c r="AD3" i="76"/>
  <c r="AE3" i="76"/>
  <c r="AF3" i="76"/>
  <c r="AG3" i="76"/>
  <c r="AH3" i="76"/>
  <c r="AL3" i="76" s="1"/>
  <c r="AZ3" i="76"/>
  <c r="BA3" i="76"/>
  <c r="BB3" i="76"/>
  <c r="BC3" i="76"/>
  <c r="BD3" i="76"/>
  <c r="BG3" i="76"/>
  <c r="BH3" i="76"/>
  <c r="BI3" i="76"/>
  <c r="BJ3" i="76"/>
  <c r="AA4" i="76"/>
  <c r="AB4" i="76"/>
  <c r="BF4" i="76" s="1"/>
  <c r="AC4" i="76"/>
  <c r="AD4" i="76"/>
  <c r="AE4" i="76"/>
  <c r="AF4" i="76"/>
  <c r="AX4" i="76" s="1"/>
  <c r="AG4" i="76"/>
  <c r="AH4" i="76"/>
  <c r="BL4" i="76" s="1"/>
  <c r="AQ4" i="76"/>
  <c r="AR4" i="76"/>
  <c r="AS4" i="76"/>
  <c r="AT4" i="76"/>
  <c r="AV4" i="76"/>
  <c r="BA4" i="76"/>
  <c r="BB4" i="76"/>
  <c r="BC4" i="76"/>
  <c r="BD4" i="76"/>
  <c r="BK4" i="76"/>
  <c r="AA5" i="76"/>
  <c r="AB5" i="76"/>
  <c r="AC5" i="76"/>
  <c r="AD5" i="76"/>
  <c r="AE5" i="76"/>
  <c r="AF5" i="76"/>
  <c r="AG5" i="76"/>
  <c r="AY5" i="76" s="1"/>
  <c r="AH5" i="76"/>
  <c r="BL5" i="76" s="1"/>
  <c r="AV5" i="76"/>
  <c r="BA5" i="76"/>
  <c r="BB5" i="76"/>
  <c r="BC5" i="76"/>
  <c r="BD5" i="76"/>
  <c r="BE5" i="76"/>
  <c r="BG5" i="76"/>
  <c r="BN5" i="76"/>
  <c r="BN6" i="76" s="1"/>
  <c r="BN7" i="76" s="1"/>
  <c r="BO5" i="76"/>
  <c r="AA6" i="76"/>
  <c r="BE6" i="76" s="1"/>
  <c r="AB6" i="76"/>
  <c r="BF6" i="76" s="1"/>
  <c r="AC6" i="76"/>
  <c r="AD6" i="76"/>
  <c r="AE6" i="76"/>
  <c r="AF6" i="76"/>
  <c r="AG6" i="76"/>
  <c r="BK6" i="76" s="1"/>
  <c r="AH6" i="76"/>
  <c r="AJ6" i="76"/>
  <c r="AV6" i="76"/>
  <c r="AV7" i="76" s="1"/>
  <c r="BA6" i="76"/>
  <c r="BB6" i="76"/>
  <c r="BC6" i="76"/>
  <c r="BD6" i="76"/>
  <c r="BH6" i="76"/>
  <c r="BI6" i="76"/>
  <c r="BJ6" i="76"/>
  <c r="BL6" i="76"/>
  <c r="BO6" i="76"/>
  <c r="BO7" i="76" s="1"/>
  <c r="AA7" i="76"/>
  <c r="AB7" i="76"/>
  <c r="AC7" i="76"/>
  <c r="AK7" i="76" s="1"/>
  <c r="AD7" i="76"/>
  <c r="AE7" i="76"/>
  <c r="AF7" i="76"/>
  <c r="AG7" i="76"/>
  <c r="BK7" i="76" s="1"/>
  <c r="AH7" i="76"/>
  <c r="BL7" i="76" s="1"/>
  <c r="AT8" i="76"/>
  <c r="BA7" i="76"/>
  <c r="BB7" i="76"/>
  <c r="BC7" i="76"/>
  <c r="BD7" i="76"/>
  <c r="BE7" i="76"/>
  <c r="BF7" i="76"/>
  <c r="BG7" i="76"/>
  <c r="BJ7" i="76"/>
  <c r="AA8" i="76"/>
  <c r="AB8" i="76"/>
  <c r="AC8" i="76"/>
  <c r="AD8" i="76"/>
  <c r="BH8" i="76" s="1"/>
  <c r="AE8" i="76"/>
  <c r="BI8" i="76" s="1"/>
  <c r="AF8" i="76"/>
  <c r="BJ8" i="76" s="1"/>
  <c r="AG8" i="76"/>
  <c r="BK8" i="76" s="1"/>
  <c r="AH8" i="76"/>
  <c r="BL8" i="76" s="1"/>
  <c r="AV8" i="76"/>
  <c r="AV9" i="76" s="1"/>
  <c r="AV10" i="76" s="1"/>
  <c r="AV11" i="76" s="1"/>
  <c r="AV12" i="76" s="1"/>
  <c r="AV13" i="76" s="1"/>
  <c r="AV14" i="76" s="1"/>
  <c r="AV15" i="76" s="1"/>
  <c r="AV16" i="76" s="1"/>
  <c r="AV17" i="76" s="1"/>
  <c r="AV18" i="76" s="1"/>
  <c r="AV19" i="76" s="1"/>
  <c r="AV20" i="76" s="1"/>
  <c r="AV21" i="76" s="1"/>
  <c r="AV22" i="76" s="1"/>
  <c r="AV23" i="76" s="1"/>
  <c r="AV24" i="76" s="1"/>
  <c r="AV25" i="76" s="1"/>
  <c r="AV26" i="76" s="1"/>
  <c r="AV27" i="76" s="1"/>
  <c r="AV28" i="76" s="1"/>
  <c r="AV29" i="76" s="1"/>
  <c r="AV30" i="76" s="1"/>
  <c r="AV31" i="76" s="1"/>
  <c r="AV32" i="76" s="1"/>
  <c r="AV33" i="76" s="1"/>
  <c r="AV34" i="76" s="1"/>
  <c r="AV35" i="76" s="1"/>
  <c r="AV36" i="76" s="1"/>
  <c r="AV37" i="76" s="1"/>
  <c r="AV38" i="76" s="1"/>
  <c r="AV39" i="76" s="1"/>
  <c r="AV40" i="76" s="1"/>
  <c r="AV41" i="76" s="1"/>
  <c r="AV42" i="76" s="1"/>
  <c r="BA8" i="76"/>
  <c r="BB8" i="76"/>
  <c r="BC8" i="76"/>
  <c r="BD8" i="76"/>
  <c r="BF8" i="76"/>
  <c r="AA9" i="76"/>
  <c r="BE9" i="76" s="1"/>
  <c r="AB9" i="76"/>
  <c r="AC9" i="76"/>
  <c r="BG9" i="76" s="1"/>
  <c r="AD9" i="76"/>
  <c r="AL9" i="76" s="1"/>
  <c r="AE9" i="76"/>
  <c r="BI9" i="76" s="1"/>
  <c r="AF9" i="76"/>
  <c r="AJ9" i="76" s="1"/>
  <c r="AG9" i="76"/>
  <c r="AH9" i="76"/>
  <c r="BL9" i="76" s="1"/>
  <c r="AW9" i="76"/>
  <c r="BA9" i="76"/>
  <c r="BB9" i="76"/>
  <c r="BC9" i="76"/>
  <c r="BD9" i="76"/>
  <c r="BK9" i="76"/>
  <c r="AA10" i="76"/>
  <c r="AB10" i="76"/>
  <c r="BF10" i="76" s="1"/>
  <c r="AC10" i="76"/>
  <c r="AD10" i="76"/>
  <c r="AE10" i="76"/>
  <c r="AF10" i="76"/>
  <c r="AG10" i="76"/>
  <c r="BK10" i="76" s="1"/>
  <c r="AH10" i="76"/>
  <c r="AZ10" i="76" s="1"/>
  <c r="BA10" i="76"/>
  <c r="BB10" i="76"/>
  <c r="BC10" i="76"/>
  <c r="BD10" i="76"/>
  <c r="AA11" i="76"/>
  <c r="BE11" i="76" s="1"/>
  <c r="AB11" i="76"/>
  <c r="AC11" i="76"/>
  <c r="AD11" i="76"/>
  <c r="AL11" i="76" s="1"/>
  <c r="AE11" i="76"/>
  <c r="BI11" i="76" s="1"/>
  <c r="AF11" i="76"/>
  <c r="BJ11" i="76" s="1"/>
  <c r="AG11" i="76"/>
  <c r="BK11" i="76" s="1"/>
  <c r="AH11" i="76"/>
  <c r="BL11" i="76" s="1"/>
  <c r="BA11" i="76"/>
  <c r="BB11" i="76"/>
  <c r="BC11" i="76"/>
  <c r="BD11" i="76"/>
  <c r="BG11" i="76"/>
  <c r="CM11" i="76"/>
  <c r="AA12" i="76"/>
  <c r="AB12" i="76"/>
  <c r="AC12" i="76"/>
  <c r="BG12" i="76" s="1"/>
  <c r="AD12" i="76"/>
  <c r="AE12" i="76"/>
  <c r="AI12" i="76" s="1"/>
  <c r="AF12" i="76"/>
  <c r="AG12" i="76"/>
  <c r="AH12" i="76"/>
  <c r="BL12" i="76" s="1"/>
  <c r="AY12" i="76"/>
  <c r="BA12" i="76"/>
  <c r="BB12" i="76"/>
  <c r="BC12" i="76"/>
  <c r="BD12" i="76"/>
  <c r="BE12" i="76"/>
  <c r="BK12" i="76"/>
  <c r="AA13" i="76"/>
  <c r="AW13" i="76" s="1"/>
  <c r="AB13" i="76"/>
  <c r="BF13" i="76" s="1"/>
  <c r="AC13" i="76"/>
  <c r="AD13" i="76"/>
  <c r="BH13" i="76" s="1"/>
  <c r="AE13" i="76"/>
  <c r="AF13" i="76"/>
  <c r="AG13" i="76"/>
  <c r="BK13" i="76" s="1"/>
  <c r="AH13" i="76"/>
  <c r="AL13" i="76" s="1"/>
  <c r="AI13" i="76"/>
  <c r="AJ13" i="76"/>
  <c r="BA13" i="76"/>
  <c r="BB13" i="76"/>
  <c r="BC13" i="76"/>
  <c r="BD13" i="76"/>
  <c r="BI13" i="76"/>
  <c r="BJ13" i="76"/>
  <c r="AA14" i="76"/>
  <c r="BE14" i="76" s="1"/>
  <c r="AB14" i="76"/>
  <c r="AC14" i="76"/>
  <c r="AD14" i="76"/>
  <c r="AE14" i="76"/>
  <c r="AF14" i="76"/>
  <c r="BJ14" i="76" s="1"/>
  <c r="AG14" i="76"/>
  <c r="BK14" i="76" s="1"/>
  <c r="AH14" i="76"/>
  <c r="BL14" i="76" s="1"/>
  <c r="AL14" i="76"/>
  <c r="BA14" i="76"/>
  <c r="BB14" i="76"/>
  <c r="BC14" i="76"/>
  <c r="BD14" i="76"/>
  <c r="BG14" i="76"/>
  <c r="BI14" i="76"/>
  <c r="AA15" i="76"/>
  <c r="AB15" i="76"/>
  <c r="AC15" i="76"/>
  <c r="AD15" i="76"/>
  <c r="AZ15" i="76" s="1"/>
  <c r="AE15" i="76"/>
  <c r="BI15" i="76" s="1"/>
  <c r="AF15" i="76"/>
  <c r="AJ15" i="76" s="1"/>
  <c r="AG15" i="76"/>
  <c r="AK15" i="76" s="1"/>
  <c r="AH15" i="76"/>
  <c r="BL15" i="76" s="1"/>
  <c r="BA15" i="76"/>
  <c r="BB15" i="76"/>
  <c r="BC15" i="76"/>
  <c r="BD15" i="76"/>
  <c r="BF15" i="76"/>
  <c r="BH15" i="76"/>
  <c r="AA16" i="76"/>
  <c r="AB16" i="76"/>
  <c r="AC16" i="76"/>
  <c r="AD16" i="76"/>
  <c r="AE16" i="76"/>
  <c r="BI16" i="76" s="1"/>
  <c r="AF16" i="76"/>
  <c r="BJ16" i="76" s="1"/>
  <c r="AG16" i="76"/>
  <c r="AY16" i="76" s="1"/>
  <c r="AH16" i="76"/>
  <c r="BL16" i="76" s="1"/>
  <c r="BA16" i="76"/>
  <c r="BB16" i="76"/>
  <c r="BC16" i="76"/>
  <c r="BD16" i="76"/>
  <c r="BE16" i="76"/>
  <c r="BG16" i="76"/>
  <c r="AA17" i="76"/>
  <c r="AB17" i="76"/>
  <c r="BF17" i="76" s="1"/>
  <c r="AC17" i="76"/>
  <c r="AD17" i="76"/>
  <c r="AZ17" i="76" s="1"/>
  <c r="AE17" i="76"/>
  <c r="AI17" i="76" s="1"/>
  <c r="AF17" i="76"/>
  <c r="AG17" i="76"/>
  <c r="BK17" i="76" s="1"/>
  <c r="AH17" i="76"/>
  <c r="BA17" i="76"/>
  <c r="BB17" i="76"/>
  <c r="BC17" i="76"/>
  <c r="BD17" i="76"/>
  <c r="BJ17" i="76"/>
  <c r="BL17" i="76"/>
  <c r="AA18" i="76"/>
  <c r="AB18" i="76"/>
  <c r="AC18" i="76"/>
  <c r="AD18" i="76"/>
  <c r="BH18" i="76" s="1"/>
  <c r="AE18" i="76"/>
  <c r="AI18" i="76" s="1"/>
  <c r="AF18" i="76"/>
  <c r="BJ18" i="76" s="1"/>
  <c r="AG18" i="76"/>
  <c r="AK18" i="76" s="1"/>
  <c r="AH18" i="76"/>
  <c r="BA18" i="76"/>
  <c r="BB18" i="76"/>
  <c r="BC18" i="76"/>
  <c r="BD18" i="76"/>
  <c r="BE18" i="76"/>
  <c r="BG18" i="76"/>
  <c r="AA19" i="76"/>
  <c r="AB19" i="76"/>
  <c r="BF19" i="76" s="1"/>
  <c r="AC19" i="76"/>
  <c r="AY19" i="76" s="1"/>
  <c r="AD19" i="76"/>
  <c r="AZ19" i="76" s="1"/>
  <c r="AE19" i="76"/>
  <c r="BI19" i="76" s="1"/>
  <c r="AF19" i="76"/>
  <c r="AG19" i="76"/>
  <c r="AH19" i="76"/>
  <c r="BL19" i="76" s="1"/>
  <c r="AI19" i="76"/>
  <c r="AX19" i="76"/>
  <c r="BA19" i="76"/>
  <c r="BB19" i="76"/>
  <c r="BC19" i="76"/>
  <c r="BD19" i="76"/>
  <c r="BJ19" i="76"/>
  <c r="BK19" i="76"/>
  <c r="AA20" i="76"/>
  <c r="BE20" i="76" s="1"/>
  <c r="AB20" i="76"/>
  <c r="AC20" i="76"/>
  <c r="AD20" i="76"/>
  <c r="AE20" i="76"/>
  <c r="AF20" i="76"/>
  <c r="AG20" i="76"/>
  <c r="AY20" i="76" s="1"/>
  <c r="AH20" i="76"/>
  <c r="BL20" i="76" s="1"/>
  <c r="BA20" i="76"/>
  <c r="BB20" i="76"/>
  <c r="BC20" i="76"/>
  <c r="BD20" i="76"/>
  <c r="BF20" i="76"/>
  <c r="BG20" i="76"/>
  <c r="BI20" i="76"/>
  <c r="AA21" i="76"/>
  <c r="AB21" i="76"/>
  <c r="AC21" i="76"/>
  <c r="AD21" i="76"/>
  <c r="AE21" i="76"/>
  <c r="BI21" i="76" s="1"/>
  <c r="AF21" i="76"/>
  <c r="AJ21" i="76" s="1"/>
  <c r="AG21" i="76"/>
  <c r="BK21" i="76" s="1"/>
  <c r="AH21" i="76"/>
  <c r="AL21" i="76" s="1"/>
  <c r="BA21" i="76"/>
  <c r="BB21" i="76"/>
  <c r="BC21" i="76"/>
  <c r="BD21" i="76"/>
  <c r="BF21" i="76"/>
  <c r="BH21" i="76"/>
  <c r="AA22" i="76"/>
  <c r="BE22" i="76" s="1"/>
  <c r="AB22" i="76"/>
  <c r="AC22" i="76"/>
  <c r="AY22" i="76" s="1"/>
  <c r="AD22" i="76"/>
  <c r="AL22" i="76" s="1"/>
  <c r="AE22" i="76"/>
  <c r="BI22" i="76" s="1"/>
  <c r="AF22" i="76"/>
  <c r="BJ22" i="76" s="1"/>
  <c r="AG22" i="76"/>
  <c r="AH22" i="76"/>
  <c r="AW22" i="76"/>
  <c r="BA22" i="76"/>
  <c r="BB22" i="76"/>
  <c r="BC22" i="76"/>
  <c r="BD22" i="76"/>
  <c r="BL22" i="76"/>
  <c r="AA23" i="76"/>
  <c r="AB23" i="76"/>
  <c r="BF23" i="76" s="1"/>
  <c r="AC23" i="76"/>
  <c r="BG23" i="76" s="1"/>
  <c r="AD23" i="76"/>
  <c r="BH23" i="76" s="1"/>
  <c r="AE23" i="76"/>
  <c r="BI23" i="76" s="1"/>
  <c r="AF23" i="76"/>
  <c r="AG23" i="76"/>
  <c r="AH23" i="76"/>
  <c r="AZ23" i="76"/>
  <c r="BA23" i="76"/>
  <c r="BB23" i="76"/>
  <c r="BC23" i="76"/>
  <c r="BD23" i="76"/>
  <c r="BJ23" i="76"/>
  <c r="BL23" i="76"/>
  <c r="AA24" i="76"/>
  <c r="AW24" i="76" s="1"/>
  <c r="AB24" i="76"/>
  <c r="AC24" i="76"/>
  <c r="AK24" i="76" s="1"/>
  <c r="AD24" i="76"/>
  <c r="AE24" i="76"/>
  <c r="AF24" i="76"/>
  <c r="AG24" i="76"/>
  <c r="BK24" i="76" s="1"/>
  <c r="AH24" i="76"/>
  <c r="BL24" i="76" s="1"/>
  <c r="AJ24" i="76"/>
  <c r="BA24" i="76"/>
  <c r="BB24" i="76"/>
  <c r="BC24" i="76"/>
  <c r="BD24" i="76"/>
  <c r="BJ24" i="76"/>
  <c r="AA25" i="76"/>
  <c r="AB25" i="76"/>
  <c r="BF25" i="76" s="1"/>
  <c r="AC25" i="76"/>
  <c r="AD25" i="76"/>
  <c r="BH25" i="76" s="1"/>
  <c r="AE25" i="76"/>
  <c r="AI25" i="76" s="1"/>
  <c r="AF25" i="76"/>
  <c r="AG25" i="76"/>
  <c r="BK25" i="76" s="1"/>
  <c r="AH25" i="76"/>
  <c r="BL25" i="76" s="1"/>
  <c r="BA25" i="76"/>
  <c r="BB25" i="76"/>
  <c r="BC25" i="76"/>
  <c r="BD25" i="76"/>
  <c r="BE25" i="76"/>
  <c r="BJ25" i="76"/>
  <c r="AA26" i="76"/>
  <c r="AB26" i="76"/>
  <c r="AC26" i="76"/>
  <c r="AK26" i="76" s="1"/>
  <c r="AD26" i="76"/>
  <c r="BH26" i="76" s="1"/>
  <c r="AE26" i="76"/>
  <c r="BI26" i="76" s="1"/>
  <c r="AF26" i="76"/>
  <c r="BJ26" i="76" s="1"/>
  <c r="AG26" i="76"/>
  <c r="AH26" i="76"/>
  <c r="BA26" i="76"/>
  <c r="BB26" i="76"/>
  <c r="BC26" i="76"/>
  <c r="BD26" i="76"/>
  <c r="BE26" i="76"/>
  <c r="AA27" i="76"/>
  <c r="AB27" i="76"/>
  <c r="AC27" i="76"/>
  <c r="AY27" i="76" s="1"/>
  <c r="AD27" i="76"/>
  <c r="AZ27" i="76" s="1"/>
  <c r="AE27" i="76"/>
  <c r="BI27" i="76" s="1"/>
  <c r="AF27" i="76"/>
  <c r="BJ27" i="76" s="1"/>
  <c r="AG27" i="76"/>
  <c r="AH27" i="76"/>
  <c r="BA27" i="76"/>
  <c r="BB27" i="76"/>
  <c r="BC27" i="76"/>
  <c r="BD27" i="76"/>
  <c r="BF27" i="76"/>
  <c r="BK27" i="76"/>
  <c r="BL27" i="76"/>
  <c r="AA28" i="76"/>
  <c r="BE28" i="76" s="1"/>
  <c r="AB28" i="76"/>
  <c r="BF28" i="76" s="1"/>
  <c r="AC28" i="76"/>
  <c r="BG28" i="76" s="1"/>
  <c r="AD28" i="76"/>
  <c r="AE28" i="76"/>
  <c r="AF28" i="76"/>
  <c r="AG28" i="76"/>
  <c r="BK28" i="76" s="1"/>
  <c r="AH28" i="76"/>
  <c r="BL28" i="76" s="1"/>
  <c r="BA28" i="76"/>
  <c r="BB28" i="76"/>
  <c r="BC28" i="76"/>
  <c r="BD28" i="76"/>
  <c r="AA29" i="76"/>
  <c r="AW29" i="76" s="1"/>
  <c r="AB29" i="76"/>
  <c r="AX29" i="76" s="1"/>
  <c r="AC29" i="76"/>
  <c r="AD29" i="76"/>
  <c r="AL29" i="76" s="1"/>
  <c r="AE29" i="76"/>
  <c r="AF29" i="76"/>
  <c r="BJ29" i="76" s="1"/>
  <c r="AG29" i="76"/>
  <c r="BK29" i="76" s="1"/>
  <c r="AH29" i="76"/>
  <c r="BL29" i="76" s="1"/>
  <c r="AI29" i="76"/>
  <c r="AJ29" i="76"/>
  <c r="BA29" i="76"/>
  <c r="BB29" i="76"/>
  <c r="BC29" i="76"/>
  <c r="BD29" i="76"/>
  <c r="BI29" i="76"/>
  <c r="AA30" i="76"/>
  <c r="BE30" i="76" s="1"/>
  <c r="AB30" i="76"/>
  <c r="AJ30" i="76" s="1"/>
  <c r="AC30" i="76"/>
  <c r="BG30" i="76" s="1"/>
  <c r="AD30" i="76"/>
  <c r="AE30" i="76"/>
  <c r="AF30" i="76"/>
  <c r="BJ30" i="76" s="1"/>
  <c r="AG30" i="76"/>
  <c r="AH30" i="76"/>
  <c r="BL30" i="76" s="1"/>
  <c r="AW30" i="76"/>
  <c r="BA30" i="76"/>
  <c r="BB30" i="76"/>
  <c r="BC30" i="76"/>
  <c r="BD30" i="76"/>
  <c r="BI30" i="76"/>
  <c r="BK30" i="76"/>
  <c r="AA31" i="76"/>
  <c r="AB31" i="76"/>
  <c r="BF31" i="76" s="1"/>
  <c r="AC31" i="76"/>
  <c r="BG31" i="76" s="1"/>
  <c r="AD31" i="76"/>
  <c r="AE31" i="76"/>
  <c r="BI31" i="76" s="1"/>
  <c r="AF31" i="76"/>
  <c r="AG31" i="76"/>
  <c r="AY31" i="76" s="1"/>
  <c r="AH31" i="76"/>
  <c r="AL31" i="76" s="1"/>
  <c r="BA31" i="76"/>
  <c r="BB31" i="76"/>
  <c r="BC31" i="76"/>
  <c r="BD31" i="76"/>
  <c r="BH31" i="76"/>
  <c r="AA32" i="76"/>
  <c r="BE32" i="76" s="1"/>
  <c r="AB32" i="76"/>
  <c r="AC32" i="76"/>
  <c r="AK32" i="76" s="1"/>
  <c r="AD32" i="76"/>
  <c r="AE32" i="76"/>
  <c r="BI32" i="76" s="1"/>
  <c r="AF32" i="76"/>
  <c r="BJ32" i="76" s="1"/>
  <c r="AG32" i="76"/>
  <c r="AH32" i="76"/>
  <c r="BL32" i="76" s="1"/>
  <c r="BA32" i="76"/>
  <c r="BB32" i="76"/>
  <c r="BC32" i="76"/>
  <c r="BD32" i="76"/>
  <c r="BK32" i="76"/>
  <c r="AA33" i="76"/>
  <c r="BE33" i="76" s="1"/>
  <c r="AB33" i="76"/>
  <c r="BF33" i="76" s="1"/>
  <c r="AC33" i="76"/>
  <c r="BG33" i="76" s="1"/>
  <c r="AD33" i="76"/>
  <c r="BH33" i="76" s="1"/>
  <c r="AE33" i="76"/>
  <c r="BI33" i="76" s="1"/>
  <c r="AF33" i="76"/>
  <c r="AG33" i="76"/>
  <c r="BK33" i="76" s="1"/>
  <c r="AH33" i="76"/>
  <c r="BA33" i="76"/>
  <c r="BB33" i="76"/>
  <c r="BC33" i="76"/>
  <c r="BD33" i="76"/>
  <c r="AA34" i="76"/>
  <c r="AB34" i="76"/>
  <c r="AC34" i="76"/>
  <c r="BG34" i="76" s="1"/>
  <c r="AD34" i="76"/>
  <c r="BH34" i="76" s="1"/>
  <c r="AE34" i="76"/>
  <c r="AW34" i="76" s="1"/>
  <c r="AF34" i="76"/>
  <c r="BJ34" i="76" s="1"/>
  <c r="AG34" i="76"/>
  <c r="BK34" i="76" s="1"/>
  <c r="AH34" i="76"/>
  <c r="BL34" i="76" s="1"/>
  <c r="AK34" i="76"/>
  <c r="BA34" i="76"/>
  <c r="BB34" i="76"/>
  <c r="BC34" i="76"/>
  <c r="BD34" i="76"/>
  <c r="BE34" i="76"/>
  <c r="BI34" i="76"/>
  <c r="AA35" i="76"/>
  <c r="BE35" i="76" s="1"/>
  <c r="AB35" i="76"/>
  <c r="BF35" i="76" s="1"/>
  <c r="AC35" i="76"/>
  <c r="AD35" i="76"/>
  <c r="BH35" i="76" s="1"/>
  <c r="AE35" i="76"/>
  <c r="BI35" i="76" s="1"/>
  <c r="AF35" i="76"/>
  <c r="AG35" i="76"/>
  <c r="BK35" i="76" s="1"/>
  <c r="AH35" i="76"/>
  <c r="AW35" i="76"/>
  <c r="AX35" i="76"/>
  <c r="BA35" i="76"/>
  <c r="BB35" i="76"/>
  <c r="BC35" i="76"/>
  <c r="BD35" i="76"/>
  <c r="BL35" i="76"/>
  <c r="AA36" i="76"/>
  <c r="AB36" i="76"/>
  <c r="AX36" i="76" s="1"/>
  <c r="AC36" i="76"/>
  <c r="BG36" i="76" s="1"/>
  <c r="AD36" i="76"/>
  <c r="AE36" i="76"/>
  <c r="AF36" i="76"/>
  <c r="BJ36" i="76" s="1"/>
  <c r="AG36" i="76"/>
  <c r="AH36" i="76"/>
  <c r="BL36" i="76" s="1"/>
  <c r="AI36" i="76"/>
  <c r="AJ36" i="76"/>
  <c r="AY36" i="76"/>
  <c r="BA36" i="76"/>
  <c r="BB36" i="76"/>
  <c r="BC36" i="76"/>
  <c r="BD36" i="76"/>
  <c r="BF36" i="76"/>
  <c r="BI36" i="76"/>
  <c r="BK36" i="76"/>
  <c r="AA37" i="76"/>
  <c r="AB37" i="76"/>
  <c r="BF37" i="76" s="1"/>
  <c r="AC37" i="76"/>
  <c r="AK37" i="76" s="1"/>
  <c r="AD37" i="76"/>
  <c r="BH37" i="76" s="1"/>
  <c r="AE37" i="76"/>
  <c r="BI37" i="76" s="1"/>
  <c r="AF37" i="76"/>
  <c r="AJ37" i="76" s="1"/>
  <c r="AG37" i="76"/>
  <c r="BK37" i="76" s="1"/>
  <c r="AH37" i="76"/>
  <c r="AL37" i="76" s="1"/>
  <c r="BA37" i="76"/>
  <c r="BB37" i="76"/>
  <c r="BC37" i="76"/>
  <c r="BD37" i="76"/>
  <c r="BJ37" i="76"/>
  <c r="BL37" i="76"/>
  <c r="AA38" i="76"/>
  <c r="AB38" i="76"/>
  <c r="AC38" i="76"/>
  <c r="BG38" i="76" s="1"/>
  <c r="AD38" i="76"/>
  <c r="AE38" i="76"/>
  <c r="AI38" i="76" s="1"/>
  <c r="AF38" i="76"/>
  <c r="BJ38" i="76" s="1"/>
  <c r="AG38" i="76"/>
  <c r="AY38" i="76" s="1"/>
  <c r="AH38" i="76"/>
  <c r="AL38" i="76" s="1"/>
  <c r="BA38" i="76"/>
  <c r="BB38" i="76"/>
  <c r="BC38" i="76"/>
  <c r="BD38" i="76"/>
  <c r="BF38" i="76"/>
  <c r="BH38" i="76"/>
  <c r="AA39" i="76"/>
  <c r="AB39" i="76"/>
  <c r="BF39" i="76" s="1"/>
  <c r="AC39" i="76"/>
  <c r="BG39" i="76" s="1"/>
  <c r="AD39" i="76"/>
  <c r="BH39" i="76" s="1"/>
  <c r="AE39" i="76"/>
  <c r="AF39" i="76"/>
  <c r="AG39" i="76"/>
  <c r="BK39" i="76" s="1"/>
  <c r="AH39" i="76"/>
  <c r="AJ39" i="76"/>
  <c r="AX39" i="76"/>
  <c r="AY39" i="76"/>
  <c r="BA39" i="76"/>
  <c r="BB39" i="76"/>
  <c r="BC39" i="76"/>
  <c r="BD39" i="76"/>
  <c r="BI39" i="76"/>
  <c r="BJ39" i="76"/>
  <c r="AA40" i="76"/>
  <c r="BE40" i="76" s="1"/>
  <c r="AB40" i="76"/>
  <c r="AX40" i="76" s="1"/>
  <c r="AC40" i="76"/>
  <c r="BG40" i="76" s="1"/>
  <c r="AD40" i="76"/>
  <c r="AE40" i="76"/>
  <c r="AF40" i="76"/>
  <c r="AG40" i="76"/>
  <c r="AH40" i="76"/>
  <c r="AL40" i="76" s="1"/>
  <c r="AW40" i="76"/>
  <c r="BA40" i="76"/>
  <c r="BB40" i="76"/>
  <c r="BC40" i="76"/>
  <c r="BD40" i="76"/>
  <c r="BJ40" i="76"/>
  <c r="BK40" i="76"/>
  <c r="AA41" i="76"/>
  <c r="AB41" i="76"/>
  <c r="AJ41" i="76" s="1"/>
  <c r="AC41" i="76"/>
  <c r="AD41" i="76"/>
  <c r="BH41" i="76" s="1"/>
  <c r="AE41" i="76"/>
  <c r="AF41" i="76"/>
  <c r="AG41" i="76"/>
  <c r="BK41" i="76" s="1"/>
  <c r="AH41" i="76"/>
  <c r="AL41" i="76" s="1"/>
  <c r="AX41" i="76"/>
  <c r="BA41" i="76"/>
  <c r="BB41" i="76"/>
  <c r="BC41" i="76"/>
  <c r="BD41" i="76"/>
  <c r="BF41" i="76"/>
  <c r="BI41" i="76"/>
  <c r="BJ41" i="76"/>
  <c r="BL41" i="76"/>
  <c r="AA42" i="76"/>
  <c r="AB42" i="76"/>
  <c r="AC42" i="76"/>
  <c r="AD42" i="76"/>
  <c r="AZ42" i="76" s="1"/>
  <c r="AE42" i="76"/>
  <c r="AI42" i="76" s="1"/>
  <c r="AF42" i="76"/>
  <c r="AX42" i="76" s="1"/>
  <c r="AG42" i="76"/>
  <c r="AH42" i="76"/>
  <c r="AL42" i="76" s="1"/>
  <c r="AK42" i="76"/>
  <c r="AW42" i="76"/>
  <c r="AY42" i="76"/>
  <c r="BA42" i="76"/>
  <c r="BB42" i="76"/>
  <c r="BC42" i="76"/>
  <c r="BD42" i="76"/>
  <c r="BE42" i="76"/>
  <c r="BF42" i="76"/>
  <c r="BG42" i="76"/>
  <c r="BK42" i="76"/>
  <c r="AH120" i="76"/>
  <c r="AG120" i="76"/>
  <c r="AF120" i="76"/>
  <c r="AE120" i="76"/>
  <c r="AD120" i="76"/>
  <c r="AL120" i="76" s="1"/>
  <c r="AC120" i="76"/>
  <c r="AB120" i="76"/>
  <c r="AA120" i="76"/>
  <c r="AH119" i="76"/>
  <c r="AG119" i="76"/>
  <c r="AF119" i="76"/>
  <c r="AE119" i="76"/>
  <c r="AD119" i="76"/>
  <c r="AC119" i="76"/>
  <c r="AB119" i="76"/>
  <c r="AA119" i="76"/>
  <c r="AI119" i="76" s="1"/>
  <c r="AH118" i="76"/>
  <c r="AG118" i="76"/>
  <c r="AF118" i="76"/>
  <c r="AE118" i="76"/>
  <c r="AD118" i="76"/>
  <c r="AC118" i="76"/>
  <c r="AB118" i="76"/>
  <c r="AA118" i="76"/>
  <c r="AH117" i="76"/>
  <c r="AG117" i="76"/>
  <c r="AF117" i="76"/>
  <c r="AE117" i="76"/>
  <c r="AD117" i="76"/>
  <c r="AC117" i="76"/>
  <c r="AB117" i="76"/>
  <c r="AA117" i="76"/>
  <c r="AH116" i="76"/>
  <c r="AG116" i="76"/>
  <c r="AF116" i="76"/>
  <c r="AE116" i="76"/>
  <c r="AD116" i="76"/>
  <c r="AC116" i="76"/>
  <c r="AB116" i="76"/>
  <c r="AJ116" i="76" s="1"/>
  <c r="AA116" i="76"/>
  <c r="AH115" i="76"/>
  <c r="AG115" i="76"/>
  <c r="AF115" i="76"/>
  <c r="AE115" i="76"/>
  <c r="AD115" i="76"/>
  <c r="AC115" i="76"/>
  <c r="AB115" i="76"/>
  <c r="AJ115" i="76" s="1"/>
  <c r="AA115" i="76"/>
  <c r="AH114" i="76"/>
  <c r="AG114" i="76"/>
  <c r="AF114" i="76"/>
  <c r="AE114" i="76"/>
  <c r="AD114" i="76"/>
  <c r="AC114" i="76"/>
  <c r="AB114" i="76"/>
  <c r="AJ114" i="76" s="1"/>
  <c r="AA114" i="76"/>
  <c r="AH113" i="76"/>
  <c r="AG113" i="76"/>
  <c r="AF113" i="76"/>
  <c r="AE113" i="76"/>
  <c r="AD113" i="76"/>
  <c r="AC113" i="76"/>
  <c r="AK113" i="76" s="1"/>
  <c r="AB113" i="76"/>
  <c r="AA113" i="76"/>
  <c r="AI113" i="76" s="1"/>
  <c r="AH112" i="76"/>
  <c r="AG112" i="76"/>
  <c r="AF112" i="76"/>
  <c r="AE112" i="76"/>
  <c r="AD112" i="76"/>
  <c r="AC112" i="76"/>
  <c r="AK112" i="76" s="1"/>
  <c r="AB112" i="76"/>
  <c r="AA112" i="76"/>
  <c r="AI112" i="76" s="1"/>
  <c r="AH111" i="76"/>
  <c r="AG111" i="76"/>
  <c r="AF111" i="76"/>
  <c r="AE111" i="76"/>
  <c r="AD111" i="76"/>
  <c r="AC111" i="76"/>
  <c r="AK111" i="76" s="1"/>
  <c r="AB111" i="76"/>
  <c r="AA111" i="76"/>
  <c r="AI111" i="76" s="1"/>
  <c r="AH110" i="76"/>
  <c r="AG110" i="76"/>
  <c r="AF110" i="76"/>
  <c r="AE110" i="76"/>
  <c r="AD110" i="76"/>
  <c r="AC110" i="76"/>
  <c r="AK110" i="76" s="1"/>
  <c r="AB110" i="76"/>
  <c r="AA110" i="76"/>
  <c r="AI110" i="76" s="1"/>
  <c r="AH109" i="76"/>
  <c r="AG109" i="76"/>
  <c r="AF109" i="76"/>
  <c r="AE109" i="76"/>
  <c r="AD109" i="76"/>
  <c r="AC109" i="76"/>
  <c r="AK109" i="76" s="1"/>
  <c r="AB109" i="76"/>
  <c r="AA109" i="76"/>
  <c r="AI109" i="76" s="1"/>
  <c r="AH108" i="76"/>
  <c r="AG108" i="76"/>
  <c r="AF108" i="76"/>
  <c r="AE108" i="76"/>
  <c r="AD108" i="76"/>
  <c r="AC108" i="76"/>
  <c r="AK108" i="76" s="1"/>
  <c r="AB108" i="76"/>
  <c r="AA108" i="76"/>
  <c r="AI108" i="76" s="1"/>
  <c r="AH107" i="76"/>
  <c r="AG107" i="76"/>
  <c r="AF107" i="76"/>
  <c r="AE107" i="76"/>
  <c r="AD107" i="76"/>
  <c r="AC107" i="76"/>
  <c r="AK107" i="76" s="1"/>
  <c r="AB107" i="76"/>
  <c r="AJ107" i="76" s="1"/>
  <c r="AA107" i="76"/>
  <c r="AI107" i="76" s="1"/>
  <c r="AH106" i="76"/>
  <c r="AG106" i="76"/>
  <c r="AF106" i="76"/>
  <c r="AE106" i="76"/>
  <c r="AD106" i="76"/>
  <c r="AC106" i="76"/>
  <c r="AK106" i="76" s="1"/>
  <c r="AB106" i="76"/>
  <c r="AJ106" i="76" s="1"/>
  <c r="AA106" i="76"/>
  <c r="AI106" i="76" s="1"/>
  <c r="AH105" i="76"/>
  <c r="AG105" i="76"/>
  <c r="AF105" i="76"/>
  <c r="AE105" i="76"/>
  <c r="AD105" i="76"/>
  <c r="AC105" i="76"/>
  <c r="AK105" i="76" s="1"/>
  <c r="AB105" i="76"/>
  <c r="AJ105" i="76" s="1"/>
  <c r="AA105" i="76"/>
  <c r="AI105" i="76" s="1"/>
  <c r="AH104" i="76"/>
  <c r="AG104" i="76"/>
  <c r="AF104" i="76"/>
  <c r="AE104" i="76"/>
  <c r="AD104" i="76"/>
  <c r="AC104" i="76"/>
  <c r="AK104" i="76" s="1"/>
  <c r="AB104" i="76"/>
  <c r="AJ104" i="76" s="1"/>
  <c r="AA104" i="76"/>
  <c r="AI104" i="76" s="1"/>
  <c r="AH103" i="76"/>
  <c r="AG103" i="76"/>
  <c r="AF103" i="76"/>
  <c r="AE103" i="76"/>
  <c r="AD103" i="76"/>
  <c r="AC103" i="76"/>
  <c r="AK103" i="76" s="1"/>
  <c r="AB103" i="76"/>
  <c r="AJ103" i="76" s="1"/>
  <c r="AA103" i="76"/>
  <c r="AI103" i="76" s="1"/>
  <c r="AH102" i="76"/>
  <c r="AG102" i="76"/>
  <c r="AF102" i="76"/>
  <c r="AE102" i="76"/>
  <c r="AD102" i="76"/>
  <c r="AC102" i="76"/>
  <c r="AK102" i="76" s="1"/>
  <c r="AB102" i="76"/>
  <c r="AJ102" i="76" s="1"/>
  <c r="AA102" i="76"/>
  <c r="AI102" i="76" s="1"/>
  <c r="AH101" i="76"/>
  <c r="AG101" i="76"/>
  <c r="AF101" i="76"/>
  <c r="AE101" i="76"/>
  <c r="AD101" i="76"/>
  <c r="AC101" i="76"/>
  <c r="AK101" i="76" s="1"/>
  <c r="AB101" i="76"/>
  <c r="AJ101" i="76" s="1"/>
  <c r="AA101" i="76"/>
  <c r="AI101" i="76" s="1"/>
  <c r="AH100" i="76"/>
  <c r="AG100" i="76"/>
  <c r="AF100" i="76"/>
  <c r="AE100" i="76"/>
  <c r="AD100" i="76"/>
  <c r="AC100" i="76"/>
  <c r="AK100" i="76" s="1"/>
  <c r="AB100" i="76"/>
  <c r="AJ100" i="76" s="1"/>
  <c r="AA100" i="76"/>
  <c r="AI100" i="76" s="1"/>
  <c r="AH99" i="76"/>
  <c r="AG99" i="76"/>
  <c r="AF99" i="76"/>
  <c r="AE99" i="76"/>
  <c r="AD99" i="76"/>
  <c r="AC99" i="76"/>
  <c r="AK99" i="76" s="1"/>
  <c r="AB99" i="76"/>
  <c r="AJ99" i="76" s="1"/>
  <c r="AA99" i="76"/>
  <c r="AI99" i="76" s="1"/>
  <c r="AH98" i="76"/>
  <c r="AG98" i="76"/>
  <c r="AF98" i="76"/>
  <c r="AE98" i="76"/>
  <c r="AD98" i="76"/>
  <c r="AC98" i="76"/>
  <c r="AK98" i="76" s="1"/>
  <c r="AB98" i="76"/>
  <c r="AJ98" i="76" s="1"/>
  <c r="AA98" i="76"/>
  <c r="AI98" i="76" s="1"/>
  <c r="AH97" i="76"/>
  <c r="AG97" i="76"/>
  <c r="AF97" i="76"/>
  <c r="AE97" i="76"/>
  <c r="AD97" i="76"/>
  <c r="AC97" i="76"/>
  <c r="AK97" i="76" s="1"/>
  <c r="AB97" i="76"/>
  <c r="AJ97" i="76" s="1"/>
  <c r="AA97" i="76"/>
  <c r="AI97" i="76" s="1"/>
  <c r="AH96" i="76"/>
  <c r="AG96" i="76"/>
  <c r="AF96" i="76"/>
  <c r="AE96" i="76"/>
  <c r="AD96" i="76"/>
  <c r="AC96" i="76"/>
  <c r="AK96" i="76" s="1"/>
  <c r="AB96" i="76"/>
  <c r="AJ96" i="76" s="1"/>
  <c r="AA96" i="76"/>
  <c r="AI96" i="76" s="1"/>
  <c r="AH95" i="76"/>
  <c r="AG95" i="76"/>
  <c r="AF95" i="76"/>
  <c r="AE95" i="76"/>
  <c r="AD95" i="76"/>
  <c r="AC95" i="76"/>
  <c r="AK95" i="76" s="1"/>
  <c r="AB95" i="76"/>
  <c r="AJ95" i="76" s="1"/>
  <c r="AA95" i="76"/>
  <c r="AI95" i="76" s="1"/>
  <c r="AH94" i="76"/>
  <c r="AG94" i="76"/>
  <c r="AF94" i="76"/>
  <c r="AE94" i="76"/>
  <c r="AD94" i="76"/>
  <c r="AC94" i="76"/>
  <c r="AK94" i="76" s="1"/>
  <c r="AB94" i="76"/>
  <c r="AJ94" i="76" s="1"/>
  <c r="AA94" i="76"/>
  <c r="AI94" i="76" s="1"/>
  <c r="AH93" i="76"/>
  <c r="AG93" i="76"/>
  <c r="AF93" i="76"/>
  <c r="AE93" i="76"/>
  <c r="AD93" i="76"/>
  <c r="AL93" i="76" s="1"/>
  <c r="AC93" i="76"/>
  <c r="AK93" i="76" s="1"/>
  <c r="AB93" i="76"/>
  <c r="AJ93" i="76" s="1"/>
  <c r="AA93" i="76"/>
  <c r="AI93" i="76" s="1"/>
  <c r="AH92" i="76"/>
  <c r="AG92" i="76"/>
  <c r="AF92" i="76"/>
  <c r="AE92" i="76"/>
  <c r="AD92" i="76"/>
  <c r="AL92" i="76" s="1"/>
  <c r="AC92" i="76"/>
  <c r="AK92" i="76" s="1"/>
  <c r="AB92" i="76"/>
  <c r="AJ92" i="76" s="1"/>
  <c r="AA92" i="76"/>
  <c r="AI92" i="76" s="1"/>
  <c r="AH91" i="76"/>
  <c r="AG91" i="76"/>
  <c r="AF91" i="76"/>
  <c r="AE91" i="76"/>
  <c r="AD91" i="76"/>
  <c r="AL91" i="76" s="1"/>
  <c r="AC91" i="76"/>
  <c r="AK91" i="76" s="1"/>
  <c r="AB91" i="76"/>
  <c r="AJ91" i="76" s="1"/>
  <c r="AA91" i="76"/>
  <c r="AI91" i="76" s="1"/>
  <c r="AH90" i="76"/>
  <c r="AG90" i="76"/>
  <c r="AF90" i="76"/>
  <c r="AE90" i="76"/>
  <c r="AD90" i="76"/>
  <c r="AL90" i="76" s="1"/>
  <c r="AC90" i="76"/>
  <c r="AK90" i="76" s="1"/>
  <c r="AB90" i="76"/>
  <c r="AJ90" i="76" s="1"/>
  <c r="AA90" i="76"/>
  <c r="AI90" i="76" s="1"/>
  <c r="AH89" i="76"/>
  <c r="AG89" i="76"/>
  <c r="AF89" i="76"/>
  <c r="AE89" i="76"/>
  <c r="AD89" i="76"/>
  <c r="AL89" i="76" s="1"/>
  <c r="AC89" i="76"/>
  <c r="AK89" i="76" s="1"/>
  <c r="AB89" i="76"/>
  <c r="AJ89" i="76" s="1"/>
  <c r="AA89" i="76"/>
  <c r="AI89" i="76" s="1"/>
  <c r="AH88" i="76"/>
  <c r="AG88" i="76"/>
  <c r="AF88" i="76"/>
  <c r="AE88" i="76"/>
  <c r="AD88" i="76"/>
  <c r="AL88" i="76" s="1"/>
  <c r="AC88" i="76"/>
  <c r="AK88" i="76" s="1"/>
  <c r="AB88" i="76"/>
  <c r="AJ88" i="76" s="1"/>
  <c r="AA88" i="76"/>
  <c r="AH87" i="76"/>
  <c r="AG87" i="76"/>
  <c r="AF87" i="76"/>
  <c r="AE87" i="76"/>
  <c r="AD87" i="76"/>
  <c r="AL87" i="76" s="1"/>
  <c r="AC87" i="76"/>
  <c r="AK87" i="76" s="1"/>
  <c r="AB87" i="76"/>
  <c r="AJ87" i="76" s="1"/>
  <c r="AA87" i="76"/>
  <c r="AH86" i="76"/>
  <c r="AG86" i="76"/>
  <c r="AF86" i="76"/>
  <c r="AE86" i="76"/>
  <c r="AD86" i="76"/>
  <c r="AL86" i="76" s="1"/>
  <c r="AC86" i="76"/>
  <c r="AK86" i="76" s="1"/>
  <c r="AB86" i="76"/>
  <c r="AJ86" i="76" s="1"/>
  <c r="AA86" i="76"/>
  <c r="AH85" i="76"/>
  <c r="AG85" i="76"/>
  <c r="AF85" i="76"/>
  <c r="AE85" i="76"/>
  <c r="AD85" i="76"/>
  <c r="AL85" i="76" s="1"/>
  <c r="AC85" i="76"/>
  <c r="AK85" i="76" s="1"/>
  <c r="AB85" i="76"/>
  <c r="AJ85" i="76" s="1"/>
  <c r="AA85" i="76"/>
  <c r="AH84" i="76"/>
  <c r="AG84" i="76"/>
  <c r="AF84" i="76"/>
  <c r="AE84" i="76"/>
  <c r="AD84" i="76"/>
  <c r="AL84" i="76" s="1"/>
  <c r="AC84" i="76"/>
  <c r="AK84" i="76" s="1"/>
  <c r="AB84" i="76"/>
  <c r="AJ84" i="76" s="1"/>
  <c r="AA84" i="76"/>
  <c r="AH83" i="76"/>
  <c r="AG83" i="76"/>
  <c r="AF83" i="76"/>
  <c r="AE83" i="76"/>
  <c r="AD83" i="76"/>
  <c r="AL83" i="76" s="1"/>
  <c r="AC83" i="76"/>
  <c r="AK83" i="76" s="1"/>
  <c r="AB83" i="76"/>
  <c r="AJ83" i="76" s="1"/>
  <c r="AA83" i="76"/>
  <c r="AH82" i="76"/>
  <c r="AG82" i="76"/>
  <c r="AF82" i="76"/>
  <c r="AE82" i="76"/>
  <c r="AD82" i="76"/>
  <c r="AL82" i="76" s="1"/>
  <c r="AC82" i="76"/>
  <c r="AK82" i="76" s="1"/>
  <c r="AB82" i="76"/>
  <c r="AJ82" i="76" s="1"/>
  <c r="AA82" i="76"/>
  <c r="AH81" i="76"/>
  <c r="AG81" i="76"/>
  <c r="AF81" i="76"/>
  <c r="AE81" i="76"/>
  <c r="AD81" i="76"/>
  <c r="AL81" i="76" s="1"/>
  <c r="AC81" i="76"/>
  <c r="AK81" i="76" s="1"/>
  <c r="AB81" i="76"/>
  <c r="AA81" i="76"/>
  <c r="AI81" i="76" s="1"/>
  <c r="AH80" i="76"/>
  <c r="AG80" i="76"/>
  <c r="AF80" i="76"/>
  <c r="AE80" i="76"/>
  <c r="AD80" i="76"/>
  <c r="AL80" i="76" s="1"/>
  <c r="AC80" i="76"/>
  <c r="AK80" i="76" s="1"/>
  <c r="AB80" i="76"/>
  <c r="AA80" i="76"/>
  <c r="AH79" i="76"/>
  <c r="AG79" i="76"/>
  <c r="AF79" i="76"/>
  <c r="AE79" i="76"/>
  <c r="AD79" i="76"/>
  <c r="AL79" i="76" s="1"/>
  <c r="AC79" i="76"/>
  <c r="AK79" i="76" s="1"/>
  <c r="AB79" i="76"/>
  <c r="AA79" i="76"/>
  <c r="AH78" i="76"/>
  <c r="AG78" i="76"/>
  <c r="AF78" i="76"/>
  <c r="AE78" i="76"/>
  <c r="AD78" i="76"/>
  <c r="AL78" i="76" s="1"/>
  <c r="AC78" i="76"/>
  <c r="AK78" i="76" s="1"/>
  <c r="AB78" i="76"/>
  <c r="AA78" i="76"/>
  <c r="AH77" i="76"/>
  <c r="AG77" i="76"/>
  <c r="AF77" i="76"/>
  <c r="AE77" i="76"/>
  <c r="AD77" i="76"/>
  <c r="AL77" i="76" s="1"/>
  <c r="AC77" i="76"/>
  <c r="AK77" i="76" s="1"/>
  <c r="AB77" i="76"/>
  <c r="AA77" i="76"/>
  <c r="AH76" i="76"/>
  <c r="AG76" i="76"/>
  <c r="AF76" i="76"/>
  <c r="AE76" i="76"/>
  <c r="AD76" i="76"/>
  <c r="AL76" i="76" s="1"/>
  <c r="AC76" i="76"/>
  <c r="AK76" i="76" s="1"/>
  <c r="AB76" i="76"/>
  <c r="AA76" i="76"/>
  <c r="AH75" i="76"/>
  <c r="AG75" i="76"/>
  <c r="AF75" i="76"/>
  <c r="AE75" i="76"/>
  <c r="AD75" i="76"/>
  <c r="AL75" i="76" s="1"/>
  <c r="AC75" i="76"/>
  <c r="AK75" i="76" s="1"/>
  <c r="AB75" i="76"/>
  <c r="AA75" i="76"/>
  <c r="AH74" i="76"/>
  <c r="AG74" i="76"/>
  <c r="AF74" i="76"/>
  <c r="AE74" i="76"/>
  <c r="AD74" i="76"/>
  <c r="AL74" i="76" s="1"/>
  <c r="AC74" i="76"/>
  <c r="AK74" i="76" s="1"/>
  <c r="AB74" i="76"/>
  <c r="AA74" i="76"/>
  <c r="AH73" i="76"/>
  <c r="AG73" i="76"/>
  <c r="AF73" i="76"/>
  <c r="AE73" i="76"/>
  <c r="AD73" i="76"/>
  <c r="AL73" i="76" s="1"/>
  <c r="AC73" i="76"/>
  <c r="AK73" i="76" s="1"/>
  <c r="AB73" i="76"/>
  <c r="AA73" i="76"/>
  <c r="AH72" i="76"/>
  <c r="AG72" i="76"/>
  <c r="AF72" i="76"/>
  <c r="AE72" i="76"/>
  <c r="AD72" i="76"/>
  <c r="AL72" i="76" s="1"/>
  <c r="AC72" i="76"/>
  <c r="AK72" i="76" s="1"/>
  <c r="AB72" i="76"/>
  <c r="AA72" i="76"/>
  <c r="AH71" i="76"/>
  <c r="AG71" i="76"/>
  <c r="AF71" i="76"/>
  <c r="AE71" i="76"/>
  <c r="AD71" i="76"/>
  <c r="AL71" i="76" s="1"/>
  <c r="AC71" i="76"/>
  <c r="AB71" i="76"/>
  <c r="AA71" i="76"/>
  <c r="AH70" i="76"/>
  <c r="AG70" i="76"/>
  <c r="AF70" i="76"/>
  <c r="AE70" i="76"/>
  <c r="AD70" i="76"/>
  <c r="AL70" i="76" s="1"/>
  <c r="AC70" i="76"/>
  <c r="AK70" i="76" s="1"/>
  <c r="AB70" i="76"/>
  <c r="AA70" i="76"/>
  <c r="AH69" i="76"/>
  <c r="AG69" i="76"/>
  <c r="AF69" i="76"/>
  <c r="AE69" i="76"/>
  <c r="AD69" i="76"/>
  <c r="AL69" i="76" s="1"/>
  <c r="AC69" i="76"/>
  <c r="AK69" i="76" s="1"/>
  <c r="AB69" i="76"/>
  <c r="AA69" i="76"/>
  <c r="AH68" i="76"/>
  <c r="AG68" i="76"/>
  <c r="AF68" i="76"/>
  <c r="AE68" i="76"/>
  <c r="AD68" i="76"/>
  <c r="AL68" i="76" s="1"/>
  <c r="AC68" i="76"/>
  <c r="AK68" i="76" s="1"/>
  <c r="AB68" i="76"/>
  <c r="AA68" i="76"/>
  <c r="AH67" i="76"/>
  <c r="AG67" i="76"/>
  <c r="AF67" i="76"/>
  <c r="AE67" i="76"/>
  <c r="AD67" i="76"/>
  <c r="AL67" i="76" s="1"/>
  <c r="AC67" i="76"/>
  <c r="AK67" i="76" s="1"/>
  <c r="AB67" i="76"/>
  <c r="AA67" i="76"/>
  <c r="AH66" i="76"/>
  <c r="AG66" i="76"/>
  <c r="AF66" i="76"/>
  <c r="AE66" i="76"/>
  <c r="AD66" i="76"/>
  <c r="AL66" i="76" s="1"/>
  <c r="AC66" i="76"/>
  <c r="AK66" i="76" s="1"/>
  <c r="AB66" i="76"/>
  <c r="AJ66" i="76" s="1"/>
  <c r="AA66" i="76"/>
  <c r="AH65" i="76"/>
  <c r="AG65" i="76"/>
  <c r="AF65" i="76"/>
  <c r="AE65" i="76"/>
  <c r="AD65" i="76"/>
  <c r="AL65" i="76" s="1"/>
  <c r="AC65" i="76"/>
  <c r="AK65" i="76" s="1"/>
  <c r="AB65" i="76"/>
  <c r="AJ65" i="76" s="1"/>
  <c r="AA65" i="76"/>
  <c r="AH64" i="76"/>
  <c r="AG64" i="76"/>
  <c r="AF64" i="76"/>
  <c r="AE64" i="76"/>
  <c r="AD64" i="76"/>
  <c r="AL64" i="76" s="1"/>
  <c r="AC64" i="76"/>
  <c r="AK64" i="76" s="1"/>
  <c r="AB64" i="76"/>
  <c r="AJ64" i="76" s="1"/>
  <c r="AA64" i="76"/>
  <c r="AH63" i="76"/>
  <c r="AG63" i="76"/>
  <c r="AF63" i="76"/>
  <c r="AE63" i="76"/>
  <c r="AD63" i="76"/>
  <c r="AL63" i="76" s="1"/>
  <c r="AC63" i="76"/>
  <c r="AK63" i="76" s="1"/>
  <c r="AB63" i="76"/>
  <c r="AA63" i="76"/>
  <c r="AH62" i="76"/>
  <c r="AG62" i="76"/>
  <c r="AF62" i="76"/>
  <c r="AE62" i="76"/>
  <c r="AD62" i="76"/>
  <c r="AL62" i="76" s="1"/>
  <c r="AC62" i="76"/>
  <c r="AK62" i="76" s="1"/>
  <c r="AB62" i="76"/>
  <c r="AA62" i="76"/>
  <c r="AH61" i="76"/>
  <c r="AG61" i="76"/>
  <c r="AF61" i="76"/>
  <c r="AE61" i="76"/>
  <c r="AD61" i="76"/>
  <c r="AL61" i="76" s="1"/>
  <c r="AC61" i="76"/>
  <c r="AK61" i="76" s="1"/>
  <c r="AB61" i="76"/>
  <c r="AA61" i="76"/>
  <c r="AH60" i="76"/>
  <c r="AG60" i="76"/>
  <c r="AF60" i="76"/>
  <c r="AE60" i="76"/>
  <c r="AD60" i="76"/>
  <c r="AL60" i="76" s="1"/>
  <c r="AC60" i="76"/>
  <c r="AK60" i="76" s="1"/>
  <c r="AB60" i="76"/>
  <c r="AA60" i="76"/>
  <c r="AH59" i="76"/>
  <c r="AG59" i="76"/>
  <c r="AF59" i="76"/>
  <c r="AE59" i="76"/>
  <c r="AD59" i="76"/>
  <c r="AL59" i="76" s="1"/>
  <c r="AC59" i="76"/>
  <c r="AK59" i="76" s="1"/>
  <c r="AB59" i="76"/>
  <c r="AA59" i="76"/>
  <c r="AH58" i="76"/>
  <c r="AG58" i="76"/>
  <c r="AF58" i="76"/>
  <c r="AE58" i="76"/>
  <c r="AD58" i="76"/>
  <c r="AL58" i="76" s="1"/>
  <c r="AC58" i="76"/>
  <c r="AK58" i="76" s="1"/>
  <c r="AB58" i="76"/>
  <c r="AA58" i="76"/>
  <c r="AH57" i="76"/>
  <c r="AG57" i="76"/>
  <c r="AF57" i="76"/>
  <c r="AE57" i="76"/>
  <c r="AD57" i="76"/>
  <c r="AL57" i="76" s="1"/>
  <c r="AC57" i="76"/>
  <c r="AK57" i="76" s="1"/>
  <c r="AB57" i="76"/>
  <c r="AA57" i="76"/>
  <c r="AH56" i="76"/>
  <c r="AG56" i="76"/>
  <c r="AF56" i="76"/>
  <c r="AE56" i="76"/>
  <c r="AD56" i="76"/>
  <c r="AL56" i="76" s="1"/>
  <c r="AC56" i="76"/>
  <c r="AK56" i="76" s="1"/>
  <c r="AB56" i="76"/>
  <c r="AA56" i="76"/>
  <c r="AH55" i="76"/>
  <c r="AG55" i="76"/>
  <c r="AF55" i="76"/>
  <c r="AE55" i="76"/>
  <c r="AD55" i="76"/>
  <c r="AL55" i="76" s="1"/>
  <c r="AC55" i="76"/>
  <c r="AK55" i="76" s="1"/>
  <c r="AB55" i="76"/>
  <c r="AA55" i="76"/>
  <c r="AH54" i="76"/>
  <c r="AG54" i="76"/>
  <c r="AF54" i="76"/>
  <c r="AE54" i="76"/>
  <c r="AD54" i="76"/>
  <c r="AL54" i="76" s="1"/>
  <c r="AC54" i="76"/>
  <c r="AK54" i="76" s="1"/>
  <c r="AB54" i="76"/>
  <c r="AA54" i="76"/>
  <c r="AH53" i="76"/>
  <c r="AG53" i="76"/>
  <c r="AF53" i="76"/>
  <c r="AE53" i="76"/>
  <c r="AD53" i="76"/>
  <c r="AL53" i="76" s="1"/>
  <c r="AC53" i="76"/>
  <c r="AK53" i="76" s="1"/>
  <c r="AB53" i="76"/>
  <c r="AA53" i="76"/>
  <c r="AH52" i="76"/>
  <c r="AG52" i="76"/>
  <c r="AF52" i="76"/>
  <c r="AE52" i="76"/>
  <c r="AD52" i="76"/>
  <c r="AL52" i="76" s="1"/>
  <c r="AC52" i="76"/>
  <c r="AK52" i="76" s="1"/>
  <c r="AB52" i="76"/>
  <c r="AA52" i="76"/>
  <c r="AH51" i="76"/>
  <c r="AG51" i="76"/>
  <c r="AF51" i="76"/>
  <c r="AE51" i="76"/>
  <c r="AD51" i="76"/>
  <c r="AL51" i="76" s="1"/>
  <c r="AC51" i="76"/>
  <c r="AK51" i="76" s="1"/>
  <c r="AB51" i="76"/>
  <c r="AA51" i="76"/>
  <c r="AH50" i="76"/>
  <c r="AG50" i="76"/>
  <c r="AF50" i="76"/>
  <c r="AE50" i="76"/>
  <c r="AD50" i="76"/>
  <c r="AL50" i="76" s="1"/>
  <c r="AC50" i="76"/>
  <c r="AK50" i="76" s="1"/>
  <c r="AB50" i="76"/>
  <c r="AA50" i="76"/>
  <c r="AH49" i="76"/>
  <c r="AG49" i="76"/>
  <c r="AF49" i="76"/>
  <c r="AE49" i="76"/>
  <c r="AD49" i="76"/>
  <c r="AL49" i="76" s="1"/>
  <c r="AC49" i="76"/>
  <c r="AK49" i="76" s="1"/>
  <c r="AB49" i="76"/>
  <c r="AA49" i="76"/>
  <c r="AH48" i="76"/>
  <c r="AG48" i="76"/>
  <c r="AF48" i="76"/>
  <c r="AE48" i="76"/>
  <c r="AD48" i="76"/>
  <c r="AL48" i="76" s="1"/>
  <c r="AC48" i="76"/>
  <c r="AK48" i="76" s="1"/>
  <c r="AB48" i="76"/>
  <c r="AA48" i="76"/>
  <c r="AH47" i="76"/>
  <c r="AG47" i="76"/>
  <c r="AF47" i="76"/>
  <c r="AE47" i="76"/>
  <c r="AD47" i="76"/>
  <c r="AL47" i="76" s="1"/>
  <c r="AC47" i="76"/>
  <c r="AK47" i="76" s="1"/>
  <c r="AB47" i="76"/>
  <c r="AA47" i="76"/>
  <c r="AH46" i="76"/>
  <c r="AG46" i="76"/>
  <c r="AF46" i="76"/>
  <c r="AE46" i="76"/>
  <c r="AD46" i="76"/>
  <c r="AL46" i="76" s="1"/>
  <c r="AC46" i="76"/>
  <c r="AK46" i="76" s="1"/>
  <c r="AB46" i="76"/>
  <c r="AA46" i="76"/>
  <c r="AH45" i="76"/>
  <c r="AG45" i="76"/>
  <c r="AF45" i="76"/>
  <c r="AE45" i="76"/>
  <c r="AD45" i="76"/>
  <c r="AL45" i="76" s="1"/>
  <c r="AC45" i="76"/>
  <c r="AB45" i="76"/>
  <c r="AA45" i="76"/>
  <c r="AI45" i="76" s="1"/>
  <c r="AH44" i="76"/>
  <c r="AG44" i="76"/>
  <c r="AF44" i="76"/>
  <c r="AE44" i="76"/>
  <c r="AD44" i="76"/>
  <c r="AL44" i="76" s="1"/>
  <c r="AC44" i="76"/>
  <c r="AB44" i="76"/>
  <c r="AA44" i="76"/>
  <c r="AH43" i="76"/>
  <c r="AG43" i="76"/>
  <c r="AF43" i="76"/>
  <c r="AE43" i="76"/>
  <c r="AD43" i="76"/>
  <c r="AL43" i="76" s="1"/>
  <c r="AC43" i="76"/>
  <c r="AB43" i="76"/>
  <c r="AA43" i="76"/>
  <c r="AI43" i="76" s="1"/>
  <c r="B3" i="55"/>
  <c r="B4" i="55"/>
  <c r="B5" i="55"/>
  <c r="B6" i="55"/>
  <c r="B7" i="55"/>
  <c r="B8" i="55"/>
  <c r="B9" i="55"/>
  <c r="B10" i="55"/>
  <c r="B11" i="55"/>
  <c r="B12" i="55"/>
  <c r="B13" i="55"/>
  <c r="B14" i="55"/>
  <c r="B15" i="55"/>
  <c r="B16" i="55"/>
  <c r="B17" i="55"/>
  <c r="B18" i="55"/>
  <c r="B19" i="55"/>
  <c r="B20" i="55"/>
  <c r="B21" i="55"/>
  <c r="B22" i="55"/>
  <c r="B23" i="55"/>
  <c r="B24" i="55"/>
  <c r="B25" i="55"/>
  <c r="B26" i="55"/>
  <c r="B27" i="55"/>
  <c r="B28" i="55"/>
  <c r="B29" i="55"/>
  <c r="B30" i="55"/>
  <c r="B31" i="55"/>
  <c r="B32" i="55"/>
  <c r="B33" i="55"/>
  <c r="B34" i="55"/>
  <c r="B35" i="55"/>
  <c r="B36" i="55"/>
  <c r="B37" i="55"/>
  <c r="B38" i="55"/>
  <c r="B39" i="55"/>
  <c r="B40" i="55"/>
  <c r="B41" i="55"/>
  <c r="B42" i="55"/>
  <c r="B2" i="55"/>
  <c r="AK3" i="2"/>
  <c r="AK2" i="2"/>
  <c r="AK4" i="2" s="1"/>
  <c r="AK5" i="2" s="1"/>
  <c r="AK6" i="2" s="1"/>
  <c r="AK7" i="2" s="1"/>
  <c r="AK8" i="2" s="1"/>
  <c r="AK9" i="2" s="1"/>
  <c r="AK10" i="2" s="1"/>
  <c r="AK11" i="2" s="1"/>
  <c r="AK12" i="2" s="1"/>
  <c r="AK13" i="2" s="1"/>
  <c r="AK14" i="2" s="1"/>
  <c r="AK15" i="2" s="1"/>
  <c r="AK16" i="2" s="1"/>
  <c r="AK17" i="2" s="1"/>
  <c r="AK18" i="2" s="1"/>
  <c r="AK19" i="2" s="1"/>
  <c r="AK20" i="2" s="1"/>
  <c r="AK21" i="2" s="1"/>
  <c r="AK22" i="2" s="1"/>
  <c r="AK23" i="2" s="1"/>
  <c r="AK24" i="2" s="1"/>
  <c r="AK25" i="2" s="1"/>
  <c r="AK26" i="2" s="1"/>
  <c r="AK27" i="2" s="1"/>
  <c r="AK28" i="2" s="1"/>
  <c r="AK29" i="2" s="1"/>
  <c r="AK30" i="2" s="1"/>
  <c r="AK31" i="2" s="1"/>
  <c r="AK32" i="2" s="1"/>
  <c r="AK33" i="2" s="1"/>
  <c r="AK34" i="2" s="1"/>
  <c r="AK35" i="2" s="1"/>
  <c r="AK36" i="2" s="1"/>
  <c r="AK37" i="2" s="1"/>
  <c r="AK38" i="2" s="1"/>
  <c r="AK39" i="2" s="1"/>
  <c r="AK40" i="2" s="1"/>
  <c r="AK41" i="2" s="1"/>
  <c r="J42" i="55"/>
  <c r="AQ8" i="76" l="1"/>
  <c r="BF40" i="76"/>
  <c r="BK38" i="76"/>
  <c r="AI34" i="76"/>
  <c r="AY33" i="76"/>
  <c r="AJ31" i="76"/>
  <c r="BH29" i="76"/>
  <c r="AX27" i="76"/>
  <c r="AJ20" i="76"/>
  <c r="BK18" i="76"/>
  <c r="BI12" i="76"/>
  <c r="AW12" i="76"/>
  <c r="BJ9" i="76"/>
  <c r="AX9" i="76"/>
  <c r="AZ6" i="76"/>
  <c r="BJ4" i="76"/>
  <c r="AI4" i="76"/>
  <c r="AX3" i="76"/>
  <c r="AJ3" i="76"/>
  <c r="BI38" i="76"/>
  <c r="AJ35" i="76"/>
  <c r="AL33" i="76"/>
  <c r="BF29" i="76"/>
  <c r="AK28" i="76"/>
  <c r="AK27" i="76"/>
  <c r="AI26" i="76"/>
  <c r="AW26" i="76"/>
  <c r="AJ22" i="76"/>
  <c r="AI20" i="76"/>
  <c r="BI18" i="76"/>
  <c r="AJ18" i="76"/>
  <c r="AX16" i="76"/>
  <c r="AY11" i="76"/>
  <c r="AJ10" i="76"/>
  <c r="AX8" i="76"/>
  <c r="AY8" i="76"/>
  <c r="AX6" i="76"/>
  <c r="AW5" i="76"/>
  <c r="BE4" i="76"/>
  <c r="AW3" i="76"/>
  <c r="AI3" i="76"/>
  <c r="AJ38" i="76"/>
  <c r="AX38" i="76"/>
  <c r="AI30" i="76"/>
  <c r="AJ28" i="76"/>
  <c r="AL26" i="76"/>
  <c r="BE24" i="76"/>
  <c r="AJ23" i="76"/>
  <c r="BL21" i="76"/>
  <c r="AZ21" i="76"/>
  <c r="AL20" i="76"/>
  <c r="AW18" i="76"/>
  <c r="AX17" i="76"/>
  <c r="AK16" i="76"/>
  <c r="AW16" i="76"/>
  <c r="AI10" i="76"/>
  <c r="AJ7" i="76"/>
  <c r="AI39" i="76"/>
  <c r="AZ30" i="76"/>
  <c r="AI28" i="76"/>
  <c r="BG26" i="76"/>
  <c r="AY26" i="76"/>
  <c r="BJ21" i="76"/>
  <c r="AI21" i="76"/>
  <c r="AW21" i="76"/>
  <c r="AL18" i="76"/>
  <c r="AJ12" i="76"/>
  <c r="AL10" i="76"/>
  <c r="AI7" i="76"/>
  <c r="BK20" i="76"/>
  <c r="BJ15" i="76"/>
  <c r="AX15" i="76"/>
  <c r="AY14" i="76"/>
  <c r="AR8" i="76"/>
  <c r="AJ4" i="76"/>
  <c r="BH17" i="76"/>
  <c r="AK19" i="76"/>
  <c r="AZ41" i="76"/>
  <c r="AW38" i="76"/>
  <c r="AW36" i="76"/>
  <c r="BH27" i="76"/>
  <c r="AL27" i="76"/>
  <c r="BG22" i="76"/>
  <c r="BH19" i="76"/>
  <c r="AL19" i="76"/>
  <c r="AJ16" i="76"/>
  <c r="AW14" i="76"/>
  <c r="AW11" i="76"/>
  <c r="AY9" i="76"/>
  <c r="BG8" i="76"/>
  <c r="BI7" i="76"/>
  <c r="AY7" i="76"/>
  <c r="AY41" i="76"/>
  <c r="AY32" i="76"/>
  <c r="AL30" i="76"/>
  <c r="AZ25" i="76"/>
  <c r="AW7" i="76"/>
  <c r="AK41" i="76"/>
  <c r="AI40" i="76"/>
  <c r="AZ39" i="76"/>
  <c r="BL38" i="76"/>
  <c r="AK38" i="76"/>
  <c r="AK36" i="76"/>
  <c r="AZ34" i="76"/>
  <c r="AJ33" i="76"/>
  <c r="BL31" i="76"/>
  <c r="BI28" i="76"/>
  <c r="AY28" i="76"/>
  <c r="AI27" i="76"/>
  <c r="AX25" i="76"/>
  <c r="AX23" i="76"/>
  <c r="AW20" i="76"/>
  <c r="BL13" i="76"/>
  <c r="BL10" i="76"/>
  <c r="BI4" i="76"/>
  <c r="AZ4" i="76"/>
  <c r="AL4" i="76"/>
  <c r="AI41" i="76"/>
  <c r="AI37" i="76"/>
  <c r="BG32" i="76"/>
  <c r="BJ31" i="76"/>
  <c r="AZ31" i="76"/>
  <c r="AW28" i="76"/>
  <c r="BK26" i="76"/>
  <c r="AL25" i="76"/>
  <c r="AI24" i="76"/>
  <c r="AK22" i="76"/>
  <c r="AW17" i="76"/>
  <c r="AY15" i="76"/>
  <c r="AK14" i="76"/>
  <c r="AZ13" i="76"/>
  <c r="AX12" i="76"/>
  <c r="AK11" i="76"/>
  <c r="BJ10" i="76"/>
  <c r="BH4" i="76"/>
  <c r="BL40" i="76"/>
  <c r="AZ38" i="76"/>
  <c r="AL34" i="76"/>
  <c r="AY34" i="76"/>
  <c r="AY30" i="76"/>
  <c r="AZ29" i="76"/>
  <c r="AY24" i="76"/>
  <c r="AL24" i="76"/>
  <c r="AI23" i="76"/>
  <c r="AX21" i="76"/>
  <c r="AY18" i="76"/>
  <c r="AL17" i="76"/>
  <c r="BK16" i="76"/>
  <c r="AI16" i="76"/>
  <c r="BG15" i="76"/>
  <c r="AX13" i="76"/>
  <c r="BF12" i="76"/>
  <c r="BI10" i="76"/>
  <c r="AX10" i="76"/>
  <c r="AL8" i="76"/>
  <c r="AW4" i="76"/>
  <c r="AZ36" i="76"/>
  <c r="AK33" i="76"/>
  <c r="AX31" i="76"/>
  <c r="AJ27" i="76"/>
  <c r="AJ25" i="76"/>
  <c r="BI24" i="76"/>
  <c r="AL23" i="76"/>
  <c r="AI22" i="76"/>
  <c r="AJ19" i="76"/>
  <c r="BE17" i="76"/>
  <c r="AI15" i="76"/>
  <c r="AI14" i="76"/>
  <c r="AI11" i="76"/>
  <c r="BH10" i="76"/>
  <c r="AK9" i="76"/>
  <c r="AJ8" i="76"/>
  <c r="AI6" i="76"/>
  <c r="BK5" i="76"/>
  <c r="AL5" i="76"/>
  <c r="AX5" i="76"/>
  <c r="BL3" i="76"/>
  <c r="AL36" i="76"/>
  <c r="BG24" i="76"/>
  <c r="AX24" i="76"/>
  <c r="AK23" i="76"/>
  <c r="BK22" i="76"/>
  <c r="AZ22" i="76"/>
  <c r="AK20" i="76"/>
  <c r="AJ17" i="76"/>
  <c r="AL15" i="76"/>
  <c r="AZ14" i="76"/>
  <c r="AK13" i="76"/>
  <c r="AK12" i="76"/>
  <c r="AZ11" i="76"/>
  <c r="AW10" i="76"/>
  <c r="AZ8" i="76"/>
  <c r="BI5" i="76"/>
  <c r="AZ5" i="76"/>
  <c r="AI5" i="76"/>
  <c r="AI9" i="76"/>
  <c r="AK8" i="76"/>
  <c r="BH5" i="76"/>
  <c r="BL42" i="76"/>
  <c r="AK40" i="76"/>
  <c r="AW37" i="76"/>
  <c r="BE37" i="76"/>
  <c r="AL35" i="76"/>
  <c r="AY35" i="76"/>
  <c r="BG35" i="76"/>
  <c r="AX33" i="76"/>
  <c r="AZ32" i="76"/>
  <c r="BH32" i="76"/>
  <c r="AZ28" i="76"/>
  <c r="BH28" i="76"/>
  <c r="AW23" i="76"/>
  <c r="BE23" i="76"/>
  <c r="AW19" i="76"/>
  <c r="BE19" i="76"/>
  <c r="AY17" i="76"/>
  <c r="BG17" i="76"/>
  <c r="AY13" i="76"/>
  <c r="BG13" i="76"/>
  <c r="AK3" i="76"/>
  <c r="BK3" i="76"/>
  <c r="AW32" i="76"/>
  <c r="AI32" i="76"/>
  <c r="BG41" i="76"/>
  <c r="AJ40" i="76"/>
  <c r="AL39" i="76"/>
  <c r="AK35" i="76"/>
  <c r="AW33" i="76"/>
  <c r="AL32" i="76"/>
  <c r="AY10" i="76"/>
  <c r="BG10" i="76"/>
  <c r="AZ24" i="76"/>
  <c r="BH24" i="76"/>
  <c r="BJ42" i="76"/>
  <c r="BL39" i="76"/>
  <c r="AK39" i="76"/>
  <c r="AZ37" i="76"/>
  <c r="AI35" i="76"/>
  <c r="AJ34" i="76"/>
  <c r="AX34" i="76"/>
  <c r="BF34" i="76"/>
  <c r="AX32" i="76"/>
  <c r="BF32" i="76"/>
  <c r="AL28" i="76"/>
  <c r="AW27" i="76"/>
  <c r="BE27" i="76"/>
  <c r="AY25" i="76"/>
  <c r="BG25" i="76"/>
  <c r="AK21" i="76"/>
  <c r="AY21" i="76"/>
  <c r="BG21" i="76"/>
  <c r="AK17" i="76"/>
  <c r="AX14" i="76"/>
  <c r="BF14" i="76"/>
  <c r="AK10" i="76"/>
  <c r="AY6" i="76"/>
  <c r="BG6" i="76"/>
  <c r="AX26" i="76"/>
  <c r="BF26" i="76"/>
  <c r="AY4" i="76"/>
  <c r="BG4" i="76"/>
  <c r="BI42" i="76"/>
  <c r="AJ42" i="76"/>
  <c r="BE41" i="76"/>
  <c r="AW41" i="76"/>
  <c r="BI40" i="76"/>
  <c r="AY40" i="76"/>
  <c r="BE38" i="76"/>
  <c r="AX37" i="76"/>
  <c r="BH36" i="76"/>
  <c r="AJ32" i="76"/>
  <c r="AI31" i="76"/>
  <c r="AW31" i="76"/>
  <c r="BE31" i="76"/>
  <c r="AJ14" i="76"/>
  <c r="AK6" i="76"/>
  <c r="AS8" i="76"/>
  <c r="AJ26" i="76"/>
  <c r="AK4" i="76"/>
  <c r="BH42" i="76"/>
  <c r="AW39" i="76"/>
  <c r="BE39" i="76"/>
  <c r="BJ35" i="76"/>
  <c r="AZ35" i="76"/>
  <c r="BL33" i="76"/>
  <c r="AI33" i="76"/>
  <c r="AK29" i="76"/>
  <c r="AY29" i="76"/>
  <c r="BG29" i="76"/>
  <c r="AK25" i="76"/>
  <c r="AX22" i="76"/>
  <c r="BF22" i="76"/>
  <c r="AZ12" i="76"/>
  <c r="BH12" i="76"/>
  <c r="AX11" i="76"/>
  <c r="BF11" i="76"/>
  <c r="AI8" i="76"/>
  <c r="AW8" i="76"/>
  <c r="BE8" i="76"/>
  <c r="AX18" i="76"/>
  <c r="BF18" i="76"/>
  <c r="AZ16" i="76"/>
  <c r="BH16" i="76"/>
  <c r="AJ11" i="76"/>
  <c r="AZ7" i="76"/>
  <c r="BH7" i="76"/>
  <c r="AJ5" i="76"/>
  <c r="BJ5" i="76"/>
  <c r="BJ33" i="76"/>
  <c r="AK31" i="76"/>
  <c r="BK31" i="76"/>
  <c r="AZ40" i="76"/>
  <c r="BH40" i="76"/>
  <c r="AY37" i="76"/>
  <c r="BG37" i="76"/>
  <c r="BE36" i="76"/>
  <c r="AZ33" i="76"/>
  <c r="AX30" i="76"/>
  <c r="BF30" i="76"/>
  <c r="AZ20" i="76"/>
  <c r="BH20" i="76"/>
  <c r="AL16" i="76"/>
  <c r="AW15" i="76"/>
  <c r="BE15" i="76"/>
  <c r="AL12" i="76"/>
  <c r="AZ9" i="76"/>
  <c r="BH9" i="76"/>
  <c r="AL7" i="76"/>
  <c r="AY3" i="76"/>
  <c r="BF5" i="76"/>
  <c r="AX28" i="76"/>
  <c r="AZ26" i="76"/>
  <c r="AW25" i="76"/>
  <c r="AY23" i="76"/>
  <c r="AX20" i="76"/>
  <c r="AZ18" i="76"/>
  <c r="BF9" i="76"/>
  <c r="AX7" i="76"/>
  <c r="AW6" i="76"/>
  <c r="AK30" i="76"/>
  <c r="AL6" i="76"/>
  <c r="AK5" i="76"/>
  <c r="BH30" i="76"/>
  <c r="BE29" i="76"/>
  <c r="BJ28" i="76"/>
  <c r="BG27" i="76"/>
  <c r="BL26" i="76"/>
  <c r="BI25" i="76"/>
  <c r="BF24" i="76"/>
  <c r="BK23" i="76"/>
  <c r="BH22" i="76"/>
  <c r="BE21" i="76"/>
  <c r="BJ20" i="76"/>
  <c r="BG19" i="76"/>
  <c r="BL18" i="76"/>
  <c r="BI17" i="76"/>
  <c r="BF16" i="76"/>
  <c r="BK15" i="76"/>
  <c r="BH14" i="76"/>
  <c r="BE13" i="76"/>
  <c r="BJ12" i="76"/>
  <c r="BH11" i="76"/>
  <c r="BE10" i="76"/>
  <c r="AI63" i="76"/>
  <c r="AI71" i="76"/>
  <c r="AJ67" i="76"/>
  <c r="AJ68" i="76"/>
  <c r="AJ69" i="76"/>
  <c r="AJ70" i="76"/>
  <c r="AJ71" i="76"/>
  <c r="AI72" i="76"/>
  <c r="AI73" i="76"/>
  <c r="AI74" i="76"/>
  <c r="AI75" i="76"/>
  <c r="AI76" i="76"/>
  <c r="AI77" i="76"/>
  <c r="AI78" i="76"/>
  <c r="AI79" i="76"/>
  <c r="AI80" i="76"/>
  <c r="AK71" i="76"/>
  <c r="AJ72" i="76"/>
  <c r="AJ73" i="76"/>
  <c r="AJ74" i="76"/>
  <c r="AJ75" i="76"/>
  <c r="AJ76" i="76"/>
  <c r="AJ77" i="76"/>
  <c r="AJ78" i="76"/>
  <c r="AJ79" i="76"/>
  <c r="AJ80" i="76"/>
  <c r="AJ81" i="76"/>
  <c r="AI82" i="76"/>
  <c r="AI83" i="76"/>
  <c r="AI84" i="76"/>
  <c r="AI85" i="76"/>
  <c r="AI86" i="76"/>
  <c r="AI87" i="76"/>
  <c r="AI88" i="76"/>
  <c r="AJ108" i="76"/>
  <c r="AJ109" i="76"/>
  <c r="AJ110" i="76"/>
  <c r="AJ111" i="76"/>
  <c r="AJ112" i="76"/>
  <c r="AJ113" i="76"/>
  <c r="AI114" i="76"/>
  <c r="AI115" i="76"/>
  <c r="AI116" i="76"/>
  <c r="AI117" i="76"/>
  <c r="AI118" i="76"/>
  <c r="AI44" i="76"/>
  <c r="AJ117" i="76"/>
  <c r="AJ118" i="76"/>
  <c r="AJ119" i="76"/>
  <c r="AI120" i="76"/>
  <c r="AJ43" i="76"/>
  <c r="AJ44" i="76"/>
  <c r="AJ45" i="76"/>
  <c r="AI46" i="76"/>
  <c r="AI47" i="76"/>
  <c r="AI48" i="76"/>
  <c r="AI49" i="76"/>
  <c r="AI50" i="76"/>
  <c r="AI51" i="76"/>
  <c r="AI52" i="76"/>
  <c r="AI53" i="76"/>
  <c r="AI54" i="76"/>
  <c r="AI55" i="76"/>
  <c r="AI56" i="76"/>
  <c r="AI57" i="76"/>
  <c r="AI58" i="76"/>
  <c r="AI59" i="76"/>
  <c r="AI60" i="76"/>
  <c r="AI61" i="76"/>
  <c r="AI62" i="76"/>
  <c r="AL94" i="76"/>
  <c r="AL95" i="76"/>
  <c r="AL96" i="76"/>
  <c r="AL97" i="76"/>
  <c r="AL98" i="76"/>
  <c r="AL99" i="76"/>
  <c r="AL100" i="76"/>
  <c r="AL101" i="76"/>
  <c r="AL102" i="76"/>
  <c r="AL103" i="76"/>
  <c r="AL104" i="76"/>
  <c r="AL105" i="76"/>
  <c r="AL106" i="76"/>
  <c r="AL107" i="76"/>
  <c r="AL108" i="76"/>
  <c r="AL109" i="76"/>
  <c r="AL110" i="76"/>
  <c r="AL111" i="76"/>
  <c r="AL112" i="76"/>
  <c r="AL113" i="76"/>
  <c r="AK114" i="76"/>
  <c r="AK115" i="76"/>
  <c r="AK116" i="76"/>
  <c r="AK117" i="76"/>
  <c r="AK118" i="76"/>
  <c r="AK119" i="76"/>
  <c r="AJ120" i="76"/>
  <c r="AK43" i="76"/>
  <c r="AK44" i="76"/>
  <c r="AK45" i="76"/>
  <c r="AJ46" i="76"/>
  <c r="AJ47" i="76"/>
  <c r="AJ48" i="76"/>
  <c r="AJ49" i="76"/>
  <c r="AJ50" i="76"/>
  <c r="AJ51" i="76"/>
  <c r="AJ52" i="76"/>
  <c r="AJ53" i="76"/>
  <c r="AJ54" i="76"/>
  <c r="AJ55" i="76"/>
  <c r="AJ56" i="76"/>
  <c r="AJ57" i="76"/>
  <c r="AJ58" i="76"/>
  <c r="AJ59" i="76"/>
  <c r="AJ60" i="76"/>
  <c r="AJ61" i="76"/>
  <c r="AJ62" i="76"/>
  <c r="AJ63" i="76"/>
  <c r="AI64" i="76"/>
  <c r="AI65" i="76"/>
  <c r="AI66" i="76"/>
  <c r="AI67" i="76"/>
  <c r="AI68" i="76"/>
  <c r="AI69" i="76"/>
  <c r="AI70" i="76"/>
  <c r="AL114" i="76"/>
  <c r="AL115" i="76"/>
  <c r="AL116" i="76"/>
  <c r="AL117" i="76"/>
  <c r="AL118" i="76"/>
  <c r="AL119" i="76"/>
  <c r="AK120" i="76"/>
  <c r="AV43" i="76"/>
  <c r="AV44" i="76" s="1"/>
  <c r="AV45" i="76" s="1"/>
  <c r="AV46" i="76" s="1"/>
  <c r="AV47" i="76" s="1"/>
  <c r="AV48" i="76" s="1"/>
  <c r="AV49" i="76" s="1"/>
  <c r="AV50" i="76" s="1"/>
  <c r="AV51" i="76" s="1"/>
  <c r="AV52" i="76" s="1"/>
  <c r="AV53" i="76" s="1"/>
  <c r="AV54" i="76" s="1"/>
  <c r="AV55" i="76" s="1"/>
  <c r="AV56" i="76" s="1"/>
  <c r="AV57" i="76" s="1"/>
  <c r="AV58" i="76" s="1"/>
  <c r="AV59" i="76" s="1"/>
  <c r="AV60" i="76" s="1"/>
  <c r="AV61" i="76" s="1"/>
  <c r="AV62" i="76" s="1"/>
  <c r="AV63" i="76" s="1"/>
  <c r="AV64" i="76" s="1"/>
  <c r="AV65" i="76" s="1"/>
  <c r="AV66" i="76" s="1"/>
  <c r="AV67" i="76" s="1"/>
  <c r="AV68" i="76" s="1"/>
  <c r="AV69" i="76" s="1"/>
  <c r="AV70" i="76" s="1"/>
  <c r="AV71" i="76" s="1"/>
  <c r="AV72" i="76" s="1"/>
  <c r="AV73" i="76" s="1"/>
  <c r="AV74" i="76" s="1"/>
  <c r="AV75" i="76" s="1"/>
  <c r="AV76" i="76" s="1"/>
  <c r="AV77" i="76" s="1"/>
  <c r="AV78" i="76" s="1"/>
  <c r="AV79" i="76" s="1"/>
  <c r="AV80" i="76" s="1"/>
  <c r="AV81" i="76" s="1"/>
  <c r="AV82" i="76" s="1"/>
  <c r="AV83" i="76" s="1"/>
  <c r="AV84" i="76" s="1"/>
  <c r="AV85" i="76" s="1"/>
  <c r="AV86" i="76" s="1"/>
  <c r="AV87" i="76" s="1"/>
  <c r="AV88" i="76" s="1"/>
  <c r="AV89" i="76" s="1"/>
  <c r="AV90" i="76" s="1"/>
  <c r="AV91" i="76" s="1"/>
  <c r="AV92" i="76" s="1"/>
  <c r="AV93" i="76" s="1"/>
  <c r="AV94" i="76" s="1"/>
  <c r="AV95" i="76" s="1"/>
  <c r="AV96" i="76" s="1"/>
  <c r="AV97" i="76" s="1"/>
  <c r="AV98" i="76" s="1"/>
  <c r="AV99" i="76" s="1"/>
  <c r="AV100" i="76" s="1"/>
  <c r="AV101" i="76" s="1"/>
  <c r="AV102" i="76" s="1"/>
  <c r="AV103" i="76" s="1"/>
  <c r="AV104" i="76" s="1"/>
  <c r="AV105" i="76" s="1"/>
  <c r="AV106" i="76" s="1"/>
  <c r="AV107" i="76" s="1"/>
  <c r="AV108" i="76" s="1"/>
  <c r="AV109" i="76" s="1"/>
  <c r="AV110" i="76" s="1"/>
  <c r="AV111" i="76" s="1"/>
  <c r="AV112" i="76" s="1"/>
  <c r="AV113" i="76" s="1"/>
  <c r="AV114" i="76" s="1"/>
  <c r="AV115" i="76" s="1"/>
  <c r="AV116" i="76" s="1"/>
  <c r="AV117" i="76" s="1"/>
  <c r="AV118" i="76" s="1"/>
  <c r="AV119" i="76" s="1"/>
  <c r="AV120" i="76" s="1"/>
  <c r="BD120" i="76"/>
  <c r="BC120" i="76"/>
  <c r="BB120" i="76"/>
  <c r="BA120" i="76"/>
  <c r="BL120" i="76"/>
  <c r="BK120" i="76"/>
  <c r="BJ120" i="76"/>
  <c r="BI120" i="76"/>
  <c r="BH120" i="76"/>
  <c r="BG120" i="76"/>
  <c r="BE120" i="76"/>
  <c r="BL119" i="76"/>
  <c r="BD119" i="76"/>
  <c r="BC119" i="76"/>
  <c r="BB119" i="76"/>
  <c r="BA119" i="76"/>
  <c r="BK119" i="76"/>
  <c r="BJ119" i="76"/>
  <c r="BI119" i="76"/>
  <c r="BH119" i="76"/>
  <c r="BG119" i="76"/>
  <c r="BE119" i="76"/>
  <c r="BD118" i="76"/>
  <c r="BC118" i="76"/>
  <c r="BB118" i="76"/>
  <c r="BA118" i="76"/>
  <c r="BL118" i="76"/>
  <c r="AY118" i="76"/>
  <c r="BI118" i="76"/>
  <c r="BG118" i="76"/>
  <c r="BF118" i="76"/>
  <c r="BF117" i="76"/>
  <c r="BD117" i="76"/>
  <c r="BC117" i="76"/>
  <c r="BB117" i="76"/>
  <c r="BA117" i="76"/>
  <c r="BK117" i="76"/>
  <c r="BI117" i="76"/>
  <c r="BH117" i="76"/>
  <c r="BH116" i="76"/>
  <c r="BD116" i="76"/>
  <c r="BC116" i="76"/>
  <c r="BB116" i="76"/>
  <c r="BA116" i="76"/>
  <c r="BL116" i="76"/>
  <c r="BK116" i="76"/>
  <c r="BJ116" i="76"/>
  <c r="AZ116" i="76"/>
  <c r="BG116" i="76"/>
  <c r="BF116" i="76"/>
  <c r="BE116" i="76"/>
  <c r="BD115" i="76"/>
  <c r="BC115" i="76"/>
  <c r="BB115" i="76"/>
  <c r="BA115" i="76"/>
  <c r="BL115" i="76"/>
  <c r="BK115" i="76"/>
  <c r="BJ115" i="76"/>
  <c r="BH115" i="76"/>
  <c r="BG115" i="76"/>
  <c r="BF115" i="76"/>
  <c r="BE115" i="76"/>
  <c r="BD114" i="76"/>
  <c r="BC114" i="76"/>
  <c r="BB114" i="76"/>
  <c r="BA114" i="76"/>
  <c r="BL114" i="76"/>
  <c r="BK114" i="76"/>
  <c r="BI114" i="76"/>
  <c r="BH114" i="76"/>
  <c r="AY114" i="76"/>
  <c r="BF114" i="76"/>
  <c r="BD113" i="76"/>
  <c r="BC113" i="76"/>
  <c r="BB113" i="76"/>
  <c r="BA113" i="76"/>
  <c r="BK113" i="76"/>
  <c r="BJ113" i="76"/>
  <c r="BI113" i="76"/>
  <c r="BH113" i="76"/>
  <c r="BF113" i="76"/>
  <c r="BE113" i="76"/>
  <c r="BH112" i="76"/>
  <c r="BD112" i="76"/>
  <c r="BC112" i="76"/>
  <c r="BB112" i="76"/>
  <c r="BA112" i="76"/>
  <c r="AZ112" i="76"/>
  <c r="BL112" i="76"/>
  <c r="BK112" i="76"/>
  <c r="BJ112" i="76"/>
  <c r="BG112" i="76"/>
  <c r="BF112" i="76"/>
  <c r="BE112" i="76"/>
  <c r="BD111" i="76"/>
  <c r="BC111" i="76"/>
  <c r="BB111" i="76"/>
  <c r="BA111" i="76"/>
  <c r="BL111" i="76"/>
  <c r="BK111" i="76"/>
  <c r="BJ111" i="76"/>
  <c r="AW111" i="76"/>
  <c r="AZ111" i="76"/>
  <c r="AY111" i="76"/>
  <c r="BF111" i="76"/>
  <c r="BE111" i="76"/>
  <c r="BD110" i="76"/>
  <c r="BC110" i="76"/>
  <c r="BB110" i="76"/>
  <c r="BA110" i="76"/>
  <c r="BL110" i="76"/>
  <c r="BK110" i="76"/>
  <c r="BI110" i="76"/>
  <c r="AY110" i="76"/>
  <c r="BF110" i="76"/>
  <c r="BD109" i="76"/>
  <c r="BC109" i="76"/>
  <c r="BB109" i="76"/>
  <c r="BA109" i="76"/>
  <c r="BK109" i="76"/>
  <c r="BJ109" i="76"/>
  <c r="BI109" i="76"/>
  <c r="BH109" i="76"/>
  <c r="BF109" i="76"/>
  <c r="BE109" i="76"/>
  <c r="BD108" i="76"/>
  <c r="BC108" i="76"/>
  <c r="BB108" i="76"/>
  <c r="BA108" i="76"/>
  <c r="BL108" i="76"/>
  <c r="BK108" i="76"/>
  <c r="BJ108" i="76"/>
  <c r="BI108" i="76"/>
  <c r="BF108" i="76"/>
  <c r="BE108" i="76"/>
  <c r="BD107" i="76"/>
  <c r="BC107" i="76"/>
  <c r="BB107" i="76"/>
  <c r="BA107" i="76"/>
  <c r="BL107" i="76"/>
  <c r="BK107" i="76"/>
  <c r="BJ107" i="76"/>
  <c r="BI107" i="76"/>
  <c r="BH107" i="76"/>
  <c r="BG107" i="76"/>
  <c r="BF107" i="76"/>
  <c r="AW107" i="76"/>
  <c r="BD106" i="76"/>
  <c r="BC106" i="76"/>
  <c r="BB106" i="76"/>
  <c r="BA106" i="76"/>
  <c r="BL106" i="76"/>
  <c r="BK106" i="76"/>
  <c r="AX106" i="76"/>
  <c r="BI106" i="76"/>
  <c r="AZ106" i="76"/>
  <c r="BF106" i="76"/>
  <c r="BD105" i="76"/>
  <c r="BC105" i="76"/>
  <c r="BB105" i="76"/>
  <c r="BA105" i="76"/>
  <c r="BK105" i="76"/>
  <c r="BI105" i="76"/>
  <c r="BH105" i="76"/>
  <c r="BF105" i="76"/>
  <c r="BD104" i="76"/>
  <c r="BC104" i="76"/>
  <c r="BB104" i="76"/>
  <c r="BA104" i="76"/>
  <c r="BL104" i="76"/>
  <c r="BK104" i="76"/>
  <c r="BJ104" i="76"/>
  <c r="BI104" i="76"/>
  <c r="BH104" i="76"/>
  <c r="BG104" i="76"/>
  <c r="AW104" i="76"/>
  <c r="BD103" i="76"/>
  <c r="BC103" i="76"/>
  <c r="BB103" i="76"/>
  <c r="BA103" i="76"/>
  <c r="BL103" i="76"/>
  <c r="BK103" i="76"/>
  <c r="BJ103" i="76"/>
  <c r="BI103" i="76"/>
  <c r="BH103" i="76"/>
  <c r="BG103" i="76"/>
  <c r="BF103" i="76"/>
  <c r="AW103" i="76"/>
  <c r="BG102" i="76"/>
  <c r="BF102" i="76"/>
  <c r="BD102" i="76"/>
  <c r="BC102" i="76"/>
  <c r="BB102" i="76"/>
  <c r="BA102" i="76"/>
  <c r="BL102" i="76"/>
  <c r="BI102" i="76"/>
  <c r="BH102" i="76"/>
  <c r="BD101" i="76"/>
  <c r="BC101" i="76"/>
  <c r="BB101" i="76"/>
  <c r="BA101" i="76"/>
  <c r="BL101" i="76"/>
  <c r="BK101" i="76"/>
  <c r="AX101" i="76"/>
  <c r="BI101" i="76"/>
  <c r="BH101" i="76"/>
  <c r="BF101" i="76"/>
  <c r="BE101" i="76"/>
  <c r="BD100" i="76"/>
  <c r="BC100" i="76"/>
  <c r="BB100" i="76"/>
  <c r="BA100" i="76"/>
  <c r="AX100" i="76"/>
  <c r="BL100" i="76"/>
  <c r="BK100" i="76"/>
  <c r="BJ100" i="76"/>
  <c r="BH100" i="76"/>
  <c r="BG100" i="76"/>
  <c r="BF100" i="76"/>
  <c r="BE100" i="76"/>
  <c r="BD99" i="76"/>
  <c r="BC99" i="76"/>
  <c r="BB99" i="76"/>
  <c r="BA99" i="76"/>
  <c r="BL99" i="76"/>
  <c r="BK99" i="76"/>
  <c r="BJ99" i="76"/>
  <c r="AW99" i="76"/>
  <c r="BH99" i="76"/>
  <c r="BG99" i="76"/>
  <c r="BF99" i="76"/>
  <c r="BE99" i="76"/>
  <c r="BD98" i="76"/>
  <c r="BC98" i="76"/>
  <c r="BB98" i="76"/>
  <c r="BA98" i="76"/>
  <c r="BL98" i="76"/>
  <c r="BK98" i="76"/>
  <c r="BJ98" i="76"/>
  <c r="BI98" i="76"/>
  <c r="AZ98" i="76"/>
  <c r="BG98" i="76"/>
  <c r="BF98" i="76"/>
  <c r="BD97" i="76"/>
  <c r="BC97" i="76"/>
  <c r="BB97" i="76"/>
  <c r="BA97" i="76"/>
  <c r="BL97" i="76"/>
  <c r="BK97" i="76"/>
  <c r="BJ97" i="76"/>
  <c r="BI97" i="76"/>
  <c r="BH97" i="76"/>
  <c r="AX97" i="76"/>
  <c r="BE96" i="76"/>
  <c r="BD96" i="76"/>
  <c r="BC96" i="76"/>
  <c r="BB96" i="76"/>
  <c r="BA96" i="76"/>
  <c r="BL96" i="76"/>
  <c r="BK96" i="76"/>
  <c r="BJ96" i="76"/>
  <c r="BH96" i="76"/>
  <c r="AY96" i="76"/>
  <c r="BF96" i="76"/>
  <c r="BD95" i="76"/>
  <c r="BC95" i="76"/>
  <c r="BB95" i="76"/>
  <c r="BA95" i="76"/>
  <c r="BL95" i="76"/>
  <c r="BK95" i="76"/>
  <c r="BJ95" i="76"/>
  <c r="BG95" i="76"/>
  <c r="BF95" i="76"/>
  <c r="BE95" i="76"/>
  <c r="BH94" i="76"/>
  <c r="BG94" i="76"/>
  <c r="BD94" i="76"/>
  <c r="BC94" i="76"/>
  <c r="BB94" i="76"/>
  <c r="BA94" i="76"/>
  <c r="BL94" i="76"/>
  <c r="BK94" i="76"/>
  <c r="BJ94" i="76"/>
  <c r="BI94" i="76"/>
  <c r="BF94" i="76"/>
  <c r="BD93" i="76"/>
  <c r="BC93" i="76"/>
  <c r="BB93" i="76"/>
  <c r="BA93" i="76"/>
  <c r="BL93" i="76"/>
  <c r="BK93" i="76"/>
  <c r="BJ93" i="76"/>
  <c r="BI93" i="76"/>
  <c r="BH93" i="76"/>
  <c r="AX93" i="76"/>
  <c r="BE93" i="76"/>
  <c r="BD92" i="76"/>
  <c r="BC92" i="76"/>
  <c r="BB92" i="76"/>
  <c r="BA92" i="76"/>
  <c r="BL92" i="76"/>
  <c r="BJ92" i="76"/>
  <c r="BI92" i="76"/>
  <c r="BH92" i="76"/>
  <c r="BG92" i="76"/>
  <c r="AW92" i="76"/>
  <c r="BD91" i="76"/>
  <c r="BC91" i="76"/>
  <c r="BB91" i="76"/>
  <c r="BA91" i="76"/>
  <c r="BL91" i="76"/>
  <c r="BK91" i="76"/>
  <c r="BJ91" i="76"/>
  <c r="BI91" i="76"/>
  <c r="BH91" i="76"/>
  <c r="BG91" i="76"/>
  <c r="BF91" i="76"/>
  <c r="BE91" i="76"/>
  <c r="BD90" i="76"/>
  <c r="BC90" i="76"/>
  <c r="BB90" i="76"/>
  <c r="BA90" i="76"/>
  <c r="AZ90" i="76"/>
  <c r="BL90" i="76"/>
  <c r="BK90" i="76"/>
  <c r="BJ90" i="76"/>
  <c r="BI90" i="76"/>
  <c r="BH90" i="76"/>
  <c r="BG90" i="76"/>
  <c r="BF90" i="76"/>
  <c r="BD89" i="76"/>
  <c r="BC89" i="76"/>
  <c r="BB89" i="76"/>
  <c r="BA89" i="76"/>
  <c r="BL89" i="76"/>
  <c r="BK89" i="76"/>
  <c r="BJ89" i="76"/>
  <c r="BI89" i="76"/>
  <c r="BH89" i="76"/>
  <c r="BF89" i="76"/>
  <c r="BE89" i="76"/>
  <c r="BD88" i="76"/>
  <c r="BC88" i="76"/>
  <c r="BB88" i="76"/>
  <c r="BA88" i="76"/>
  <c r="BL88" i="76"/>
  <c r="BK88" i="76"/>
  <c r="BJ88" i="76"/>
  <c r="BI88" i="76"/>
  <c r="BG88" i="76"/>
  <c r="BE88" i="76"/>
  <c r="BD87" i="76"/>
  <c r="BC87" i="76"/>
  <c r="BB87" i="76"/>
  <c r="BA87" i="76"/>
  <c r="BL87" i="76"/>
  <c r="BK87" i="76"/>
  <c r="BJ87" i="76"/>
  <c r="BI87" i="76"/>
  <c r="BH87" i="76"/>
  <c r="BE87" i="76"/>
  <c r="BL86" i="76"/>
  <c r="BD86" i="76"/>
  <c r="BC86" i="76"/>
  <c r="BB86" i="76"/>
  <c r="BA86" i="76"/>
  <c r="BJ86" i="76"/>
  <c r="BI86" i="76"/>
  <c r="BG86" i="76"/>
  <c r="BF86" i="76"/>
  <c r="BD85" i="76"/>
  <c r="BC85" i="76"/>
  <c r="BB85" i="76"/>
  <c r="BA85" i="76"/>
  <c r="BL85" i="76"/>
  <c r="BK85" i="76"/>
  <c r="BI85" i="76"/>
  <c r="BH85" i="76"/>
  <c r="BF85" i="76"/>
  <c r="BE85" i="76"/>
  <c r="BK84" i="76"/>
  <c r="BD84" i="76"/>
  <c r="BC84" i="76"/>
  <c r="BB84" i="76"/>
  <c r="BA84" i="76"/>
  <c r="AX84" i="76"/>
  <c r="BL84" i="76"/>
  <c r="BJ84" i="76"/>
  <c r="BH84" i="76"/>
  <c r="AY84" i="76"/>
  <c r="BF84" i="76"/>
  <c r="BE84" i="76"/>
  <c r="BH83" i="76"/>
  <c r="BD83" i="76"/>
  <c r="BC83" i="76"/>
  <c r="BB83" i="76"/>
  <c r="BA83" i="76"/>
  <c r="BL83" i="76"/>
  <c r="BK83" i="76"/>
  <c r="BJ83" i="76"/>
  <c r="BG83" i="76"/>
  <c r="BF83" i="76"/>
  <c r="BE83" i="76"/>
  <c r="BD82" i="76"/>
  <c r="BC82" i="76"/>
  <c r="BB82" i="76"/>
  <c r="BA82" i="76"/>
  <c r="BL82" i="76"/>
  <c r="BK82" i="76"/>
  <c r="BJ82" i="76"/>
  <c r="BI82" i="76"/>
  <c r="AZ82" i="76"/>
  <c r="BG82" i="76"/>
  <c r="BF82" i="76"/>
  <c r="BD81" i="76"/>
  <c r="BC81" i="76"/>
  <c r="BB81" i="76"/>
  <c r="BA81" i="76"/>
  <c r="BL81" i="76"/>
  <c r="BK81" i="76"/>
  <c r="BJ81" i="76"/>
  <c r="BI81" i="76"/>
  <c r="BH81" i="76"/>
  <c r="AW81" i="76"/>
  <c r="BG80" i="76"/>
  <c r="BD80" i="76"/>
  <c r="BC80" i="76"/>
  <c r="BB80" i="76"/>
  <c r="BA80" i="76"/>
  <c r="BL80" i="76"/>
  <c r="BK80" i="76"/>
  <c r="BJ80" i="76"/>
  <c r="BH80" i="76"/>
  <c r="BF80" i="76"/>
  <c r="BE80" i="76"/>
  <c r="BD79" i="76"/>
  <c r="BC79" i="76"/>
  <c r="BB79" i="76"/>
  <c r="BA79" i="76"/>
  <c r="BL79" i="76"/>
  <c r="BK79" i="76"/>
  <c r="BJ79" i="76"/>
  <c r="BH79" i="76"/>
  <c r="BG79" i="76"/>
  <c r="BF79" i="76"/>
  <c r="BE79" i="76"/>
  <c r="BH78" i="76"/>
  <c r="BD78" i="76"/>
  <c r="BC78" i="76"/>
  <c r="BB78" i="76"/>
  <c r="BA78" i="76"/>
  <c r="BL78" i="76"/>
  <c r="BK78" i="76"/>
  <c r="BJ78" i="76"/>
  <c r="BI78" i="76"/>
  <c r="AZ78" i="76"/>
  <c r="BG78" i="76"/>
  <c r="BF78" i="76"/>
  <c r="BD77" i="76"/>
  <c r="BC77" i="76"/>
  <c r="BB77" i="76"/>
  <c r="BA77" i="76"/>
  <c r="BK77" i="76"/>
  <c r="BJ77" i="76"/>
  <c r="BI77" i="76"/>
  <c r="BH77" i="76"/>
  <c r="BF77" i="76"/>
  <c r="BE77" i="76"/>
  <c r="BF76" i="76"/>
  <c r="BD76" i="76"/>
  <c r="BC76" i="76"/>
  <c r="BB76" i="76"/>
  <c r="BA76" i="76"/>
  <c r="AZ76" i="76"/>
  <c r="BK76" i="76"/>
  <c r="BJ76" i="76"/>
  <c r="BI76" i="76"/>
  <c r="BH76" i="76"/>
  <c r="AX76" i="76"/>
  <c r="BD75" i="76"/>
  <c r="BC75" i="76"/>
  <c r="BB75" i="76"/>
  <c r="BA75" i="76"/>
  <c r="BL75" i="76"/>
  <c r="BK75" i="76"/>
  <c r="BJ75" i="76"/>
  <c r="BI75" i="76"/>
  <c r="BH75" i="76"/>
  <c r="BF75" i="76"/>
  <c r="AW75" i="76"/>
  <c r="BI74" i="76"/>
  <c r="BG74" i="76"/>
  <c r="BD74" i="76"/>
  <c r="BC74" i="76"/>
  <c r="BB74" i="76"/>
  <c r="BA74" i="76"/>
  <c r="BL74" i="76"/>
  <c r="BK74" i="76"/>
  <c r="BJ74" i="76"/>
  <c r="BF74" i="76"/>
  <c r="BI73" i="76"/>
  <c r="BD73" i="76"/>
  <c r="BC73" i="76"/>
  <c r="BB73" i="76"/>
  <c r="BA73" i="76"/>
  <c r="AZ73" i="76"/>
  <c r="BK73" i="76"/>
  <c r="BJ73" i="76"/>
  <c r="BH73" i="76"/>
  <c r="BE73" i="76"/>
  <c r="BD72" i="76"/>
  <c r="BC72" i="76"/>
  <c r="BB72" i="76"/>
  <c r="BA72" i="76"/>
  <c r="BK72" i="76"/>
  <c r="BJ72" i="76"/>
  <c r="BI72" i="76"/>
  <c r="BH72" i="76"/>
  <c r="BF72" i="76"/>
  <c r="BE72" i="76"/>
  <c r="BD71" i="76"/>
  <c r="BC71" i="76"/>
  <c r="BB71" i="76"/>
  <c r="BA71" i="76"/>
  <c r="BL71" i="76"/>
  <c r="BK71" i="76"/>
  <c r="BJ71" i="76"/>
  <c r="BI71" i="76"/>
  <c r="BH71" i="76"/>
  <c r="BG71" i="76"/>
  <c r="BF71" i="76"/>
  <c r="BD70" i="76"/>
  <c r="BC70" i="76"/>
  <c r="BB70" i="76"/>
  <c r="BA70" i="76"/>
  <c r="BL70" i="76"/>
  <c r="BK70" i="76"/>
  <c r="BI70" i="76"/>
  <c r="BH70" i="76"/>
  <c r="BG70" i="76"/>
  <c r="BF70" i="76"/>
  <c r="BE70" i="76"/>
  <c r="BD69" i="76"/>
  <c r="BC69" i="76"/>
  <c r="BB69" i="76"/>
  <c r="BA69" i="76"/>
  <c r="BK69" i="76"/>
  <c r="BI69" i="76"/>
  <c r="BH69" i="76"/>
  <c r="BG69" i="76"/>
  <c r="BF69" i="76"/>
  <c r="BK68" i="76"/>
  <c r="BH68" i="76"/>
  <c r="BD68" i="76"/>
  <c r="BC68" i="76"/>
  <c r="BB68" i="76"/>
  <c r="BA68" i="76"/>
  <c r="AZ68" i="76"/>
  <c r="BJ68" i="76"/>
  <c r="BI68" i="76"/>
  <c r="BF68" i="76"/>
  <c r="AW68" i="76"/>
  <c r="BL67" i="76"/>
  <c r="BD67" i="76"/>
  <c r="BC67" i="76"/>
  <c r="BB67" i="76"/>
  <c r="BA67" i="76"/>
  <c r="BK67" i="76"/>
  <c r="BJ67" i="76"/>
  <c r="BI67" i="76"/>
  <c r="AZ67" i="76"/>
  <c r="BG67" i="76"/>
  <c r="BF67" i="76"/>
  <c r="AW67" i="76"/>
  <c r="BD66" i="76"/>
  <c r="BC66" i="76"/>
  <c r="BB66" i="76"/>
  <c r="BA66" i="76"/>
  <c r="BL66" i="76"/>
  <c r="BK66" i="76"/>
  <c r="BJ66" i="76"/>
  <c r="BI66" i="76"/>
  <c r="BF66" i="76"/>
  <c r="BL65" i="76"/>
  <c r="BD65" i="76"/>
  <c r="BC65" i="76"/>
  <c r="BB65" i="76"/>
  <c r="BA65" i="76"/>
  <c r="BK65" i="76"/>
  <c r="BI65" i="76"/>
  <c r="BF65" i="76"/>
  <c r="BH64" i="76"/>
  <c r="BD64" i="76"/>
  <c r="BC64" i="76"/>
  <c r="BB64" i="76"/>
  <c r="BA64" i="76"/>
  <c r="BL64" i="76"/>
  <c r="BK64" i="76"/>
  <c r="BJ64" i="76"/>
  <c r="BI64" i="76"/>
  <c r="BE64" i="76"/>
  <c r="BD63" i="76"/>
  <c r="BC63" i="76"/>
  <c r="BB63" i="76"/>
  <c r="BA63" i="76"/>
  <c r="BL63" i="76"/>
  <c r="BK63" i="76"/>
  <c r="BJ63" i="76"/>
  <c r="BI63" i="76"/>
  <c r="AZ63" i="76"/>
  <c r="AY63" i="76"/>
  <c r="AW63" i="76"/>
  <c r="BH62" i="76"/>
  <c r="BD62" i="76"/>
  <c r="BC62" i="76"/>
  <c r="BB62" i="76"/>
  <c r="BA62" i="76"/>
  <c r="BL62" i="76"/>
  <c r="BK62" i="76"/>
  <c r="BJ62" i="76"/>
  <c r="BI62" i="76"/>
  <c r="BF62" i="76"/>
  <c r="BJ61" i="76"/>
  <c r="BD61" i="76"/>
  <c r="BC61" i="76"/>
  <c r="BB61" i="76"/>
  <c r="BA61" i="76"/>
  <c r="BK61" i="76"/>
  <c r="BI61" i="76"/>
  <c r="BH61" i="76"/>
  <c r="BF61" i="76"/>
  <c r="BH60" i="76"/>
  <c r="BD60" i="76"/>
  <c r="BC60" i="76"/>
  <c r="BB60" i="76"/>
  <c r="BA60" i="76"/>
  <c r="AZ60" i="76"/>
  <c r="BK60" i="76"/>
  <c r="BJ60" i="76"/>
  <c r="BI60" i="76"/>
  <c r="BE60" i="76"/>
  <c r="BG59" i="76"/>
  <c r="BE59" i="76"/>
  <c r="BD59" i="76"/>
  <c r="BC59" i="76"/>
  <c r="BB59" i="76"/>
  <c r="BA59" i="76"/>
  <c r="BL59" i="76"/>
  <c r="BK59" i="76"/>
  <c r="BJ59" i="76"/>
  <c r="BI59" i="76"/>
  <c r="AY59" i="76"/>
  <c r="BF59" i="76"/>
  <c r="AW59" i="76"/>
  <c r="BD58" i="76"/>
  <c r="BC58" i="76"/>
  <c r="BB58" i="76"/>
  <c r="BA58" i="76"/>
  <c r="BL58" i="76"/>
  <c r="BK58" i="76"/>
  <c r="BJ58" i="76"/>
  <c r="BI58" i="76"/>
  <c r="AY58" i="76"/>
  <c r="BF58" i="76"/>
  <c r="BI57" i="76"/>
  <c r="BD57" i="76"/>
  <c r="BC57" i="76"/>
  <c r="BB57" i="76"/>
  <c r="BA57" i="76"/>
  <c r="AX57" i="76"/>
  <c r="BL57" i="76"/>
  <c r="BK57" i="76"/>
  <c r="BJ57" i="76"/>
  <c r="BH57" i="76"/>
  <c r="BF57" i="76"/>
  <c r="BH56" i="76"/>
  <c r="BD56" i="76"/>
  <c r="BC56" i="76"/>
  <c r="BB56" i="76"/>
  <c r="BA56" i="76"/>
  <c r="BL56" i="76"/>
  <c r="BK56" i="76"/>
  <c r="BJ56" i="76"/>
  <c r="BI56" i="76"/>
  <c r="BF56" i="76"/>
  <c r="BE56" i="76"/>
  <c r="BK55" i="76"/>
  <c r="BF55" i="76"/>
  <c r="BD55" i="76"/>
  <c r="BC55" i="76"/>
  <c r="BB55" i="76"/>
  <c r="BA55" i="76"/>
  <c r="BL55" i="76"/>
  <c r="BJ55" i="76"/>
  <c r="BH55" i="76"/>
  <c r="BG55" i="76"/>
  <c r="BE55" i="76"/>
  <c r="BD54" i="76"/>
  <c r="BC54" i="76"/>
  <c r="BB54" i="76"/>
  <c r="BA54" i="76"/>
  <c r="BL54" i="76"/>
  <c r="BJ54" i="76"/>
  <c r="BI54" i="76"/>
  <c r="AZ54" i="76"/>
  <c r="BG54" i="76"/>
  <c r="BE54" i="76"/>
  <c r="BI53" i="76"/>
  <c r="BD53" i="76"/>
  <c r="BC53" i="76"/>
  <c r="BB53" i="76"/>
  <c r="BA53" i="76"/>
  <c r="BL53" i="76"/>
  <c r="BK53" i="76"/>
  <c r="BJ53" i="76"/>
  <c r="AY53" i="76"/>
  <c r="BF53" i="76"/>
  <c r="BI52" i="76"/>
  <c r="BD52" i="76"/>
  <c r="BC52" i="76"/>
  <c r="BB52" i="76"/>
  <c r="BA52" i="76"/>
  <c r="BL52" i="76"/>
  <c r="BK52" i="76"/>
  <c r="BJ52" i="76"/>
  <c r="BF52" i="76"/>
  <c r="BE52" i="76"/>
  <c r="BJ51" i="76"/>
  <c r="BH51" i="76"/>
  <c r="BD51" i="76"/>
  <c r="BC51" i="76"/>
  <c r="BB51" i="76"/>
  <c r="BA51" i="76"/>
  <c r="BL51" i="76"/>
  <c r="BK51" i="76"/>
  <c r="BG51" i="76"/>
  <c r="BF51" i="76"/>
  <c r="BE51" i="76"/>
  <c r="BL50" i="76"/>
  <c r="BD50" i="76"/>
  <c r="BC50" i="76"/>
  <c r="BB50" i="76"/>
  <c r="BA50" i="76"/>
  <c r="BJ50" i="76"/>
  <c r="BI50" i="76"/>
  <c r="BG50" i="76"/>
  <c r="BL49" i="76"/>
  <c r="BI49" i="76"/>
  <c r="BD49" i="76"/>
  <c r="BC49" i="76"/>
  <c r="BB49" i="76"/>
  <c r="BA49" i="76"/>
  <c r="BK49" i="76"/>
  <c r="BJ49" i="76"/>
  <c r="BF49" i="76"/>
  <c r="BI48" i="76"/>
  <c r="BF48" i="76"/>
  <c r="BD48" i="76"/>
  <c r="BC48" i="76"/>
  <c r="BB48" i="76"/>
  <c r="BA48" i="76"/>
  <c r="BL48" i="76"/>
  <c r="BK48" i="76"/>
  <c r="BJ48" i="76"/>
  <c r="BH48" i="76"/>
  <c r="BE48" i="76"/>
  <c r="BF47" i="76"/>
  <c r="BD47" i="76"/>
  <c r="BC47" i="76"/>
  <c r="BB47" i="76"/>
  <c r="BA47" i="76"/>
  <c r="BL47" i="76"/>
  <c r="BK47" i="76"/>
  <c r="BJ47" i="76"/>
  <c r="AZ47" i="76"/>
  <c r="BG47" i="76"/>
  <c r="AX47" i="76"/>
  <c r="BE47" i="76"/>
  <c r="BD46" i="76"/>
  <c r="BC46" i="76"/>
  <c r="BB46" i="76"/>
  <c r="BA46" i="76"/>
  <c r="BL46" i="76"/>
  <c r="BJ46" i="76"/>
  <c r="BI46" i="76"/>
  <c r="AZ46" i="76"/>
  <c r="BG46" i="76"/>
  <c r="AW46" i="76"/>
  <c r="BJ45" i="76"/>
  <c r="BI45" i="76"/>
  <c r="BD45" i="76"/>
  <c r="BC45" i="76"/>
  <c r="BB45" i="76"/>
  <c r="BA45" i="76"/>
  <c r="BL45" i="76"/>
  <c r="BK45" i="76"/>
  <c r="BG45" i="76"/>
  <c r="AX45" i="76"/>
  <c r="BK44" i="76"/>
  <c r="BI44" i="76"/>
  <c r="BD44" i="76"/>
  <c r="BC44" i="76"/>
  <c r="BB44" i="76"/>
  <c r="BA44" i="76"/>
  <c r="BL44" i="76"/>
  <c r="BJ44" i="76"/>
  <c r="AZ44" i="76"/>
  <c r="BF44" i="76"/>
  <c r="BE44" i="76"/>
  <c r="BH43" i="76"/>
  <c r="BD43" i="76"/>
  <c r="BC43" i="76"/>
  <c r="BB43" i="76"/>
  <c r="BA43" i="76"/>
  <c r="BL43" i="76"/>
  <c r="BK43" i="76"/>
  <c r="BJ43" i="76"/>
  <c r="BG43" i="76"/>
  <c r="BE43" i="76"/>
  <c r="A4" i="76"/>
  <c r="A5" i="76" s="1"/>
  <c r="A6" i="76" s="1"/>
  <c r="A7" i="76" s="1"/>
  <c r="A8" i="76" s="1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A36" i="76" s="1"/>
  <c r="A37" i="76" s="1"/>
  <c r="A38" i="76" s="1"/>
  <c r="A39" i="76" s="1"/>
  <c r="A40" i="76" s="1"/>
  <c r="A41" i="76" s="1"/>
  <c r="A42" i="76" s="1"/>
  <c r="A43" i="76" s="1"/>
  <c r="A44" i="76" s="1"/>
  <c r="A45" i="76" s="1"/>
  <c r="A46" i="76" s="1"/>
  <c r="A47" i="76" s="1"/>
  <c r="A48" i="76" s="1"/>
  <c r="A49" i="76" s="1"/>
  <c r="A50" i="76" s="1"/>
  <c r="A51" i="76" s="1"/>
  <c r="A52" i="76" s="1"/>
  <c r="A53" i="76" s="1"/>
  <c r="A54" i="76" s="1"/>
  <c r="A55" i="76" s="1"/>
  <c r="A56" i="76" s="1"/>
  <c r="A57" i="76" s="1"/>
  <c r="A58" i="76" s="1"/>
  <c r="A59" i="76" s="1"/>
  <c r="A60" i="76" s="1"/>
  <c r="A61" i="76" s="1"/>
  <c r="A62" i="76" s="1"/>
  <c r="A63" i="76" s="1"/>
  <c r="A64" i="76" s="1"/>
  <c r="A65" i="76" s="1"/>
  <c r="A66" i="76" s="1"/>
  <c r="A67" i="76" s="1"/>
  <c r="A68" i="76" s="1"/>
  <c r="A69" i="76" s="1"/>
  <c r="A70" i="76" s="1"/>
  <c r="A71" i="76" s="1"/>
  <c r="A72" i="76" s="1"/>
  <c r="A73" i="76" s="1"/>
  <c r="A74" i="76" s="1"/>
  <c r="A75" i="76" s="1"/>
  <c r="A76" i="76" s="1"/>
  <c r="A77" i="76" s="1"/>
  <c r="A78" i="76" s="1"/>
  <c r="A79" i="76" s="1"/>
  <c r="A80" i="76" s="1"/>
  <c r="A81" i="76" s="1"/>
  <c r="A82" i="76" s="1"/>
  <c r="A83" i="76" s="1"/>
  <c r="A84" i="76" s="1"/>
  <c r="A85" i="76" s="1"/>
  <c r="A86" i="76" s="1"/>
  <c r="A87" i="76" s="1"/>
  <c r="A88" i="76" s="1"/>
  <c r="A89" i="76" s="1"/>
  <c r="A90" i="76" s="1"/>
  <c r="A91" i="76" s="1"/>
  <c r="A92" i="76" s="1"/>
  <c r="A93" i="76" s="1"/>
  <c r="A94" i="76" s="1"/>
  <c r="A95" i="76" s="1"/>
  <c r="A96" i="76" s="1"/>
  <c r="A97" i="76" s="1"/>
  <c r="A98" i="76" s="1"/>
  <c r="A99" i="76" s="1"/>
  <c r="A100" i="76" s="1"/>
  <c r="A101" i="76" s="1"/>
  <c r="A102" i="76" s="1"/>
  <c r="A103" i="76" s="1"/>
  <c r="A104" i="76" s="1"/>
  <c r="A105" i="76" s="1"/>
  <c r="A106" i="76" s="1"/>
  <c r="A107" i="76" s="1"/>
  <c r="A108" i="76" s="1"/>
  <c r="A109" i="76" s="1"/>
  <c r="A110" i="76" s="1"/>
  <c r="A111" i="76" s="1"/>
  <c r="A112" i="76" s="1"/>
  <c r="A113" i="76" s="1"/>
  <c r="A114" i="76" s="1"/>
  <c r="A115" i="76" s="1"/>
  <c r="A116" i="76" s="1"/>
  <c r="A117" i="76" s="1"/>
  <c r="A118" i="76" s="1"/>
  <c r="A119" i="76" s="1"/>
  <c r="A120" i="76" s="1"/>
  <c r="A121" i="76" s="1"/>
  <c r="AO4" i="76" l="1"/>
  <c r="AO8" i="76" s="1"/>
  <c r="AO9" i="76" s="1"/>
  <c r="AO11" i="76"/>
  <c r="AO12" i="76" s="1"/>
  <c r="AP11" i="76"/>
  <c r="AP12" i="76" s="1"/>
  <c r="AN4" i="76"/>
  <c r="AN8" i="76" s="1"/>
  <c r="AN9" i="76" s="1"/>
  <c r="AN11" i="76"/>
  <c r="AN12" i="76" s="1"/>
  <c r="AP4" i="76"/>
  <c r="AM11" i="76"/>
  <c r="AM12" i="76" s="1"/>
  <c r="AM4" i="76"/>
  <c r="AP8" i="76"/>
  <c r="AP9" i="76" s="1"/>
  <c r="AY104" i="76"/>
  <c r="AY45" i="76"/>
  <c r="AX51" i="76"/>
  <c r="AX52" i="76"/>
  <c r="AX53" i="76"/>
  <c r="AX61" i="76"/>
  <c r="AX62" i="76"/>
  <c r="BH67" i="76"/>
  <c r="AY92" i="76"/>
  <c r="AY102" i="76"/>
  <c r="AX112" i="76"/>
  <c r="BG96" i="76"/>
  <c r="AZ110" i="76"/>
  <c r="AX43" i="76"/>
  <c r="BE46" i="76"/>
  <c r="AW50" i="76"/>
  <c r="AZ52" i="76"/>
  <c r="BH54" i="76"/>
  <c r="AY57" i="76"/>
  <c r="AZ62" i="76"/>
  <c r="BG63" i="76"/>
  <c r="AW71" i="76"/>
  <c r="AW73" i="76"/>
  <c r="AW79" i="76"/>
  <c r="AX87" i="76"/>
  <c r="AW97" i="76"/>
  <c r="BG110" i="76"/>
  <c r="AZ118" i="76"/>
  <c r="AZ48" i="76"/>
  <c r="BE81" i="76"/>
  <c r="AX85" i="76"/>
  <c r="AW95" i="76"/>
  <c r="AX110" i="76"/>
  <c r="AY116" i="76"/>
  <c r="AX69" i="76"/>
  <c r="AW76" i="76"/>
  <c r="AZ83" i="76"/>
  <c r="BG84" i="76"/>
  <c r="AZ94" i="76"/>
  <c r="AZ102" i="76"/>
  <c r="BE107" i="76"/>
  <c r="AY49" i="76"/>
  <c r="AZ50" i="76"/>
  <c r="AX55" i="76"/>
  <c r="AX60" i="76"/>
  <c r="AZ65" i="76"/>
  <c r="AZ72" i="76"/>
  <c r="AW83" i="76"/>
  <c r="BE103" i="76"/>
  <c r="AZ105" i="76"/>
  <c r="AY106" i="76"/>
  <c r="AW54" i="76"/>
  <c r="AW72" i="76"/>
  <c r="BF43" i="76"/>
  <c r="BG49" i="76"/>
  <c r="BH52" i="76"/>
  <c r="AZ57" i="76"/>
  <c r="AW60" i="76"/>
  <c r="BL60" i="76"/>
  <c r="AZ61" i="76"/>
  <c r="BL61" i="76"/>
  <c r="BE63" i="76"/>
  <c r="BE68" i="76"/>
  <c r="AX72" i="76"/>
  <c r="AX73" i="76"/>
  <c r="AX74" i="76"/>
  <c r="BL76" i="76"/>
  <c r="AW87" i="76"/>
  <c r="AX88" i="76"/>
  <c r="AY88" i="76"/>
  <c r="AW91" i="76"/>
  <c r="AZ95" i="76"/>
  <c r="BJ101" i="76"/>
  <c r="AY112" i="76"/>
  <c r="AX117" i="76"/>
  <c r="AY120" i="76"/>
  <c r="BH46" i="76"/>
  <c r="AX49" i="76"/>
  <c r="AW77" i="76"/>
  <c r="AY78" i="76"/>
  <c r="AY80" i="76"/>
  <c r="AW85" i="76"/>
  <c r="BH98" i="76"/>
  <c r="AW101" i="76"/>
  <c r="AW119" i="76"/>
  <c r="BH44" i="76"/>
  <c r="BE50" i="76"/>
  <c r="AZ58" i="76"/>
  <c r="BH63" i="76"/>
  <c r="AY66" i="76"/>
  <c r="AX70" i="76"/>
  <c r="AX77" i="76"/>
  <c r="AY87" i="76"/>
  <c r="BE97" i="76"/>
  <c r="BK102" i="76"/>
  <c r="BG106" i="76"/>
  <c r="BH110" i="76"/>
  <c r="AX114" i="76"/>
  <c r="AZ117" i="76"/>
  <c r="BL117" i="76"/>
  <c r="AX119" i="76"/>
  <c r="BG53" i="76"/>
  <c r="AZ55" i="76"/>
  <c r="BG58" i="76"/>
  <c r="AY62" i="76"/>
  <c r="AX65" i="76"/>
  <c r="AZ66" i="76"/>
  <c r="AX68" i="76"/>
  <c r="AZ69" i="76"/>
  <c r="BJ69" i="76"/>
  <c r="AZ74" i="76"/>
  <c r="AY75" i="76"/>
  <c r="AZ79" i="76"/>
  <c r="AX81" i="76"/>
  <c r="AY94" i="76"/>
  <c r="AZ96" i="76"/>
  <c r="AX99" i="76"/>
  <c r="BH106" i="76"/>
  <c r="AW108" i="76"/>
  <c r="AW109" i="76"/>
  <c r="BH111" i="76"/>
  <c r="AZ113" i="76"/>
  <c r="AW115" i="76"/>
  <c r="AW117" i="76"/>
  <c r="BF45" i="76"/>
  <c r="BH47" i="76"/>
  <c r="BH50" i="76"/>
  <c r="BH65" i="76"/>
  <c r="BE71" i="76"/>
  <c r="BK92" i="76"/>
  <c r="AX108" i="76"/>
  <c r="BJ110" i="76"/>
  <c r="BI111" i="76"/>
  <c r="AW113" i="76"/>
  <c r="BG114" i="76"/>
  <c r="BI115" i="76"/>
  <c r="AX67" i="76"/>
  <c r="AZ56" i="76"/>
  <c r="AW64" i="76"/>
  <c r="BJ65" i="76"/>
  <c r="BE67" i="76"/>
  <c r="AZ70" i="76"/>
  <c r="BF73" i="76"/>
  <c r="BG75" i="76"/>
  <c r="AZ86" i="76"/>
  <c r="AW93" i="76"/>
  <c r="AX103" i="76"/>
  <c r="AW105" i="76"/>
  <c r="AY108" i="76"/>
  <c r="AW88" i="76"/>
  <c r="AZ64" i="76"/>
  <c r="BL72" i="76"/>
  <c r="BH82" i="76"/>
  <c r="BF87" i="76"/>
  <c r="AX89" i="76"/>
  <c r="AY90" i="76"/>
  <c r="AZ114" i="76"/>
  <c r="AX44" i="76"/>
  <c r="BF46" i="76"/>
  <c r="AX46" i="76"/>
  <c r="BG48" i="76"/>
  <c r="AY48" i="76"/>
  <c r="AW43" i="76"/>
  <c r="BI43" i="76"/>
  <c r="BE49" i="76"/>
  <c r="AW49" i="76"/>
  <c r="AY54" i="76"/>
  <c r="BK54" i="76"/>
  <c r="BH59" i="76"/>
  <c r="AZ59" i="76"/>
  <c r="BG44" i="76"/>
  <c r="AY44" i="76"/>
  <c r="AZ51" i="76"/>
  <c r="BH53" i="76"/>
  <c r="AZ53" i="76"/>
  <c r="AX56" i="76"/>
  <c r="BE45" i="76"/>
  <c r="AW45" i="76"/>
  <c r="AY50" i="76"/>
  <c r="BK50" i="76"/>
  <c r="AW55" i="76"/>
  <c r="BI55" i="76"/>
  <c r="BF63" i="76"/>
  <c r="AX63" i="76"/>
  <c r="BH49" i="76"/>
  <c r="AZ49" i="76"/>
  <c r="BF54" i="76"/>
  <c r="AX54" i="76"/>
  <c r="BG56" i="76"/>
  <c r="AY56" i="76"/>
  <c r="AY46" i="76"/>
  <c r="BK46" i="76"/>
  <c r="AW51" i="76"/>
  <c r="BI51" i="76"/>
  <c r="BE57" i="76"/>
  <c r="AW57" i="76"/>
  <c r="AZ43" i="76"/>
  <c r="BH45" i="76"/>
  <c r="AZ45" i="76"/>
  <c r="AX48" i="76"/>
  <c r="BF50" i="76"/>
  <c r="AX50" i="76"/>
  <c r="BG52" i="76"/>
  <c r="AY52" i="76"/>
  <c r="AX58" i="76"/>
  <c r="AW47" i="76"/>
  <c r="BI47" i="76"/>
  <c r="BE53" i="76"/>
  <c r="AW53" i="76"/>
  <c r="AX64" i="76"/>
  <c r="BF64" i="76"/>
  <c r="BG65" i="76"/>
  <c r="AY65" i="76"/>
  <c r="AY71" i="76"/>
  <c r="AX75" i="76"/>
  <c r="AZ77" i="76"/>
  <c r="BL77" i="76"/>
  <c r="BG85" i="76"/>
  <c r="AY85" i="76"/>
  <c r="BK86" i="76"/>
  <c r="AY86" i="76"/>
  <c r="BG89" i="76"/>
  <c r="AY89" i="76"/>
  <c r="BE94" i="76"/>
  <c r="AW94" i="76"/>
  <c r="AX113" i="76"/>
  <c r="BF120" i="76"/>
  <c r="AX120" i="76"/>
  <c r="AW120" i="76"/>
  <c r="BG57" i="76"/>
  <c r="BH58" i="76"/>
  <c r="BE62" i="76"/>
  <c r="AW62" i="76"/>
  <c r="BG64" i="76"/>
  <c r="AY64" i="76"/>
  <c r="BL69" i="76"/>
  <c r="AZ71" i="76"/>
  <c r="AZ80" i="76"/>
  <c r="BI83" i="76"/>
  <c r="BG87" i="76"/>
  <c r="AY100" i="76"/>
  <c r="BL105" i="76"/>
  <c r="BG109" i="76"/>
  <c r="AY109" i="76"/>
  <c r="AX109" i="76"/>
  <c r="BG113" i="76"/>
  <c r="AY113" i="76"/>
  <c r="BJ117" i="76"/>
  <c r="BG62" i="76"/>
  <c r="AY70" i="76"/>
  <c r="BE76" i="76"/>
  <c r="BE78" i="76"/>
  <c r="AW78" i="76"/>
  <c r="BE92" i="76"/>
  <c r="BH95" i="76"/>
  <c r="BI96" i="76"/>
  <c r="AW96" i="76"/>
  <c r="AZ100" i="76"/>
  <c r="BE104" i="76"/>
  <c r="BE110" i="76"/>
  <c r="AW110" i="76"/>
  <c r="BJ114" i="76"/>
  <c r="BI116" i="76"/>
  <c r="AW116" i="76"/>
  <c r="AX118" i="76"/>
  <c r="BJ118" i="76"/>
  <c r="BE66" i="76"/>
  <c r="AW66" i="76"/>
  <c r="BG68" i="76"/>
  <c r="AY68" i="76"/>
  <c r="BL73" i="76"/>
  <c r="BF88" i="76"/>
  <c r="BI95" i="76"/>
  <c r="BE98" i="76"/>
  <c r="AW98" i="76"/>
  <c r="BE106" i="76"/>
  <c r="AW106" i="76"/>
  <c r="BG108" i="76"/>
  <c r="BK118" i="76"/>
  <c r="BE61" i="76"/>
  <c r="AW61" i="76"/>
  <c r="AX66" i="76"/>
  <c r="BG66" i="76"/>
  <c r="AY67" i="76"/>
  <c r="BJ70" i="76"/>
  <c r="BI80" i="76"/>
  <c r="AW80" i="76"/>
  <c r="AZ84" i="76"/>
  <c r="BF92" i="76"/>
  <c r="AX92" i="76"/>
  <c r="AY98" i="76"/>
  <c r="BI100" i="76"/>
  <c r="AW100" i="76"/>
  <c r="BF104" i="76"/>
  <c r="AX104" i="76"/>
  <c r="BH108" i="76"/>
  <c r="AZ108" i="76"/>
  <c r="BF119" i="76"/>
  <c r="BH66" i="76"/>
  <c r="BL68" i="76"/>
  <c r="BE74" i="76"/>
  <c r="AW74" i="76"/>
  <c r="BG76" i="76"/>
  <c r="AY76" i="76"/>
  <c r="BI79" i="76"/>
  <c r="BE82" i="76"/>
  <c r="AW82" i="76"/>
  <c r="BH88" i="76"/>
  <c r="AZ88" i="76"/>
  <c r="AY99" i="76"/>
  <c r="AX102" i="76"/>
  <c r="BJ102" i="76"/>
  <c r="BJ105" i="76"/>
  <c r="AX105" i="76"/>
  <c r="BE105" i="76"/>
  <c r="AX107" i="76"/>
  <c r="BG111" i="76"/>
  <c r="BF60" i="76"/>
  <c r="BG61" i="76"/>
  <c r="AY61" i="76"/>
  <c r="BE65" i="76"/>
  <c r="AW65" i="76"/>
  <c r="BE75" i="76"/>
  <c r="AY82" i="76"/>
  <c r="AX83" i="76"/>
  <c r="BI84" i="76"/>
  <c r="AW84" i="76"/>
  <c r="BJ85" i="76"/>
  <c r="BF93" i="76"/>
  <c r="AZ99" i="76"/>
  <c r="BG101" i="76"/>
  <c r="AY101" i="76"/>
  <c r="AY107" i="76"/>
  <c r="AZ109" i="76"/>
  <c r="BL109" i="76"/>
  <c r="BI112" i="76"/>
  <c r="AW112" i="76"/>
  <c r="AY43" i="76"/>
  <c r="AW44" i="76"/>
  <c r="AY47" i="76"/>
  <c r="AW48" i="76"/>
  <c r="AY51" i="76"/>
  <c r="AW52" i="76"/>
  <c r="AY55" i="76"/>
  <c r="AW56" i="76"/>
  <c r="BE58" i="76"/>
  <c r="AW58" i="76"/>
  <c r="AX59" i="76"/>
  <c r="BG60" i="76"/>
  <c r="AY60" i="76"/>
  <c r="BE69" i="76"/>
  <c r="AW69" i="76"/>
  <c r="AX71" i="76"/>
  <c r="BG72" i="76"/>
  <c r="AY72" i="76"/>
  <c r="AY74" i="76"/>
  <c r="AY83" i="76"/>
  <c r="AW89" i="76"/>
  <c r="BI99" i="76"/>
  <c r="AZ107" i="76"/>
  <c r="BG73" i="76"/>
  <c r="AY73" i="76"/>
  <c r="BH74" i="76"/>
  <c r="AZ75" i="76"/>
  <c r="BG77" i="76"/>
  <c r="AY77" i="76"/>
  <c r="BF81" i="76"/>
  <c r="BE86" i="76"/>
  <c r="AW86" i="76"/>
  <c r="BH86" i="76"/>
  <c r="AZ87" i="76"/>
  <c r="AX91" i="76"/>
  <c r="BG93" i="76"/>
  <c r="AY93" i="76"/>
  <c r="BF97" i="76"/>
  <c r="BE102" i="76"/>
  <c r="AW102" i="76"/>
  <c r="AY103" i="76"/>
  <c r="BL113" i="76"/>
  <c r="BE117" i="76"/>
  <c r="BE118" i="76"/>
  <c r="AW118" i="76"/>
  <c r="AY119" i="76"/>
  <c r="AY91" i="76"/>
  <c r="AZ103" i="76"/>
  <c r="BG105" i="76"/>
  <c r="AY105" i="76"/>
  <c r="BJ106" i="76"/>
  <c r="AX115" i="76"/>
  <c r="BH118" i="76"/>
  <c r="AZ119" i="76"/>
  <c r="AY69" i="76"/>
  <c r="AW70" i="76"/>
  <c r="AX79" i="76"/>
  <c r="AX80" i="76"/>
  <c r="BG81" i="76"/>
  <c r="AY81" i="76"/>
  <c r="BE90" i="76"/>
  <c r="AW90" i="76"/>
  <c r="AZ91" i="76"/>
  <c r="AZ92" i="76"/>
  <c r="AX95" i="76"/>
  <c r="AX96" i="76"/>
  <c r="BG97" i="76"/>
  <c r="AY97" i="76"/>
  <c r="AZ104" i="76"/>
  <c r="BE114" i="76"/>
  <c r="AW114" i="76"/>
  <c r="AY115" i="76"/>
  <c r="AX116" i="76"/>
  <c r="AZ120" i="76"/>
  <c r="AY79" i="76"/>
  <c r="AY95" i="76"/>
  <c r="AX111" i="76"/>
  <c r="AZ115" i="76"/>
  <c r="BG117" i="76"/>
  <c r="AY117" i="76"/>
  <c r="AX78" i="76"/>
  <c r="AZ81" i="76"/>
  <c r="AX82" i="76"/>
  <c r="AZ85" i="76"/>
  <c r="AX86" i="76"/>
  <c r="AZ89" i="76"/>
  <c r="AX90" i="76"/>
  <c r="AZ93" i="76"/>
  <c r="AX94" i="76"/>
  <c r="AZ97" i="76"/>
  <c r="AX98" i="76"/>
  <c r="AZ101" i="76"/>
  <c r="AA42" i="11" l="1"/>
  <c r="AA41" i="1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JL8" i="18" l="1"/>
  <c r="JL3" i="18"/>
  <c r="JL4" i="18" s="1"/>
  <c r="JL5" i="18" s="1"/>
  <c r="JL6" i="18" s="1"/>
  <c r="JL7" i="18" s="1"/>
  <c r="JL9" i="18" s="1"/>
  <c r="K42" i="55" l="1"/>
  <c r="AL41" i="2"/>
  <c r="K41" i="55" s="1"/>
  <c r="AL40" i="2"/>
  <c r="K40" i="55" s="1"/>
  <c r="AL39" i="2"/>
  <c r="K39" i="55" s="1"/>
  <c r="AL38" i="2"/>
  <c r="K38" i="55" s="1"/>
  <c r="AL37" i="2"/>
  <c r="K37" i="55" s="1"/>
  <c r="AL36" i="2"/>
  <c r="K36" i="55" s="1"/>
  <c r="AL35" i="2"/>
  <c r="K35" i="55" s="1"/>
  <c r="AL34" i="2"/>
  <c r="K34" i="55" s="1"/>
  <c r="AL33" i="2"/>
  <c r="K33" i="55" s="1"/>
  <c r="AL32" i="2"/>
  <c r="K32" i="55" s="1"/>
  <c r="AL31" i="2"/>
  <c r="K31" i="55" s="1"/>
  <c r="AL30" i="2"/>
  <c r="K30" i="55" s="1"/>
  <c r="AL29" i="2"/>
  <c r="K29" i="55" s="1"/>
  <c r="AL28" i="2"/>
  <c r="K28" i="55" s="1"/>
  <c r="AL27" i="2"/>
  <c r="K27" i="55" s="1"/>
  <c r="AL26" i="2"/>
  <c r="K26" i="55" s="1"/>
  <c r="AL25" i="2"/>
  <c r="K25" i="55" s="1"/>
  <c r="AL24" i="2"/>
  <c r="K24" i="55" s="1"/>
  <c r="AL23" i="2"/>
  <c r="K23" i="55" s="1"/>
  <c r="AL22" i="2"/>
  <c r="K22" i="55" s="1"/>
  <c r="AL21" i="2"/>
  <c r="K21" i="55" s="1"/>
  <c r="AL20" i="2"/>
  <c r="K20" i="55" s="1"/>
  <c r="AL19" i="2"/>
  <c r="K19" i="55" s="1"/>
  <c r="AL18" i="2"/>
  <c r="K18" i="55" s="1"/>
  <c r="AL17" i="2"/>
  <c r="K17" i="55" s="1"/>
  <c r="AL16" i="2"/>
  <c r="K16" i="55" s="1"/>
  <c r="AL15" i="2"/>
  <c r="K15" i="55" s="1"/>
  <c r="AL14" i="2"/>
  <c r="K14" i="55" s="1"/>
  <c r="AL13" i="2"/>
  <c r="K13" i="55" s="1"/>
  <c r="AL12" i="2"/>
  <c r="K12" i="55" s="1"/>
  <c r="AL11" i="2"/>
  <c r="K11" i="55" s="1"/>
  <c r="AL10" i="2"/>
  <c r="K10" i="55" s="1"/>
  <c r="AL9" i="2"/>
  <c r="K9" i="55" s="1"/>
  <c r="AL8" i="2"/>
  <c r="K8" i="55" s="1"/>
  <c r="AL7" i="2"/>
  <c r="K7" i="55" s="1"/>
  <c r="AL6" i="2"/>
  <c r="K6" i="55" s="1"/>
  <c r="AL5" i="2"/>
  <c r="K5" i="55" s="1"/>
  <c r="AL4" i="2"/>
  <c r="K4" i="55" s="1"/>
  <c r="AL3" i="2"/>
  <c r="K3" i="55" s="1"/>
  <c r="AL2" i="2"/>
  <c r="K2" i="55" s="1"/>
  <c r="IZ10" i="18"/>
  <c r="IZ11" i="18"/>
  <c r="IZ12" i="18" s="1"/>
  <c r="IZ13" i="18" s="1"/>
  <c r="IZ14" i="18" s="1"/>
  <c r="IZ15" i="18" s="1"/>
  <c r="IZ16" i="18" s="1"/>
  <c r="IZ17" i="18" s="1"/>
  <c r="IZ18" i="18" s="1"/>
  <c r="IZ19" i="18" s="1"/>
  <c r="IZ20" i="18" s="1"/>
  <c r="IZ21" i="18" s="1"/>
  <c r="IZ22" i="18" s="1"/>
  <c r="IZ23" i="18" s="1"/>
  <c r="IZ24" i="18" s="1"/>
  <c r="IZ25" i="18" s="1"/>
  <c r="IZ26" i="18" s="1"/>
  <c r="IZ27" i="18" s="1"/>
  <c r="IZ28" i="18" s="1"/>
  <c r="IZ29" i="18" s="1"/>
  <c r="IZ30" i="18" s="1"/>
  <c r="IZ31" i="18" s="1"/>
  <c r="IZ32" i="18" s="1"/>
  <c r="IZ33" i="18" s="1"/>
  <c r="IZ34" i="18" s="1"/>
  <c r="IZ35" i="18" s="1"/>
  <c r="IZ36" i="18" s="1"/>
  <c r="IZ37" i="18" s="1"/>
  <c r="IZ38" i="18" s="1"/>
  <c r="IZ39" i="18" s="1"/>
  <c r="IZ40" i="18" s="1"/>
  <c r="IZ41" i="18" s="1"/>
  <c r="IZ42" i="18" s="1"/>
  <c r="IZ43" i="18" s="1"/>
  <c r="IZ44" i="18" s="1"/>
  <c r="IZ45" i="18" s="1"/>
  <c r="IZ46" i="18" s="1"/>
  <c r="IZ47" i="18" s="1"/>
  <c r="IZ9" i="18"/>
  <c r="IX47" i="18"/>
  <c r="IW47" i="18"/>
  <c r="IV47" i="18"/>
  <c r="IU47" i="18"/>
  <c r="IT47" i="18"/>
  <c r="IS47" i="18"/>
  <c r="IR47" i="18"/>
  <c r="IQ47" i="18"/>
  <c r="IP47" i="18"/>
  <c r="IX46" i="18"/>
  <c r="IW46" i="18"/>
  <c r="IV46" i="18"/>
  <c r="IU46" i="18"/>
  <c r="IT46" i="18"/>
  <c r="IS46" i="18"/>
  <c r="IR46" i="18"/>
  <c r="IQ46" i="18"/>
  <c r="IP46" i="18"/>
  <c r="IX45" i="18"/>
  <c r="IW45" i="18"/>
  <c r="IV45" i="18"/>
  <c r="IU45" i="18"/>
  <c r="IT45" i="18"/>
  <c r="IS45" i="18"/>
  <c r="IR45" i="18"/>
  <c r="IQ45" i="18"/>
  <c r="IP45" i="18"/>
  <c r="IX44" i="18"/>
  <c r="IW44" i="18"/>
  <c r="IV44" i="18"/>
  <c r="IU44" i="18"/>
  <c r="IT44" i="18"/>
  <c r="IS44" i="18"/>
  <c r="IR44" i="18"/>
  <c r="IQ44" i="18"/>
  <c r="IP44" i="18"/>
  <c r="IX43" i="18"/>
  <c r="IW43" i="18"/>
  <c r="IV43" i="18"/>
  <c r="IU43" i="18"/>
  <c r="IT43" i="18"/>
  <c r="IS43" i="18"/>
  <c r="IR43" i="18"/>
  <c r="IQ43" i="18"/>
  <c r="IP43" i="18"/>
  <c r="IX42" i="18"/>
  <c r="IW42" i="18"/>
  <c r="IV42" i="18"/>
  <c r="IU42" i="18"/>
  <c r="IT42" i="18"/>
  <c r="IS42" i="18"/>
  <c r="IR42" i="18"/>
  <c r="IQ42" i="18"/>
  <c r="IP42" i="18"/>
  <c r="IX41" i="18"/>
  <c r="IW41" i="18"/>
  <c r="IV41" i="18"/>
  <c r="IU41" i="18"/>
  <c r="IT41" i="18"/>
  <c r="IS41" i="18"/>
  <c r="IR41" i="18"/>
  <c r="IQ41" i="18"/>
  <c r="IP41" i="18"/>
  <c r="IX40" i="18"/>
  <c r="IW40" i="18"/>
  <c r="IV40" i="18"/>
  <c r="IU40" i="18"/>
  <c r="IT40" i="18"/>
  <c r="IS40" i="18"/>
  <c r="IR40" i="18"/>
  <c r="IQ40" i="18"/>
  <c r="IP40" i="18"/>
  <c r="IX39" i="18"/>
  <c r="IW39" i="18"/>
  <c r="IV39" i="18"/>
  <c r="IU39" i="18"/>
  <c r="IT39" i="18"/>
  <c r="IS39" i="18"/>
  <c r="IR39" i="18"/>
  <c r="IQ39" i="18"/>
  <c r="IP39" i="18"/>
  <c r="IX38" i="18"/>
  <c r="IW38" i="18"/>
  <c r="IV38" i="18"/>
  <c r="IU38" i="18"/>
  <c r="IT38" i="18"/>
  <c r="IS38" i="18"/>
  <c r="IR38" i="18"/>
  <c r="IQ38" i="18"/>
  <c r="IP38" i="18"/>
  <c r="IX37" i="18"/>
  <c r="IW37" i="18"/>
  <c r="IV37" i="18"/>
  <c r="IU37" i="18"/>
  <c r="IT37" i="18"/>
  <c r="IS37" i="18"/>
  <c r="IR37" i="18"/>
  <c r="IQ37" i="18"/>
  <c r="IP37" i="18"/>
  <c r="IX36" i="18"/>
  <c r="IW36" i="18"/>
  <c r="IV36" i="18"/>
  <c r="IU36" i="18"/>
  <c r="IT36" i="18"/>
  <c r="IS36" i="18"/>
  <c r="IR36" i="18"/>
  <c r="IQ36" i="18"/>
  <c r="IP36" i="18"/>
  <c r="IX35" i="18"/>
  <c r="IW35" i="18"/>
  <c r="IV35" i="18"/>
  <c r="IU35" i="18"/>
  <c r="IT35" i="18"/>
  <c r="IS35" i="18"/>
  <c r="IR35" i="18"/>
  <c r="IQ35" i="18"/>
  <c r="IP35" i="18"/>
  <c r="IX34" i="18"/>
  <c r="IW34" i="18"/>
  <c r="IV34" i="18"/>
  <c r="IU34" i="18"/>
  <c r="IT34" i="18"/>
  <c r="IS34" i="18"/>
  <c r="IR34" i="18"/>
  <c r="IQ34" i="18"/>
  <c r="IP34" i="18"/>
  <c r="IX33" i="18"/>
  <c r="IW33" i="18"/>
  <c r="IV33" i="18"/>
  <c r="IU33" i="18"/>
  <c r="IT33" i="18"/>
  <c r="IS33" i="18"/>
  <c r="IR33" i="18"/>
  <c r="IQ33" i="18"/>
  <c r="IP33" i="18"/>
  <c r="IX32" i="18"/>
  <c r="IW32" i="18"/>
  <c r="IV32" i="18"/>
  <c r="IU32" i="18"/>
  <c r="IT32" i="18"/>
  <c r="IS32" i="18"/>
  <c r="IR32" i="18"/>
  <c r="IQ32" i="18"/>
  <c r="IP32" i="18"/>
  <c r="IX31" i="18"/>
  <c r="IW31" i="18"/>
  <c r="IV31" i="18"/>
  <c r="IU31" i="18"/>
  <c r="IT31" i="18"/>
  <c r="IS31" i="18"/>
  <c r="IR31" i="18"/>
  <c r="IQ31" i="18"/>
  <c r="IP31" i="18"/>
  <c r="IX30" i="18"/>
  <c r="IW30" i="18"/>
  <c r="IV30" i="18"/>
  <c r="IU30" i="18"/>
  <c r="IT30" i="18"/>
  <c r="IS30" i="18"/>
  <c r="IR30" i="18"/>
  <c r="IQ30" i="18"/>
  <c r="IP30" i="18"/>
  <c r="IX29" i="18"/>
  <c r="IW29" i="18"/>
  <c r="IV29" i="18"/>
  <c r="IU29" i="18"/>
  <c r="IT29" i="18"/>
  <c r="IS29" i="18"/>
  <c r="IR29" i="18"/>
  <c r="IQ29" i="18"/>
  <c r="IP29" i="18"/>
  <c r="IX28" i="18"/>
  <c r="IW28" i="18"/>
  <c r="IV28" i="18"/>
  <c r="IU28" i="18"/>
  <c r="IT28" i="18"/>
  <c r="IS28" i="18"/>
  <c r="IR28" i="18"/>
  <c r="IQ28" i="18"/>
  <c r="IP28" i="18"/>
  <c r="IX27" i="18"/>
  <c r="IW27" i="18"/>
  <c r="IV27" i="18"/>
  <c r="IU27" i="18"/>
  <c r="IT27" i="18"/>
  <c r="IS27" i="18"/>
  <c r="IR27" i="18"/>
  <c r="IQ27" i="18"/>
  <c r="IP27" i="18"/>
  <c r="IX26" i="18"/>
  <c r="IW26" i="18"/>
  <c r="IV26" i="18"/>
  <c r="IU26" i="18"/>
  <c r="IT26" i="18"/>
  <c r="IS26" i="18"/>
  <c r="IR26" i="18"/>
  <c r="IQ26" i="18"/>
  <c r="IP26" i="18"/>
  <c r="IX25" i="18"/>
  <c r="IW25" i="18"/>
  <c r="IV25" i="18"/>
  <c r="IU25" i="18"/>
  <c r="IT25" i="18"/>
  <c r="IS25" i="18"/>
  <c r="IR25" i="18"/>
  <c r="IQ25" i="18"/>
  <c r="IP25" i="18"/>
  <c r="IX24" i="18"/>
  <c r="IW24" i="18"/>
  <c r="IV24" i="18"/>
  <c r="IU24" i="18"/>
  <c r="IT24" i="18"/>
  <c r="IS24" i="18"/>
  <c r="IR24" i="18"/>
  <c r="IQ24" i="18"/>
  <c r="IP24" i="18"/>
  <c r="IX23" i="18"/>
  <c r="IW23" i="18"/>
  <c r="IV23" i="18"/>
  <c r="IU23" i="18"/>
  <c r="IT23" i="18"/>
  <c r="IS23" i="18"/>
  <c r="IR23" i="18"/>
  <c r="IQ23" i="18"/>
  <c r="IP23" i="18"/>
  <c r="IX22" i="18"/>
  <c r="IW22" i="18"/>
  <c r="IV22" i="18"/>
  <c r="IU22" i="18"/>
  <c r="IT22" i="18"/>
  <c r="IS22" i="18"/>
  <c r="IR22" i="18"/>
  <c r="IQ22" i="18"/>
  <c r="IP22" i="18"/>
  <c r="IX21" i="18"/>
  <c r="IW21" i="18"/>
  <c r="IV21" i="18"/>
  <c r="IU21" i="18"/>
  <c r="IT21" i="18"/>
  <c r="IS21" i="18"/>
  <c r="IR21" i="18"/>
  <c r="IQ21" i="18"/>
  <c r="IP21" i="18"/>
  <c r="IX20" i="18"/>
  <c r="IW20" i="18"/>
  <c r="IV20" i="18"/>
  <c r="IU20" i="18"/>
  <c r="IT20" i="18"/>
  <c r="IS20" i="18"/>
  <c r="IR20" i="18"/>
  <c r="IQ20" i="18"/>
  <c r="IP20" i="18"/>
  <c r="IX19" i="18"/>
  <c r="IW19" i="18"/>
  <c r="IV19" i="18"/>
  <c r="IU19" i="18"/>
  <c r="IT19" i="18"/>
  <c r="IS19" i="18"/>
  <c r="IR19" i="18"/>
  <c r="IQ19" i="18"/>
  <c r="IP19" i="18"/>
  <c r="IX18" i="18"/>
  <c r="IW18" i="18"/>
  <c r="IV18" i="18"/>
  <c r="IU18" i="18"/>
  <c r="IT18" i="18"/>
  <c r="IS18" i="18"/>
  <c r="IR18" i="18"/>
  <c r="IQ18" i="18"/>
  <c r="IP18" i="18"/>
  <c r="IX17" i="18"/>
  <c r="IW17" i="18"/>
  <c r="IV17" i="18"/>
  <c r="IU17" i="18"/>
  <c r="IT17" i="18"/>
  <c r="IS17" i="18"/>
  <c r="IR17" i="18"/>
  <c r="IQ17" i="18"/>
  <c r="IP17" i="18"/>
  <c r="IX16" i="18"/>
  <c r="IW16" i="18"/>
  <c r="IV16" i="18"/>
  <c r="IU16" i="18"/>
  <c r="IT16" i="18"/>
  <c r="IS16" i="18"/>
  <c r="IR16" i="18"/>
  <c r="IQ16" i="18"/>
  <c r="IP16" i="18"/>
  <c r="IX15" i="18"/>
  <c r="IW15" i="18"/>
  <c r="IV15" i="18"/>
  <c r="IU15" i="18"/>
  <c r="IT15" i="18"/>
  <c r="IS15" i="18"/>
  <c r="IR15" i="18"/>
  <c r="IQ15" i="18"/>
  <c r="IP15" i="18"/>
  <c r="IX14" i="18"/>
  <c r="IW14" i="18"/>
  <c r="IV14" i="18"/>
  <c r="IU14" i="18"/>
  <c r="IT14" i="18"/>
  <c r="IS14" i="18"/>
  <c r="IR14" i="18"/>
  <c r="IQ14" i="18"/>
  <c r="IP14" i="18"/>
  <c r="IX13" i="18"/>
  <c r="IW13" i="18"/>
  <c r="IV13" i="18"/>
  <c r="IU13" i="18"/>
  <c r="IT13" i="18"/>
  <c r="IS13" i="18"/>
  <c r="IR13" i="18"/>
  <c r="IQ13" i="18"/>
  <c r="IP13" i="18"/>
  <c r="IX12" i="18"/>
  <c r="IW12" i="18"/>
  <c r="IV12" i="18"/>
  <c r="IU12" i="18"/>
  <c r="IT12" i="18"/>
  <c r="IS12" i="18"/>
  <c r="IR12" i="18"/>
  <c r="IQ12" i="18"/>
  <c r="IP12" i="18"/>
  <c r="IX11" i="18"/>
  <c r="IW11" i="18"/>
  <c r="IV11" i="18"/>
  <c r="IU11" i="18"/>
  <c r="IT11" i="18"/>
  <c r="IS11" i="18"/>
  <c r="IR11" i="18"/>
  <c r="IQ11" i="18"/>
  <c r="IP11" i="18"/>
  <c r="IL14" i="18"/>
  <c r="II14" i="18" s="1"/>
  <c r="IL15" i="18"/>
  <c r="II15" i="18" s="1"/>
  <c r="IL16" i="18"/>
  <c r="AM10" i="2" s="1"/>
  <c r="IL17" i="18"/>
  <c r="AM11" i="2" s="1"/>
  <c r="IL18" i="18"/>
  <c r="AM12" i="2" s="1"/>
  <c r="IL19" i="18"/>
  <c r="AM13" i="2" s="1"/>
  <c r="IL20" i="18"/>
  <c r="AM14" i="2" s="1"/>
  <c r="IL21" i="18"/>
  <c r="II21" i="18" s="1"/>
  <c r="IL22" i="18"/>
  <c r="II22" i="18" s="1"/>
  <c r="IL23" i="18"/>
  <c r="II23" i="18" s="1"/>
  <c r="IL24" i="18"/>
  <c r="AM18" i="2" s="1"/>
  <c r="IL25" i="18"/>
  <c r="AM19" i="2" s="1"/>
  <c r="IL26" i="18"/>
  <c r="AM20" i="2" s="1"/>
  <c r="IL27" i="18"/>
  <c r="AM21" i="2" s="1"/>
  <c r="IL28" i="18"/>
  <c r="AM22" i="2" s="1"/>
  <c r="IL29" i="18"/>
  <c r="II29" i="18" s="1"/>
  <c r="IL30" i="18"/>
  <c r="II30" i="18" s="1"/>
  <c r="IL31" i="18"/>
  <c r="II31" i="18" s="1"/>
  <c r="IL32" i="18"/>
  <c r="AM26" i="2" s="1"/>
  <c r="IL33" i="18"/>
  <c r="AM27" i="2" s="1"/>
  <c r="IL34" i="18"/>
  <c r="AM28" i="2" s="1"/>
  <c r="IL35" i="18"/>
  <c r="AM29" i="2" s="1"/>
  <c r="IL36" i="18"/>
  <c r="AM30" i="2" s="1"/>
  <c r="IL37" i="18"/>
  <c r="II37" i="18" s="1"/>
  <c r="IL38" i="18"/>
  <c r="II38" i="18" s="1"/>
  <c r="IL39" i="18"/>
  <c r="II39" i="18" s="1"/>
  <c r="IL40" i="18"/>
  <c r="AM34" i="2" s="1"/>
  <c r="IL41" i="18"/>
  <c r="AM35" i="2" s="1"/>
  <c r="IL42" i="18"/>
  <c r="AM36" i="2" s="1"/>
  <c r="IL43" i="18"/>
  <c r="AM37" i="2" s="1"/>
  <c r="IL44" i="18"/>
  <c r="AM38" i="2" s="1"/>
  <c r="IL45" i="18"/>
  <c r="II45" i="18" s="1"/>
  <c r="IL46" i="18"/>
  <c r="II46" i="18" s="1"/>
  <c r="IL47" i="18"/>
  <c r="II47" i="18" s="1"/>
  <c r="IL48" i="18"/>
  <c r="IL49" i="18"/>
  <c r="IL50" i="18"/>
  <c r="IL51" i="18"/>
  <c r="IL52" i="18"/>
  <c r="IL53" i="18"/>
  <c r="IL54" i="18"/>
  <c r="IL55" i="18"/>
  <c r="IL56" i="18"/>
  <c r="IL57" i="18"/>
  <c r="IL58" i="18"/>
  <c r="IL59" i="18"/>
  <c r="IL60" i="18"/>
  <c r="IL61" i="18"/>
  <c r="IL62" i="18"/>
  <c r="IL63" i="18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B7" i="18"/>
  <c r="B6" i="18" s="1"/>
  <c r="B5" i="18" s="1"/>
  <c r="B4" i="18" s="1"/>
  <c r="B3" i="18" s="1"/>
  <c r="B2" i="18" s="1"/>
  <c r="A6" i="18"/>
  <c r="A5" i="18" s="1"/>
  <c r="A4" i="18" s="1"/>
  <c r="A3" i="18" s="1"/>
  <c r="A2" i="18" s="1"/>
  <c r="A7" i="18"/>
  <c r="E42" i="55"/>
  <c r="S42" i="11"/>
  <c r="I42" i="55" s="1"/>
  <c r="K42" i="11"/>
  <c r="D42" i="55" s="1"/>
  <c r="J42" i="11"/>
  <c r="H42" i="55" s="1"/>
  <c r="D42" i="11"/>
  <c r="R42" i="11"/>
  <c r="C42" i="55" s="1"/>
  <c r="A3" i="55"/>
  <c r="A4" i="55" s="1"/>
  <c r="A5" i="55" s="1"/>
  <c r="A6" i="55" s="1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A36" i="55" s="1"/>
  <c r="A37" i="55" s="1"/>
  <c r="A38" i="55" s="1"/>
  <c r="A39" i="55" s="1"/>
  <c r="A40" i="55" s="1"/>
  <c r="A41" i="55" s="1"/>
  <c r="A42" i="55" s="1"/>
  <c r="KD3" i="18" l="1"/>
  <c r="KC3" i="18"/>
  <c r="JW3" i="18"/>
  <c r="KE3" i="18"/>
  <c r="JX3" i="18"/>
  <c r="JY3" i="18"/>
  <c r="JZ3" i="18"/>
  <c r="KA3" i="18"/>
  <c r="KB3" i="18"/>
  <c r="IP10" i="18"/>
  <c r="IL13" i="18"/>
  <c r="IR10" i="18"/>
  <c r="K6" i="18"/>
  <c r="IT10" i="18"/>
  <c r="S6" i="18"/>
  <c r="IV10" i="18"/>
  <c r="AQ6" i="18"/>
  <c r="IX10" i="18"/>
  <c r="CE6" i="18"/>
  <c r="G6" i="18"/>
  <c r="IQ10" i="18"/>
  <c r="O6" i="18"/>
  <c r="IS10" i="18"/>
  <c r="IU10" i="18"/>
  <c r="W6" i="18"/>
  <c r="IW10" i="18"/>
  <c r="BK6" i="18"/>
  <c r="C6" i="18"/>
  <c r="II43" i="18"/>
  <c r="II35" i="18"/>
  <c r="II27" i="18"/>
  <c r="II19" i="18"/>
  <c r="AM15" i="2"/>
  <c r="AM23" i="2"/>
  <c r="AM31" i="2"/>
  <c r="AM39" i="2"/>
  <c r="II42" i="18"/>
  <c r="II34" i="18"/>
  <c r="II26" i="18"/>
  <c r="II18" i="18"/>
  <c r="AM8" i="2"/>
  <c r="AM16" i="2"/>
  <c r="AM24" i="2"/>
  <c r="AM32" i="2"/>
  <c r="AM40" i="2"/>
  <c r="II41" i="18"/>
  <c r="II33" i="18"/>
  <c r="II25" i="18"/>
  <c r="II17" i="18"/>
  <c r="AM9" i="2"/>
  <c r="AM17" i="2"/>
  <c r="AM25" i="2"/>
  <c r="AM33" i="2"/>
  <c r="AM41" i="2"/>
  <c r="II40" i="18"/>
  <c r="II32" i="18"/>
  <c r="II24" i="18"/>
  <c r="II16" i="18"/>
  <c r="II44" i="18"/>
  <c r="II36" i="18"/>
  <c r="II28" i="18"/>
  <c r="II20" i="18"/>
  <c r="IW9" i="18" l="1"/>
  <c r="BK5" i="18"/>
  <c r="IX9" i="18"/>
  <c r="CE5" i="18"/>
  <c r="IU9" i="18"/>
  <c r="W5" i="18"/>
  <c r="IV9" i="18"/>
  <c r="AQ5" i="18"/>
  <c r="IT9" i="18"/>
  <c r="S5" i="18"/>
  <c r="IR9" i="18"/>
  <c r="K5" i="18"/>
  <c r="IS9" i="18"/>
  <c r="O5" i="18"/>
  <c r="IP9" i="18"/>
  <c r="IL12" i="18"/>
  <c r="C5" i="18"/>
  <c r="IQ9" i="18"/>
  <c r="G5" i="18"/>
  <c r="II13" i="18"/>
  <c r="AM7" i="2"/>
  <c r="IU8" i="18" l="1"/>
  <c r="W4" i="18"/>
  <c r="W3" i="18" s="1"/>
  <c r="W2" i="18" s="1"/>
  <c r="IR8" i="18"/>
  <c r="K4" i="18"/>
  <c r="K3" i="18" s="1"/>
  <c r="K2" i="18" s="1"/>
  <c r="IV8" i="18"/>
  <c r="AQ4" i="18"/>
  <c r="AQ3" i="18" s="1"/>
  <c r="AQ2" i="18" s="1"/>
  <c r="IQ8" i="18"/>
  <c r="G4" i="18"/>
  <c r="G3" i="18" s="1"/>
  <c r="G2" i="18" s="1"/>
  <c r="IL11" i="18"/>
  <c r="IP8" i="18"/>
  <c r="C4" i="18"/>
  <c r="IT8" i="18"/>
  <c r="S4" i="18"/>
  <c r="S3" i="18" s="1"/>
  <c r="S2" i="18" s="1"/>
  <c r="AM6" i="2"/>
  <c r="II12" i="18"/>
  <c r="IS8" i="18"/>
  <c r="O4" i="18"/>
  <c r="O3" i="18" s="1"/>
  <c r="O2" i="18" s="1"/>
  <c r="IX8" i="18"/>
  <c r="CE4" i="18"/>
  <c r="CE3" i="18" s="1"/>
  <c r="CE2" i="18" s="1"/>
  <c r="IW8" i="18"/>
  <c r="BK4" i="18"/>
  <c r="BK3" i="18" s="1"/>
  <c r="BK2" i="18" s="1"/>
  <c r="JB9" i="18" l="1"/>
  <c r="JX2" i="18"/>
  <c r="KH2" i="18" s="1"/>
  <c r="JD9" i="18"/>
  <c r="JZ2" i="18"/>
  <c r="KJ2" i="18" s="1"/>
  <c r="JF9" i="18"/>
  <c r="KB2" i="18"/>
  <c r="KL2" i="18" s="1"/>
  <c r="JH9" i="18"/>
  <c r="KD2" i="18"/>
  <c r="KN2" i="18" s="1"/>
  <c r="JC9" i="18"/>
  <c r="JY2" i="18"/>
  <c r="KI2" i="18" s="1"/>
  <c r="KC2" i="18"/>
  <c r="KM2" i="18" s="1"/>
  <c r="JE9" i="18"/>
  <c r="KA2" i="18"/>
  <c r="KK2" i="18" s="1"/>
  <c r="JI9" i="18"/>
  <c r="KE2" i="18"/>
  <c r="KO2" i="18" s="1"/>
  <c r="JA9" i="18"/>
  <c r="JW2" i="18"/>
  <c r="KG2" i="18" s="1"/>
  <c r="JE8" i="18"/>
  <c r="JQ2" i="18" s="1"/>
  <c r="JE38" i="18"/>
  <c r="JE22" i="18"/>
  <c r="JQ6" i="18" s="1"/>
  <c r="JE46" i="18"/>
  <c r="JE30" i="18"/>
  <c r="JQ8" i="18" s="1"/>
  <c r="JE17" i="18"/>
  <c r="JE14" i="18"/>
  <c r="JQ4" i="18" s="1"/>
  <c r="JE18" i="18"/>
  <c r="JQ5" i="18" s="1"/>
  <c r="JE47" i="18"/>
  <c r="JE12" i="18"/>
  <c r="JE28" i="18"/>
  <c r="JE21" i="18"/>
  <c r="JE25" i="18"/>
  <c r="JE32" i="18"/>
  <c r="JE20" i="18"/>
  <c r="JE31" i="18"/>
  <c r="JE29" i="18"/>
  <c r="JE16" i="18"/>
  <c r="JE27" i="18"/>
  <c r="JE15" i="18"/>
  <c r="JE40" i="18"/>
  <c r="JE33" i="18"/>
  <c r="JE24" i="18"/>
  <c r="JE19" i="18"/>
  <c r="JE37" i="18"/>
  <c r="JE41" i="18"/>
  <c r="JE13" i="18"/>
  <c r="JE39" i="18"/>
  <c r="JE11" i="18"/>
  <c r="JE36" i="18"/>
  <c r="JE35" i="18"/>
  <c r="JE43" i="18"/>
  <c r="JE23" i="18"/>
  <c r="JE26" i="18"/>
  <c r="JQ7" i="18" s="1"/>
  <c r="JE34" i="18"/>
  <c r="JQ9" i="18" s="1"/>
  <c r="JE42" i="18"/>
  <c r="JE45" i="18"/>
  <c r="JE44" i="18"/>
  <c r="JE10" i="18"/>
  <c r="JQ3" i="18" s="1"/>
  <c r="JG43" i="18"/>
  <c r="JG16" i="18"/>
  <c r="JG8" i="18"/>
  <c r="JS2" i="18" s="1"/>
  <c r="JG32" i="18"/>
  <c r="JG45" i="18"/>
  <c r="JG13" i="18"/>
  <c r="JG37" i="18"/>
  <c r="JG42" i="18"/>
  <c r="JG39" i="18"/>
  <c r="JG14" i="18"/>
  <c r="JS4" i="18" s="1"/>
  <c r="JG29" i="18"/>
  <c r="JG19" i="18"/>
  <c r="JG31" i="18"/>
  <c r="JG20" i="18"/>
  <c r="JG40" i="18"/>
  <c r="JG30" i="18"/>
  <c r="JS8" i="18" s="1"/>
  <c r="JG18" i="18"/>
  <c r="JS5" i="18" s="1"/>
  <c r="JG27" i="18"/>
  <c r="JG47" i="18"/>
  <c r="JG36" i="18"/>
  <c r="JG35" i="18"/>
  <c r="JG12" i="18"/>
  <c r="JG34" i="18"/>
  <c r="JS9" i="18" s="1"/>
  <c r="JG23" i="18"/>
  <c r="JG17" i="18"/>
  <c r="JG21" i="18"/>
  <c r="JG46" i="18"/>
  <c r="JG28" i="18"/>
  <c r="JG15" i="18"/>
  <c r="JG22" i="18"/>
  <c r="JS6" i="18" s="1"/>
  <c r="JG25" i="18"/>
  <c r="JG33" i="18"/>
  <c r="JG41" i="18"/>
  <c r="JG38" i="18"/>
  <c r="JG44" i="18"/>
  <c r="JG26" i="18"/>
  <c r="JS7" i="18" s="1"/>
  <c r="JG24" i="18"/>
  <c r="JG11" i="18"/>
  <c r="JG10" i="18"/>
  <c r="JS3" i="18" s="1"/>
  <c r="IL10" i="18"/>
  <c r="C3" i="18"/>
  <c r="JD8" i="18"/>
  <c r="JP2" i="18" s="1"/>
  <c r="JD28" i="18"/>
  <c r="JD25" i="18"/>
  <c r="JD33" i="18"/>
  <c r="JD17" i="18"/>
  <c r="JD29" i="18"/>
  <c r="JD36" i="18"/>
  <c r="JD19" i="18"/>
  <c r="JD16" i="18"/>
  <c r="JD23" i="18"/>
  <c r="JD26" i="18"/>
  <c r="JP7" i="18" s="1"/>
  <c r="JD38" i="18"/>
  <c r="JD30" i="18"/>
  <c r="JP8" i="18" s="1"/>
  <c r="JD12" i="18"/>
  <c r="JD41" i="18"/>
  <c r="JD47" i="18"/>
  <c r="JD39" i="18"/>
  <c r="JD14" i="18"/>
  <c r="JP4" i="18" s="1"/>
  <c r="JD21" i="18"/>
  <c r="JD32" i="18"/>
  <c r="JD20" i="18"/>
  <c r="JD31" i="18"/>
  <c r="JD15" i="18"/>
  <c r="JD22" i="18"/>
  <c r="JP6" i="18" s="1"/>
  <c r="JD42" i="18"/>
  <c r="JD40" i="18"/>
  <c r="JD46" i="18"/>
  <c r="JD35" i="18"/>
  <c r="JD45" i="18"/>
  <c r="JD13" i="18"/>
  <c r="JD11" i="18"/>
  <c r="JD24" i="18"/>
  <c r="JD18" i="18"/>
  <c r="JP5" i="18" s="1"/>
  <c r="JD34" i="18"/>
  <c r="JP9" i="18" s="1"/>
  <c r="JD27" i="18"/>
  <c r="JD44" i="18"/>
  <c r="JD43" i="18"/>
  <c r="JD37" i="18"/>
  <c r="JD10" i="18"/>
  <c r="JP3" i="18" s="1"/>
  <c r="JA18" i="18"/>
  <c r="JM5" i="18" s="1"/>
  <c r="JA36" i="18"/>
  <c r="JA30" i="18"/>
  <c r="JM8" i="18" s="1"/>
  <c r="JA41" i="18"/>
  <c r="JA22" i="18"/>
  <c r="JM6" i="18" s="1"/>
  <c r="JA38" i="18"/>
  <c r="JA47" i="18"/>
  <c r="JA21" i="18"/>
  <c r="JA37" i="18"/>
  <c r="JA8" i="18"/>
  <c r="JM2" i="18" s="1"/>
  <c r="JA15" i="18"/>
  <c r="JA31" i="18"/>
  <c r="JA20" i="18"/>
  <c r="JA17" i="18"/>
  <c r="JA24" i="18"/>
  <c r="JA46" i="18"/>
  <c r="JA14" i="18"/>
  <c r="JM4" i="18" s="1"/>
  <c r="JA40" i="18"/>
  <c r="JA43" i="18"/>
  <c r="JA29" i="18"/>
  <c r="JA27" i="18"/>
  <c r="JA33" i="18"/>
  <c r="JA19" i="18"/>
  <c r="JA16" i="18"/>
  <c r="JA35" i="18"/>
  <c r="JA26" i="18"/>
  <c r="JM7" i="18" s="1"/>
  <c r="JA34" i="18"/>
  <c r="JM9" i="18" s="1"/>
  <c r="JA12" i="18"/>
  <c r="JA25" i="18"/>
  <c r="JA39" i="18"/>
  <c r="JA45" i="18"/>
  <c r="JA23" i="18"/>
  <c r="JA11" i="18"/>
  <c r="JA44" i="18"/>
  <c r="JA32" i="18"/>
  <c r="JA13" i="18"/>
  <c r="JA28" i="18"/>
  <c r="JA42" i="18"/>
  <c r="JA10" i="18"/>
  <c r="JM3" i="18" s="1"/>
  <c r="JC8" i="18"/>
  <c r="JO2" i="18" s="1"/>
  <c r="JC14" i="18"/>
  <c r="JO4" i="18" s="1"/>
  <c r="JC33" i="18"/>
  <c r="JC37" i="18"/>
  <c r="JC15" i="18"/>
  <c r="JC25" i="18"/>
  <c r="JC45" i="18"/>
  <c r="JC42" i="18"/>
  <c r="JC23" i="18"/>
  <c r="JC24" i="18"/>
  <c r="JC36" i="18"/>
  <c r="JC13" i="18"/>
  <c r="JC27" i="18"/>
  <c r="JC22" i="18"/>
  <c r="JO6" i="18" s="1"/>
  <c r="JC34" i="18"/>
  <c r="JO9" i="18" s="1"/>
  <c r="JC47" i="18"/>
  <c r="JC39" i="18"/>
  <c r="JC44" i="18"/>
  <c r="JC12" i="18"/>
  <c r="JC32" i="18"/>
  <c r="JC11" i="18"/>
  <c r="JC26" i="18"/>
  <c r="JO7" i="18" s="1"/>
  <c r="JC30" i="18"/>
  <c r="JO8" i="18" s="1"/>
  <c r="JC41" i="18"/>
  <c r="JC19" i="18"/>
  <c r="JC21" i="18"/>
  <c r="JC46" i="18"/>
  <c r="JC20" i="18"/>
  <c r="JC16" i="18"/>
  <c r="JC43" i="18"/>
  <c r="JC17" i="18"/>
  <c r="JC38" i="18"/>
  <c r="JC31" i="18"/>
  <c r="JC28" i="18"/>
  <c r="JC35" i="18"/>
  <c r="JC29" i="18"/>
  <c r="JC40" i="18"/>
  <c r="JC18" i="18"/>
  <c r="JO5" i="18" s="1"/>
  <c r="JC10" i="18"/>
  <c r="JO3" i="18" s="1"/>
  <c r="AM5" i="2"/>
  <c r="II11" i="18"/>
  <c r="JG9" i="18"/>
  <c r="JF8" i="18"/>
  <c r="JR2" i="18" s="1"/>
  <c r="JF22" i="18"/>
  <c r="JR6" i="18" s="1"/>
  <c r="JF14" i="18"/>
  <c r="JR4" i="18" s="1"/>
  <c r="JF12" i="18"/>
  <c r="JF13" i="18"/>
  <c r="JF26" i="18"/>
  <c r="JR7" i="18" s="1"/>
  <c r="JF33" i="18"/>
  <c r="JF23" i="18"/>
  <c r="JF40" i="18"/>
  <c r="JF21" i="18"/>
  <c r="JF18" i="18"/>
  <c r="JR5" i="18" s="1"/>
  <c r="JF25" i="18"/>
  <c r="JF39" i="18"/>
  <c r="JF27" i="18"/>
  <c r="JF37" i="18"/>
  <c r="JF29" i="18"/>
  <c r="JF46" i="18"/>
  <c r="JF31" i="18"/>
  <c r="JF38" i="18"/>
  <c r="JF45" i="18"/>
  <c r="JF35" i="18"/>
  <c r="JF41" i="18"/>
  <c r="JF15" i="18"/>
  <c r="JF42" i="18"/>
  <c r="JF16" i="18"/>
  <c r="JF28" i="18"/>
  <c r="JF34" i="18"/>
  <c r="JR9" i="18" s="1"/>
  <c r="JF32" i="18"/>
  <c r="JF20" i="18"/>
  <c r="JF44" i="18"/>
  <c r="JF17" i="18"/>
  <c r="JF36" i="18"/>
  <c r="JF24" i="18"/>
  <c r="JF11" i="18"/>
  <c r="JF43" i="18"/>
  <c r="JF30" i="18"/>
  <c r="JR8" i="18" s="1"/>
  <c r="JF47" i="18"/>
  <c r="JF19" i="18"/>
  <c r="JF10" i="18"/>
  <c r="JR3" i="18" s="1"/>
  <c r="JH40" i="18"/>
  <c r="JH13" i="18"/>
  <c r="JH45" i="18"/>
  <c r="JH8" i="18"/>
  <c r="JT2" i="18" s="1"/>
  <c r="JH27" i="18"/>
  <c r="JH37" i="18"/>
  <c r="JH36" i="18"/>
  <c r="JH15" i="18"/>
  <c r="JH34" i="18"/>
  <c r="JT9" i="18" s="1"/>
  <c r="JH16" i="18"/>
  <c r="JH30" i="18"/>
  <c r="JT8" i="18" s="1"/>
  <c r="JH28" i="18"/>
  <c r="JH38" i="18"/>
  <c r="JH26" i="18"/>
  <c r="JT7" i="18" s="1"/>
  <c r="JH19" i="18"/>
  <c r="JH47" i="18"/>
  <c r="JH39" i="18"/>
  <c r="JH14" i="18"/>
  <c r="JT4" i="18" s="1"/>
  <c r="JH23" i="18"/>
  <c r="JH44" i="18"/>
  <c r="JH41" i="18"/>
  <c r="JH24" i="18"/>
  <c r="JH32" i="18"/>
  <c r="JH46" i="18"/>
  <c r="JH22" i="18"/>
  <c r="JT6" i="18" s="1"/>
  <c r="JH25" i="18"/>
  <c r="JH21" i="18"/>
  <c r="JH18" i="18"/>
  <c r="JT5" i="18" s="1"/>
  <c r="JH42" i="18"/>
  <c r="JH11" i="18"/>
  <c r="JH29" i="18"/>
  <c r="JH33" i="18"/>
  <c r="JH12" i="18"/>
  <c r="JH31" i="18"/>
  <c r="JH35" i="18"/>
  <c r="JH43" i="18"/>
  <c r="JH17" i="18"/>
  <c r="JH20" i="18"/>
  <c r="JH10" i="18"/>
  <c r="JT3" i="18" s="1"/>
  <c r="JI42" i="18"/>
  <c r="JI25" i="18"/>
  <c r="JI28" i="18"/>
  <c r="JI45" i="18"/>
  <c r="JI17" i="18"/>
  <c r="JI24" i="18"/>
  <c r="JI46" i="18"/>
  <c r="JI36" i="18"/>
  <c r="JI30" i="18"/>
  <c r="JU8" i="18" s="1"/>
  <c r="JI41" i="18"/>
  <c r="JI22" i="18"/>
  <c r="JU6" i="18" s="1"/>
  <c r="JI38" i="18"/>
  <c r="JI47" i="18"/>
  <c r="JI21" i="18"/>
  <c r="JI37" i="18"/>
  <c r="JI8" i="18"/>
  <c r="JU2" i="18" s="1"/>
  <c r="JI20" i="18"/>
  <c r="JI14" i="18"/>
  <c r="JU4" i="18" s="1"/>
  <c r="JI15" i="18"/>
  <c r="JI10" i="18"/>
  <c r="JU3" i="18" s="1"/>
  <c r="JI40" i="18"/>
  <c r="JI31" i="18"/>
  <c r="JI43" i="18"/>
  <c r="JI29" i="18"/>
  <c r="JI34" i="18"/>
  <c r="JU9" i="18" s="1"/>
  <c r="JI11" i="18"/>
  <c r="JI44" i="18"/>
  <c r="JI32" i="18"/>
  <c r="JI39" i="18"/>
  <c r="JI27" i="18"/>
  <c r="JI33" i="18"/>
  <c r="JI19" i="18"/>
  <c r="JI16" i="18"/>
  <c r="JI35" i="18"/>
  <c r="JI26" i="18"/>
  <c r="JU7" i="18" s="1"/>
  <c r="JI18" i="18"/>
  <c r="JU5" i="18" s="1"/>
  <c r="JI23" i="18"/>
  <c r="JI12" i="18"/>
  <c r="JI13" i="18"/>
  <c r="JB10" i="18"/>
  <c r="JN3" i="18" s="1"/>
  <c r="JB23" i="18"/>
  <c r="JB44" i="18"/>
  <c r="JB36" i="18"/>
  <c r="JB30" i="18"/>
  <c r="JN8" i="18" s="1"/>
  <c r="JB46" i="18"/>
  <c r="JB19" i="18"/>
  <c r="JB38" i="18"/>
  <c r="JB13" i="18"/>
  <c r="JB28" i="18"/>
  <c r="JB33" i="18"/>
  <c r="JB45" i="18"/>
  <c r="JB22" i="18"/>
  <c r="JN6" i="18" s="1"/>
  <c r="JB29" i="18"/>
  <c r="JB37" i="18"/>
  <c r="JB43" i="18"/>
  <c r="JB31" i="18"/>
  <c r="JB17" i="18"/>
  <c r="JB40" i="18"/>
  <c r="JB35" i="18"/>
  <c r="JB26" i="18"/>
  <c r="JN7" i="18" s="1"/>
  <c r="JB18" i="18"/>
  <c r="JN5" i="18" s="1"/>
  <c r="JB11" i="18"/>
  <c r="JB16" i="18"/>
  <c r="JB8" i="18"/>
  <c r="JN2" i="18" s="1"/>
  <c r="JB21" i="18"/>
  <c r="JB39" i="18"/>
  <c r="JB32" i="18"/>
  <c r="JB25" i="18"/>
  <c r="JB15" i="18"/>
  <c r="JB24" i="18"/>
  <c r="JB34" i="18"/>
  <c r="JN9" i="18" s="1"/>
  <c r="JB20" i="18"/>
  <c r="JB27" i="18"/>
  <c r="JB41" i="18"/>
  <c r="JB42" i="18"/>
  <c r="JB47" i="18"/>
  <c r="JB14" i="18"/>
  <c r="JN4" i="18" s="1"/>
  <c r="JB12" i="18"/>
  <c r="IL9" i="18" l="1"/>
  <c r="C2" i="18"/>
  <c r="IL8" i="18" s="1"/>
  <c r="AM4" i="2"/>
  <c r="II10" i="18"/>
  <c r="E41" i="55"/>
  <c r="E40" i="55"/>
  <c r="E39" i="55"/>
  <c r="E38" i="55"/>
  <c r="E37" i="55"/>
  <c r="E36" i="55"/>
  <c r="E35" i="55"/>
  <c r="E34" i="55"/>
  <c r="E33" i="55"/>
  <c r="E32" i="55"/>
  <c r="E31" i="55"/>
  <c r="E30" i="55"/>
  <c r="E29" i="55"/>
  <c r="E28" i="55"/>
  <c r="E27" i="55"/>
  <c r="E26" i="55"/>
  <c r="E25" i="55"/>
  <c r="E24" i="55"/>
  <c r="E23" i="55"/>
  <c r="E22" i="55"/>
  <c r="E21" i="55"/>
  <c r="E20" i="55"/>
  <c r="E19" i="55"/>
  <c r="E18" i="55"/>
  <c r="E17" i="55"/>
  <c r="E16" i="55"/>
  <c r="E15" i="55"/>
  <c r="E14" i="55"/>
  <c r="E13" i="55"/>
  <c r="E12" i="55"/>
  <c r="E11" i="55"/>
  <c r="E10" i="55"/>
  <c r="E9" i="55"/>
  <c r="E8" i="55"/>
  <c r="E7" i="55"/>
  <c r="E6" i="55"/>
  <c r="E5" i="55"/>
  <c r="E4" i="55"/>
  <c r="E2" i="55"/>
  <c r="E3" i="55" l="1"/>
  <c r="AM3" i="2"/>
  <c r="II9" i="18"/>
  <c r="II8" i="18"/>
  <c r="G4" i="55" s="1"/>
  <c r="AM2" i="2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F3" i="55" l="1"/>
  <c r="G3" i="55"/>
  <c r="F39" i="55"/>
  <c r="F34" i="55"/>
  <c r="F24" i="55"/>
  <c r="F29" i="55"/>
  <c r="F42" i="55"/>
  <c r="F32" i="55"/>
  <c r="F25" i="55"/>
  <c r="F28" i="55"/>
  <c r="F33" i="55"/>
  <c r="F37" i="55"/>
  <c r="F36" i="55"/>
  <c r="F27" i="55"/>
  <c r="F31" i="55"/>
  <c r="F26" i="55"/>
  <c r="F30" i="55"/>
  <c r="F35" i="55"/>
  <c r="F38" i="55"/>
  <c r="F41" i="55"/>
  <c r="F40" i="55"/>
  <c r="F23" i="55"/>
  <c r="F6" i="55"/>
  <c r="F22" i="55"/>
  <c r="F21" i="55"/>
  <c r="F20" i="55"/>
  <c r="F19" i="55"/>
  <c r="F18" i="55"/>
  <c r="F14" i="55"/>
  <c r="F11" i="55"/>
  <c r="F17" i="55"/>
  <c r="F12" i="55"/>
  <c r="F15" i="55"/>
  <c r="F4" i="55"/>
  <c r="F5" i="55"/>
  <c r="F7" i="55"/>
  <c r="F13" i="55"/>
  <c r="F8" i="55"/>
  <c r="F10" i="55"/>
  <c r="F9" i="55"/>
  <c r="F2" i="55"/>
  <c r="F16" i="55"/>
  <c r="G23" i="55"/>
  <c r="G37" i="55"/>
  <c r="G35" i="55"/>
  <c r="G31" i="55"/>
  <c r="G34" i="55"/>
  <c r="G39" i="55"/>
  <c r="G42" i="55"/>
  <c r="G40" i="55"/>
  <c r="G33" i="55"/>
  <c r="G27" i="55"/>
  <c r="G32" i="55"/>
  <c r="G36" i="55"/>
  <c r="G25" i="55"/>
  <c r="G24" i="55"/>
  <c r="G41" i="55"/>
  <c r="G19" i="55"/>
  <c r="G14" i="55"/>
  <c r="G9" i="55"/>
  <c r="G12" i="55"/>
  <c r="G7" i="55"/>
  <c r="G30" i="55"/>
  <c r="G8" i="55"/>
  <c r="G22" i="55"/>
  <c r="G2" i="55"/>
  <c r="G28" i="55"/>
  <c r="G38" i="55"/>
  <c r="G20" i="55"/>
  <c r="G15" i="55"/>
  <c r="G26" i="55"/>
  <c r="G21" i="55"/>
  <c r="G11" i="55"/>
  <c r="G29" i="55"/>
  <c r="G17" i="55"/>
  <c r="G13" i="55"/>
  <c r="G16" i="55"/>
  <c r="G10" i="55"/>
  <c r="G18" i="55"/>
  <c r="G6" i="55"/>
  <c r="G5" i="55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M3" i="11" l="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P2" i="11"/>
  <c r="K41" i="11"/>
  <c r="D41" i="55" s="1"/>
  <c r="K40" i="11"/>
  <c r="D40" i="55" s="1"/>
  <c r="K39" i="11"/>
  <c r="D39" i="55" s="1"/>
  <c r="K38" i="11"/>
  <c r="D38" i="55" s="1"/>
  <c r="K37" i="11"/>
  <c r="D37" i="55" s="1"/>
  <c r="K36" i="11"/>
  <c r="D36" i="55" s="1"/>
  <c r="K35" i="11"/>
  <c r="D35" i="55" s="1"/>
  <c r="K34" i="11"/>
  <c r="D34" i="55" s="1"/>
  <c r="K33" i="11"/>
  <c r="D33" i="55" s="1"/>
  <c r="K32" i="11"/>
  <c r="D32" i="55" s="1"/>
  <c r="K31" i="11"/>
  <c r="D31" i="55" s="1"/>
  <c r="K30" i="11"/>
  <c r="D30" i="55" s="1"/>
  <c r="K29" i="11"/>
  <c r="D29" i="55" s="1"/>
  <c r="K28" i="11"/>
  <c r="D28" i="55" s="1"/>
  <c r="K27" i="11"/>
  <c r="D27" i="55" s="1"/>
  <c r="K26" i="11"/>
  <c r="D26" i="55" s="1"/>
  <c r="K25" i="11"/>
  <c r="D25" i="55" s="1"/>
  <c r="K24" i="11"/>
  <c r="D24" i="55" s="1"/>
  <c r="K23" i="11"/>
  <c r="D23" i="55" s="1"/>
  <c r="K22" i="11"/>
  <c r="D22" i="55" s="1"/>
  <c r="K21" i="11"/>
  <c r="D21" i="55" s="1"/>
  <c r="K20" i="11"/>
  <c r="D20" i="55" s="1"/>
  <c r="K19" i="11"/>
  <c r="D19" i="55" s="1"/>
  <c r="K18" i="11"/>
  <c r="D18" i="55" s="1"/>
  <c r="K17" i="11"/>
  <c r="D17" i="55" s="1"/>
  <c r="K16" i="11"/>
  <c r="D16" i="55" s="1"/>
  <c r="K15" i="11"/>
  <c r="D15" i="55" s="1"/>
  <c r="K14" i="11"/>
  <c r="D14" i="55" s="1"/>
  <c r="K13" i="11"/>
  <c r="D13" i="55" s="1"/>
  <c r="K12" i="11"/>
  <c r="D12" i="55" s="1"/>
  <c r="K11" i="11"/>
  <c r="D11" i="55" s="1"/>
  <c r="K10" i="11"/>
  <c r="D10" i="55" s="1"/>
  <c r="K9" i="11"/>
  <c r="D9" i="55" s="1"/>
  <c r="K8" i="11"/>
  <c r="D8" i="55" s="1"/>
  <c r="K7" i="11"/>
  <c r="D7" i="55" s="1"/>
  <c r="K6" i="11"/>
  <c r="D6" i="55" s="1"/>
  <c r="K5" i="11"/>
  <c r="D5" i="55" s="1"/>
  <c r="K4" i="11"/>
  <c r="D4" i="55" s="1"/>
  <c r="K3" i="11"/>
  <c r="D3" i="55" s="1"/>
  <c r="K2" i="11"/>
  <c r="D2" i="55" s="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C3" i="11"/>
  <c r="J3" i="55" s="1"/>
  <c r="D3" i="11"/>
  <c r="E3" i="11"/>
  <c r="F3" i="11"/>
  <c r="G3" i="11"/>
  <c r="H3" i="11"/>
  <c r="B4" i="11"/>
  <c r="C4" i="11"/>
  <c r="J4" i="55" s="1"/>
  <c r="D4" i="11"/>
  <c r="E4" i="11"/>
  <c r="F4" i="11"/>
  <c r="G4" i="11"/>
  <c r="H4" i="11"/>
  <c r="B5" i="11"/>
  <c r="C5" i="11"/>
  <c r="J5" i="55" s="1"/>
  <c r="D5" i="11"/>
  <c r="E5" i="11"/>
  <c r="F5" i="11"/>
  <c r="G5" i="11"/>
  <c r="H5" i="11"/>
  <c r="B6" i="11"/>
  <c r="C6" i="11"/>
  <c r="J6" i="55" s="1"/>
  <c r="D6" i="11"/>
  <c r="E6" i="11"/>
  <c r="F6" i="11"/>
  <c r="G6" i="11"/>
  <c r="H6" i="11"/>
  <c r="B7" i="11"/>
  <c r="C7" i="11"/>
  <c r="J7" i="55" s="1"/>
  <c r="D7" i="11"/>
  <c r="E7" i="11"/>
  <c r="F7" i="11"/>
  <c r="G7" i="11"/>
  <c r="H7" i="11"/>
  <c r="B8" i="11"/>
  <c r="C8" i="11"/>
  <c r="J8" i="55" s="1"/>
  <c r="D8" i="11"/>
  <c r="E8" i="11"/>
  <c r="F8" i="11"/>
  <c r="G8" i="11"/>
  <c r="H8" i="11"/>
  <c r="B9" i="11"/>
  <c r="C9" i="11"/>
  <c r="J9" i="55" s="1"/>
  <c r="D9" i="11"/>
  <c r="E9" i="11"/>
  <c r="F9" i="11"/>
  <c r="G9" i="11"/>
  <c r="H9" i="11"/>
  <c r="B10" i="11"/>
  <c r="C10" i="11"/>
  <c r="J10" i="55" s="1"/>
  <c r="D10" i="11"/>
  <c r="E10" i="11"/>
  <c r="F10" i="11"/>
  <c r="G10" i="11"/>
  <c r="H10" i="11"/>
  <c r="B11" i="11"/>
  <c r="C11" i="11"/>
  <c r="J11" i="55" s="1"/>
  <c r="D11" i="11"/>
  <c r="E11" i="11"/>
  <c r="F11" i="11"/>
  <c r="G11" i="11"/>
  <c r="H11" i="11"/>
  <c r="B12" i="11"/>
  <c r="C12" i="11"/>
  <c r="J12" i="55" s="1"/>
  <c r="D12" i="11"/>
  <c r="E12" i="11"/>
  <c r="F12" i="11"/>
  <c r="G12" i="11"/>
  <c r="H12" i="11"/>
  <c r="B13" i="11"/>
  <c r="C13" i="11"/>
  <c r="J13" i="55" s="1"/>
  <c r="D13" i="11"/>
  <c r="E13" i="11"/>
  <c r="F13" i="11"/>
  <c r="G13" i="11"/>
  <c r="H13" i="11"/>
  <c r="B14" i="11"/>
  <c r="C14" i="11"/>
  <c r="J14" i="55" s="1"/>
  <c r="D14" i="11"/>
  <c r="E14" i="11"/>
  <c r="F14" i="11"/>
  <c r="G14" i="11"/>
  <c r="H14" i="11"/>
  <c r="B15" i="11"/>
  <c r="C15" i="11"/>
  <c r="J15" i="55" s="1"/>
  <c r="D15" i="11"/>
  <c r="E15" i="11"/>
  <c r="F15" i="11"/>
  <c r="G15" i="11"/>
  <c r="H15" i="11"/>
  <c r="B16" i="11"/>
  <c r="C16" i="11"/>
  <c r="J16" i="55" s="1"/>
  <c r="D16" i="11"/>
  <c r="E16" i="11"/>
  <c r="F16" i="11"/>
  <c r="G16" i="11"/>
  <c r="H16" i="11"/>
  <c r="B17" i="11"/>
  <c r="C17" i="11"/>
  <c r="J17" i="55" s="1"/>
  <c r="D17" i="11"/>
  <c r="E17" i="11"/>
  <c r="F17" i="11"/>
  <c r="G17" i="11"/>
  <c r="H17" i="11"/>
  <c r="B18" i="11"/>
  <c r="C18" i="11"/>
  <c r="J18" i="55" s="1"/>
  <c r="D18" i="11"/>
  <c r="E18" i="11"/>
  <c r="F18" i="11"/>
  <c r="G18" i="11"/>
  <c r="H18" i="11"/>
  <c r="B19" i="11"/>
  <c r="C19" i="11"/>
  <c r="J19" i="55" s="1"/>
  <c r="D19" i="11"/>
  <c r="E19" i="11"/>
  <c r="F19" i="11"/>
  <c r="G19" i="11"/>
  <c r="H19" i="11"/>
  <c r="B20" i="11"/>
  <c r="C20" i="11"/>
  <c r="J20" i="55" s="1"/>
  <c r="D20" i="11"/>
  <c r="E20" i="11"/>
  <c r="F20" i="11"/>
  <c r="G20" i="11"/>
  <c r="H20" i="11"/>
  <c r="B21" i="11"/>
  <c r="C21" i="11"/>
  <c r="J21" i="55" s="1"/>
  <c r="D21" i="11"/>
  <c r="E21" i="11"/>
  <c r="F21" i="11"/>
  <c r="G21" i="11"/>
  <c r="H21" i="11"/>
  <c r="B22" i="11"/>
  <c r="C22" i="11"/>
  <c r="J22" i="55" s="1"/>
  <c r="D22" i="11"/>
  <c r="E22" i="11"/>
  <c r="F22" i="11"/>
  <c r="G22" i="11"/>
  <c r="H22" i="11"/>
  <c r="B23" i="11"/>
  <c r="C23" i="11"/>
  <c r="J23" i="55" s="1"/>
  <c r="D23" i="11"/>
  <c r="E23" i="11"/>
  <c r="F23" i="11"/>
  <c r="G23" i="11"/>
  <c r="H23" i="11"/>
  <c r="B24" i="11"/>
  <c r="C24" i="11"/>
  <c r="J24" i="55" s="1"/>
  <c r="D24" i="11"/>
  <c r="E24" i="11"/>
  <c r="F24" i="11"/>
  <c r="G24" i="11"/>
  <c r="H24" i="11"/>
  <c r="B25" i="11"/>
  <c r="C25" i="11"/>
  <c r="J25" i="55" s="1"/>
  <c r="D25" i="11"/>
  <c r="E25" i="11"/>
  <c r="F25" i="11"/>
  <c r="G25" i="11"/>
  <c r="H25" i="11"/>
  <c r="B26" i="11"/>
  <c r="C26" i="11"/>
  <c r="J26" i="55" s="1"/>
  <c r="D26" i="11"/>
  <c r="E26" i="11"/>
  <c r="F26" i="11"/>
  <c r="G26" i="11"/>
  <c r="H26" i="11"/>
  <c r="B27" i="11"/>
  <c r="C27" i="11"/>
  <c r="J27" i="55" s="1"/>
  <c r="D27" i="11"/>
  <c r="E27" i="11"/>
  <c r="F27" i="11"/>
  <c r="G27" i="11"/>
  <c r="H27" i="11"/>
  <c r="B28" i="11"/>
  <c r="C28" i="11"/>
  <c r="J28" i="55" s="1"/>
  <c r="D28" i="11"/>
  <c r="E28" i="11"/>
  <c r="F28" i="11"/>
  <c r="G28" i="11"/>
  <c r="H28" i="11"/>
  <c r="B29" i="11"/>
  <c r="C29" i="11"/>
  <c r="J29" i="55" s="1"/>
  <c r="D29" i="11"/>
  <c r="E29" i="11"/>
  <c r="F29" i="11"/>
  <c r="G29" i="11"/>
  <c r="H29" i="11"/>
  <c r="B30" i="11"/>
  <c r="C30" i="11"/>
  <c r="J30" i="55" s="1"/>
  <c r="D30" i="11"/>
  <c r="E30" i="11"/>
  <c r="F30" i="11"/>
  <c r="G30" i="11"/>
  <c r="H30" i="11"/>
  <c r="B31" i="11"/>
  <c r="C31" i="11"/>
  <c r="J31" i="55" s="1"/>
  <c r="D31" i="11"/>
  <c r="E31" i="11"/>
  <c r="F31" i="11"/>
  <c r="G31" i="11"/>
  <c r="H31" i="11"/>
  <c r="B32" i="11"/>
  <c r="C32" i="11"/>
  <c r="J32" i="55" s="1"/>
  <c r="D32" i="11"/>
  <c r="E32" i="11"/>
  <c r="F32" i="11"/>
  <c r="G32" i="11"/>
  <c r="H32" i="11"/>
  <c r="B33" i="11"/>
  <c r="C33" i="11"/>
  <c r="J33" i="55" s="1"/>
  <c r="D33" i="11"/>
  <c r="E33" i="11"/>
  <c r="F33" i="11"/>
  <c r="G33" i="11"/>
  <c r="H33" i="11"/>
  <c r="B34" i="11"/>
  <c r="C34" i="11"/>
  <c r="J34" i="55" s="1"/>
  <c r="D34" i="11"/>
  <c r="E34" i="11"/>
  <c r="F34" i="11"/>
  <c r="G34" i="11"/>
  <c r="H34" i="11"/>
  <c r="B35" i="11"/>
  <c r="C35" i="11"/>
  <c r="J35" i="55" s="1"/>
  <c r="D35" i="11"/>
  <c r="E35" i="11"/>
  <c r="F35" i="11"/>
  <c r="G35" i="11"/>
  <c r="H35" i="11"/>
  <c r="B36" i="11"/>
  <c r="C36" i="11"/>
  <c r="J36" i="55" s="1"/>
  <c r="D36" i="11"/>
  <c r="E36" i="11"/>
  <c r="F36" i="11"/>
  <c r="G36" i="11"/>
  <c r="H36" i="11"/>
  <c r="B37" i="11"/>
  <c r="C37" i="11"/>
  <c r="J37" i="55" s="1"/>
  <c r="D37" i="11"/>
  <c r="E37" i="11"/>
  <c r="F37" i="11"/>
  <c r="G37" i="11"/>
  <c r="H37" i="11"/>
  <c r="B38" i="11"/>
  <c r="C38" i="11"/>
  <c r="J38" i="55" s="1"/>
  <c r="D38" i="11"/>
  <c r="E38" i="11"/>
  <c r="F38" i="11"/>
  <c r="G38" i="11"/>
  <c r="H38" i="11"/>
  <c r="B39" i="11"/>
  <c r="C39" i="11"/>
  <c r="J39" i="55" s="1"/>
  <c r="D39" i="11"/>
  <c r="E39" i="11"/>
  <c r="F39" i="11"/>
  <c r="G39" i="11"/>
  <c r="H39" i="11"/>
  <c r="B40" i="11"/>
  <c r="C40" i="11"/>
  <c r="J40" i="55" s="1"/>
  <c r="D40" i="11"/>
  <c r="E40" i="11"/>
  <c r="F40" i="11"/>
  <c r="G40" i="11"/>
  <c r="H40" i="11"/>
  <c r="B41" i="11"/>
  <c r="C41" i="11"/>
  <c r="J41" i="55" s="1"/>
  <c r="D41" i="11"/>
  <c r="E41" i="11"/>
  <c r="F41" i="11"/>
  <c r="G41" i="11"/>
  <c r="H41" i="11"/>
  <c r="H2" i="11"/>
  <c r="E2" i="11"/>
  <c r="G2" i="11"/>
  <c r="F2" i="11"/>
  <c r="D2" i="11"/>
  <c r="C2" i="11"/>
  <c r="J2" i="55" s="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I3" i="55" s="1"/>
  <c r="S4" i="11"/>
  <c r="I4" i="55" s="1"/>
  <c r="S5" i="11"/>
  <c r="I5" i="55" s="1"/>
  <c r="S6" i="11"/>
  <c r="I6" i="55" s="1"/>
  <c r="S7" i="11"/>
  <c r="I7" i="55" s="1"/>
  <c r="S8" i="11"/>
  <c r="I8" i="55" s="1"/>
  <c r="S9" i="11"/>
  <c r="I9" i="55" s="1"/>
  <c r="S10" i="11"/>
  <c r="I10" i="55" s="1"/>
  <c r="S11" i="11"/>
  <c r="I11" i="55" s="1"/>
  <c r="S12" i="11"/>
  <c r="I12" i="55" s="1"/>
  <c r="S13" i="11"/>
  <c r="I13" i="55" s="1"/>
  <c r="S14" i="11"/>
  <c r="I14" i="55" s="1"/>
  <c r="S15" i="11"/>
  <c r="I15" i="55" s="1"/>
  <c r="S16" i="11"/>
  <c r="I16" i="55" s="1"/>
  <c r="S17" i="11"/>
  <c r="I17" i="55" s="1"/>
  <c r="S18" i="11"/>
  <c r="I18" i="55" s="1"/>
  <c r="S19" i="11"/>
  <c r="I19" i="55" s="1"/>
  <c r="S20" i="11"/>
  <c r="I20" i="55" s="1"/>
  <c r="S21" i="11"/>
  <c r="I21" i="55" s="1"/>
  <c r="S22" i="11"/>
  <c r="I22" i="55" s="1"/>
  <c r="S23" i="11"/>
  <c r="I23" i="55" s="1"/>
  <c r="S24" i="11"/>
  <c r="I24" i="55" s="1"/>
  <c r="S25" i="11"/>
  <c r="I25" i="55" s="1"/>
  <c r="S26" i="11"/>
  <c r="I26" i="55" s="1"/>
  <c r="S27" i="11"/>
  <c r="I27" i="55" s="1"/>
  <c r="S28" i="11"/>
  <c r="I28" i="55" s="1"/>
  <c r="S29" i="11"/>
  <c r="I29" i="55" s="1"/>
  <c r="S30" i="11"/>
  <c r="I30" i="55" s="1"/>
  <c r="S31" i="11"/>
  <c r="I31" i="55" s="1"/>
  <c r="S32" i="11"/>
  <c r="I32" i="55" s="1"/>
  <c r="S33" i="11"/>
  <c r="I33" i="55" s="1"/>
  <c r="S34" i="11"/>
  <c r="I34" i="55" s="1"/>
  <c r="S35" i="11"/>
  <c r="I35" i="55" s="1"/>
  <c r="S36" i="11"/>
  <c r="I36" i="55" s="1"/>
  <c r="S37" i="11"/>
  <c r="I37" i="55" s="1"/>
  <c r="S38" i="11"/>
  <c r="I38" i="55" s="1"/>
  <c r="S39" i="11"/>
  <c r="I39" i="55" s="1"/>
  <c r="S40" i="11"/>
  <c r="I40" i="55" s="1"/>
  <c r="S41" i="11"/>
  <c r="I41" i="55" s="1"/>
  <c r="S2" i="11"/>
  <c r="I2" i="55" s="1"/>
  <c r="J3" i="11"/>
  <c r="H3" i="55" s="1"/>
  <c r="J4" i="11"/>
  <c r="H4" i="55" s="1"/>
  <c r="J5" i="11"/>
  <c r="H5" i="55" s="1"/>
  <c r="J6" i="11"/>
  <c r="H6" i="55" s="1"/>
  <c r="J7" i="11"/>
  <c r="H7" i="55" s="1"/>
  <c r="J8" i="11"/>
  <c r="H8" i="55" s="1"/>
  <c r="J9" i="11"/>
  <c r="H9" i="55" s="1"/>
  <c r="J10" i="11"/>
  <c r="H10" i="55" s="1"/>
  <c r="J11" i="11"/>
  <c r="H11" i="55" s="1"/>
  <c r="J12" i="11"/>
  <c r="H12" i="55" s="1"/>
  <c r="J13" i="11"/>
  <c r="H13" i="55" s="1"/>
  <c r="J14" i="11"/>
  <c r="H14" i="55" s="1"/>
  <c r="J15" i="11"/>
  <c r="H15" i="55" s="1"/>
  <c r="J16" i="11"/>
  <c r="H16" i="55" s="1"/>
  <c r="J17" i="11"/>
  <c r="H17" i="55" s="1"/>
  <c r="J18" i="11"/>
  <c r="H18" i="55" s="1"/>
  <c r="J19" i="11"/>
  <c r="H19" i="55" s="1"/>
  <c r="J20" i="11"/>
  <c r="H20" i="55" s="1"/>
  <c r="J21" i="11"/>
  <c r="H21" i="55" s="1"/>
  <c r="J22" i="11"/>
  <c r="H22" i="55" s="1"/>
  <c r="J23" i="11"/>
  <c r="H23" i="55" s="1"/>
  <c r="J24" i="11"/>
  <c r="H24" i="55" s="1"/>
  <c r="J25" i="11"/>
  <c r="H25" i="55" s="1"/>
  <c r="J26" i="11"/>
  <c r="H26" i="55" s="1"/>
  <c r="J27" i="11"/>
  <c r="H27" i="55" s="1"/>
  <c r="J28" i="11"/>
  <c r="H28" i="55" s="1"/>
  <c r="J29" i="11"/>
  <c r="H29" i="55" s="1"/>
  <c r="J30" i="11"/>
  <c r="H30" i="55" s="1"/>
  <c r="J31" i="11"/>
  <c r="H31" i="55" s="1"/>
  <c r="J32" i="11"/>
  <c r="H32" i="55" s="1"/>
  <c r="J33" i="11"/>
  <c r="H33" i="55" s="1"/>
  <c r="J34" i="11"/>
  <c r="H34" i="55" s="1"/>
  <c r="J35" i="11"/>
  <c r="H35" i="55" s="1"/>
  <c r="J36" i="11"/>
  <c r="H36" i="55" s="1"/>
  <c r="J37" i="11"/>
  <c r="H37" i="55" s="1"/>
  <c r="J38" i="11"/>
  <c r="H38" i="55" s="1"/>
  <c r="J39" i="11"/>
  <c r="H39" i="55" s="1"/>
  <c r="J40" i="11"/>
  <c r="H40" i="55" s="1"/>
  <c r="J41" i="11"/>
  <c r="H41" i="55" s="1"/>
  <c r="J2" i="11"/>
  <c r="H2" i="55" s="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B2" i="11"/>
  <c r="R2" i="11"/>
  <c r="C2" i="55" s="1"/>
  <c r="R41" i="11"/>
  <c r="C41" i="55" s="1"/>
  <c r="R40" i="11"/>
  <c r="C40" i="55" s="1"/>
  <c r="R39" i="11"/>
  <c r="C39" i="55" s="1"/>
  <c r="R38" i="11"/>
  <c r="C38" i="55" s="1"/>
  <c r="R37" i="11"/>
  <c r="C37" i="55" s="1"/>
  <c r="R36" i="11"/>
  <c r="C36" i="55" s="1"/>
  <c r="R35" i="11"/>
  <c r="C35" i="55" s="1"/>
  <c r="R34" i="11"/>
  <c r="C34" i="55" s="1"/>
  <c r="R33" i="11"/>
  <c r="C33" i="55" s="1"/>
  <c r="R32" i="11"/>
  <c r="C32" i="55" s="1"/>
  <c r="R31" i="11"/>
  <c r="C31" i="55" s="1"/>
  <c r="R30" i="11"/>
  <c r="C30" i="55" s="1"/>
  <c r="R29" i="11"/>
  <c r="C29" i="55" s="1"/>
  <c r="R28" i="11"/>
  <c r="C28" i="55" s="1"/>
  <c r="R27" i="11"/>
  <c r="C27" i="55" s="1"/>
  <c r="R26" i="11"/>
  <c r="C26" i="55" s="1"/>
  <c r="R25" i="11"/>
  <c r="C25" i="55" s="1"/>
  <c r="R24" i="11"/>
  <c r="C24" i="55" s="1"/>
  <c r="R23" i="11"/>
  <c r="C23" i="55" s="1"/>
  <c r="R22" i="11"/>
  <c r="C22" i="55" s="1"/>
  <c r="R21" i="11"/>
  <c r="C21" i="55" s="1"/>
  <c r="R20" i="11"/>
  <c r="C20" i="55" s="1"/>
  <c r="R19" i="11"/>
  <c r="C19" i="55" s="1"/>
  <c r="R18" i="11"/>
  <c r="C18" i="55" s="1"/>
  <c r="R17" i="11"/>
  <c r="C17" i="55" s="1"/>
  <c r="R16" i="11"/>
  <c r="C16" i="55" s="1"/>
  <c r="R15" i="11"/>
  <c r="C15" i="55" s="1"/>
  <c r="R14" i="11"/>
  <c r="C14" i="55" s="1"/>
  <c r="R13" i="11"/>
  <c r="C13" i="55" s="1"/>
  <c r="R12" i="11"/>
  <c r="C12" i="55" s="1"/>
  <c r="R11" i="11"/>
  <c r="C11" i="55" s="1"/>
  <c r="R10" i="11"/>
  <c r="C10" i="55" s="1"/>
  <c r="R9" i="11"/>
  <c r="C9" i="55" s="1"/>
  <c r="R8" i="11"/>
  <c r="C8" i="55" s="1"/>
  <c r="R7" i="11"/>
  <c r="C7" i="55" s="1"/>
  <c r="R6" i="11"/>
  <c r="C6" i="55" s="1"/>
  <c r="R5" i="11"/>
  <c r="C5" i="55" s="1"/>
  <c r="R4" i="11"/>
  <c r="C4" i="55" s="1"/>
  <c r="R3" i="11"/>
  <c r="C3" i="55" s="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<sst xmlns="http://schemas.openxmlformats.org/spreadsheetml/2006/main" count="452" uniqueCount="369">
  <si>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</si>
  <si>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</si>
  <si>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</si>
  <si>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</si>
  <si>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</si>
  <si>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</si>
  <si>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</si>
  <si>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</si>
  <si>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</si>
  <si>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</si>
  <si>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</si>
  <si>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</si>
  <si>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</si>
  <si>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</si>
  <si>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</si>
  <si>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</si>
  <si>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</si>
  <si>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</si>
  <si>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</si>
  <si>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</si>
  <si>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</si>
  <si>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</si>
  <si>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</si>
  <si>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</si>
  <si>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</si>
  <si>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</si>
  <si>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</si>
  <si>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</si>
  <si>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</si>
  <si>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</si>
  <si>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</si>
  <si>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</si>
  <si>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</si>
  <si>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</si>
  <si>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</si>
  <si>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</si>
  <si>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</si>
  <si>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</si>
  <si>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</si>
  <si>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</si>
  <si>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</si>
  <si>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</si>
  <si>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</si>
  <si>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</si>
  <si>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</si>
  <si>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</si>
  <si>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</si>
  <si>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</si>
  <si>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</si>
  <si>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</si>
  <si>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</si>
  <si>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</si>
  <si>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</si>
  <si>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</si>
  <si>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</si>
  <si>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</si>
  <si>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period</t>
  </si>
  <si>
    <t>zero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</si>
  <si>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</si>
  <si>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</si>
  <si>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</si>
  <si>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</si>
  <si>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</si>
  <si>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</si>
  <si>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</si>
  <si>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</si>
  <si>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</si>
  <si>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</si>
  <si>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</si>
  <si>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</si>
  <si>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</si>
  <si>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</si>
  <si>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</si>
  <si>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</si>
  <si>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</si>
  <si>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</si>
  <si>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</si>
  <si>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</si>
  <si>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</si>
  <si>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</si>
  <si>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</si>
  <si>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</si>
  <si>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</si>
  <si>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</si>
  <si>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</si>
  <si>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</si>
  <si>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</si>
  <si>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</si>
  <si>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</si>
  <si>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</si>
  <si>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</si>
  <si>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</si>
  <si>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</si>
  <si>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</si>
  <si>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</si>
  <si>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</si>
  <si>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</si>
  <si>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</si>
  <si>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</si>
  <si>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</si>
  <si>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</si>
  <si>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</si>
  <si>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</si>
  <si>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</si>
  <si>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</si>
  <si>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</si>
  <si>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</si>
  <si>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</si>
  <si>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</si>
  <si>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</si>
  <si>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</si>
  <si>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</si>
  <si>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</si>
  <si>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</si>
  <si>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</si>
  <si>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</si>
  <si>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</si>
  <si>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</si>
  <si>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</si>
  <si>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</si>
  <si>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</si>
  <si>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</si>
  <si>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</si>
  <si>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</si>
  <si>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</si>
  <si>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</si>
  <si>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</si>
  <si>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</si>
  <si>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</si>
  <si>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</si>
  <si>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</si>
  <si>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</si>
  <si>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</si>
  <si>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</si>
  <si>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</si>
  <si>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</si>
  <si>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</si>
  <si>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</si>
  <si>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</si>
  <si>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</si>
  <si>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</si>
  <si>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</si>
  <si>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</si>
  <si>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</si>
  <si>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</si>
  <si>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</si>
  <si>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</si>
  <si>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</si>
  <si>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</si>
  <si>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</si>
  <si>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</si>
  <si>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</si>
  <si>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</si>
  <si>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</si>
  <si>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</si>
  <si>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</si>
  <si>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</si>
  <si>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</si>
  <si>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</si>
  <si>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</si>
  <si>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</si>
  <si>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</si>
  <si>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</si>
  <si>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</si>
  <si>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</si>
  <si>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</si>
  <si>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</si>
  <si>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</si>
  <si>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</si>
  <si>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</si>
  <si>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</si>
  <si>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</si>
  <si>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</si>
  <si>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</si>
  <si>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</si>
  <si>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</si>
  <si>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</si>
  <si>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</si>
  <si>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</si>
  <si>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</si>
  <si>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</si>
  <si>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</si>
  <si>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</si>
  <si>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</si>
  <si>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</si>
  <si>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</si>
  <si>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</si>
  <si>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</si>
  <si>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</si>
  <si>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</si>
  <si>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</si>
  <si>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</si>
  <si>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</si>
  <si>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</si>
  <si>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</si>
  <si>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</si>
  <si>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</si>
  <si>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</si>
  <si>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</si>
  <si>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</si>
  <si>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</si>
  <si>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</si>
  <si>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</si>
  <si>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</si>
  <si>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</si>
  <si>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</si>
  <si>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</si>
  <si>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</si>
  <si>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</si>
  <si>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</si>
  <si>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</si>
  <si>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</si>
  <si>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</si>
  <si>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</si>
  <si>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</si>
  <si>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</si>
  <si>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</si>
  <si>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</si>
  <si>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</si>
  <si>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</si>
  <si>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</si>
  <si>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</si>
  <si>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</si>
  <si>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</si>
  <si>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</si>
  <si>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</si>
  <si>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</si>
  <si>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</si>
  <si>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</si>
  <si>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</si>
  <si>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</si>
  <si>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</si>
  <si>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</si>
  <si>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</si>
  <si>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</si>
  <si>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</si>
  <si>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</si>
  <si>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</si>
  <si>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</si>
  <si>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</si>
  <si>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</si>
  <si>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</si>
  <si>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</si>
  <si>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</si>
  <si>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</si>
  <si>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</si>
  <si>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</si>
  <si>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</si>
  <si>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</si>
  <si>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</si>
  <si>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</si>
  <si>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</si>
  <si>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</si>
  <si>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</si>
  <si>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</si>
  <si>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</si>
  <si>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</si>
  <si>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</si>
  <si>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</si>
  <si>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</si>
  <si>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</si>
  <si>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</si>
  <si>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</si>
  <si>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</si>
  <si>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</si>
  <si>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</si>
  <si>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</si>
  <si>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</si>
  <si>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</si>
  <si>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</si>
  <si>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</si>
  <si>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</si>
  <si>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</si>
  <si>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</si>
  <si>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</si>
  <si>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</si>
  <si>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</si>
  <si>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</si>
  <si>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</si>
  <si>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</si>
  <si>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</si>
  <si>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</si>
  <si>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</si>
  <si>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</si>
  <si>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</si>
  <si>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</si>
  <si>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</si>
  <si>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total firms for normalization</t>
  </si>
  <si>
    <t>Firm exit by age</t>
  </si>
  <si>
    <t>b) 1</t>
  </si>
  <si>
    <t>c) 2</t>
  </si>
  <si>
    <t>d) 3</t>
  </si>
  <si>
    <t>e) 4</t>
  </si>
  <si>
    <t>f) 5</t>
  </si>
  <si>
    <t>g) 6 to 10</t>
  </si>
  <si>
    <t>h) 11 to 15</t>
  </si>
  <si>
    <t>i) 16 to 20</t>
  </si>
  <si>
    <t>21 plus</t>
  </si>
  <si>
    <t>Firm exit by age (period 0 = 0)</t>
  </si>
  <si>
    <t>output no exit</t>
  </si>
  <si>
    <t>employment no exit</t>
  </si>
  <si>
    <t>investment no exit</t>
  </si>
  <si>
    <t>firm debt no exit</t>
  </si>
  <si>
    <t>output</t>
  </si>
  <si>
    <t>employment</t>
  </si>
  <si>
    <t>output no entry</t>
  </si>
  <si>
    <t>employment no entry</t>
  </si>
  <si>
    <t>investment no entry</t>
  </si>
  <si>
    <t>firm debt no entry</t>
  </si>
  <si>
    <t>output no entry or exit</t>
  </si>
  <si>
    <t>employment no entry or exit</t>
  </si>
  <si>
    <t>investment no entry or exit</t>
  </si>
  <si>
    <t>firm debt no entry or exit</t>
  </si>
  <si>
    <t>output_loss_entry</t>
  </si>
  <si>
    <t>employment_loss_entry</t>
  </si>
  <si>
    <t>investment_loss_entry</t>
  </si>
  <si>
    <t>debt_loss_entry</t>
  </si>
  <si>
    <t>output_gain_entry</t>
  </si>
  <si>
    <t>employment_gain_entry</t>
  </si>
  <si>
    <t>investment_gain_entry</t>
  </si>
  <si>
    <t>debt_gain_entry</t>
  </si>
  <si>
    <t>output_loss_incumbent</t>
  </si>
  <si>
    <t>employment_loss_incumbent</t>
  </si>
  <si>
    <t>investment_loss_incumbent</t>
  </si>
  <si>
    <t>debt_loss_incumbent</t>
  </si>
  <si>
    <t>output_gain_incumbent</t>
  </si>
  <si>
    <t>employment_gain_incumbent</t>
  </si>
  <si>
    <t>investment_gain_incumbent</t>
  </si>
  <si>
    <t>debt_gain_incumbent</t>
  </si>
  <si>
    <t>gdp_1</t>
  </si>
  <si>
    <t>h_1</t>
  </si>
  <si>
    <t>inv_1</t>
  </si>
  <si>
    <t>firm_debt_2</t>
  </si>
  <si>
    <t>gdp_t</t>
  </si>
  <si>
    <t>h_t</t>
  </si>
  <si>
    <t>inv_t</t>
  </si>
  <si>
    <t>firm_debt_t</t>
  </si>
  <si>
    <t>peroid</t>
  </si>
  <si>
    <t>no exit</t>
  </si>
  <si>
    <t>benchmark</t>
  </si>
  <si>
    <t>no entry</t>
  </si>
  <si>
    <t>no entry or exit</t>
  </si>
  <si>
    <t>shock psi</t>
  </si>
  <si>
    <t>Firm subject to shutdown</t>
  </si>
  <si>
    <t>shock shutdown</t>
  </si>
  <si>
    <t>output net entry</t>
  </si>
  <si>
    <t>employment net entry</t>
  </si>
  <si>
    <t>investment net entry</t>
  </si>
  <si>
    <t>firm debt net entry</t>
  </si>
  <si>
    <t>output net incumbent</t>
  </si>
  <si>
    <t>employment net incumbent</t>
  </si>
  <si>
    <t>investment net incumbent</t>
  </si>
  <si>
    <t>firm debt net incumbent</t>
  </si>
  <si>
    <t>output net exit</t>
  </si>
  <si>
    <t>employment net exit</t>
  </si>
  <si>
    <t>investment net exit</t>
  </si>
  <si>
    <t>firm debt net exit</t>
  </si>
  <si>
    <t>psi_c</t>
  </si>
  <si>
    <t>collat_binding</t>
  </si>
  <si>
    <t>firm_lock_down</t>
  </si>
  <si>
    <t>exit_lock_down</t>
  </si>
  <si>
    <t>output shutdown and psi</t>
  </si>
  <si>
    <t>employment shutdown and psi</t>
  </si>
  <si>
    <t>firm debt to output shutdown and psi</t>
  </si>
  <si>
    <t>firm entry shutdown and psi</t>
  </si>
  <si>
    <t>firm exit shutdown and psi</t>
  </si>
  <si>
    <t>consumption shutdown and psi</t>
  </si>
  <si>
    <t>investment shutdown and psi</t>
  </si>
  <si>
    <t>labor productivity shutdown and psi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</si>
</sst>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0" fillId="0" borderId="0" xfId="0" applyNumberFormat="1" applyFont="1"/>
    <xf numFmtId="165" fontId="1" fillId="0" borderId="0" xfId="0" applyNumberFormat="1" applyFont="1"/>
    <xf numFmtId="0" fontId="3" fillId="2" borderId="0" xfId="0" applyFont="1" applyFill="1"/>
    <xf numFmtId="1" fontId="3" fillId="2" borderId="0" xfId="0" applyNumberFormat="1" applyFont="1" applyFill="1"/>
    <xf numFmtId="2" fontId="3" fillId="2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61"/>
  <sheetViews>
    <sheetView zoomScale="90" zoomScaleNormal="90" workbookViewId="0">
      <pane xSplit="1" ySplit="1" topLeftCell="T2" activePane="bottomRight" state="frozen"/>
      <selection pane="topRight" activeCell="B1" sqref="B1"/>
      <selection pane="bottomLeft" activeCell="A2" sqref="A2"/>
      <selection pane="bottomRight" activeCell="AD8" sqref="AD8"/>
    </sheetView>
  </sheetViews>
  <sheetFormatPr defaultRowHeight="14.5" x14ac:dyDescent="0.35"/>
  <cols>
    <col min="1" max="1" width="8.7265625" style="1"/>
    <col min="16" max="17" width="12.54296875" bestFit="1" customWidth="1"/>
    <col min="40" max="41" width="12.6328125" bestFit="1" customWidth="1"/>
  </cols>
  <sheetData>
    <row r="1" spans="1:39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48</v>
      </c>
      <c r="H1" s="1" t="s">
        <v>49</v>
      </c>
      <c r="I1" s="1" t="s">
        <v>54</v>
      </c>
      <c r="J1" s="1" t="s">
        <v>11</v>
      </c>
      <c r="K1" s="1" t="s">
        <v>12</v>
      </c>
      <c r="L1" s="1" t="s">
        <v>10</v>
      </c>
      <c r="M1" s="1" t="s">
        <v>50</v>
      </c>
      <c r="N1" s="1" t="s">
        <v>13</v>
      </c>
      <c r="O1" s="1" t="s">
        <v>16</v>
      </c>
      <c r="P1" s="1" t="s">
        <v>18</v>
      </c>
      <c r="Q1" s="1" t="s">
        <v>5</v>
      </c>
      <c r="R1" s="1" t="s">
        <v>14</v>
      </c>
      <c r="S1" s="1" t="s">
        <v>15</v>
      </c>
      <c r="T1" s="1" t="s">
        <v>22</v>
      </c>
      <c r="U1" s="1" t="s">
        <v>17</v>
      </c>
      <c r="V1" s="1" t="s">
        <v>47</v>
      </c>
      <c r="W1" s="1" t="s">
        <v>21</v>
      </c>
      <c r="X1" s="1" t="s">
        <v>40</v>
      </c>
      <c r="Y1" s="1" t="s">
        <v>6</v>
      </c>
      <c r="Z1" s="1" t="s">
        <v>7</v>
      </c>
      <c r="AA1" s="1" t="s">
        <v>8</v>
      </c>
      <c r="AB1" s="1" t="s">
        <v>19</v>
      </c>
      <c r="AC1" s="1" t="s">
        <v>24</v>
      </c>
      <c r="AD1" s="1" t="s">
        <v>31</v>
      </c>
      <c r="AE1" s="1" t="s">
        <v>53</v>
      </c>
      <c r="AF1" s="1" t="s">
        <v>357</v>
      </c>
      <c r="AG1" s="1" t="s">
        <v>358</v>
      </c>
      <c r="AH1" s="1" t="s">
        <v>359</v>
      </c>
      <c r="AI1" s="1" t="s">
        <v>360</v>
      </c>
      <c r="AK1" s="1" t="s">
        <v>343</v>
      </c>
      <c r="AL1" s="1" t="s">
        <v>23</v>
      </c>
      <c r="AM1" s="1" t="s">
        <v>52</v>
      </c>
    </row>
    <row r="2" spans="1:39" x14ac:dyDescent="0.35">
      <c r="A2" s="1">
        <v>0</v>
      </c>
      <c r="B2" s="2">
        <v>1</v>
      </c>
      <c r="C2" s="2">
        <v>0.79263700000000004</v>
      </c>
      <c r="D2" s="2">
        <v>0.40354410000000002</v>
      </c>
      <c r="E2" s="2">
        <v>3.2342999999999998E-3</v>
      </c>
      <c r="F2" s="2">
        <v>1</v>
      </c>
      <c r="G2" s="2">
        <v>0.78018900000000002</v>
      </c>
      <c r="H2" s="2">
        <v>0</v>
      </c>
      <c r="I2" s="2">
        <v>0</v>
      </c>
      <c r="J2" s="2">
        <v>2.5286658000000002</v>
      </c>
      <c r="K2" s="2">
        <v>0.99755099999999997</v>
      </c>
      <c r="L2" s="2">
        <v>-4.5981648000000002</v>
      </c>
      <c r="M2" s="2">
        <v>1.0101000000000001E-2</v>
      </c>
      <c r="N2" s="2">
        <v>2.0018584000000001</v>
      </c>
      <c r="O2" s="2">
        <v>0.55909600000000004</v>
      </c>
      <c r="P2" s="9">
        <v>1.0654E-2</v>
      </c>
      <c r="Q2" s="9">
        <v>0.3604869</v>
      </c>
      <c r="R2" s="2">
        <v>3.0906913999999999</v>
      </c>
      <c r="S2" s="2">
        <v>0.55328379999999999</v>
      </c>
      <c r="T2" s="2">
        <v>-1</v>
      </c>
      <c r="U2" s="2">
        <v>1.0653899999999999E-2</v>
      </c>
      <c r="V2" s="2">
        <v>0</v>
      </c>
      <c r="W2" s="2">
        <v>2.6877955999999998</v>
      </c>
      <c r="X2" s="2">
        <v>0.64611940000000001</v>
      </c>
      <c r="Y2" s="2">
        <v>0</v>
      </c>
      <c r="Z2" s="2">
        <v>0</v>
      </c>
      <c r="AA2" s="2">
        <v>-5.7495697000000003</v>
      </c>
      <c r="AB2" s="2">
        <v>33.1899199</v>
      </c>
      <c r="AC2" s="2">
        <v>3.0906913999999999</v>
      </c>
      <c r="AD2" s="2">
        <v>0.55328379999999999</v>
      </c>
      <c r="AE2" s="2">
        <v>8.7417999999999992E-3</v>
      </c>
      <c r="AF2">
        <v>1</v>
      </c>
      <c r="AG2" s="2">
        <v>0</v>
      </c>
      <c r="AH2" s="2">
        <v>0</v>
      </c>
      <c r="AI2" s="2">
        <v>0</v>
      </c>
      <c r="AJ2" s="2"/>
      <c r="AK2" s="2">
        <f>100*0.02753520570695</f>
        <v>2.7535205706949997</v>
      </c>
      <c r="AL2">
        <f>100*(R2/K2-R$2/K$2)</f>
        <v>0</v>
      </c>
      <c r="AM2">
        <f>SUM(output_transition_firms_age!C9:F9)/output_transition_firms_age!IL8</f>
        <v>0.11498167756396205</v>
      </c>
    </row>
    <row r="3" spans="1:39" x14ac:dyDescent="0.35">
      <c r="A3" s="1">
        <v>1</v>
      </c>
      <c r="B3" s="2">
        <v>1</v>
      </c>
      <c r="C3" s="2">
        <v>0.94198749999999998</v>
      </c>
      <c r="D3" s="2">
        <v>0.40354410000000002</v>
      </c>
      <c r="E3" s="2">
        <v>3.2342999999999998E-3</v>
      </c>
      <c r="F3" s="2">
        <v>1</v>
      </c>
      <c r="G3" s="2">
        <v>0.78018900000000002</v>
      </c>
      <c r="H3" s="2">
        <v>0</v>
      </c>
      <c r="I3" s="2">
        <v>0</v>
      </c>
      <c r="J3" s="2">
        <v>2.5023966999999998</v>
      </c>
      <c r="K3" s="2">
        <v>0.85260480000000005</v>
      </c>
      <c r="L3" s="2">
        <v>-4.5981648000000002</v>
      </c>
      <c r="M3" s="2">
        <v>1.0101000000000001E-2</v>
      </c>
      <c r="N3" s="2">
        <v>2.1962526000000002</v>
      </c>
      <c r="O3" s="2">
        <v>0.68262089999999997</v>
      </c>
      <c r="P3" s="2">
        <v>8.2175000000000008E-3</v>
      </c>
      <c r="Q3" s="2">
        <v>0.3604869</v>
      </c>
      <c r="R3" s="2">
        <v>2.7384941</v>
      </c>
      <c r="S3" s="2">
        <v>0.23609740000000001</v>
      </c>
      <c r="T3" s="2">
        <v>-1</v>
      </c>
      <c r="U3" s="2">
        <v>2.20506E-2</v>
      </c>
      <c r="V3" s="2">
        <v>0</v>
      </c>
      <c r="W3" s="2">
        <v>2.3124077999999999</v>
      </c>
      <c r="X3" s="2">
        <v>0.68337650000000005</v>
      </c>
      <c r="Y3" s="2">
        <v>0</v>
      </c>
      <c r="Z3" s="2">
        <v>0</v>
      </c>
      <c r="AA3" s="2">
        <v>-5.7495697000000003</v>
      </c>
      <c r="AB3" s="2">
        <v>33.157068799999998</v>
      </c>
      <c r="AC3" s="2">
        <v>2.7400915000000001</v>
      </c>
      <c r="AD3" s="2">
        <v>0.23769480000000001</v>
      </c>
      <c r="AE3" s="5">
        <v>0</v>
      </c>
      <c r="AF3">
        <v>1</v>
      </c>
      <c r="AG3" s="2">
        <v>0</v>
      </c>
      <c r="AH3" s="2">
        <v>1.0071099999999999E-2</v>
      </c>
      <c r="AI3" s="2">
        <v>2.3628E-3</v>
      </c>
      <c r="AJ3" s="2">
        <f>100*SUM(AI3:AI41)/AH3</f>
        <v>30.702703776151559</v>
      </c>
      <c r="AK3" s="2">
        <f>AK2*0.5</f>
        <v>1.3767602853474998</v>
      </c>
      <c r="AL3">
        <f t="shared" ref="AL3:AL41" si="0">100*(R3/K3-R$2/K$2)</f>
        <v>11.363586034215434</v>
      </c>
      <c r="AM3">
        <f>SUM(output_transition_firms_age!C10:F10)/output_transition_firms_age!IL9</f>
        <v>0.10290784199134854</v>
      </c>
    </row>
    <row r="4" spans="1:39" x14ac:dyDescent="0.35">
      <c r="A4" s="1">
        <v>2</v>
      </c>
      <c r="B4" s="2">
        <v>1</v>
      </c>
      <c r="C4" s="2">
        <v>0.86731230000000004</v>
      </c>
      <c r="D4" s="2">
        <v>0.40354410000000002</v>
      </c>
      <c r="E4" s="2">
        <v>3.2342999999999998E-3</v>
      </c>
      <c r="F4" s="2">
        <v>1</v>
      </c>
      <c r="G4" s="2">
        <v>0.78018900000000002</v>
      </c>
      <c r="H4" s="2">
        <v>0</v>
      </c>
      <c r="I4" s="2">
        <v>0</v>
      </c>
      <c r="J4" s="2">
        <v>2.4978885000000002</v>
      </c>
      <c r="K4" s="2">
        <v>0.91647460000000003</v>
      </c>
      <c r="L4" s="2">
        <v>-4.5654311999999999</v>
      </c>
      <c r="M4" s="2">
        <v>8.4943999999999992E-3</v>
      </c>
      <c r="N4" s="2">
        <v>2.0931899999999999</v>
      </c>
      <c r="O4" s="2">
        <v>0.52627639999999998</v>
      </c>
      <c r="P4" s="2">
        <v>9.7630000000000008E-3</v>
      </c>
      <c r="Q4" s="2">
        <v>0.34665380000000001</v>
      </c>
      <c r="R4" s="2">
        <v>2.8910827000000001</v>
      </c>
      <c r="S4" s="2">
        <v>0.3931943</v>
      </c>
      <c r="T4" s="2">
        <v>-1</v>
      </c>
      <c r="U4" s="2">
        <v>8.4898999999999999E-3</v>
      </c>
      <c r="V4" s="2">
        <v>0</v>
      </c>
      <c r="W4" s="2">
        <v>2.5713149999999998</v>
      </c>
      <c r="X4" s="2">
        <v>0.663327</v>
      </c>
      <c r="Y4" s="2">
        <v>0</v>
      </c>
      <c r="Z4" s="2">
        <v>0</v>
      </c>
      <c r="AA4" s="2">
        <v>-5.6976513999999998</v>
      </c>
      <c r="AB4" s="2">
        <v>32.858576100000001</v>
      </c>
      <c r="AC4" s="2">
        <v>2.8919744000000001</v>
      </c>
      <c r="AD4" s="2">
        <v>0.39408589999999999</v>
      </c>
      <c r="AE4" s="2">
        <v>0</v>
      </c>
      <c r="AF4">
        <v>1</v>
      </c>
      <c r="AG4" s="2">
        <v>0</v>
      </c>
      <c r="AH4" s="2">
        <v>3.8809000000000001E-3</v>
      </c>
      <c r="AI4" s="2">
        <v>4.1110000000000002E-4</v>
      </c>
      <c r="AJ4" s="2"/>
      <c r="AK4" s="2">
        <f t="shared" ref="AK4:AK41" si="1">AK3*0.5</f>
        <v>0.68838014267374992</v>
      </c>
      <c r="AL4">
        <f t="shared" si="0"/>
        <v>5.6290282836031214</v>
      </c>
      <c r="AM4">
        <f>SUM(output_transition_firms_age!C11:F11)/output_transition_firms_age!IL10</f>
        <v>0.10195531566933186</v>
      </c>
    </row>
    <row r="5" spans="1:39" x14ac:dyDescent="0.35">
      <c r="A5" s="1">
        <v>3</v>
      </c>
      <c r="B5" s="2">
        <v>1</v>
      </c>
      <c r="C5" s="2">
        <v>0.82997469999999995</v>
      </c>
      <c r="D5" s="2">
        <v>0.40354410000000002</v>
      </c>
      <c r="E5" s="2">
        <v>3.2342999999999998E-3</v>
      </c>
      <c r="F5" s="2">
        <v>1</v>
      </c>
      <c r="G5" s="2">
        <v>0.78018900000000002</v>
      </c>
      <c r="H5" s="2">
        <v>0</v>
      </c>
      <c r="I5" s="2">
        <v>0</v>
      </c>
      <c r="J5" s="2">
        <v>2.4964455000000001</v>
      </c>
      <c r="K5" s="2">
        <v>0.95230599999999999</v>
      </c>
      <c r="L5" s="2">
        <v>-4.6441480999999998</v>
      </c>
      <c r="M5" s="2">
        <v>9.5095000000000006E-3</v>
      </c>
      <c r="N5" s="2">
        <v>2.0405104000000001</v>
      </c>
      <c r="O5" s="2">
        <v>0.52905570000000002</v>
      </c>
      <c r="P5" s="2">
        <v>1.0503200000000001E-2</v>
      </c>
      <c r="Q5" s="2">
        <v>0.34792689999999998</v>
      </c>
      <c r="R5" s="2">
        <v>2.9683147000000001</v>
      </c>
      <c r="S5" s="2">
        <v>0.47186919999999999</v>
      </c>
      <c r="T5" s="2">
        <v>-1</v>
      </c>
      <c r="U5" s="2">
        <v>8.5807000000000001E-3</v>
      </c>
      <c r="V5" s="2">
        <v>0</v>
      </c>
      <c r="W5" s="2">
        <v>2.6568489</v>
      </c>
      <c r="X5" s="2">
        <v>0.65454699999999999</v>
      </c>
      <c r="Y5" s="2">
        <v>0</v>
      </c>
      <c r="Z5" s="2">
        <v>0</v>
      </c>
      <c r="AA5" s="2">
        <v>-5.6542342000000003</v>
      </c>
      <c r="AB5" s="2">
        <v>32.714294500000001</v>
      </c>
      <c r="AC5" s="2">
        <v>2.9687206000000002</v>
      </c>
      <c r="AD5" s="2">
        <v>0.47227520000000001</v>
      </c>
      <c r="AE5" s="2">
        <v>0</v>
      </c>
      <c r="AF5">
        <v>1</v>
      </c>
      <c r="AG5" s="2">
        <v>0</v>
      </c>
      <c r="AH5" s="2">
        <v>1.7547000000000001E-3</v>
      </c>
      <c r="AI5" s="2">
        <v>1.8789999999999999E-4</v>
      </c>
      <c r="AJ5" s="2"/>
      <c r="AK5" s="2">
        <f t="shared" si="1"/>
        <v>0.34419007133687496</v>
      </c>
      <c r="AL5">
        <f t="shared" si="0"/>
        <v>1.8696655510475058</v>
      </c>
      <c r="AM5">
        <f>SUM(output_transition_firms_age!C12:F12)/output_transition_firms_age!IL11</f>
        <v>0.10473781175917397</v>
      </c>
    </row>
    <row r="6" spans="1:39" x14ac:dyDescent="0.35">
      <c r="A6" s="1">
        <v>4</v>
      </c>
      <c r="B6" s="2">
        <v>1</v>
      </c>
      <c r="C6" s="2">
        <v>0.81130590000000002</v>
      </c>
      <c r="D6" s="2">
        <v>0.40354410000000002</v>
      </c>
      <c r="E6" s="2">
        <v>3.2342999999999998E-3</v>
      </c>
      <c r="F6" s="2">
        <v>1</v>
      </c>
      <c r="G6" s="2">
        <v>0.78018900000000002</v>
      </c>
      <c r="H6" s="2">
        <v>0</v>
      </c>
      <c r="I6" s="2">
        <v>0</v>
      </c>
      <c r="J6" s="2">
        <v>2.4968897999999999</v>
      </c>
      <c r="K6" s="2">
        <v>0.97151069999999995</v>
      </c>
      <c r="L6" s="2">
        <v>-4.6962466000000003</v>
      </c>
      <c r="M6" s="2">
        <v>9.9103999999999998E-3</v>
      </c>
      <c r="N6" s="2">
        <v>2.0142756999999998</v>
      </c>
      <c r="O6" s="2">
        <v>0.53402459999999996</v>
      </c>
      <c r="P6" s="2">
        <v>1.1070999999999999E-2</v>
      </c>
      <c r="Q6" s="2">
        <v>0.34984949999999998</v>
      </c>
      <c r="R6" s="2">
        <v>3.0077367000000002</v>
      </c>
      <c r="S6" s="2">
        <v>0.51084689999999999</v>
      </c>
      <c r="T6" s="2">
        <v>-1</v>
      </c>
      <c r="U6" s="2">
        <v>9.6304000000000008E-3</v>
      </c>
      <c r="V6" s="2">
        <v>0</v>
      </c>
      <c r="W6" s="2">
        <v>2.6917368000000002</v>
      </c>
      <c r="X6" s="2">
        <v>0.6505841</v>
      </c>
      <c r="Y6" s="2">
        <v>0</v>
      </c>
      <c r="Z6" s="2">
        <v>0</v>
      </c>
      <c r="AA6" s="2">
        <v>-5.6228942999999996</v>
      </c>
      <c r="AB6" s="2">
        <v>32.648331300000002</v>
      </c>
      <c r="AC6" s="2">
        <v>3.0078741999999998</v>
      </c>
      <c r="AD6" s="2">
        <v>0.51098440000000001</v>
      </c>
      <c r="AE6" s="2">
        <v>0</v>
      </c>
      <c r="AF6">
        <v>1</v>
      </c>
      <c r="AG6" s="2">
        <v>0</v>
      </c>
      <c r="AH6" s="2">
        <v>7.9330000000000004E-4</v>
      </c>
      <c r="AI6" s="2">
        <v>7.5900000000000002E-5</v>
      </c>
      <c r="AJ6" s="2"/>
      <c r="AK6" s="2">
        <f t="shared" si="1"/>
        <v>0.17209503566843748</v>
      </c>
      <c r="AL6">
        <f t="shared" si="0"/>
        <v>-0.23412846923518416</v>
      </c>
      <c r="AM6">
        <f>SUM(output_transition_firms_age!C13:F13)/output_transition_firms_age!IL12</f>
        <v>0.10852825892300369</v>
      </c>
    </row>
    <row r="7" spans="1:39" x14ac:dyDescent="0.35">
      <c r="A7" s="1">
        <v>5</v>
      </c>
      <c r="B7" s="2">
        <v>1</v>
      </c>
      <c r="C7" s="2">
        <v>0.8019714</v>
      </c>
      <c r="D7" s="2">
        <v>0.40354410000000002</v>
      </c>
      <c r="E7" s="2">
        <v>3.2342999999999998E-3</v>
      </c>
      <c r="F7" s="2">
        <v>1</v>
      </c>
      <c r="G7" s="2">
        <v>0.78018900000000002</v>
      </c>
      <c r="H7" s="2">
        <v>0</v>
      </c>
      <c r="I7" s="2">
        <v>0</v>
      </c>
      <c r="J7" s="2">
        <v>2.4968045000000001</v>
      </c>
      <c r="K7" s="2">
        <v>0.981514</v>
      </c>
      <c r="L7" s="2">
        <v>-4.7314854999999998</v>
      </c>
      <c r="M7" s="2">
        <v>1.0116399999999999E-2</v>
      </c>
      <c r="N7" s="2">
        <v>2.0013592</v>
      </c>
      <c r="O7" s="2">
        <v>0.53853430000000002</v>
      </c>
      <c r="P7" s="2">
        <v>1.10854E-2</v>
      </c>
      <c r="Q7" s="2">
        <v>0.35129009999999999</v>
      </c>
      <c r="R7" s="2">
        <v>3.0277877000000002</v>
      </c>
      <c r="S7" s="2">
        <v>0.53098319999999999</v>
      </c>
      <c r="T7" s="2">
        <v>-1</v>
      </c>
      <c r="U7" s="2">
        <v>9.8978E-3</v>
      </c>
      <c r="V7" s="2">
        <v>0</v>
      </c>
      <c r="W7" s="2">
        <v>2.7085233999999998</v>
      </c>
      <c r="X7" s="2">
        <v>0.6487716</v>
      </c>
      <c r="Y7" s="2">
        <v>0</v>
      </c>
      <c r="Z7" s="2">
        <v>0</v>
      </c>
      <c r="AA7" s="2">
        <v>-5.6031117000000004</v>
      </c>
      <c r="AB7" s="2">
        <v>32.613851599999997</v>
      </c>
      <c r="AC7" s="2">
        <v>3.0277821999999999</v>
      </c>
      <c r="AD7" s="2">
        <v>0.5309777</v>
      </c>
      <c r="AE7" s="2">
        <v>0</v>
      </c>
      <c r="AF7">
        <v>1</v>
      </c>
      <c r="AG7" s="2">
        <v>0</v>
      </c>
      <c r="AH7" s="2">
        <v>3.637E-4</v>
      </c>
      <c r="AI7" s="2">
        <v>3.0899999999999999E-5</v>
      </c>
      <c r="AJ7" s="2"/>
      <c r="AK7" s="2">
        <f t="shared" si="1"/>
        <v>8.604751783421874E-2</v>
      </c>
      <c r="AL7">
        <f t="shared" si="0"/>
        <v>-1.3465521944823422</v>
      </c>
      <c r="AM7">
        <f>SUM(output_transition_firms_age!C14:F14)/output_transition_firms_age!IL13</f>
        <v>0.11680586009750868</v>
      </c>
    </row>
    <row r="8" spans="1:39" x14ac:dyDescent="0.35">
      <c r="A8" s="1">
        <v>6</v>
      </c>
      <c r="B8" s="2">
        <v>1</v>
      </c>
      <c r="C8" s="2">
        <v>0.79730420000000002</v>
      </c>
      <c r="D8" s="2">
        <v>0.40354410000000002</v>
      </c>
      <c r="E8" s="2">
        <v>3.2342999999999998E-3</v>
      </c>
      <c r="F8" s="2">
        <v>1</v>
      </c>
      <c r="G8" s="2">
        <v>0.78018900000000002</v>
      </c>
      <c r="H8" s="2">
        <v>0</v>
      </c>
      <c r="I8" s="2">
        <v>0</v>
      </c>
      <c r="J8" s="2">
        <v>2.4972721999999998</v>
      </c>
      <c r="K8" s="2">
        <v>0.98680140000000005</v>
      </c>
      <c r="L8" s="2">
        <v>-4.7553584000000004</v>
      </c>
      <c r="M8" s="2">
        <v>1.02094E-2</v>
      </c>
      <c r="N8" s="2">
        <v>1.9952755</v>
      </c>
      <c r="O8" s="2">
        <v>0.54318379999999999</v>
      </c>
      <c r="P8" s="2">
        <v>1.10925E-2</v>
      </c>
      <c r="Q8" s="2">
        <v>0.3524777</v>
      </c>
      <c r="R8" s="2">
        <v>3.0384894999999998</v>
      </c>
      <c r="S8" s="2">
        <v>0.54121719999999995</v>
      </c>
      <c r="T8" s="2">
        <v>-1</v>
      </c>
      <c r="U8" s="2">
        <v>1.02217E-2</v>
      </c>
      <c r="V8" s="2">
        <v>0</v>
      </c>
      <c r="W8" s="2">
        <v>2.7141715999999998</v>
      </c>
      <c r="X8" s="2">
        <v>0.64800919999999995</v>
      </c>
      <c r="Y8" s="2">
        <v>0</v>
      </c>
      <c r="Z8" s="2">
        <v>0</v>
      </c>
      <c r="AA8" s="2">
        <v>-5.5944618999999998</v>
      </c>
      <c r="AB8" s="2">
        <v>32.599831999999999</v>
      </c>
      <c r="AC8" s="2">
        <v>3.0384164999999999</v>
      </c>
      <c r="AD8" s="2">
        <v>0.54114419999999996</v>
      </c>
      <c r="AE8" s="2">
        <v>0</v>
      </c>
      <c r="AF8">
        <v>1</v>
      </c>
      <c r="AG8" s="2">
        <v>0</v>
      </c>
      <c r="AH8" s="2">
        <v>1.6890000000000001E-4</v>
      </c>
      <c r="AI8" s="2">
        <v>1.2999999999999999E-5</v>
      </c>
      <c r="AJ8" s="2"/>
      <c r="AK8" s="2">
        <f t="shared" si="1"/>
        <v>4.302375891710937E-2</v>
      </c>
      <c r="AL8">
        <f t="shared" si="0"/>
        <v>-1.9149384205090048</v>
      </c>
      <c r="AM8">
        <f>SUM(output_transition_firms_age!C15:F15)/output_transition_firms_age!IL14</f>
        <v>0.12062918220980483</v>
      </c>
    </row>
    <row r="9" spans="1:39" x14ac:dyDescent="0.35">
      <c r="A9" s="1">
        <v>7</v>
      </c>
      <c r="B9" s="2">
        <v>1</v>
      </c>
      <c r="C9" s="2">
        <v>0.79497059999999997</v>
      </c>
      <c r="D9" s="2">
        <v>0.40354410000000002</v>
      </c>
      <c r="E9" s="2">
        <v>3.2342999999999998E-3</v>
      </c>
      <c r="F9" s="2">
        <v>1</v>
      </c>
      <c r="G9" s="2">
        <v>0.78018900000000002</v>
      </c>
      <c r="H9" s="2">
        <v>0</v>
      </c>
      <c r="I9" s="2">
        <v>0</v>
      </c>
      <c r="J9" s="2">
        <v>2.4979304999999998</v>
      </c>
      <c r="K9" s="2">
        <v>0.98965639999999999</v>
      </c>
      <c r="L9" s="2">
        <v>-4.7708629</v>
      </c>
      <c r="M9" s="2">
        <v>1.0257499999999999E-2</v>
      </c>
      <c r="N9" s="2">
        <v>1.9926140999999999</v>
      </c>
      <c r="O9" s="2">
        <v>0.54601840000000001</v>
      </c>
      <c r="P9" s="2">
        <v>1.1096099999999999E-2</v>
      </c>
      <c r="Q9" s="2">
        <v>0.35334850000000001</v>
      </c>
      <c r="R9" s="2">
        <v>3.0443623999999998</v>
      </c>
      <c r="S9" s="2">
        <v>0.54643189999999997</v>
      </c>
      <c r="T9" s="2">
        <v>-1</v>
      </c>
      <c r="U9" s="2">
        <v>1.0387E-2</v>
      </c>
      <c r="V9" s="2">
        <v>0</v>
      </c>
      <c r="W9" s="2">
        <v>2.7154919</v>
      </c>
      <c r="X9" s="2">
        <v>0.64777110000000004</v>
      </c>
      <c r="Y9" s="2">
        <v>0</v>
      </c>
      <c r="Z9" s="2">
        <v>0</v>
      </c>
      <c r="AA9" s="2">
        <v>-5.5912819999999996</v>
      </c>
      <c r="AB9" s="2">
        <v>32.596281900000001</v>
      </c>
      <c r="AC9" s="2">
        <v>3.0442597999999998</v>
      </c>
      <c r="AD9" s="2">
        <v>0.54632930000000002</v>
      </c>
      <c r="AE9" s="2">
        <v>0</v>
      </c>
      <c r="AF9">
        <v>1</v>
      </c>
      <c r="AG9" s="2">
        <v>0</v>
      </c>
      <c r="AH9" s="2">
        <v>7.9200000000000001E-5</v>
      </c>
      <c r="AI9" s="2">
        <v>5.6999999999999996E-6</v>
      </c>
      <c r="AJ9" s="2"/>
      <c r="AK9" s="2">
        <f t="shared" si="1"/>
        <v>2.1511879458554685E-2</v>
      </c>
      <c r="AL9">
        <f t="shared" si="0"/>
        <v>-2.209789774690174</v>
      </c>
      <c r="AM9">
        <f>SUM(output_transition_firms_age!C16:F16)/output_transition_firms_age!IL15</f>
        <v>0.12233521648690604</v>
      </c>
    </row>
    <row r="10" spans="1:39" x14ac:dyDescent="0.35">
      <c r="A10" s="1">
        <v>8</v>
      </c>
      <c r="B10" s="2">
        <v>1</v>
      </c>
      <c r="C10" s="2">
        <v>0.79380379999999995</v>
      </c>
      <c r="D10" s="2">
        <v>0.40354410000000002</v>
      </c>
      <c r="E10" s="2">
        <v>3.2342999999999998E-3</v>
      </c>
      <c r="F10" s="2">
        <v>1</v>
      </c>
      <c r="G10" s="2">
        <v>0.78018900000000002</v>
      </c>
      <c r="H10" s="2">
        <v>0</v>
      </c>
      <c r="I10" s="2">
        <v>0</v>
      </c>
      <c r="J10" s="2">
        <v>2.4992917000000001</v>
      </c>
      <c r="K10" s="2">
        <v>0.99164140000000001</v>
      </c>
      <c r="L10" s="2">
        <v>-4.7813397000000002</v>
      </c>
      <c r="M10" s="2">
        <v>1.02799E-2</v>
      </c>
      <c r="N10" s="2">
        <v>1.9917977</v>
      </c>
      <c r="O10" s="2">
        <v>0.5443808</v>
      </c>
      <c r="P10" s="2">
        <v>1.1097900000000001E-2</v>
      </c>
      <c r="Q10" s="2">
        <v>0.35405769999999998</v>
      </c>
      <c r="R10" s="2">
        <v>3.0486034000000002</v>
      </c>
      <c r="S10" s="2">
        <v>0.54931169999999996</v>
      </c>
      <c r="T10" s="2">
        <v>-1</v>
      </c>
      <c r="U10" s="2">
        <v>1.01876E-2</v>
      </c>
      <c r="V10" s="2">
        <v>0</v>
      </c>
      <c r="W10" s="2">
        <v>2.7151024000000001</v>
      </c>
      <c r="X10" s="2">
        <v>0.6477752</v>
      </c>
      <c r="Y10" s="2">
        <v>0</v>
      </c>
      <c r="Z10" s="2">
        <v>0</v>
      </c>
      <c r="AA10" s="2">
        <v>-5.5912379000000003</v>
      </c>
      <c r="AB10" s="2">
        <v>32.597893499999998</v>
      </c>
      <c r="AC10" s="2">
        <v>3.0484917</v>
      </c>
      <c r="AD10" s="2">
        <v>0.54920000000000002</v>
      </c>
      <c r="AE10" s="2">
        <v>0</v>
      </c>
      <c r="AF10">
        <v>1</v>
      </c>
      <c r="AG10" s="2">
        <v>0</v>
      </c>
      <c r="AH10" s="2">
        <v>3.7299999999999999E-5</v>
      </c>
      <c r="AI10" s="2">
        <v>2.6000000000000001E-6</v>
      </c>
      <c r="AJ10" s="2"/>
      <c r="AK10" s="2">
        <f t="shared" si="1"/>
        <v>1.0755939729277342E-2</v>
      </c>
      <c r="AL10">
        <f t="shared" si="0"/>
        <v>-2.3978839443820288</v>
      </c>
      <c r="AM10">
        <f>SUM(output_transition_firms_age!C17:F17)/output_transition_firms_age!IL16</f>
        <v>0.12288628028631197</v>
      </c>
    </row>
    <row r="11" spans="1:39" x14ac:dyDescent="0.35">
      <c r="A11" s="1">
        <v>9</v>
      </c>
      <c r="B11" s="2">
        <v>1</v>
      </c>
      <c r="C11" s="2">
        <v>0.79322040000000005</v>
      </c>
      <c r="D11" s="2">
        <v>0.40354410000000002</v>
      </c>
      <c r="E11" s="2">
        <v>3.2342999999999998E-3</v>
      </c>
      <c r="F11" s="2">
        <v>1</v>
      </c>
      <c r="G11" s="2">
        <v>0.78018900000000002</v>
      </c>
      <c r="H11" s="2">
        <v>0</v>
      </c>
      <c r="I11" s="2">
        <v>0</v>
      </c>
      <c r="J11" s="2">
        <v>2.4997063000000002</v>
      </c>
      <c r="K11" s="2">
        <v>0.99278270000000002</v>
      </c>
      <c r="L11" s="2">
        <v>-4.7918250000000002</v>
      </c>
      <c r="M11" s="2">
        <v>1.02912E-2</v>
      </c>
      <c r="N11" s="2">
        <v>1.9917982999999999</v>
      </c>
      <c r="O11" s="2">
        <v>0.54692510000000005</v>
      </c>
      <c r="P11" s="2">
        <v>1.1098800000000001E-2</v>
      </c>
      <c r="Q11" s="2">
        <v>0.3549679</v>
      </c>
      <c r="R11" s="2">
        <v>3.0511697999999998</v>
      </c>
      <c r="S11" s="2">
        <v>0.55146360000000005</v>
      </c>
      <c r="T11" s="2">
        <v>-1</v>
      </c>
      <c r="U11" s="2">
        <v>1.04011E-2</v>
      </c>
      <c r="V11" s="2">
        <v>0</v>
      </c>
      <c r="W11" s="2">
        <v>2.7114424000000001</v>
      </c>
      <c r="X11" s="2">
        <v>0.64797090000000002</v>
      </c>
      <c r="Y11" s="2">
        <v>0</v>
      </c>
      <c r="Z11" s="2">
        <v>0</v>
      </c>
      <c r="AA11" s="2">
        <v>-5.5926251000000002</v>
      </c>
      <c r="AB11" s="2">
        <v>32.602361000000002</v>
      </c>
      <c r="AC11" s="2">
        <v>3.0510581999999999</v>
      </c>
      <c r="AD11" s="2">
        <v>0.55135190000000001</v>
      </c>
      <c r="AE11" s="2">
        <v>0</v>
      </c>
      <c r="AF11">
        <v>1</v>
      </c>
      <c r="AG11" s="2">
        <v>0</v>
      </c>
      <c r="AH11" s="2">
        <v>1.77E-5</v>
      </c>
      <c r="AI11" s="2">
        <v>1.1999999999999999E-6</v>
      </c>
      <c r="AJ11" s="2"/>
      <c r="AK11" s="2">
        <f t="shared" si="1"/>
        <v>5.3779698646386712E-3</v>
      </c>
      <c r="AL11">
        <f t="shared" si="0"/>
        <v>-2.4927988608891116</v>
      </c>
      <c r="AM11">
        <f>SUM(output_transition_firms_age!C18:F18)/output_transition_firms_age!IL17</f>
        <v>0.12255227606827208</v>
      </c>
    </row>
    <row r="12" spans="1:39" x14ac:dyDescent="0.35">
      <c r="A12" s="1">
        <v>10</v>
      </c>
      <c r="B12" s="2">
        <v>1</v>
      </c>
      <c r="C12" s="2">
        <v>0.79292870000000004</v>
      </c>
      <c r="D12" s="2">
        <v>0.40354410000000002</v>
      </c>
      <c r="E12" s="2">
        <v>3.2342999999999998E-3</v>
      </c>
      <c r="F12" s="2">
        <v>1</v>
      </c>
      <c r="G12" s="2">
        <v>0.78018900000000002</v>
      </c>
      <c r="H12" s="2">
        <v>0</v>
      </c>
      <c r="I12" s="2">
        <v>0</v>
      </c>
      <c r="J12" s="2">
        <v>2.5003131999999999</v>
      </c>
      <c r="K12" s="2">
        <v>0.99332589999999998</v>
      </c>
      <c r="L12" s="2">
        <v>-4.7979485000000004</v>
      </c>
      <c r="M12" s="2">
        <v>1.02886E-2</v>
      </c>
      <c r="N12" s="2">
        <v>1.9921898</v>
      </c>
      <c r="O12" s="2">
        <v>0.55013880000000004</v>
      </c>
      <c r="P12" s="2">
        <v>1.1099299999999999E-2</v>
      </c>
      <c r="Q12" s="2">
        <v>0.35566560000000003</v>
      </c>
      <c r="R12" s="2">
        <v>3.0526187999999999</v>
      </c>
      <c r="S12" s="2">
        <v>0.55230559999999995</v>
      </c>
      <c r="T12" s="2">
        <v>-1</v>
      </c>
      <c r="U12" s="2">
        <v>1.06576E-2</v>
      </c>
      <c r="V12" s="2">
        <v>0</v>
      </c>
      <c r="W12" s="2">
        <v>2.7083222999999998</v>
      </c>
      <c r="X12" s="2">
        <v>0.64827829999999997</v>
      </c>
      <c r="Y12" s="2">
        <v>0</v>
      </c>
      <c r="Z12" s="2">
        <v>0</v>
      </c>
      <c r="AA12" s="2">
        <v>-5.5951443999999997</v>
      </c>
      <c r="AB12" s="2">
        <v>32.608797600000003</v>
      </c>
      <c r="AC12" s="2">
        <v>3.0525115</v>
      </c>
      <c r="AD12" s="2">
        <v>0.55219830000000003</v>
      </c>
      <c r="AE12" s="2">
        <v>0</v>
      </c>
      <c r="AF12">
        <v>1</v>
      </c>
      <c r="AG12" s="2">
        <v>0</v>
      </c>
      <c r="AH12" s="2">
        <v>8.3999999999999992E-6</v>
      </c>
      <c r="AI12" s="2">
        <v>4.9999999999999998E-7</v>
      </c>
      <c r="AJ12" s="2"/>
      <c r="AK12" s="2">
        <f t="shared" si="1"/>
        <v>2.6889849323193356E-3</v>
      </c>
      <c r="AL12">
        <f t="shared" si="0"/>
        <v>-2.5149914077481572</v>
      </c>
      <c r="AM12">
        <f>SUM(output_transition_firms_age!C19:F19)/output_transition_firms_age!IL18</f>
        <v>0.12222379983333119</v>
      </c>
    </row>
    <row r="13" spans="1:39" x14ac:dyDescent="0.35">
      <c r="A13" s="1">
        <v>11</v>
      </c>
      <c r="B13" s="2">
        <v>1</v>
      </c>
      <c r="C13" s="2">
        <v>0.79278289999999996</v>
      </c>
      <c r="D13" s="2">
        <v>0.40354410000000002</v>
      </c>
      <c r="E13" s="2">
        <v>3.2342999999999998E-3</v>
      </c>
      <c r="F13" s="2">
        <v>1</v>
      </c>
      <c r="G13" s="2">
        <v>0.78018900000000002</v>
      </c>
      <c r="H13" s="2">
        <v>0</v>
      </c>
      <c r="I13" s="2">
        <v>0</v>
      </c>
      <c r="J13" s="2">
        <v>2.5010124</v>
      </c>
      <c r="K13" s="2">
        <v>0.99392309999999995</v>
      </c>
      <c r="L13" s="2">
        <v>-4.7999963000000001</v>
      </c>
      <c r="M13" s="2">
        <v>1.0286699999999999E-2</v>
      </c>
      <c r="N13" s="2">
        <v>1.9927679</v>
      </c>
      <c r="O13" s="2">
        <v>0.54864159999999995</v>
      </c>
      <c r="P13" s="2">
        <v>1.10995E-2</v>
      </c>
      <c r="Q13" s="2">
        <v>0.35610720000000001</v>
      </c>
      <c r="R13" s="2">
        <v>3.0541757999999999</v>
      </c>
      <c r="S13" s="2">
        <v>0.55316339999999997</v>
      </c>
      <c r="T13" s="2">
        <v>-1</v>
      </c>
      <c r="U13" s="2">
        <v>1.0536E-2</v>
      </c>
      <c r="V13" s="2">
        <v>0</v>
      </c>
      <c r="W13" s="2">
        <v>2.7066895999999998</v>
      </c>
      <c r="X13" s="2">
        <v>0.64852410000000005</v>
      </c>
      <c r="Y13" s="2">
        <v>0</v>
      </c>
      <c r="Z13" s="2">
        <v>0</v>
      </c>
      <c r="AA13" s="2">
        <v>-5.5982699</v>
      </c>
      <c r="AB13" s="2">
        <v>32.6159532</v>
      </c>
      <c r="AC13" s="2">
        <v>3.0540748999999998</v>
      </c>
      <c r="AD13" s="2">
        <v>0.55306250000000001</v>
      </c>
      <c r="AE13" s="2">
        <v>0</v>
      </c>
      <c r="AF13">
        <v>1</v>
      </c>
      <c r="AG13" s="2">
        <v>0</v>
      </c>
      <c r="AH13" s="2">
        <v>3.9999999999999998E-6</v>
      </c>
      <c r="AI13" s="2">
        <v>2.9999999999999999E-7</v>
      </c>
      <c r="AJ13" s="2"/>
      <c r="AK13" s="2">
        <f t="shared" si="1"/>
        <v>1.3444924661596678E-3</v>
      </c>
      <c r="AL13">
        <f t="shared" si="0"/>
        <v>-2.5429888193347683</v>
      </c>
      <c r="AM13">
        <f>SUM(output_transition_firms_age!C20:F20)/output_transition_firms_age!IL19</f>
        <v>0.12194066348755375</v>
      </c>
    </row>
    <row r="14" spans="1:39" x14ac:dyDescent="0.35">
      <c r="A14" s="1">
        <v>12</v>
      </c>
      <c r="B14" s="2">
        <v>1</v>
      </c>
      <c r="C14" s="2">
        <v>0.79271000000000003</v>
      </c>
      <c r="D14" s="2">
        <v>0.40354410000000002</v>
      </c>
      <c r="E14" s="2">
        <v>3.2342999999999998E-3</v>
      </c>
      <c r="F14" s="2">
        <v>1</v>
      </c>
      <c r="G14" s="2">
        <v>0.78018900000000002</v>
      </c>
      <c r="H14" s="2">
        <v>0</v>
      </c>
      <c r="I14" s="2">
        <v>0</v>
      </c>
      <c r="J14" s="2">
        <v>2.5019822999999999</v>
      </c>
      <c r="K14" s="2">
        <v>0.99443389999999998</v>
      </c>
      <c r="L14" s="2">
        <v>-4.8024848999999996</v>
      </c>
      <c r="M14" s="2">
        <v>1.0285600000000001E-2</v>
      </c>
      <c r="N14" s="2">
        <v>1.9934261</v>
      </c>
      <c r="O14" s="2">
        <v>0.54899940000000003</v>
      </c>
      <c r="P14" s="2">
        <v>1.1099599999999999E-2</v>
      </c>
      <c r="Q14" s="2">
        <v>0.35667070000000001</v>
      </c>
      <c r="R14" s="2">
        <v>3.0555680000000001</v>
      </c>
      <c r="S14" s="2">
        <v>0.55358569999999996</v>
      </c>
      <c r="T14" s="2">
        <v>-1</v>
      </c>
      <c r="U14" s="2">
        <v>1.0561299999999999E-2</v>
      </c>
      <c r="V14" s="2">
        <v>0</v>
      </c>
      <c r="W14" s="2">
        <v>2.7039271</v>
      </c>
      <c r="X14" s="2">
        <v>0.6487735</v>
      </c>
      <c r="Y14" s="2">
        <v>0</v>
      </c>
      <c r="Z14" s="2">
        <v>0</v>
      </c>
      <c r="AA14" s="2">
        <v>-5.6019052</v>
      </c>
      <c r="AB14" s="2">
        <v>32.623832100000001</v>
      </c>
      <c r="AC14" s="2">
        <v>3.0554744</v>
      </c>
      <c r="AD14" s="2">
        <v>0.55349210000000004</v>
      </c>
      <c r="AE14" s="2">
        <v>0</v>
      </c>
      <c r="AF14">
        <v>1</v>
      </c>
      <c r="AG14" s="2">
        <v>0</v>
      </c>
      <c r="AH14" s="2">
        <v>1.9E-6</v>
      </c>
      <c r="AI14" s="2">
        <v>9.9999999999999995E-8</v>
      </c>
      <c r="AJ14" s="2"/>
      <c r="AK14" s="2">
        <f t="shared" si="1"/>
        <v>6.722462330798339E-4</v>
      </c>
      <c r="AL14">
        <f t="shared" si="0"/>
        <v>-2.5608292579978542</v>
      </c>
      <c r="AM14">
        <f>SUM(output_transition_firms_age!C21:F21)/output_transition_firms_age!IL20</f>
        <v>0.12169078996609121</v>
      </c>
    </row>
    <row r="15" spans="1:39" x14ac:dyDescent="0.35">
      <c r="A15" s="1">
        <v>13</v>
      </c>
      <c r="B15" s="2">
        <v>1</v>
      </c>
      <c r="C15" s="2">
        <v>0.79267350000000003</v>
      </c>
      <c r="D15" s="2">
        <v>0.40354410000000002</v>
      </c>
      <c r="E15" s="2">
        <v>3.2342999999999998E-3</v>
      </c>
      <c r="F15" s="2">
        <v>1</v>
      </c>
      <c r="G15" s="2">
        <v>0.78018900000000002</v>
      </c>
      <c r="H15" s="2">
        <v>0</v>
      </c>
      <c r="I15" s="2">
        <v>0</v>
      </c>
      <c r="J15" s="2">
        <v>2.5028071000000001</v>
      </c>
      <c r="K15" s="2">
        <v>0.99474929999999995</v>
      </c>
      <c r="L15" s="2">
        <v>-4.8039199999999997</v>
      </c>
      <c r="M15" s="2">
        <v>1.0286399999999999E-2</v>
      </c>
      <c r="N15" s="2">
        <v>1.9940017000000001</v>
      </c>
      <c r="O15" s="2">
        <v>0.55092629999999998</v>
      </c>
      <c r="P15" s="2">
        <v>1.1099599999999999E-2</v>
      </c>
      <c r="Q15" s="2">
        <v>0.357209</v>
      </c>
      <c r="R15" s="2">
        <v>3.0565688999999998</v>
      </c>
      <c r="S15" s="2">
        <v>0.55376190000000003</v>
      </c>
      <c r="T15" s="2">
        <v>-1</v>
      </c>
      <c r="U15" s="2">
        <v>1.07326E-2</v>
      </c>
      <c r="V15" s="2">
        <v>0</v>
      </c>
      <c r="W15" s="2">
        <v>2.7008342999999999</v>
      </c>
      <c r="X15" s="2">
        <v>0.64895349999999996</v>
      </c>
      <c r="Y15" s="2">
        <v>0</v>
      </c>
      <c r="Z15" s="2">
        <v>0</v>
      </c>
      <c r="AA15" s="2">
        <v>-5.6054040000000001</v>
      </c>
      <c r="AB15" s="2">
        <v>32.631964699999997</v>
      </c>
      <c r="AC15" s="2">
        <v>3.0564817</v>
      </c>
      <c r="AD15" s="2">
        <v>0.55367469999999996</v>
      </c>
      <c r="AE15" s="2">
        <v>0</v>
      </c>
      <c r="AF15">
        <v>1</v>
      </c>
      <c r="AG15" s="2">
        <v>0</v>
      </c>
      <c r="AH15" s="2">
        <v>8.9999999999999996E-7</v>
      </c>
      <c r="AI15" s="2">
        <v>9.9999999999999995E-8</v>
      </c>
      <c r="AJ15" s="2"/>
      <c r="AK15" s="2">
        <f t="shared" si="1"/>
        <v>3.3612311653991695E-4</v>
      </c>
      <c r="AL15">
        <f t="shared" si="0"/>
        <v>-2.5576345201961725</v>
      </c>
      <c r="AM15">
        <f>SUM(output_transition_firms_age!C22:F22)/output_transition_firms_age!IL21</f>
        <v>0.12128611525034466</v>
      </c>
    </row>
    <row r="16" spans="1:39" x14ac:dyDescent="0.35">
      <c r="A16" s="1">
        <v>14</v>
      </c>
      <c r="B16" s="2">
        <v>1</v>
      </c>
      <c r="C16" s="2">
        <v>0.79265529999999995</v>
      </c>
      <c r="D16" s="2">
        <v>0.40354410000000002</v>
      </c>
      <c r="E16" s="2">
        <v>3.2342999999999998E-3</v>
      </c>
      <c r="F16" s="2">
        <v>1</v>
      </c>
      <c r="G16" s="2">
        <v>0.78018900000000002</v>
      </c>
      <c r="H16" s="2">
        <v>0</v>
      </c>
      <c r="I16" s="2">
        <v>0</v>
      </c>
      <c r="J16" s="2">
        <v>2.5035892999999998</v>
      </c>
      <c r="K16" s="2">
        <v>0.99506989999999995</v>
      </c>
      <c r="L16" s="2">
        <v>-4.8029419999999998</v>
      </c>
      <c r="M16" s="2">
        <v>1.0267099999999999E-2</v>
      </c>
      <c r="N16" s="2">
        <v>1.9945932</v>
      </c>
      <c r="O16" s="2">
        <v>0.55105729999999997</v>
      </c>
      <c r="P16" s="2">
        <v>1.1099700000000001E-2</v>
      </c>
      <c r="Q16" s="2">
        <v>0.357576</v>
      </c>
      <c r="R16" s="2">
        <v>3.0576344999999998</v>
      </c>
      <c r="S16" s="2">
        <v>0.55404520000000002</v>
      </c>
      <c r="T16" s="2">
        <v>-1</v>
      </c>
      <c r="U16" s="2">
        <v>1.07379E-2</v>
      </c>
      <c r="V16" s="2">
        <v>0</v>
      </c>
      <c r="W16" s="2">
        <v>2.6990181</v>
      </c>
      <c r="X16" s="2">
        <v>0.64912820000000004</v>
      </c>
      <c r="Y16" s="2">
        <v>0</v>
      </c>
      <c r="Z16" s="2">
        <v>0</v>
      </c>
      <c r="AA16" s="2">
        <v>-5.6081310999999996</v>
      </c>
      <c r="AB16" s="2">
        <v>32.639908499999997</v>
      </c>
      <c r="AC16" s="2">
        <v>3.0575538999999998</v>
      </c>
      <c r="AD16" s="2">
        <v>0.55396460000000003</v>
      </c>
      <c r="AE16" s="2">
        <v>0</v>
      </c>
      <c r="AF16">
        <v>1</v>
      </c>
      <c r="AG16" s="2">
        <v>0</v>
      </c>
      <c r="AH16" s="2">
        <v>3.9999999999999998E-7</v>
      </c>
      <c r="AI16" s="2">
        <v>0</v>
      </c>
      <c r="AJ16" s="2"/>
      <c r="AK16" s="2">
        <f t="shared" si="1"/>
        <v>1.6806155826995848E-4</v>
      </c>
      <c r="AL16">
        <f t="shared" si="0"/>
        <v>-2.5495454903233128</v>
      </c>
      <c r="AM16">
        <f>SUM(output_transition_firms_age!C23:F23)/output_transition_firms_age!IL22</f>
        <v>0.12095778419910153</v>
      </c>
    </row>
    <row r="17" spans="1:39" x14ac:dyDescent="0.35">
      <c r="A17" s="1">
        <v>15</v>
      </c>
      <c r="B17" s="2">
        <v>1</v>
      </c>
      <c r="C17" s="2">
        <v>0.79264619999999997</v>
      </c>
      <c r="D17" s="2">
        <v>0.40354410000000002</v>
      </c>
      <c r="E17" s="2">
        <v>3.2342999999999998E-3</v>
      </c>
      <c r="F17" s="2">
        <v>1</v>
      </c>
      <c r="G17" s="2">
        <v>0.78018900000000002</v>
      </c>
      <c r="H17" s="2">
        <v>0</v>
      </c>
      <c r="I17" s="2">
        <v>0</v>
      </c>
      <c r="J17" s="2">
        <v>2.5041958000000002</v>
      </c>
      <c r="K17" s="2">
        <v>0.99539370000000005</v>
      </c>
      <c r="L17" s="2">
        <v>-4.8013526000000004</v>
      </c>
      <c r="M17" s="2">
        <v>1.02655E-2</v>
      </c>
      <c r="N17" s="2">
        <v>1.9951985000000001</v>
      </c>
      <c r="O17" s="2">
        <v>0.55071130000000001</v>
      </c>
      <c r="P17" s="2">
        <v>1.1099700000000001E-2</v>
      </c>
      <c r="Q17" s="2">
        <v>0.35793770000000003</v>
      </c>
      <c r="R17" s="2">
        <v>3.0586579999999999</v>
      </c>
      <c r="S17" s="2">
        <v>0.55446220000000002</v>
      </c>
      <c r="T17" s="2">
        <v>-1</v>
      </c>
      <c r="U17" s="2">
        <v>1.0715199999999999E-2</v>
      </c>
      <c r="V17" s="2">
        <v>0</v>
      </c>
      <c r="W17" s="2">
        <v>2.6972513</v>
      </c>
      <c r="X17" s="2">
        <v>0.64931810000000001</v>
      </c>
      <c r="Y17" s="2">
        <v>0</v>
      </c>
      <c r="Z17" s="2">
        <v>0</v>
      </c>
      <c r="AA17" s="2">
        <v>-5.6114753000000004</v>
      </c>
      <c r="AB17" s="2">
        <v>32.648133799999997</v>
      </c>
      <c r="AC17" s="2">
        <v>3.0585841</v>
      </c>
      <c r="AD17" s="2">
        <v>0.55438829999999995</v>
      </c>
      <c r="AE17" s="2">
        <v>0</v>
      </c>
      <c r="AF17">
        <v>1</v>
      </c>
      <c r="AG17" s="2">
        <v>0</v>
      </c>
      <c r="AH17" s="2">
        <v>1.9999999999999999E-7</v>
      </c>
      <c r="AI17" s="2">
        <v>0</v>
      </c>
      <c r="AJ17" s="2"/>
      <c r="AK17" s="2">
        <f t="shared" si="1"/>
        <v>8.4030779134979238E-5</v>
      </c>
      <c r="AL17">
        <f t="shared" si="0"/>
        <v>-2.5466790204613066</v>
      </c>
      <c r="AM17">
        <f>SUM(output_transition_firms_age!C24:F24)/output_transition_firms_age!IL23</f>
        <v>0.12077566589049984</v>
      </c>
    </row>
    <row r="18" spans="1:39" x14ac:dyDescent="0.35">
      <c r="A18" s="1">
        <v>16</v>
      </c>
      <c r="B18" s="2">
        <v>1</v>
      </c>
      <c r="C18" s="2">
        <v>0.79264159999999995</v>
      </c>
      <c r="D18" s="2">
        <v>0.40354410000000002</v>
      </c>
      <c r="E18" s="2">
        <v>3.2342999999999998E-3</v>
      </c>
      <c r="F18" s="2">
        <v>1</v>
      </c>
      <c r="G18" s="2">
        <v>0.78018900000000002</v>
      </c>
      <c r="H18" s="2">
        <v>0</v>
      </c>
      <c r="I18" s="2">
        <v>0</v>
      </c>
      <c r="J18" s="2">
        <v>2.5049762000000002</v>
      </c>
      <c r="K18" s="2">
        <v>0.99570040000000004</v>
      </c>
      <c r="L18" s="2">
        <v>-4.7994126000000001</v>
      </c>
      <c r="M18" s="2">
        <v>1.0260399999999999E-2</v>
      </c>
      <c r="N18" s="2">
        <v>1.9957887999999999</v>
      </c>
      <c r="O18" s="2">
        <v>0.55080620000000002</v>
      </c>
      <c r="P18" s="2">
        <v>1.1099700000000001E-2</v>
      </c>
      <c r="Q18" s="2">
        <v>0.35832219999999998</v>
      </c>
      <c r="R18" s="2">
        <v>3.0596497999999999</v>
      </c>
      <c r="S18" s="2">
        <v>0.55467359999999999</v>
      </c>
      <c r="T18" s="2">
        <v>-1</v>
      </c>
      <c r="U18" s="2">
        <v>1.07343E-2</v>
      </c>
      <c r="V18" s="2">
        <v>0</v>
      </c>
      <c r="W18" s="2">
        <v>2.6952725000000002</v>
      </c>
      <c r="X18" s="2">
        <v>0.64949800000000002</v>
      </c>
      <c r="Y18" s="2">
        <v>0</v>
      </c>
      <c r="Z18" s="2">
        <v>0</v>
      </c>
      <c r="AA18" s="2">
        <v>-5.6149505</v>
      </c>
      <c r="AB18" s="2">
        <v>32.656636399999996</v>
      </c>
      <c r="AC18" s="2">
        <v>3.0595824999999999</v>
      </c>
      <c r="AD18" s="2">
        <v>0.5546063</v>
      </c>
      <c r="AE18" s="2">
        <v>0</v>
      </c>
      <c r="AF18">
        <v>1</v>
      </c>
      <c r="AG18" s="2">
        <v>0</v>
      </c>
      <c r="AH18" s="2">
        <v>9.9999999999999995E-8</v>
      </c>
      <c r="AI18" s="2">
        <v>0</v>
      </c>
      <c r="AJ18" s="2"/>
      <c r="AK18" s="2">
        <f t="shared" si="1"/>
        <v>4.2015389567489619E-5</v>
      </c>
      <c r="AL18">
        <f t="shared" si="0"/>
        <v>-2.5417208554310289</v>
      </c>
      <c r="AM18">
        <f>SUM(output_transition_firms_age!C25:F25)/output_transition_firms_age!IL24</f>
        <v>0.12061567803546841</v>
      </c>
    </row>
    <row r="19" spans="1:39" x14ac:dyDescent="0.35">
      <c r="A19" s="1">
        <v>17</v>
      </c>
      <c r="B19" s="2">
        <v>1</v>
      </c>
      <c r="C19" s="2">
        <v>0.79263930000000005</v>
      </c>
      <c r="D19" s="2">
        <v>0.40354410000000002</v>
      </c>
      <c r="E19" s="2">
        <v>3.2342999999999998E-3</v>
      </c>
      <c r="F19" s="2">
        <v>1</v>
      </c>
      <c r="G19" s="2">
        <v>0.78018900000000002</v>
      </c>
      <c r="H19" s="2">
        <v>0</v>
      </c>
      <c r="I19" s="2">
        <v>0</v>
      </c>
      <c r="J19" s="2">
        <v>2.5056495000000001</v>
      </c>
      <c r="K19" s="2">
        <v>0.99599510000000002</v>
      </c>
      <c r="L19" s="2">
        <v>-4.7969052000000003</v>
      </c>
      <c r="M19" s="2">
        <v>1.02568E-2</v>
      </c>
      <c r="N19" s="2">
        <v>1.9963633000000001</v>
      </c>
      <c r="O19" s="2">
        <v>0.55084129999999998</v>
      </c>
      <c r="P19" s="2">
        <v>1.1099700000000001E-2</v>
      </c>
      <c r="Q19" s="2">
        <v>0.3586876</v>
      </c>
      <c r="R19" s="2">
        <v>3.0606078999999999</v>
      </c>
      <c r="S19" s="2">
        <v>0.55495850000000002</v>
      </c>
      <c r="T19" s="2">
        <v>-1</v>
      </c>
      <c r="U19" s="2">
        <v>1.07469E-2</v>
      </c>
      <c r="V19" s="2">
        <v>0</v>
      </c>
      <c r="W19" s="2">
        <v>2.6934071999999998</v>
      </c>
      <c r="X19" s="2">
        <v>0.64967260000000004</v>
      </c>
      <c r="Y19" s="2">
        <v>0</v>
      </c>
      <c r="Z19" s="2">
        <v>0</v>
      </c>
      <c r="AA19" s="2">
        <v>-5.6183199999999998</v>
      </c>
      <c r="AB19" s="2">
        <v>32.665211599999999</v>
      </c>
      <c r="AC19" s="2">
        <v>3.0605470000000001</v>
      </c>
      <c r="AD19" s="2">
        <v>0.55489750000000004</v>
      </c>
      <c r="AE19" s="2">
        <v>0</v>
      </c>
      <c r="AF19">
        <v>1</v>
      </c>
      <c r="AG19" s="2">
        <v>0</v>
      </c>
      <c r="AH19" s="2">
        <v>0</v>
      </c>
      <c r="AI19" s="2">
        <v>0</v>
      </c>
      <c r="AJ19" s="2"/>
      <c r="AK19" s="2">
        <f t="shared" si="1"/>
        <v>2.1007694783744809E-5</v>
      </c>
      <c r="AL19">
        <f t="shared" si="0"/>
        <v>-2.536446973574602</v>
      </c>
      <c r="AM19">
        <f>SUM(output_transition_firms_age!C26:F26)/output_transition_firms_age!IL25</f>
        <v>0.12047032392780536</v>
      </c>
    </row>
    <row r="20" spans="1:39" x14ac:dyDescent="0.35">
      <c r="A20" s="1">
        <v>18</v>
      </c>
      <c r="B20" s="2">
        <v>1</v>
      </c>
      <c r="C20" s="2">
        <v>0.79263819999999996</v>
      </c>
      <c r="D20" s="2">
        <v>0.40354410000000002</v>
      </c>
      <c r="E20" s="2">
        <v>3.2342999999999998E-3</v>
      </c>
      <c r="F20" s="2">
        <v>1</v>
      </c>
      <c r="G20" s="2">
        <v>0.78018900000000002</v>
      </c>
      <c r="H20" s="2">
        <v>0</v>
      </c>
      <c r="I20" s="2">
        <v>0</v>
      </c>
      <c r="J20" s="2">
        <v>2.5065075000000001</v>
      </c>
      <c r="K20" s="2">
        <v>0.99624760000000001</v>
      </c>
      <c r="L20" s="2">
        <v>-4.7937960999999998</v>
      </c>
      <c r="M20" s="2">
        <v>1.0248800000000001E-2</v>
      </c>
      <c r="N20" s="2">
        <v>1.9968843000000001</v>
      </c>
      <c r="O20" s="2">
        <v>0.55166020000000004</v>
      </c>
      <c r="P20" s="2">
        <v>1.1099700000000001E-2</v>
      </c>
      <c r="Q20" s="2">
        <v>0.35904039999999998</v>
      </c>
      <c r="R20" s="2">
        <v>3.0614943999999999</v>
      </c>
      <c r="S20" s="2">
        <v>0.55498689999999995</v>
      </c>
      <c r="T20" s="2">
        <v>-1</v>
      </c>
      <c r="U20" s="2">
        <v>1.0803800000000001E-2</v>
      </c>
      <c r="V20" s="2">
        <v>0</v>
      </c>
      <c r="W20" s="2">
        <v>2.6915198999999999</v>
      </c>
      <c r="X20" s="2">
        <v>0.64981690000000003</v>
      </c>
      <c r="Y20" s="2">
        <v>0</v>
      </c>
      <c r="Z20" s="2">
        <v>0</v>
      </c>
      <c r="AA20" s="2">
        <v>-5.6214906999999998</v>
      </c>
      <c r="AB20" s="2">
        <v>32.673872299999999</v>
      </c>
      <c r="AC20" s="2">
        <v>3.0614392000000001</v>
      </c>
      <c r="AD20" s="2">
        <v>0.55493170000000003</v>
      </c>
      <c r="AE20" s="2">
        <v>0</v>
      </c>
      <c r="AF20">
        <v>1</v>
      </c>
      <c r="AG20" s="2">
        <v>0</v>
      </c>
      <c r="AH20" s="2">
        <v>0</v>
      </c>
      <c r="AI20" s="2">
        <v>0</v>
      </c>
      <c r="AJ20" s="2"/>
      <c r="AK20" s="2">
        <f t="shared" si="1"/>
        <v>1.0503847391872405E-5</v>
      </c>
      <c r="AL20">
        <f t="shared" si="0"/>
        <v>-2.525346413881957</v>
      </c>
      <c r="AM20">
        <f>SUM(output_transition_firms_age!C27:F27)/output_transition_firms_age!IL26</f>
        <v>0.12033169861866957</v>
      </c>
    </row>
    <row r="21" spans="1:39" x14ac:dyDescent="0.35">
      <c r="A21" s="1">
        <v>19</v>
      </c>
      <c r="B21" s="2">
        <v>1</v>
      </c>
      <c r="C21" s="2">
        <v>0.79263760000000005</v>
      </c>
      <c r="D21" s="2">
        <v>0.40354410000000002</v>
      </c>
      <c r="E21" s="2">
        <v>3.2342999999999998E-3</v>
      </c>
      <c r="F21" s="2">
        <v>1</v>
      </c>
      <c r="G21" s="2">
        <v>0.78018900000000002</v>
      </c>
      <c r="H21" s="2">
        <v>0</v>
      </c>
      <c r="I21" s="2">
        <v>0</v>
      </c>
      <c r="J21" s="2">
        <v>2.5070869</v>
      </c>
      <c r="K21" s="2">
        <v>0.99647079999999999</v>
      </c>
      <c r="L21" s="2">
        <v>-4.7896036000000004</v>
      </c>
      <c r="M21" s="2">
        <v>1.02389E-2</v>
      </c>
      <c r="N21" s="2">
        <v>1.9973597999999999</v>
      </c>
      <c r="O21" s="2">
        <v>0.55197059999999998</v>
      </c>
      <c r="P21" s="2">
        <v>1.1099700000000001E-2</v>
      </c>
      <c r="Q21" s="2">
        <v>0.3593363</v>
      </c>
      <c r="R21" s="2">
        <v>3.0623273000000002</v>
      </c>
      <c r="S21" s="2">
        <v>0.55524039999999997</v>
      </c>
      <c r="T21" s="2">
        <v>-1</v>
      </c>
      <c r="U21" s="2">
        <v>1.0846099999999999E-2</v>
      </c>
      <c r="V21" s="2">
        <v>0</v>
      </c>
      <c r="W21" s="2">
        <v>2.6899766999999999</v>
      </c>
      <c r="X21" s="2">
        <v>0.64994030000000003</v>
      </c>
      <c r="Y21" s="2">
        <v>0</v>
      </c>
      <c r="Z21" s="2">
        <v>0</v>
      </c>
      <c r="AA21" s="2">
        <v>-5.6246843000000002</v>
      </c>
      <c r="AB21" s="2">
        <v>32.682357400000001</v>
      </c>
      <c r="AC21" s="2">
        <v>3.0622772999999999</v>
      </c>
      <c r="AD21" s="2">
        <v>0.55519039999999997</v>
      </c>
      <c r="AE21" s="2">
        <v>0</v>
      </c>
      <c r="AF21">
        <v>1</v>
      </c>
      <c r="AG21" s="2">
        <v>0</v>
      </c>
      <c r="AH21" s="2">
        <v>0</v>
      </c>
      <c r="AI21" s="2">
        <v>0</v>
      </c>
      <c r="AJ21" s="2"/>
      <c r="AK21" s="2">
        <f t="shared" si="1"/>
        <v>5.2519236959362024E-6</v>
      </c>
      <c r="AL21">
        <f t="shared" si="0"/>
        <v>-2.5105942825282668</v>
      </c>
      <c r="AM21">
        <f>SUM(output_transition_firms_age!C28:F28)/output_transition_firms_age!IL27</f>
        <v>0.12020644140622967</v>
      </c>
    </row>
    <row r="22" spans="1:39" x14ac:dyDescent="0.35">
      <c r="A22" s="1">
        <v>20</v>
      </c>
      <c r="B22" s="2">
        <v>1</v>
      </c>
      <c r="C22" s="2">
        <v>0.79263729999999999</v>
      </c>
      <c r="D22" s="2">
        <v>0.40354410000000002</v>
      </c>
      <c r="E22" s="2">
        <v>3.2342999999999998E-3</v>
      </c>
      <c r="F22" s="2">
        <v>1</v>
      </c>
      <c r="G22" s="2">
        <v>0.78018900000000002</v>
      </c>
      <c r="H22" s="2">
        <v>0</v>
      </c>
      <c r="I22" s="2">
        <v>0</v>
      </c>
      <c r="J22" s="2">
        <v>2.5061010000000001</v>
      </c>
      <c r="K22" s="2">
        <v>0.99685080000000004</v>
      </c>
      <c r="L22" s="2">
        <v>-4.7847112999999997</v>
      </c>
      <c r="M22" s="2">
        <v>1.02413E-2</v>
      </c>
      <c r="N22" s="2">
        <v>1.9976181</v>
      </c>
      <c r="O22" s="2">
        <v>0.55160140000000002</v>
      </c>
      <c r="P22" s="2">
        <v>1.1099700000000001E-2</v>
      </c>
      <c r="Q22" s="2">
        <v>0.35958980000000001</v>
      </c>
      <c r="R22" s="2">
        <v>3.0634513999999999</v>
      </c>
      <c r="S22" s="2">
        <v>0.55735029999999997</v>
      </c>
      <c r="T22" s="2">
        <v>-1</v>
      </c>
      <c r="U22" s="2">
        <v>1.0829699999999999E-2</v>
      </c>
      <c r="V22" s="2">
        <v>0</v>
      </c>
      <c r="W22" s="2">
        <v>2.6891695000000002</v>
      </c>
      <c r="X22" s="2">
        <v>0.65003489999999997</v>
      </c>
      <c r="Y22" s="2">
        <v>0</v>
      </c>
      <c r="Z22" s="2">
        <v>0</v>
      </c>
      <c r="AA22" s="2">
        <v>-5.6281429999999997</v>
      </c>
      <c r="AB22" s="2">
        <v>32.691004200000002</v>
      </c>
      <c r="AC22" s="2">
        <v>3.0634043000000002</v>
      </c>
      <c r="AD22" s="2">
        <v>0.55730329999999995</v>
      </c>
      <c r="AE22" s="2">
        <v>0</v>
      </c>
      <c r="AF22">
        <v>1</v>
      </c>
      <c r="AG22" s="2">
        <v>0</v>
      </c>
      <c r="AH22" s="2">
        <v>0</v>
      </c>
      <c r="AI22" s="2">
        <v>0</v>
      </c>
      <c r="AJ22" s="2"/>
      <c r="AK22" s="2">
        <f t="shared" si="1"/>
        <v>2.6259618479681012E-6</v>
      </c>
      <c r="AL22">
        <f t="shared" si="0"/>
        <v>-2.514978669259893</v>
      </c>
      <c r="AM22">
        <f>SUM(output_transition_firms_age!C29:F29)/output_transition_firms_age!IL28</f>
        <v>0.12009266325760534</v>
      </c>
    </row>
    <row r="23" spans="1:39" x14ac:dyDescent="0.35">
      <c r="A23" s="1">
        <v>21</v>
      </c>
      <c r="B23" s="2">
        <v>1</v>
      </c>
      <c r="C23" s="2">
        <v>0.79263720000000004</v>
      </c>
      <c r="D23" s="2">
        <v>0.40354410000000002</v>
      </c>
      <c r="E23" s="2">
        <v>3.2342999999999998E-3</v>
      </c>
      <c r="F23" s="2">
        <v>1</v>
      </c>
      <c r="G23" s="2">
        <v>0.78018900000000002</v>
      </c>
      <c r="H23" s="2">
        <v>0</v>
      </c>
      <c r="I23" s="2">
        <v>0</v>
      </c>
      <c r="J23" s="2">
        <v>2.5087944000000002</v>
      </c>
      <c r="K23" s="2">
        <v>0.99649279999999996</v>
      </c>
      <c r="L23" s="2">
        <v>-4.7781162999999998</v>
      </c>
      <c r="M23" s="2">
        <v>1.0243499999999999E-2</v>
      </c>
      <c r="N23" s="2">
        <v>1.9976649</v>
      </c>
      <c r="O23" s="2">
        <v>0.55696820000000002</v>
      </c>
      <c r="P23" s="2">
        <v>1.0734799999999999E-2</v>
      </c>
      <c r="Q23" s="2">
        <v>0.35985990000000001</v>
      </c>
      <c r="R23" s="2">
        <v>3.0631693000000002</v>
      </c>
      <c r="S23" s="2">
        <v>0.55437479999999995</v>
      </c>
      <c r="T23" s="2">
        <v>-1</v>
      </c>
      <c r="U23" s="2">
        <v>1.08381E-2</v>
      </c>
      <c r="V23" s="2">
        <v>0</v>
      </c>
      <c r="W23" s="2">
        <v>2.6889164000000001</v>
      </c>
      <c r="X23" s="2">
        <v>0.64988199999999996</v>
      </c>
      <c r="Y23" s="2">
        <v>0</v>
      </c>
      <c r="Z23" s="2">
        <v>0</v>
      </c>
      <c r="AA23" s="2">
        <v>-5.6320345999999999</v>
      </c>
      <c r="AB23" s="2">
        <v>32.696709300000002</v>
      </c>
      <c r="AC23" s="2">
        <v>3.0631241999999999</v>
      </c>
      <c r="AD23" s="2">
        <v>0.55432979999999998</v>
      </c>
      <c r="AE23" s="2">
        <v>0</v>
      </c>
      <c r="AF23">
        <v>1</v>
      </c>
      <c r="AG23" s="2">
        <v>0</v>
      </c>
      <c r="AH23" s="2">
        <v>0</v>
      </c>
      <c r="AI23" s="2">
        <v>0</v>
      </c>
      <c r="AJ23" s="2"/>
      <c r="AK23" s="2">
        <f t="shared" si="1"/>
        <v>1.3129809239840506E-6</v>
      </c>
      <c r="AL23">
        <f t="shared" si="0"/>
        <v>-2.4328827134269648</v>
      </c>
      <c r="AM23">
        <f>SUM(output_transition_firms_age!C30:F30)/output_transition_firms_age!IL29</f>
        <v>0.11898270369017304</v>
      </c>
    </row>
    <row r="24" spans="1:39" x14ac:dyDescent="0.35">
      <c r="A24" s="1">
        <v>22</v>
      </c>
      <c r="B24" s="2">
        <v>1</v>
      </c>
      <c r="C24" s="2">
        <v>0.79263709999999998</v>
      </c>
      <c r="D24" s="2">
        <v>0.40354410000000002</v>
      </c>
      <c r="E24" s="2">
        <v>3.2342999999999998E-3</v>
      </c>
      <c r="F24" s="2">
        <v>1</v>
      </c>
      <c r="G24" s="2">
        <v>0.78018900000000002</v>
      </c>
      <c r="H24" s="2">
        <v>0</v>
      </c>
      <c r="I24" s="2">
        <v>0</v>
      </c>
      <c r="J24" s="2">
        <v>2.5098284999999998</v>
      </c>
      <c r="K24" s="2">
        <v>0.9964229</v>
      </c>
      <c r="L24" s="2">
        <v>-4.7693307999999996</v>
      </c>
      <c r="M24" s="2">
        <v>1.02249E-2</v>
      </c>
      <c r="N24" s="2">
        <v>1.9978231</v>
      </c>
      <c r="O24" s="2">
        <v>0.55716560000000004</v>
      </c>
      <c r="P24" s="2">
        <v>1.0734799999999999E-2</v>
      </c>
      <c r="Q24" s="2">
        <v>0.35975659999999998</v>
      </c>
      <c r="R24" s="2">
        <v>3.0634638999999999</v>
      </c>
      <c r="S24" s="2">
        <v>0.5536354</v>
      </c>
      <c r="T24" s="2">
        <v>-1</v>
      </c>
      <c r="U24" s="2">
        <v>1.08404E-2</v>
      </c>
      <c r="V24" s="2">
        <v>0</v>
      </c>
      <c r="W24" s="2">
        <v>2.6894665999999998</v>
      </c>
      <c r="X24" s="2">
        <v>0.64982240000000002</v>
      </c>
      <c r="Y24" s="2">
        <v>0</v>
      </c>
      <c r="Z24" s="2">
        <v>0</v>
      </c>
      <c r="AA24" s="2">
        <v>-5.6350531999999998</v>
      </c>
      <c r="AB24" s="2">
        <v>32.705053399999997</v>
      </c>
      <c r="AC24" s="2">
        <v>3.0634204999999999</v>
      </c>
      <c r="AD24" s="2">
        <v>0.55359199999999997</v>
      </c>
      <c r="AE24" s="2">
        <v>0</v>
      </c>
      <c r="AF24">
        <v>1</v>
      </c>
      <c r="AG24" s="2">
        <v>0</v>
      </c>
      <c r="AH24" s="2">
        <v>0</v>
      </c>
      <c r="AI24" s="2">
        <v>0</v>
      </c>
      <c r="AJ24" s="2"/>
      <c r="AK24" s="2">
        <f t="shared" si="1"/>
        <v>6.564904619920253E-7</v>
      </c>
      <c r="AL24">
        <f t="shared" si="0"/>
        <v>-2.3817529046822994</v>
      </c>
      <c r="AM24">
        <f>SUM(output_transition_firms_age!C31:F31)/output_transition_firms_age!IL30</f>
        <v>0.11791980565052042</v>
      </c>
    </row>
    <row r="25" spans="1:39" x14ac:dyDescent="0.35">
      <c r="A25" s="1">
        <v>23</v>
      </c>
      <c r="B25" s="2">
        <v>1</v>
      </c>
      <c r="C25" s="2">
        <v>0.79263709999999998</v>
      </c>
      <c r="D25" s="2">
        <v>0.40354410000000002</v>
      </c>
      <c r="E25" s="2">
        <v>3.2342999999999998E-3</v>
      </c>
      <c r="F25" s="2">
        <v>1</v>
      </c>
      <c r="G25" s="2">
        <v>0.78018900000000002</v>
      </c>
      <c r="H25" s="2">
        <v>0</v>
      </c>
      <c r="I25" s="2">
        <v>0</v>
      </c>
      <c r="J25" s="2">
        <v>2.5105271</v>
      </c>
      <c r="K25" s="2">
        <v>0.9963476</v>
      </c>
      <c r="L25" s="2">
        <v>-4.7612376000000003</v>
      </c>
      <c r="M25" s="2">
        <v>1.0217E-2</v>
      </c>
      <c r="N25" s="2">
        <v>1.9979853000000001</v>
      </c>
      <c r="O25" s="2">
        <v>0.55717850000000002</v>
      </c>
      <c r="P25" s="2">
        <v>1.0734799999999999E-2</v>
      </c>
      <c r="Q25" s="2">
        <v>0.359651</v>
      </c>
      <c r="R25" s="2">
        <v>3.0637006000000002</v>
      </c>
      <c r="S25" s="2">
        <v>0.55317360000000004</v>
      </c>
      <c r="T25" s="2">
        <v>-1</v>
      </c>
      <c r="U25" s="2">
        <v>1.0828300000000001E-2</v>
      </c>
      <c r="V25" s="2">
        <v>0</v>
      </c>
      <c r="W25" s="2">
        <v>2.6900252999999998</v>
      </c>
      <c r="X25" s="2">
        <v>0.64977430000000003</v>
      </c>
      <c r="Y25" s="2">
        <v>0</v>
      </c>
      <c r="Z25" s="2">
        <v>0</v>
      </c>
      <c r="AA25" s="2">
        <v>-5.6375095999999996</v>
      </c>
      <c r="AB25" s="2">
        <v>32.712545400000003</v>
      </c>
      <c r="AC25" s="2">
        <v>3.0636591000000002</v>
      </c>
      <c r="AD25" s="2">
        <v>0.55313199999999996</v>
      </c>
      <c r="AE25" s="2">
        <v>0</v>
      </c>
      <c r="AF25">
        <v>1</v>
      </c>
      <c r="AG25" s="2">
        <v>0</v>
      </c>
      <c r="AH25" s="2">
        <v>0</v>
      </c>
      <c r="AI25" s="2">
        <v>0</v>
      </c>
      <c r="AJ25" s="2"/>
      <c r="AK25" s="2">
        <f t="shared" si="1"/>
        <v>3.2824523099601265E-7</v>
      </c>
      <c r="AL25">
        <f t="shared" si="0"/>
        <v>-2.3347605743750943</v>
      </c>
      <c r="AM25">
        <f>SUM(output_transition_firms_age!C32:F32)/output_transition_firms_age!IL31</f>
        <v>0.11693712525173607</v>
      </c>
    </row>
    <row r="26" spans="1:39" x14ac:dyDescent="0.35">
      <c r="A26" s="1">
        <v>24</v>
      </c>
      <c r="B26" s="2">
        <v>1</v>
      </c>
      <c r="C26" s="2">
        <v>0.79263709999999998</v>
      </c>
      <c r="D26" s="2">
        <v>0.40354410000000002</v>
      </c>
      <c r="E26" s="2">
        <v>3.2342999999999998E-3</v>
      </c>
      <c r="F26" s="2">
        <v>1</v>
      </c>
      <c r="G26" s="2">
        <v>0.78018900000000002</v>
      </c>
      <c r="H26" s="2">
        <v>0</v>
      </c>
      <c r="I26" s="2">
        <v>0</v>
      </c>
      <c r="J26" s="2">
        <v>2.5111832999999999</v>
      </c>
      <c r="K26" s="2">
        <v>0.99630669999999999</v>
      </c>
      <c r="L26" s="2">
        <v>-4.7537063000000002</v>
      </c>
      <c r="M26" s="2">
        <v>1.02109E-2</v>
      </c>
      <c r="N26" s="2">
        <v>1.9981637999999999</v>
      </c>
      <c r="O26" s="2">
        <v>0.55675969999999997</v>
      </c>
      <c r="P26" s="2">
        <v>1.0734799999999999E-2</v>
      </c>
      <c r="Q26" s="2">
        <v>0.35955749999999997</v>
      </c>
      <c r="R26" s="2">
        <v>3.0639728000000002</v>
      </c>
      <c r="S26" s="2">
        <v>0.55278950000000004</v>
      </c>
      <c r="T26" s="2">
        <v>-1</v>
      </c>
      <c r="U26" s="2">
        <v>1.07873E-2</v>
      </c>
      <c r="V26" s="2">
        <v>0</v>
      </c>
      <c r="W26" s="2">
        <v>2.6905914000000002</v>
      </c>
      <c r="X26" s="2">
        <v>0.64974690000000002</v>
      </c>
      <c r="Y26" s="2">
        <v>0</v>
      </c>
      <c r="Z26" s="2">
        <v>0</v>
      </c>
      <c r="AA26" s="2">
        <v>-5.6398957000000003</v>
      </c>
      <c r="AB26" s="2">
        <v>32.719497500000003</v>
      </c>
      <c r="AC26" s="2">
        <v>3.0639330999999999</v>
      </c>
      <c r="AD26" s="2">
        <v>0.55274979999999996</v>
      </c>
      <c r="AE26" s="2">
        <v>0</v>
      </c>
      <c r="AF26">
        <v>1</v>
      </c>
      <c r="AG26" s="2">
        <v>0</v>
      </c>
      <c r="AH26" s="2">
        <v>0</v>
      </c>
      <c r="AI26" s="2">
        <v>0</v>
      </c>
      <c r="AJ26" s="2"/>
      <c r="AK26" s="2">
        <f t="shared" si="1"/>
        <v>1.6412261549800632E-7</v>
      </c>
      <c r="AL26">
        <f t="shared" si="0"/>
        <v>-2.2948165794665965</v>
      </c>
      <c r="AM26">
        <f>SUM(output_transition_firms_age!C33:F33)/output_transition_firms_age!IL32</f>
        <v>0.11612648911460194</v>
      </c>
    </row>
    <row r="27" spans="1:39" x14ac:dyDescent="0.35">
      <c r="A27" s="1">
        <v>25</v>
      </c>
      <c r="B27" s="2">
        <v>1</v>
      </c>
      <c r="C27" s="2">
        <v>0.79263709999999998</v>
      </c>
      <c r="D27" s="2">
        <v>0.40354410000000002</v>
      </c>
      <c r="E27" s="2">
        <v>3.2342999999999998E-3</v>
      </c>
      <c r="F27" s="2">
        <v>1</v>
      </c>
      <c r="G27" s="2">
        <v>0.78018900000000002</v>
      </c>
      <c r="H27" s="2">
        <v>0</v>
      </c>
      <c r="I27" s="2">
        <v>0</v>
      </c>
      <c r="J27" s="2">
        <v>2.5115889</v>
      </c>
      <c r="K27" s="2">
        <v>0.99628110000000003</v>
      </c>
      <c r="L27" s="2">
        <v>-4.7470553999999998</v>
      </c>
      <c r="M27" s="2">
        <v>1.02057E-2</v>
      </c>
      <c r="N27" s="2">
        <v>1.9983394999999999</v>
      </c>
      <c r="O27" s="2">
        <v>0.55640060000000002</v>
      </c>
      <c r="P27" s="2">
        <v>1.0734799999999999E-2</v>
      </c>
      <c r="Q27" s="2">
        <v>0.35950500000000002</v>
      </c>
      <c r="R27" s="2">
        <v>3.0642478999999998</v>
      </c>
      <c r="S27" s="2">
        <v>0.55265900000000001</v>
      </c>
      <c r="T27" s="2">
        <v>-1</v>
      </c>
      <c r="U27" s="2">
        <v>1.07698E-2</v>
      </c>
      <c r="V27" s="2">
        <v>0</v>
      </c>
      <c r="W27" s="2">
        <v>2.690909</v>
      </c>
      <c r="X27" s="2">
        <v>0.64973000000000003</v>
      </c>
      <c r="Y27" s="2">
        <v>0</v>
      </c>
      <c r="Z27" s="2">
        <v>0</v>
      </c>
      <c r="AA27" s="2">
        <v>-5.6421340999999998</v>
      </c>
      <c r="AB27" s="2">
        <v>32.7259855</v>
      </c>
      <c r="AC27" s="2">
        <v>3.0642100999999999</v>
      </c>
      <c r="AD27" s="2">
        <v>0.55262129999999998</v>
      </c>
      <c r="AE27" s="2">
        <v>0</v>
      </c>
      <c r="AF27">
        <v>1</v>
      </c>
      <c r="AG27" s="2">
        <v>0</v>
      </c>
      <c r="AH27" s="2">
        <v>0</v>
      </c>
      <c r="AI27" s="2">
        <v>0</v>
      </c>
      <c r="AJ27" s="2"/>
      <c r="AK27" s="2">
        <f t="shared" si="1"/>
        <v>8.2061307749003162E-8</v>
      </c>
      <c r="AL27">
        <f t="shared" si="0"/>
        <v>-2.2593016558628776</v>
      </c>
      <c r="AM27">
        <f>SUM(output_transition_firms_age!C34:F34)/output_transition_firms_age!IL33</f>
        <v>0.11610832907241515</v>
      </c>
    </row>
    <row r="28" spans="1:39" x14ac:dyDescent="0.35">
      <c r="A28" s="1">
        <v>26</v>
      </c>
      <c r="B28" s="2">
        <v>1</v>
      </c>
      <c r="C28" s="2">
        <v>0.79263709999999998</v>
      </c>
      <c r="D28" s="2">
        <v>0.40354410000000002</v>
      </c>
      <c r="E28" s="2">
        <v>3.2342999999999998E-3</v>
      </c>
      <c r="F28" s="2">
        <v>1</v>
      </c>
      <c r="G28" s="2">
        <v>0.78018900000000002</v>
      </c>
      <c r="H28" s="2">
        <v>0</v>
      </c>
      <c r="I28" s="2">
        <v>0</v>
      </c>
      <c r="J28" s="2">
        <v>2.5120840000000002</v>
      </c>
      <c r="K28" s="2">
        <v>0.99627350000000003</v>
      </c>
      <c r="L28" s="2">
        <v>-4.7409574000000001</v>
      </c>
      <c r="M28" s="2">
        <v>1.02016E-2</v>
      </c>
      <c r="N28" s="2">
        <v>1.9985189000000001</v>
      </c>
      <c r="O28" s="2">
        <v>0.55621500000000001</v>
      </c>
      <c r="P28" s="2">
        <v>1.0734799999999999E-2</v>
      </c>
      <c r="Q28" s="2">
        <v>0.35947000000000001</v>
      </c>
      <c r="R28" s="2">
        <v>3.0645365999999998</v>
      </c>
      <c r="S28" s="2">
        <v>0.55245259999999996</v>
      </c>
      <c r="T28" s="2">
        <v>-1</v>
      </c>
      <c r="U28" s="2">
        <v>1.07492E-2</v>
      </c>
      <c r="V28" s="2">
        <v>0</v>
      </c>
      <c r="W28" s="2">
        <v>2.6911385000000001</v>
      </c>
      <c r="X28" s="2">
        <v>0.64972059999999998</v>
      </c>
      <c r="Y28" s="2">
        <v>0</v>
      </c>
      <c r="Z28" s="2">
        <v>0</v>
      </c>
      <c r="AA28" s="2">
        <v>-5.6443839000000002</v>
      </c>
      <c r="AB28" s="2">
        <v>32.7322785</v>
      </c>
      <c r="AC28" s="2">
        <v>3.0645007</v>
      </c>
      <c r="AD28" s="2">
        <v>0.55241669999999998</v>
      </c>
      <c r="AE28" s="2">
        <v>0</v>
      </c>
      <c r="AF28">
        <v>1</v>
      </c>
      <c r="AG28" s="2">
        <v>0</v>
      </c>
      <c r="AH28" s="2">
        <v>0</v>
      </c>
      <c r="AI28" s="2">
        <v>0</v>
      </c>
      <c r="AJ28" s="2"/>
      <c r="AK28" s="2">
        <f t="shared" si="1"/>
        <v>4.1030653874501581E-8</v>
      </c>
      <c r="AL28">
        <f t="shared" si="0"/>
        <v>-2.2279774046282341</v>
      </c>
      <c r="AM28">
        <f>SUM(output_transition_firms_age!C35:F35)/output_transition_firms_age!IL34</f>
        <v>0.11610298222428311</v>
      </c>
    </row>
    <row r="29" spans="1:39" x14ac:dyDescent="0.35">
      <c r="A29" s="1">
        <v>27</v>
      </c>
      <c r="B29" s="2">
        <v>1</v>
      </c>
      <c r="C29" s="2">
        <v>0.79263700000000004</v>
      </c>
      <c r="D29" s="2">
        <v>0.40354410000000002</v>
      </c>
      <c r="E29" s="2">
        <v>3.2342999999999998E-3</v>
      </c>
      <c r="F29" s="2">
        <v>1</v>
      </c>
      <c r="G29" s="2">
        <v>0.78018900000000002</v>
      </c>
      <c r="H29" s="2">
        <v>0</v>
      </c>
      <c r="I29" s="2">
        <v>0</v>
      </c>
      <c r="J29" s="2">
        <v>2.5126422000000002</v>
      </c>
      <c r="K29" s="2">
        <v>0.99625200000000003</v>
      </c>
      <c r="L29" s="2">
        <v>-4.7352942000000002</v>
      </c>
      <c r="M29" s="2">
        <v>1.01978E-2</v>
      </c>
      <c r="N29" s="2">
        <v>1.9986923000000001</v>
      </c>
      <c r="O29" s="2">
        <v>0.55640500000000004</v>
      </c>
      <c r="P29" s="2">
        <v>1.0734799999999999E-2</v>
      </c>
      <c r="Q29" s="2">
        <v>0.35945559999999999</v>
      </c>
      <c r="R29" s="2">
        <v>3.0647812999999999</v>
      </c>
      <c r="S29" s="2">
        <v>0.55213900000000005</v>
      </c>
      <c r="T29" s="2">
        <v>-1</v>
      </c>
      <c r="U29" s="2">
        <v>1.07566E-2</v>
      </c>
      <c r="V29" s="2">
        <v>0</v>
      </c>
      <c r="W29" s="2">
        <v>2.6911877999999998</v>
      </c>
      <c r="X29" s="2">
        <v>0.64971129999999999</v>
      </c>
      <c r="Y29" s="2">
        <v>0</v>
      </c>
      <c r="Z29" s="2">
        <v>0</v>
      </c>
      <c r="AA29" s="2">
        <v>-5.6466957000000004</v>
      </c>
      <c r="AB29" s="2">
        <v>32.7382901</v>
      </c>
      <c r="AC29" s="2">
        <v>3.0647473000000001</v>
      </c>
      <c r="AD29" s="2">
        <v>0.55210499999999996</v>
      </c>
      <c r="AE29" s="2">
        <v>0</v>
      </c>
      <c r="AF29">
        <v>1</v>
      </c>
      <c r="AG29" s="2">
        <v>0</v>
      </c>
      <c r="AH29" s="2">
        <v>0</v>
      </c>
      <c r="AI29" s="2">
        <v>0</v>
      </c>
      <c r="AJ29" s="2"/>
      <c r="AK29" s="2">
        <f t="shared" si="1"/>
        <v>2.0515326937250791E-8</v>
      </c>
      <c r="AL29">
        <f t="shared" si="0"/>
        <v>-2.1967770672441489</v>
      </c>
      <c r="AM29">
        <f>SUM(output_transition_firms_age!C36:F36)/output_transition_firms_age!IL35</f>
        <v>0.11610845215219243</v>
      </c>
    </row>
    <row r="30" spans="1:39" x14ac:dyDescent="0.35">
      <c r="A30" s="1">
        <v>28</v>
      </c>
      <c r="B30" s="2">
        <v>1</v>
      </c>
      <c r="C30" s="2">
        <v>0.79263700000000004</v>
      </c>
      <c r="D30" s="2">
        <v>0.40354410000000002</v>
      </c>
      <c r="E30" s="2">
        <v>3.2342999999999998E-3</v>
      </c>
      <c r="F30" s="2">
        <v>1</v>
      </c>
      <c r="G30" s="2">
        <v>0.78018900000000002</v>
      </c>
      <c r="H30" s="2">
        <v>0</v>
      </c>
      <c r="I30" s="2">
        <v>0</v>
      </c>
      <c r="J30" s="2">
        <v>2.5132522000000002</v>
      </c>
      <c r="K30" s="2">
        <v>0.99627239999999995</v>
      </c>
      <c r="L30" s="2">
        <v>-4.7297897000000004</v>
      </c>
      <c r="M30" s="2">
        <v>1.01943E-2</v>
      </c>
      <c r="N30" s="2">
        <v>1.9988870999999999</v>
      </c>
      <c r="O30" s="2">
        <v>0.55575790000000003</v>
      </c>
      <c r="P30" s="2">
        <v>1.0734799999999999E-2</v>
      </c>
      <c r="Q30" s="2">
        <v>0.35943380000000003</v>
      </c>
      <c r="R30" s="2">
        <v>3.0650909999999998</v>
      </c>
      <c r="S30" s="2">
        <v>0.55183870000000002</v>
      </c>
      <c r="T30" s="2">
        <v>-1</v>
      </c>
      <c r="U30" s="2">
        <v>1.0712599999999999E-2</v>
      </c>
      <c r="V30" s="2">
        <v>0</v>
      </c>
      <c r="W30" s="2">
        <v>2.6913996</v>
      </c>
      <c r="X30" s="2">
        <v>0.6497214</v>
      </c>
      <c r="Y30" s="2">
        <v>0</v>
      </c>
      <c r="Z30" s="2">
        <v>0</v>
      </c>
      <c r="AA30" s="2">
        <v>-5.6491454000000001</v>
      </c>
      <c r="AB30" s="2">
        <v>32.743913599999999</v>
      </c>
      <c r="AC30" s="2">
        <v>3.0650591</v>
      </c>
      <c r="AD30" s="2">
        <v>0.55180680000000004</v>
      </c>
      <c r="AE30" s="2">
        <v>0</v>
      </c>
      <c r="AF30">
        <v>1</v>
      </c>
      <c r="AG30" s="2">
        <v>0</v>
      </c>
      <c r="AH30" s="2">
        <v>0</v>
      </c>
      <c r="AI30" s="2">
        <v>0</v>
      </c>
      <c r="AJ30" s="2"/>
      <c r="AK30" s="2">
        <f t="shared" si="1"/>
        <v>1.0257663468625395E-8</v>
      </c>
      <c r="AL30">
        <f t="shared" si="0"/>
        <v>-2.1719903473492508</v>
      </c>
      <c r="AM30">
        <f>SUM(output_transition_firms_age!C37:F37)/output_transition_firms_age!IL36</f>
        <v>0.11612419627255424</v>
      </c>
    </row>
    <row r="31" spans="1:39" x14ac:dyDescent="0.35">
      <c r="A31" s="1">
        <v>29</v>
      </c>
      <c r="B31" s="2">
        <v>1</v>
      </c>
      <c r="C31" s="2">
        <v>0.79263700000000004</v>
      </c>
      <c r="D31" s="2">
        <v>0.40354410000000002</v>
      </c>
      <c r="E31" s="2">
        <v>3.2342999999999998E-3</v>
      </c>
      <c r="F31" s="2">
        <v>1</v>
      </c>
      <c r="G31" s="2">
        <v>0.78018900000000002</v>
      </c>
      <c r="H31" s="2">
        <v>0</v>
      </c>
      <c r="I31" s="2">
        <v>0</v>
      </c>
      <c r="J31" s="2">
        <v>2.5138704999999999</v>
      </c>
      <c r="K31" s="2">
        <v>0.99629979999999996</v>
      </c>
      <c r="L31" s="2">
        <v>-4.7252372999999999</v>
      </c>
      <c r="M31" s="2">
        <v>1.01908E-2</v>
      </c>
      <c r="N31" s="2">
        <v>1.9990817000000001</v>
      </c>
      <c r="O31" s="2">
        <v>0.55559340000000002</v>
      </c>
      <c r="P31" s="2">
        <v>1.0734799999999999E-2</v>
      </c>
      <c r="Q31" s="2">
        <v>0.359456</v>
      </c>
      <c r="R31" s="2">
        <v>3.0653999999999999</v>
      </c>
      <c r="S31" s="2">
        <v>0.55152950000000001</v>
      </c>
      <c r="T31" s="2">
        <v>-1</v>
      </c>
      <c r="U31" s="2">
        <v>1.0703300000000001E-2</v>
      </c>
      <c r="V31" s="2">
        <v>0</v>
      </c>
      <c r="W31" s="2">
        <v>2.6913130000000001</v>
      </c>
      <c r="X31" s="2">
        <v>0.64973669999999994</v>
      </c>
      <c r="Y31" s="2">
        <v>0</v>
      </c>
      <c r="Z31" s="2">
        <v>0</v>
      </c>
      <c r="AA31" s="2">
        <v>-5.6516415000000002</v>
      </c>
      <c r="AB31" s="2">
        <v>32.749159200000001</v>
      </c>
      <c r="AC31" s="2">
        <v>3.0653701999999998</v>
      </c>
      <c r="AD31" s="2">
        <v>0.55149970000000004</v>
      </c>
      <c r="AE31" s="2">
        <v>0</v>
      </c>
      <c r="AF31">
        <v>1</v>
      </c>
      <c r="AG31" s="2">
        <v>0</v>
      </c>
      <c r="AH31" s="2">
        <v>0</v>
      </c>
      <c r="AI31" s="2">
        <v>0</v>
      </c>
      <c r="AJ31" s="2"/>
      <c r="AK31" s="2">
        <f t="shared" si="1"/>
        <v>5.1288317343126976E-9</v>
      </c>
      <c r="AL31">
        <f t="shared" si="0"/>
        <v>-2.1494366663776354</v>
      </c>
      <c r="AM31">
        <f>SUM(output_transition_firms_age!C38:F38)/output_transition_firms_age!IL37</f>
        <v>0.11613424735686481</v>
      </c>
    </row>
    <row r="32" spans="1:39" x14ac:dyDescent="0.35">
      <c r="A32" s="1">
        <v>30</v>
      </c>
      <c r="B32" s="2">
        <v>1</v>
      </c>
      <c r="C32" s="2">
        <v>0.79263700000000004</v>
      </c>
      <c r="D32" s="2">
        <v>0.40354410000000002</v>
      </c>
      <c r="E32" s="2">
        <v>3.2342999999999998E-3</v>
      </c>
      <c r="F32" s="2">
        <v>1</v>
      </c>
      <c r="G32" s="2">
        <v>0.78018900000000002</v>
      </c>
      <c r="H32" s="2">
        <v>0</v>
      </c>
      <c r="I32" s="2">
        <v>0</v>
      </c>
      <c r="J32" s="2">
        <v>2.5142259</v>
      </c>
      <c r="K32" s="2">
        <v>0.99632980000000004</v>
      </c>
      <c r="L32" s="2">
        <v>-4.7211588000000004</v>
      </c>
      <c r="M32" s="2">
        <v>1.01885E-2</v>
      </c>
      <c r="N32" s="2">
        <v>1.9992745000000001</v>
      </c>
      <c r="O32" s="2">
        <v>0.55553140000000001</v>
      </c>
      <c r="P32" s="2">
        <v>1.0734799999999999E-2</v>
      </c>
      <c r="Q32" s="2">
        <v>0.35948740000000001</v>
      </c>
      <c r="R32" s="2">
        <v>3.0656978000000001</v>
      </c>
      <c r="S32" s="2">
        <v>0.55147190000000001</v>
      </c>
      <c r="T32" s="2">
        <v>-1</v>
      </c>
      <c r="U32" s="2">
        <v>1.0697699999999999E-2</v>
      </c>
      <c r="V32" s="2">
        <v>0</v>
      </c>
      <c r="W32" s="2">
        <v>2.6911686000000001</v>
      </c>
      <c r="X32" s="2">
        <v>0.64975620000000001</v>
      </c>
      <c r="Y32" s="2">
        <v>0</v>
      </c>
      <c r="Z32" s="2">
        <v>0</v>
      </c>
      <c r="AA32" s="2">
        <v>-5.6542038000000003</v>
      </c>
      <c r="AB32" s="2">
        <v>32.754023599999996</v>
      </c>
      <c r="AC32" s="2">
        <v>3.0656701000000002</v>
      </c>
      <c r="AD32" s="2">
        <v>0.55144420000000005</v>
      </c>
      <c r="AE32" s="2">
        <v>0</v>
      </c>
      <c r="AF32">
        <v>1</v>
      </c>
      <c r="AG32" s="2">
        <v>0</v>
      </c>
      <c r="AH32" s="2">
        <v>0</v>
      </c>
      <c r="AI32" s="2">
        <v>0</v>
      </c>
      <c r="AJ32" s="2"/>
      <c r="AK32" s="2">
        <f t="shared" si="1"/>
        <v>2.5644158671563488E-9</v>
      </c>
      <c r="AL32">
        <f t="shared" si="0"/>
        <v>-2.1288113213929094</v>
      </c>
      <c r="AM32">
        <f>SUM(output_transition_firms_age!C39:F39)/output_transition_firms_age!IL38</f>
        <v>0.1161385292349702</v>
      </c>
    </row>
    <row r="33" spans="1:39" x14ac:dyDescent="0.35">
      <c r="A33" s="1">
        <v>31</v>
      </c>
      <c r="B33" s="2">
        <v>1</v>
      </c>
      <c r="C33" s="2">
        <v>0.79263700000000004</v>
      </c>
      <c r="D33" s="2">
        <v>0.40354410000000002</v>
      </c>
      <c r="E33" s="2">
        <v>3.2342999999999998E-3</v>
      </c>
      <c r="F33" s="2">
        <v>1</v>
      </c>
      <c r="G33" s="2">
        <v>0.78018900000000002</v>
      </c>
      <c r="H33" s="2">
        <v>0</v>
      </c>
      <c r="I33" s="2">
        <v>0</v>
      </c>
      <c r="J33" s="2">
        <v>2.5148855999999999</v>
      </c>
      <c r="K33" s="2">
        <v>0.99636259999999999</v>
      </c>
      <c r="L33" s="2">
        <v>-4.7171840999999999</v>
      </c>
      <c r="M33" s="2">
        <v>1.01856E-2</v>
      </c>
      <c r="N33" s="2">
        <v>1.9994624000000001</v>
      </c>
      <c r="O33" s="2">
        <v>0.55543889999999996</v>
      </c>
      <c r="P33" s="2">
        <v>1.0734799999999999E-2</v>
      </c>
      <c r="Q33" s="2">
        <v>0.35952450000000002</v>
      </c>
      <c r="R33" s="2">
        <v>3.0659850999999998</v>
      </c>
      <c r="S33" s="2">
        <v>0.55109949999999996</v>
      </c>
      <c r="T33" s="2">
        <v>-1</v>
      </c>
      <c r="U33" s="2">
        <v>1.0692999999999999E-2</v>
      </c>
      <c r="V33" s="2">
        <v>0</v>
      </c>
      <c r="W33" s="2">
        <v>2.6909860999999999</v>
      </c>
      <c r="X33" s="2">
        <v>0.64977700000000005</v>
      </c>
      <c r="Y33" s="2">
        <v>0</v>
      </c>
      <c r="Z33" s="2">
        <v>0</v>
      </c>
      <c r="AA33" s="2">
        <v>-5.6566834999999998</v>
      </c>
      <c r="AB33" s="2">
        <v>32.758763399999999</v>
      </c>
      <c r="AC33" s="2">
        <v>3.0659592999999998</v>
      </c>
      <c r="AD33" s="2">
        <v>0.55107379999999995</v>
      </c>
      <c r="AE33" s="2">
        <v>0</v>
      </c>
      <c r="AF33">
        <v>1</v>
      </c>
      <c r="AG33" s="2">
        <v>0</v>
      </c>
      <c r="AH33" s="2">
        <v>0</v>
      </c>
      <c r="AI33" s="2">
        <v>0</v>
      </c>
      <c r="AJ33" s="2"/>
      <c r="AK33" s="2">
        <f t="shared" si="1"/>
        <v>1.2822079335781744E-9</v>
      </c>
      <c r="AL33">
        <f t="shared" si="0"/>
        <v>-2.1101058123634164</v>
      </c>
      <c r="AM33">
        <f>SUM(output_transition_firms_age!C40:F40)/output_transition_firms_age!IL39</f>
        <v>0.1161370692419826</v>
      </c>
    </row>
    <row r="34" spans="1:39" x14ac:dyDescent="0.35">
      <c r="A34" s="1">
        <v>32</v>
      </c>
      <c r="B34" s="2">
        <v>1</v>
      </c>
      <c r="C34" s="2">
        <v>0.79263700000000004</v>
      </c>
      <c r="D34" s="2">
        <v>0.40354410000000002</v>
      </c>
      <c r="E34" s="2">
        <v>3.2342999999999998E-3</v>
      </c>
      <c r="F34" s="2">
        <v>1</v>
      </c>
      <c r="G34" s="2">
        <v>0.78018900000000002</v>
      </c>
      <c r="H34" s="2">
        <v>0</v>
      </c>
      <c r="I34" s="2">
        <v>0</v>
      </c>
      <c r="J34" s="2">
        <v>2.5154423000000001</v>
      </c>
      <c r="K34" s="2">
        <v>0.99639619999999995</v>
      </c>
      <c r="L34" s="2">
        <v>-4.7136646999999998</v>
      </c>
      <c r="M34" s="2">
        <v>1.01855E-2</v>
      </c>
      <c r="N34" s="2">
        <v>1.9996476999999999</v>
      </c>
      <c r="O34" s="2">
        <v>0.55536750000000001</v>
      </c>
      <c r="P34" s="2">
        <v>1.0734799999999999E-2</v>
      </c>
      <c r="Q34" s="2">
        <v>0.35956630000000001</v>
      </c>
      <c r="R34" s="2">
        <v>3.0662623</v>
      </c>
      <c r="S34" s="2">
        <v>0.55081999999999998</v>
      </c>
      <c r="T34" s="2">
        <v>-1</v>
      </c>
      <c r="U34" s="2">
        <v>1.06903E-2</v>
      </c>
      <c r="V34" s="2">
        <v>0</v>
      </c>
      <c r="W34" s="2">
        <v>2.6907741999999999</v>
      </c>
      <c r="X34" s="2">
        <v>0.64980020000000005</v>
      </c>
      <c r="Y34" s="2">
        <v>0</v>
      </c>
      <c r="Z34" s="2">
        <v>0</v>
      </c>
      <c r="AA34" s="2">
        <v>-5.6592691999999998</v>
      </c>
      <c r="AB34" s="2">
        <v>32.763057500000002</v>
      </c>
      <c r="AC34" s="2">
        <v>3.0662386000000001</v>
      </c>
      <c r="AD34" s="2">
        <v>0.55079630000000002</v>
      </c>
      <c r="AE34" s="2">
        <v>0</v>
      </c>
      <c r="AF34">
        <v>1</v>
      </c>
      <c r="AG34" s="2">
        <v>0</v>
      </c>
      <c r="AH34" s="2">
        <v>0</v>
      </c>
      <c r="AI34" s="2">
        <v>0</v>
      </c>
      <c r="AJ34" s="2"/>
      <c r="AK34" s="2">
        <f t="shared" si="1"/>
        <v>6.411039667890872E-10</v>
      </c>
      <c r="AL34">
        <f t="shared" si="0"/>
        <v>-2.0926622674882989</v>
      </c>
      <c r="AM34">
        <f>SUM(output_transition_firms_age!C41:F41)/output_transition_firms_age!IL40</f>
        <v>0.11613224460049443</v>
      </c>
    </row>
    <row r="35" spans="1:39" x14ac:dyDescent="0.35">
      <c r="A35" s="1">
        <v>33</v>
      </c>
      <c r="B35" s="2">
        <v>1</v>
      </c>
      <c r="C35" s="2">
        <v>0.79263700000000004</v>
      </c>
      <c r="D35" s="2">
        <v>0.40354410000000002</v>
      </c>
      <c r="E35" s="2">
        <v>3.2342999999999998E-3</v>
      </c>
      <c r="F35" s="2">
        <v>1</v>
      </c>
      <c r="G35" s="2">
        <v>0.78018900000000002</v>
      </c>
      <c r="H35" s="2">
        <v>0</v>
      </c>
      <c r="I35" s="2">
        <v>0</v>
      </c>
      <c r="J35" s="2">
        <v>2.5157444</v>
      </c>
      <c r="K35" s="2">
        <v>0.99638099999999996</v>
      </c>
      <c r="L35" s="2">
        <v>-4.7104594999999998</v>
      </c>
      <c r="M35" s="2">
        <v>1.0180700000000001E-2</v>
      </c>
      <c r="N35" s="2">
        <v>1.9998232</v>
      </c>
      <c r="O35" s="2">
        <v>0.55593689999999996</v>
      </c>
      <c r="P35" s="2">
        <v>1.0734799999999999E-2</v>
      </c>
      <c r="Q35" s="2">
        <v>0.35961080000000001</v>
      </c>
      <c r="R35" s="2">
        <v>3.0664432000000001</v>
      </c>
      <c r="S35" s="2">
        <v>0.55069880000000004</v>
      </c>
      <c r="T35" s="2">
        <v>-1</v>
      </c>
      <c r="U35" s="2">
        <v>1.07286E-2</v>
      </c>
      <c r="V35" s="2">
        <v>0</v>
      </c>
      <c r="W35" s="2">
        <v>2.6904051999999998</v>
      </c>
      <c r="X35" s="2">
        <v>0.64980749999999998</v>
      </c>
      <c r="Y35" s="2">
        <v>0</v>
      </c>
      <c r="Z35" s="2">
        <v>0</v>
      </c>
      <c r="AA35" s="2">
        <v>-5.6615403000000004</v>
      </c>
      <c r="AB35" s="2">
        <v>32.766959999999997</v>
      </c>
      <c r="AC35" s="2">
        <v>3.0664213</v>
      </c>
      <c r="AD35" s="2">
        <v>0.55067699999999997</v>
      </c>
      <c r="AE35" s="2">
        <v>0</v>
      </c>
      <c r="AF35">
        <v>1</v>
      </c>
      <c r="AG35" s="2">
        <v>0</v>
      </c>
      <c r="AH35" s="2">
        <v>0</v>
      </c>
      <c r="AI35" s="2">
        <v>0</v>
      </c>
      <c r="AJ35" s="2"/>
      <c r="AK35" s="2">
        <f t="shared" si="1"/>
        <v>3.205519833945436E-10</v>
      </c>
      <c r="AL35">
        <f t="shared" si="0"/>
        <v>-2.0698119966144901</v>
      </c>
      <c r="AM35">
        <f>SUM(output_transition_firms_age!C42:F42)/output_transition_firms_age!IL41</f>
        <v>0.11612518033647341</v>
      </c>
    </row>
    <row r="36" spans="1:39" x14ac:dyDescent="0.35">
      <c r="A36" s="1">
        <v>34</v>
      </c>
      <c r="B36" s="2">
        <v>1</v>
      </c>
      <c r="C36" s="2">
        <v>0.79263700000000004</v>
      </c>
      <c r="D36" s="2">
        <v>0.40354410000000002</v>
      </c>
      <c r="E36" s="2">
        <v>3.2342999999999998E-3</v>
      </c>
      <c r="F36" s="2">
        <v>1</v>
      </c>
      <c r="G36" s="2">
        <v>0.78018900000000002</v>
      </c>
      <c r="H36" s="2">
        <v>0</v>
      </c>
      <c r="I36" s="2">
        <v>0</v>
      </c>
      <c r="J36" s="2">
        <v>2.5163308999999998</v>
      </c>
      <c r="K36" s="2">
        <v>0.99621979999999999</v>
      </c>
      <c r="L36" s="2">
        <v>-4.7068028000000002</v>
      </c>
      <c r="M36" s="2">
        <v>1.01817E-2</v>
      </c>
      <c r="N36" s="2">
        <v>1.9999458999999999</v>
      </c>
      <c r="O36" s="2">
        <v>0.55698890000000001</v>
      </c>
      <c r="P36" s="2">
        <v>1.0654E-2</v>
      </c>
      <c r="Q36" s="2">
        <v>0.35961700000000002</v>
      </c>
      <c r="R36" s="2">
        <v>3.0663233999999999</v>
      </c>
      <c r="S36" s="2">
        <v>0.5499925</v>
      </c>
      <c r="T36" s="2">
        <v>-1</v>
      </c>
      <c r="U36" s="2">
        <v>1.0714100000000001E-2</v>
      </c>
      <c r="V36" s="2">
        <v>0</v>
      </c>
      <c r="W36" s="2">
        <v>2.6905076999999999</v>
      </c>
      <c r="X36" s="2">
        <v>0.64976619999999996</v>
      </c>
      <c r="Y36" s="2">
        <v>0</v>
      </c>
      <c r="Z36" s="2">
        <v>0</v>
      </c>
      <c r="AA36" s="2">
        <v>-5.6639068999999997</v>
      </c>
      <c r="AB36" s="2">
        <v>32.769609099999997</v>
      </c>
      <c r="AC36" s="2">
        <v>3.066303</v>
      </c>
      <c r="AD36" s="2">
        <v>0.54997209999999996</v>
      </c>
      <c r="AE36" s="2">
        <v>0</v>
      </c>
      <c r="AF36">
        <v>1</v>
      </c>
      <c r="AG36" s="2">
        <v>0</v>
      </c>
      <c r="AH36" s="2">
        <v>0</v>
      </c>
      <c r="AI36" s="2">
        <v>0</v>
      </c>
      <c r="AJ36" s="2"/>
      <c r="AK36" s="2">
        <f t="shared" si="1"/>
        <v>1.602759916972718E-10</v>
      </c>
      <c r="AL36">
        <f t="shared" si="0"/>
        <v>-2.0320386004582858</v>
      </c>
      <c r="AM36">
        <f>SUM(output_transition_firms_age!C43:F43)/output_transition_firms_age!IL42</f>
        <v>0.11589551113533875</v>
      </c>
    </row>
    <row r="37" spans="1:39" x14ac:dyDescent="0.35">
      <c r="A37" s="1">
        <v>35</v>
      </c>
      <c r="B37" s="2">
        <v>1</v>
      </c>
      <c r="C37" s="2">
        <v>0.79263700000000004</v>
      </c>
      <c r="D37" s="2">
        <v>0.40354410000000002</v>
      </c>
      <c r="E37" s="2">
        <v>3.2342999999999998E-3</v>
      </c>
      <c r="F37" s="2">
        <v>1</v>
      </c>
      <c r="G37" s="2">
        <v>0.78018900000000002</v>
      </c>
      <c r="H37" s="2">
        <v>0</v>
      </c>
      <c r="I37" s="2">
        <v>0</v>
      </c>
      <c r="J37" s="2">
        <v>2.5166200999999999</v>
      </c>
      <c r="K37" s="2">
        <v>0.99619809999999998</v>
      </c>
      <c r="L37" s="2">
        <v>-4.7028198000000003</v>
      </c>
      <c r="M37" s="2">
        <v>1.0178700000000001E-2</v>
      </c>
      <c r="N37" s="2">
        <v>1.9999990000000001</v>
      </c>
      <c r="O37" s="2">
        <v>0.55674619999999997</v>
      </c>
      <c r="P37" s="2">
        <v>1.0654E-2</v>
      </c>
      <c r="Q37" s="2">
        <v>0.35955690000000001</v>
      </c>
      <c r="R37" s="2">
        <v>3.0664680999999998</v>
      </c>
      <c r="S37" s="2">
        <v>0.549848</v>
      </c>
      <c r="T37" s="2">
        <v>-1</v>
      </c>
      <c r="U37" s="2">
        <v>1.07007E-2</v>
      </c>
      <c r="V37" s="2">
        <v>0</v>
      </c>
      <c r="W37" s="2">
        <v>2.6908873</v>
      </c>
      <c r="X37" s="2">
        <v>0.64973879999999995</v>
      </c>
      <c r="Y37" s="2">
        <v>0</v>
      </c>
      <c r="Z37" s="2">
        <v>0</v>
      </c>
      <c r="AA37" s="2">
        <v>-5.6660773999999998</v>
      </c>
      <c r="AB37" s="2">
        <v>32.772793900000003</v>
      </c>
      <c r="AC37" s="2">
        <v>3.0664482999999998</v>
      </c>
      <c r="AD37" s="2">
        <v>0.54982819999999999</v>
      </c>
      <c r="AE37" s="2">
        <v>0</v>
      </c>
      <c r="AF37">
        <v>1</v>
      </c>
      <c r="AG37" s="2">
        <v>0</v>
      </c>
      <c r="AH37" s="2">
        <v>0</v>
      </c>
      <c r="AI37" s="2">
        <v>0</v>
      </c>
      <c r="AJ37" s="2"/>
      <c r="AK37" s="2">
        <f t="shared" si="1"/>
        <v>8.01379958486359E-11</v>
      </c>
      <c r="AL37">
        <f t="shared" si="0"/>
        <v>-2.0108087161834209</v>
      </c>
      <c r="AM37">
        <f>SUM(output_transition_firms_age!C44:F44)/output_transition_firms_age!IL43</f>
        <v>0.11567240600600097</v>
      </c>
    </row>
    <row r="38" spans="1:39" x14ac:dyDescent="0.35">
      <c r="A38" s="1">
        <v>36</v>
      </c>
      <c r="B38" s="2">
        <v>1</v>
      </c>
      <c r="C38" s="2">
        <v>0.79263700000000004</v>
      </c>
      <c r="D38" s="2">
        <v>0.40354410000000002</v>
      </c>
      <c r="E38" s="2">
        <v>3.2342999999999998E-3</v>
      </c>
      <c r="F38" s="2">
        <v>1</v>
      </c>
      <c r="G38" s="2">
        <v>0.78018900000000002</v>
      </c>
      <c r="H38" s="2">
        <v>0</v>
      </c>
      <c r="I38" s="2">
        <v>0</v>
      </c>
      <c r="J38" s="2">
        <v>2.5172061000000001</v>
      </c>
      <c r="K38" s="2">
        <v>0.99615600000000004</v>
      </c>
      <c r="L38" s="2">
        <v>-4.6993144999999998</v>
      </c>
      <c r="M38" s="2">
        <v>1.0178E-2</v>
      </c>
      <c r="N38" s="2">
        <v>2.0000876000000001</v>
      </c>
      <c r="O38" s="2">
        <v>0.55644199999999999</v>
      </c>
      <c r="P38" s="2">
        <v>1.0654E-2</v>
      </c>
      <c r="Q38" s="2">
        <v>0.3595102</v>
      </c>
      <c r="R38" s="2">
        <v>3.0665572999999999</v>
      </c>
      <c r="S38" s="2">
        <v>0.54935120000000004</v>
      </c>
      <c r="T38" s="2">
        <v>-1</v>
      </c>
      <c r="U38" s="2">
        <v>1.06944E-2</v>
      </c>
      <c r="V38" s="2">
        <v>0</v>
      </c>
      <c r="W38" s="2">
        <v>2.6911138000000001</v>
      </c>
      <c r="X38" s="2">
        <v>0.6497212</v>
      </c>
      <c r="Y38" s="2">
        <v>0</v>
      </c>
      <c r="Z38" s="2">
        <v>0</v>
      </c>
      <c r="AA38" s="2">
        <v>-5.6678705000000003</v>
      </c>
      <c r="AB38" s="2">
        <v>32.775795199999997</v>
      </c>
      <c r="AC38" s="2">
        <v>3.0665384000000002</v>
      </c>
      <c r="AD38" s="2">
        <v>0.54933240000000005</v>
      </c>
      <c r="AE38" s="2">
        <v>0</v>
      </c>
      <c r="AF38">
        <v>1</v>
      </c>
      <c r="AG38" s="2">
        <v>0</v>
      </c>
      <c r="AH38" s="2">
        <v>0</v>
      </c>
      <c r="AI38" s="2">
        <v>0</v>
      </c>
      <c r="AJ38" s="2"/>
      <c r="AK38" s="2">
        <f t="shared" si="1"/>
        <v>4.006899792431795E-11</v>
      </c>
      <c r="AL38">
        <f t="shared" si="0"/>
        <v>-1.9888451884800151</v>
      </c>
      <c r="AM38">
        <f>SUM(output_transition_firms_age!C45:F45)/output_transition_firms_age!IL44</f>
        <v>0.11546437343105942</v>
      </c>
    </row>
    <row r="39" spans="1:39" x14ac:dyDescent="0.35">
      <c r="A39" s="1">
        <v>37</v>
      </c>
      <c r="B39" s="2">
        <v>1</v>
      </c>
      <c r="C39" s="2">
        <v>0.79263700000000004</v>
      </c>
      <c r="D39" s="2">
        <v>0.40354410000000002</v>
      </c>
      <c r="E39" s="2">
        <v>3.2342999999999998E-3</v>
      </c>
      <c r="F39" s="2">
        <v>1</v>
      </c>
      <c r="G39" s="2">
        <v>0.78018900000000002</v>
      </c>
      <c r="H39" s="2">
        <v>0</v>
      </c>
      <c r="I39" s="2">
        <v>0</v>
      </c>
      <c r="J39" s="2">
        <v>2.5176957</v>
      </c>
      <c r="K39" s="2">
        <v>0.99611890000000003</v>
      </c>
      <c r="L39" s="2">
        <v>-4.6966738000000001</v>
      </c>
      <c r="M39" s="2">
        <v>1.018E-2</v>
      </c>
      <c r="N39" s="2">
        <v>2.0001815999999999</v>
      </c>
      <c r="O39" s="2">
        <v>0.55585949999999995</v>
      </c>
      <c r="P39" s="2">
        <v>1.0654E-2</v>
      </c>
      <c r="Q39" s="2">
        <v>0.35946980000000001</v>
      </c>
      <c r="R39" s="2">
        <v>3.0666313000000001</v>
      </c>
      <c r="S39" s="2">
        <v>0.54893550000000002</v>
      </c>
      <c r="T39" s="2">
        <v>-1</v>
      </c>
      <c r="U39" s="2">
        <v>1.0681100000000001E-2</v>
      </c>
      <c r="V39" s="2">
        <v>0</v>
      </c>
      <c r="W39" s="2">
        <v>2.6913064000000002</v>
      </c>
      <c r="X39" s="2">
        <v>0.6497115</v>
      </c>
      <c r="Y39" s="2">
        <v>0</v>
      </c>
      <c r="Z39" s="2">
        <v>0</v>
      </c>
      <c r="AA39" s="2">
        <v>-5.6691919999999998</v>
      </c>
      <c r="AB39" s="2">
        <v>32.778266899999998</v>
      </c>
      <c r="AC39" s="2">
        <v>3.0666134</v>
      </c>
      <c r="AD39" s="2">
        <v>0.54891769999999995</v>
      </c>
      <c r="AE39" s="2">
        <v>0</v>
      </c>
      <c r="AF39">
        <v>1</v>
      </c>
      <c r="AG39" s="2">
        <v>0</v>
      </c>
      <c r="AH39" s="2">
        <v>0</v>
      </c>
      <c r="AI39" s="2">
        <v>0</v>
      </c>
      <c r="AJ39" s="2"/>
      <c r="AK39" s="2">
        <f t="shared" si="1"/>
        <v>2.0034498962158975E-11</v>
      </c>
      <c r="AL39">
        <f t="shared" si="0"/>
        <v>-1.9699510291074418</v>
      </c>
      <c r="AM39">
        <f>SUM(output_transition_firms_age!C46:F46)/output_transition_firms_age!IL45</f>
        <v>0.11529291765690085</v>
      </c>
    </row>
    <row r="40" spans="1:39" x14ac:dyDescent="0.35">
      <c r="A40" s="1">
        <v>38</v>
      </c>
      <c r="B40" s="2">
        <v>1</v>
      </c>
      <c r="C40" s="2">
        <v>0.79263700000000004</v>
      </c>
      <c r="D40" s="2">
        <v>0.40354410000000002</v>
      </c>
      <c r="E40" s="2">
        <v>3.2342999999999998E-3</v>
      </c>
      <c r="F40" s="2">
        <v>1</v>
      </c>
      <c r="G40" s="2">
        <v>0.78018900000000002</v>
      </c>
      <c r="H40" s="2">
        <v>0</v>
      </c>
      <c r="I40" s="2">
        <v>0</v>
      </c>
      <c r="J40" s="2">
        <v>2.5184004999999998</v>
      </c>
      <c r="K40" s="2">
        <v>0.99605080000000001</v>
      </c>
      <c r="L40" s="2">
        <v>-4.6952749000000003</v>
      </c>
      <c r="M40" s="2">
        <v>1.02247E-2</v>
      </c>
      <c r="N40" s="2">
        <v>2.0003274000000002</v>
      </c>
      <c r="O40" s="2">
        <v>0.55489929999999998</v>
      </c>
      <c r="P40" s="2">
        <v>1.0654E-2</v>
      </c>
      <c r="Q40" s="2">
        <v>0.3594427</v>
      </c>
      <c r="R40" s="2">
        <v>3.0666183</v>
      </c>
      <c r="S40" s="2">
        <v>0.56796579999999997</v>
      </c>
      <c r="T40" s="2">
        <v>-1</v>
      </c>
      <c r="U40" s="2">
        <v>1.06715E-2</v>
      </c>
      <c r="V40" s="2">
        <v>0</v>
      </c>
      <c r="W40" s="2">
        <v>2.6913239999999998</v>
      </c>
      <c r="X40" s="2">
        <v>0.64971789999999996</v>
      </c>
      <c r="Y40" s="2">
        <v>0</v>
      </c>
      <c r="Z40" s="2">
        <v>0</v>
      </c>
      <c r="AA40" s="2">
        <v>-5.6700792</v>
      </c>
      <c r="AB40" s="2">
        <v>32.7802972</v>
      </c>
      <c r="AC40" s="2">
        <v>3.0666019000000002</v>
      </c>
      <c r="AD40" s="2">
        <v>0.5679495</v>
      </c>
      <c r="AE40" s="2">
        <v>1.9748100000000001E-2</v>
      </c>
      <c r="AF40">
        <v>1</v>
      </c>
      <c r="AG40" s="2">
        <v>0</v>
      </c>
      <c r="AH40" s="2">
        <v>0</v>
      </c>
      <c r="AI40" s="2">
        <v>0</v>
      </c>
      <c r="AJ40" s="2"/>
      <c r="AK40" s="2">
        <f t="shared" si="1"/>
        <v>1.0017249481079488E-11</v>
      </c>
      <c r="AL40">
        <f t="shared" si="0"/>
        <v>-1.9502079327643251</v>
      </c>
      <c r="AM40">
        <f>SUM(output_transition_firms_age!C47:F47)/output_transition_firms_age!IL46</f>
        <v>0.11524683076185413</v>
      </c>
    </row>
    <row r="41" spans="1:39" x14ac:dyDescent="0.35">
      <c r="A41" s="1">
        <v>39</v>
      </c>
      <c r="B41" s="2">
        <v>1</v>
      </c>
      <c r="C41" s="2">
        <v>0.79263700000000004</v>
      </c>
      <c r="D41" s="2">
        <v>0.40354410000000002</v>
      </c>
      <c r="E41" s="2">
        <v>3.2342999999999998E-3</v>
      </c>
      <c r="F41" s="2">
        <v>1</v>
      </c>
      <c r="G41" s="2">
        <v>0.78018900000000002</v>
      </c>
      <c r="H41" s="2">
        <v>0</v>
      </c>
      <c r="I41" s="2">
        <v>0</v>
      </c>
      <c r="J41" s="2">
        <v>2.5286658000000002</v>
      </c>
      <c r="K41" s="2">
        <v>0.99755099999999997</v>
      </c>
      <c r="L41" s="2">
        <v>-4.5981648000000002</v>
      </c>
      <c r="M41" s="2">
        <v>1.0101000000000001E-2</v>
      </c>
      <c r="N41" s="2">
        <v>2.0018584000000001</v>
      </c>
      <c r="O41" s="2">
        <v>0.55909600000000004</v>
      </c>
      <c r="P41" s="2">
        <v>1.0654E-2</v>
      </c>
      <c r="Q41" s="2">
        <v>0.3604869</v>
      </c>
      <c r="R41" s="2">
        <v>3.0906913999999999</v>
      </c>
      <c r="S41" s="2">
        <v>0.55328379999999999</v>
      </c>
      <c r="T41" s="2">
        <v>-1</v>
      </c>
      <c r="U41" s="2">
        <v>1.0653899999999999E-2</v>
      </c>
      <c r="V41" s="2">
        <v>0</v>
      </c>
      <c r="W41" s="2">
        <v>2.6877955999999998</v>
      </c>
      <c r="X41" s="2">
        <v>0.64611940000000001</v>
      </c>
      <c r="Y41" s="2">
        <v>0</v>
      </c>
      <c r="Z41" s="2">
        <v>0</v>
      </c>
      <c r="AA41" s="2">
        <v>-5.7495697000000003</v>
      </c>
      <c r="AB41" s="2">
        <v>33.1899199</v>
      </c>
      <c r="AC41" s="2">
        <v>3.0906913999999999</v>
      </c>
      <c r="AD41" s="2">
        <v>0.55328379999999999</v>
      </c>
      <c r="AE41" s="2">
        <v>8.7417999999999992E-3</v>
      </c>
      <c r="AF41">
        <v>1</v>
      </c>
      <c r="AG41" s="2">
        <v>0</v>
      </c>
      <c r="AH41" s="2">
        <v>0</v>
      </c>
      <c r="AI41" s="2">
        <v>0</v>
      </c>
      <c r="AJ41" s="2"/>
      <c r="AK41" s="2">
        <f t="shared" si="1"/>
        <v>5.0086247405397438E-12</v>
      </c>
      <c r="AL41">
        <f t="shared" si="0"/>
        <v>0</v>
      </c>
      <c r="AM41">
        <f>SUM(output_transition_firms_age!C48:F48)/output_transition_firms_age!IL47</f>
        <v>0</v>
      </c>
    </row>
    <row r="42" spans="1:39" x14ac:dyDescent="0.3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G42" s="2"/>
      <c r="AH42" s="2"/>
      <c r="AI42" s="2"/>
      <c r="AJ42" s="2"/>
      <c r="AK42" s="2"/>
    </row>
    <row r="43" spans="1:39" x14ac:dyDescent="0.3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G43" s="2"/>
      <c r="AH43" s="2"/>
      <c r="AI43" s="2"/>
      <c r="AJ43" s="2"/>
      <c r="AK43" s="2"/>
    </row>
    <row r="44" spans="1:39" x14ac:dyDescent="0.35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G44" s="2"/>
      <c r="AH44" s="2"/>
      <c r="AI44" s="2"/>
      <c r="AJ44" s="2"/>
      <c r="AK44" s="2"/>
    </row>
    <row r="45" spans="1:39" x14ac:dyDescent="0.35"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G45" s="2"/>
      <c r="AH45" s="2"/>
      <c r="AI45" s="2"/>
      <c r="AJ45" s="2"/>
      <c r="AK45" s="2"/>
    </row>
    <row r="46" spans="1:39" x14ac:dyDescent="0.35"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G46" s="2"/>
      <c r="AH46" s="2"/>
      <c r="AI46" s="2"/>
      <c r="AJ46" s="2"/>
      <c r="AK46" s="2"/>
    </row>
    <row r="47" spans="1:39" x14ac:dyDescent="0.35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G47" s="2"/>
      <c r="AH47" s="2"/>
      <c r="AI47" s="2"/>
      <c r="AJ47" s="2"/>
      <c r="AK47" s="2"/>
    </row>
    <row r="48" spans="1:39" x14ac:dyDescent="0.35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G48" s="2"/>
      <c r="AH48" s="2"/>
      <c r="AI48" s="2"/>
      <c r="AJ48" s="2"/>
      <c r="AK48" s="2"/>
    </row>
    <row r="49" spans="2:37" x14ac:dyDescent="0.35"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G49" s="2"/>
      <c r="AH49" s="2"/>
      <c r="AI49" s="2"/>
      <c r="AJ49" s="2"/>
      <c r="AK49" s="2"/>
    </row>
    <row r="50" spans="2:37" x14ac:dyDescent="0.35"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G50" s="2"/>
      <c r="AH50" s="2"/>
      <c r="AI50" s="2"/>
      <c r="AJ50" s="2"/>
      <c r="AK50" s="2"/>
    </row>
    <row r="51" spans="2:37" x14ac:dyDescent="0.35"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G51" s="2"/>
      <c r="AH51" s="2"/>
      <c r="AI51" s="2"/>
      <c r="AJ51" s="2"/>
      <c r="AK51" s="2"/>
    </row>
    <row r="52" spans="2:37" x14ac:dyDescent="0.35"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G52" s="2"/>
      <c r="AH52" s="2"/>
      <c r="AI52" s="2"/>
      <c r="AJ52" s="2"/>
      <c r="AK52" s="2"/>
    </row>
    <row r="53" spans="2:37" x14ac:dyDescent="0.35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G53" s="2"/>
      <c r="AH53" s="2"/>
      <c r="AI53" s="2"/>
      <c r="AJ53" s="2"/>
      <c r="AK53" s="2"/>
    </row>
    <row r="54" spans="2:37" x14ac:dyDescent="0.3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G54" s="2"/>
      <c r="AH54" s="2"/>
      <c r="AI54" s="2"/>
      <c r="AJ54" s="2"/>
      <c r="AK54" s="2"/>
    </row>
    <row r="55" spans="2:37" x14ac:dyDescent="0.35"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G55" s="2"/>
      <c r="AH55" s="2"/>
      <c r="AI55" s="2"/>
      <c r="AJ55" s="2"/>
      <c r="AK55" s="2"/>
    </row>
    <row r="56" spans="2:37" x14ac:dyDescent="0.35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G56" s="2"/>
      <c r="AH56" s="2"/>
      <c r="AI56" s="2"/>
      <c r="AJ56" s="2"/>
      <c r="AK56" s="2"/>
    </row>
    <row r="57" spans="2:37" x14ac:dyDescent="0.35"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G57" s="2"/>
      <c r="AH57" s="2"/>
      <c r="AI57" s="2"/>
      <c r="AJ57" s="2"/>
      <c r="AK57" s="2"/>
    </row>
    <row r="58" spans="2:37" x14ac:dyDescent="0.35"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G58" s="2"/>
      <c r="AH58" s="2"/>
      <c r="AI58" s="2"/>
      <c r="AJ58" s="2"/>
      <c r="AK58" s="2"/>
    </row>
    <row r="59" spans="2:37" x14ac:dyDescent="0.35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G59" s="2"/>
      <c r="AH59" s="2"/>
      <c r="AI59" s="2"/>
      <c r="AJ59" s="2"/>
      <c r="AK59" s="2"/>
    </row>
    <row r="60" spans="2:37" x14ac:dyDescent="0.35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G60" s="2"/>
      <c r="AH60" s="2"/>
      <c r="AI60" s="2"/>
      <c r="AJ60" s="2"/>
      <c r="AK60" s="2"/>
    </row>
    <row r="61" spans="2:37" x14ac:dyDescent="0.3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G61" s="2"/>
      <c r="AH61" s="2"/>
      <c r="AI61" s="2"/>
      <c r="AJ61" s="2"/>
      <c r="AK61" s="2"/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9" sqref="I19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32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48</v>
      </c>
      <c r="H1" s="1" t="s">
        <v>49</v>
      </c>
      <c r="I1" s="1" t="s">
        <v>54</v>
      </c>
      <c r="J1" s="1" t="s">
        <v>33</v>
      </c>
      <c r="K1" s="1" t="s">
        <v>35</v>
      </c>
      <c r="L1" s="1" t="s">
        <v>10</v>
      </c>
      <c r="M1" s="1" t="s">
        <v>51</v>
      </c>
      <c r="N1" s="1" t="s">
        <v>36</v>
      </c>
      <c r="O1" s="1" t="s">
        <v>16</v>
      </c>
      <c r="P1" s="1" t="s">
        <v>39</v>
      </c>
      <c r="Q1" s="1" t="s">
        <v>5</v>
      </c>
      <c r="R1" s="1" t="s">
        <v>55</v>
      </c>
      <c r="S1" s="1" t="s">
        <v>34</v>
      </c>
      <c r="T1" s="1" t="s">
        <v>38</v>
      </c>
      <c r="U1" s="1" t="s">
        <v>17</v>
      </c>
      <c r="V1" s="1" t="s">
        <v>47</v>
      </c>
      <c r="W1" s="1" t="s">
        <v>21</v>
      </c>
      <c r="X1" s="1" t="s">
        <v>20</v>
      </c>
      <c r="Y1" s="1" t="s">
        <v>6</v>
      </c>
      <c r="Z1" s="1" t="s">
        <v>7</v>
      </c>
      <c r="AA1" s="1" t="s">
        <v>37</v>
      </c>
      <c r="AB1" s="1" t="s">
        <v>19</v>
      </c>
      <c r="AC1" s="1" t="s">
        <v>24</v>
      </c>
      <c r="AD1" s="1" t="s">
        <v>31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33.1899199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0</v>
      </c>
      <c r="C3" s="6">
        <f>100*(output_transition_aggregates!C3/output_transition_aggregates!C$2-1)</f>
        <v>18.842231689916055</v>
      </c>
      <c r="D3" s="6">
        <f>100*(output_transition_aggregates!D3/output_transition_aggregates!D$2-1)</f>
        <v>0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-1.0388521883754054</v>
      </c>
      <c r="K3" s="8">
        <f>100*(output_transition_aggregates!K3-output_transition_aggregates!K$2)</f>
        <v>-14.494619999999991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9.7106868297977655</v>
      </c>
      <c r="O3" s="6">
        <f>output_transition_aggregates!O3/output_transition_aggregates!O$2</f>
        <v>1.2209368337459039</v>
      </c>
      <c r="P3" s="3">
        <f>100*(output_transition_aggregates!P3/SUM(output_transition_aggregates!P3:Q3)-output_transition_aggregates!P$2/SUM(output_transition_aggregates!P$2:Q$2))</f>
        <v>-0.64185771541841152</v>
      </c>
      <c r="Q3" s="6">
        <f>output_transition_aggregates!Q3/output_transition_aggregates!Q$2</f>
        <v>1</v>
      </c>
      <c r="R3" s="4">
        <f>100*(output_transition_aggregates!R3/output_transition_aggregates!R$2-1)</f>
        <v>-11.395421102216796</v>
      </c>
      <c r="S3" s="6">
        <f>100*(output_transition_aggregates!S3/output_transition_aggregates!S$2-1)</f>
        <v>-57.327975263327779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3.1099823340930079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0.86033618032561698</v>
      </c>
      <c r="X3" s="7">
        <f>100*(output_transition_aggregates!X3-output_transition_aggregates!X$2)</f>
        <v>3.7257100000000043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33.157068799999998</v>
      </c>
      <c r="AC3" s="6">
        <f>output_transition_aggregates!AC3/output_transition_aggregates!AC$2</f>
        <v>0.88656263126108292</v>
      </c>
      <c r="AD3" s="6">
        <f>output_transition_aggregates!AD3/output_transition_aggregates!AD$2</f>
        <v>0.42960737328654847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0</v>
      </c>
      <c r="C4" s="6">
        <f>100*(output_transition_aggregates!C4/output_transition_aggregates!C$2-1)</f>
        <v>9.4211221530158262</v>
      </c>
      <c r="D4" s="6">
        <f>100*(output_transition_aggregates!D4/output_transition_aggregates!D$2-1)</f>
        <v>0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-1.217135929943769</v>
      </c>
      <c r="K4" s="8">
        <f>100*(output_transition_aggregates!K4-output_transition_aggregates!K$2)</f>
        <v>-8.1076399999999929</v>
      </c>
      <c r="L4" s="6">
        <f>100*(output_transition_aggregates!L4/output_transition_aggregates!L$2-1)</f>
        <v>-0.71188401076882624</v>
      </c>
      <c r="M4" s="6">
        <f>100*(output_transition_aggregates!M4-output_transition_aggregates!M$2)</f>
        <v>-0.16066000000000014</v>
      </c>
      <c r="N4" s="6">
        <f>100*(output_transition_aggregates!N4/output_transition_aggregates!N$2-1)</f>
        <v>4.5623406730465943</v>
      </c>
      <c r="O4" s="6">
        <f>output_transition_aggregates!O4/output_transition_aggregates!O$2</f>
        <v>0.94129881093765644</v>
      </c>
      <c r="P4" s="7">
        <f>100*(output_transition_aggregates!P4/SUM(output_transition_aggregates!P4:Q4)-output_transition_aggregates!P$2/SUM(output_transition_aggregates!P$2:Q$2))</f>
        <v>-0.13139919948184503</v>
      </c>
      <c r="Q4" s="6">
        <f>output_transition_aggregates!Q4/output_transition_aggregates!Q$2</f>
        <v>0.96162662221567552</v>
      </c>
      <c r="R4" s="4">
        <f>100*(output_transition_aggregates!R4/output_transition_aggregates!R$2-1)</f>
        <v>-6.4583833895548342</v>
      </c>
      <c r="S4" s="6">
        <f>100*(output_transition_aggregates!S4/output_transition_aggregates!S$2-1)</f>
        <v>-28.934427503570504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-0.48856641697928238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0.95666314804593022</v>
      </c>
      <c r="X4" s="7">
        <f>100*(output_transition_aggregates!X4-output_transition_aggregates!X$2)</f>
        <v>1.720759999999999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-0.90299453192124179</v>
      </c>
      <c r="AB4" s="7">
        <f>output_transition_aggregates!AB4</f>
        <v>32.858576100000001</v>
      </c>
      <c r="AC4" s="6">
        <f>output_transition_aggregates!AC4/output_transition_aggregates!AC$2</f>
        <v>0.93570467760061715</v>
      </c>
      <c r="AD4" s="6">
        <f>output_transition_aggregates!AD4/output_transition_aggregates!AD$2</f>
        <v>0.71226719452114806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0</v>
      </c>
      <c r="C5" s="6">
        <f>100*(output_transition_aggregates!C5/output_transition_aggregates!C$2-1)</f>
        <v>4.7105673845656781</v>
      </c>
      <c r="D5" s="6">
        <f>100*(output_transition_aggregates!D5/output_transition_aggregates!D$2-1)</f>
        <v>0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-1.2742015967471931</v>
      </c>
      <c r="K5" s="8">
        <f>100*(output_transition_aggregates!K5-output_transition_aggregates!K$2)</f>
        <v>-4.524499999999998</v>
      </c>
      <c r="L5" s="6">
        <f>100*(output_transition_aggregates!L5/output_transition_aggregates!L$2-1)</f>
        <v>1.000035927376941</v>
      </c>
      <c r="M5" s="6">
        <f>100*(output_transition_aggregates!M5-output_transition_aggregates!M$2)</f>
        <v>-5.9150000000000001E-2</v>
      </c>
      <c r="N5" s="6">
        <f>100*(output_transition_aggregates!N5/output_transition_aggregates!N$2-1)</f>
        <v>1.9308058951622131</v>
      </c>
      <c r="O5" s="6">
        <f>output_transition_aggregates!O5/output_transition_aggregates!O$2</f>
        <v>0.94626987136377294</v>
      </c>
      <c r="P5" s="7">
        <f>100*(output_transition_aggregates!P5/SUM(output_transition_aggregates!P5:Q5)-output_transition_aggregates!P$2/SUM(output_transition_aggregates!P$2:Q$2))</f>
        <v>5.9726353647824443E-2</v>
      </c>
      <c r="Q5" s="6">
        <f>output_transition_aggregates!Q5/output_transition_aggregates!Q$2</f>
        <v>0.96515823459881622</v>
      </c>
      <c r="R5" s="4">
        <f>100*(output_transition_aggregates!R5/output_transition_aggregates!R$2-1)</f>
        <v>-3.959525043490264</v>
      </c>
      <c r="S5" s="6">
        <f>100*(output_transition_aggregates!S5/output_transition_aggregates!S$2-1)</f>
        <v>-14.714799168166504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-0.47661348633519091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0.98848621524642721</v>
      </c>
      <c r="X5" s="7">
        <f>100*(output_transition_aggregates!X5-output_transition_aggregates!X$2)</f>
        <v>0.84275999999999796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-1.6581327816584279</v>
      </c>
      <c r="AB5" s="7">
        <f>output_transition_aggregates!AB5</f>
        <v>32.714294500000001</v>
      </c>
      <c r="AC5" s="6">
        <f>output_transition_aggregates!AC5/output_transition_aggregates!AC$2</f>
        <v>0.96053607940281593</v>
      </c>
      <c r="AD5" s="6">
        <f>output_transition_aggregates!AD5/output_transition_aggregates!AD$2</f>
        <v>0.8535858089465117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0</v>
      </c>
      <c r="C6" s="6">
        <f>100*(output_transition_aggregates!C6/output_transition_aggregates!C$2-1)</f>
        <v>2.3552900003406263</v>
      </c>
      <c r="D6" s="6">
        <f>100*(output_transition_aggregates!D6/output_transition_aggregates!D$2-1)</f>
        <v>0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>
        <f>100*(output_transition_aggregates!G6/output_transition_aggregates!G$2-1)</f>
        <v>0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-1.256631066074454</v>
      </c>
      <c r="K6" s="8">
        <f>100*(output_transition_aggregates!K6-output_transition_aggregates!K$2)</f>
        <v>-2.6040300000000016</v>
      </c>
      <c r="L6" s="6">
        <f>100*(output_transition_aggregates!L6/output_transition_aggregates!L$2-1)</f>
        <v>2.133064043289612</v>
      </c>
      <c r="M6" s="6">
        <f>100*(output_transition_aggregates!M6-output_transition_aggregates!M$2)</f>
        <v>-1.9060000000000084E-2</v>
      </c>
      <c r="N6" s="6">
        <f>100*(output_transition_aggregates!N6/output_transition_aggregates!N$2-1)</f>
        <v>0.62028862780703076</v>
      </c>
      <c r="O6" s="6">
        <f>output_transition_aggregates!O6/output_transition_aggregates!O$2</f>
        <v>0.95515725385264771</v>
      </c>
      <c r="P6" s="7">
        <f>100*(output_transition_aggregates!P6/SUM(output_transition_aggregates!P6:Q6)-output_transition_aggregates!P$2/SUM(output_transition_aggregates!P$2:Q$2))</f>
        <v>0.19682661692385534</v>
      </c>
      <c r="Q6" s="6">
        <f>output_transition_aggregates!Q6/output_transition_aggregates!Q$2</f>
        <v>0.97049157680903242</v>
      </c>
      <c r="R6" s="4">
        <f>100*(output_transition_aggregates!R6/output_transition_aggregates!R$2-1)</f>
        <v>-2.6840175631898999</v>
      </c>
      <c r="S6" s="6">
        <f>100*(output_transition_aggregates!S6/output_transition_aggregates!S$2-1)</f>
        <v>-7.6700058812493648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-0.20229251146562482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1.0014663317404049</v>
      </c>
      <c r="X6" s="7">
        <f>100*(output_transition_aggregates!X6-output_transition_aggregates!X$2)</f>
        <v>0.44646999999999881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-2.2032153119215248</v>
      </c>
      <c r="AB6" s="7">
        <f>output_transition_aggregates!AB6</f>
        <v>32.648331300000002</v>
      </c>
      <c r="AC6" s="6">
        <f>output_transition_aggregates!AC6/output_transition_aggregates!AC$2</f>
        <v>0.97320431279551234</v>
      </c>
      <c r="AD6" s="6">
        <f>output_transition_aggregates!AD6/output_transition_aggregates!AD$2</f>
        <v>0.92354845741010316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0</v>
      </c>
      <c r="C7" s="6">
        <f>100*(output_transition_aggregates!C7/output_transition_aggregates!C$2-1)</f>
        <v>1.177638692112537</v>
      </c>
      <c r="D7" s="6">
        <f>100*(output_transition_aggregates!D7/output_transition_aggregates!D$2-1)</f>
        <v>0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-1.2600043865029553</v>
      </c>
      <c r="K7" s="8">
        <f>100*(output_transition_aggregates!K7-output_transition_aggregates!K$2)</f>
        <v>-1.6036999999999968</v>
      </c>
      <c r="L7" s="6">
        <f>100*(output_transition_aggregates!L7/output_transition_aggregates!L$2-1)</f>
        <v>2.8994328345952169</v>
      </c>
      <c r="M7" s="6">
        <f>100*(output_transition_aggregates!M7-output_transition_aggregates!M$2)</f>
        <v>1.5399999999998748E-3</v>
      </c>
      <c r="N7" s="6">
        <f>100*(output_transition_aggregates!N7/output_transition_aggregates!N$2-1)</f>
        <v>-2.4936828698784996E-2</v>
      </c>
      <c r="O7" s="6">
        <f>output_transition_aggregates!O7/output_transition_aggregates!O$2</f>
        <v>0.96322331048692889</v>
      </c>
      <c r="P7" s="7">
        <f>100*(output_transition_aggregates!P7/SUM(output_transition_aggregates!P7:Q7)-output_transition_aggregates!P$2/SUM(output_transition_aggregates!P$2:Q$2))</f>
        <v>0.18848411798594103</v>
      </c>
      <c r="Q7" s="6">
        <f>output_transition_aggregates!Q7/output_transition_aggregates!Q$2</f>
        <v>0.97448783853171916</v>
      </c>
      <c r="R7" s="4">
        <f>100*(output_transition_aggregates!R7/output_transition_aggregates!R$2-1)</f>
        <v>-2.0352630482616152</v>
      </c>
      <c r="S7" s="6">
        <f>100*(output_transition_aggregates!S7/output_transition_aggregates!S$2-1)</f>
        <v>-4.0305897262851387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-0.13921528822241347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1.0077118215388106</v>
      </c>
      <c r="X7" s="7">
        <f>100*(output_transition_aggregates!X7-output_transition_aggregates!X$2)</f>
        <v>0.26521999999999935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-2.5472862777887517</v>
      </c>
      <c r="AB7" s="7">
        <f>output_transition_aggregates!AB7</f>
        <v>32.613851599999997</v>
      </c>
      <c r="AC7" s="6">
        <f>output_transition_aggregates!AC7/output_transition_aggregates!AC$2</f>
        <v>0.97964558998028728</v>
      </c>
      <c r="AD7" s="6">
        <f>output_transition_aggregates!AD7/output_transition_aggregates!AD$2</f>
        <v>0.95968416208824481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0</v>
      </c>
      <c r="C8" s="6">
        <f>100*(output_transition_aggregates!C8/output_transition_aggregates!C$2-1)</f>
        <v>0.58881934605625741</v>
      </c>
      <c r="D8" s="6">
        <f>100*(output_transition_aggregates!D8/output_transition_aggregates!D$2-1)</f>
        <v>0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-1.2415084666388188</v>
      </c>
      <c r="K8" s="8">
        <f>100*(output_transition_aggregates!K8-output_transition_aggregates!K$2)</f>
        <v>-1.0749599999999915</v>
      </c>
      <c r="L8" s="6">
        <f>100*(output_transition_aggregates!L8/output_transition_aggregates!L$2-1)</f>
        <v>3.418616053082757</v>
      </c>
      <c r="M8" s="6">
        <f>100*(output_transition_aggregates!M8-output_transition_aggregates!M$2)</f>
        <v>1.0839999999999982E-2</v>
      </c>
      <c r="N8" s="6">
        <f>100*(output_transition_aggregates!N8/output_transition_aggregates!N$2-1)</f>
        <v>-0.32883944239013863</v>
      </c>
      <c r="O8" s="6">
        <f>output_transition_aggregates!O8/output_transition_aggregates!O$2</f>
        <v>0.97153941362485152</v>
      </c>
      <c r="P8" s="7">
        <f>100*(output_transition_aggregates!P8/SUM(output_transition_aggregates!P8:Q8)-output_transition_aggregates!P$2/SUM(output_transition_aggregates!P$2:Q$2))</f>
        <v>0.18038472690458593</v>
      </c>
      <c r="Q8" s="6">
        <f>output_transition_aggregates!Q8/output_transition_aggregates!Q$2</f>
        <v>0.9777822716997483</v>
      </c>
      <c r="R8" s="4">
        <f>100*(output_transition_aggregates!R8/output_transition_aggregates!R$2-1)</f>
        <v>-1.6890039555550573</v>
      </c>
      <c r="S8" s="6">
        <f>100*(output_transition_aggregates!S8/output_transition_aggregates!S$2-1)</f>
        <v>-2.1809060738810837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-5.9101908646194343E-2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1.0098132462155975</v>
      </c>
      <c r="X8" s="7">
        <f>100*(output_transition_aggregates!X8-output_transition_aggregates!X$2)</f>
        <v>0.18897999999999415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-2.6977288404730682</v>
      </c>
      <c r="AB8" s="7">
        <f>output_transition_aggregates!AB8</f>
        <v>32.599831999999999</v>
      </c>
      <c r="AC8" s="6">
        <f>output_transition_aggregates!AC8/output_transition_aggregates!AC$2</f>
        <v>0.98308634113389648</v>
      </c>
      <c r="AD8" s="6">
        <f>output_transition_aggregates!AD8/output_transition_aggregates!AD$2</f>
        <v>0.97805899973937416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0</v>
      </c>
      <c r="C9" s="6">
        <f>100*(output_transition_aggregates!C9/output_transition_aggregates!C$2-1)</f>
        <v>0.2944096730281176</v>
      </c>
      <c r="D9" s="6">
        <f>100*(output_transition_aggregates!D9/output_transition_aggregates!D$2-1)</f>
        <v>0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-1.2154749749848426</v>
      </c>
      <c r="K9" s="8">
        <f>100*(output_transition_aggregates!K9-output_transition_aggregates!K$2)</f>
        <v>-0.78945999999999739</v>
      </c>
      <c r="L9" s="6">
        <f>100*(output_transition_aggregates!L9/output_transition_aggregates!L$2-1)</f>
        <v>3.7558049246081859</v>
      </c>
      <c r="M9" s="6">
        <f>100*(output_transition_aggregates!M9-output_transition_aggregates!M$2)</f>
        <v>1.5649999999999865E-2</v>
      </c>
      <c r="N9" s="6">
        <f>100*(output_transition_aggregates!N9/output_transition_aggregates!N$2-1)</f>
        <v>-0.46178590853379609</v>
      </c>
      <c r="O9" s="6">
        <f>output_transition_aggregates!O9/output_transition_aggregates!O$2</f>
        <v>0.97660938371943273</v>
      </c>
      <c r="P9" s="7">
        <f>100*(output_transition_aggregates!P9/SUM(output_transition_aggregates!P9:Q9)-output_transition_aggregates!P$2/SUM(output_transition_aggregates!P$2:Q$2))</f>
        <v>0.17405238461163342</v>
      </c>
      <c r="Q9" s="6">
        <f>output_transition_aggregates!Q9/output_transition_aggregates!Q$2</f>
        <v>0.98019789346020625</v>
      </c>
      <c r="R9" s="4">
        <f>100*(output_transition_aggregates!R9/output_transition_aggregates!R$2-1)</f>
        <v>-1.4989849843954017</v>
      </c>
      <c r="S9" s="6">
        <f>100*(output_transition_aggregates!S9/output_transition_aggregates!S$2-1)</f>
        <v>-1.2384060404443509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-2.0490710346389787E-2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1.0103044666045291</v>
      </c>
      <c r="X9" s="7">
        <f>100*(output_transition_aggregates!X9-output_transition_aggregates!X$2)</f>
        <v>0.16517000000000337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-2.7530355880371449</v>
      </c>
      <c r="AB9" s="7">
        <f>output_transition_aggregates!AB9</f>
        <v>32.596281900000001</v>
      </c>
      <c r="AC9" s="6">
        <f>output_transition_aggregates!AC9/output_transition_aggregates!AC$2</f>
        <v>0.98497695370039207</v>
      </c>
      <c r="AD9" s="6">
        <f>output_transition_aggregates!AD9/output_transition_aggregates!AD$2</f>
        <v>0.98743050130873167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0</v>
      </c>
      <c r="C10" s="6">
        <f>100*(output_transition_aggregates!C10/output_transition_aggregates!C$2-1)</f>
        <v>0.1472048365140477</v>
      </c>
      <c r="D10" s="6">
        <f>100*(output_transition_aggregates!D10/output_transition_aggregates!D$2-1)</f>
        <v>0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-1.1616442156966778</v>
      </c>
      <c r="K10" s="8">
        <f>100*(output_transition_aggregates!K10-output_transition_aggregates!K$2)</f>
        <v>-0.59095999999999593</v>
      </c>
      <c r="L10" s="6">
        <f>100*(output_transition_aggregates!L10/output_transition_aggregates!L$2-1)</f>
        <v>3.9836523475626606</v>
      </c>
      <c r="M10" s="6">
        <f>100*(output_transition_aggregates!M10-output_transition_aggregates!M$2)</f>
        <v>1.788999999999992E-2</v>
      </c>
      <c r="N10" s="6">
        <f>100*(output_transition_aggregates!N10/output_transition_aggregates!N$2-1)</f>
        <v>-0.50256801380158533</v>
      </c>
      <c r="O10" s="6">
        <f>output_transition_aggregates!O10/output_transition_aggregates!O$2</f>
        <v>0.97368036973972261</v>
      </c>
      <c r="P10" s="7">
        <f>100*(output_transition_aggregates!P10/SUM(output_transition_aggregates!P10:Q10)-output_transition_aggregates!P$2/SUM(output_transition_aggregates!P$2:Q$2))</f>
        <v>0.16861702099345321</v>
      </c>
      <c r="Q10" s="6">
        <f>output_transition_aggregates!Q10/output_transition_aggregates!Q$2</f>
        <v>0.9821652326339736</v>
      </c>
      <c r="R10" s="4">
        <f>100*(output_transition_aggregates!R10/output_transition_aggregates!R$2-1)</f>
        <v>-1.3617664966486087</v>
      </c>
      <c r="S10" s="6">
        <f>100*(output_transition_aggregates!S10/output_transition_aggregates!S$2-1)</f>
        <v>-0.71791366383762156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-8.0647022246179562E-2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1.0101595523111953</v>
      </c>
      <c r="X10" s="7">
        <f>100*(output_transition_aggregates!X10-output_transition_aggregates!X$2)</f>
        <v>0.16557999999999851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-2.7538026019581996</v>
      </c>
      <c r="AB10" s="7">
        <f>output_transition_aggregates!AB10</f>
        <v>32.597893499999998</v>
      </c>
      <c r="AC10" s="6">
        <f>output_transition_aggregates!AC10/output_transition_aggregates!AC$2</f>
        <v>0.98634619425284586</v>
      </c>
      <c r="AD10" s="6">
        <f>output_transition_aggregates!AD10/output_transition_aggregates!AD$2</f>
        <v>0.99261897781933983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0</v>
      </c>
      <c r="C11" s="6">
        <f>100*(output_transition_aggregates!C11/output_transition_aggregates!C$2-1)</f>
        <v>7.3602418257023849E-2</v>
      </c>
      <c r="D11" s="6">
        <f>100*(output_transition_aggregates!D11/output_transition_aggregates!D$2-1)</f>
        <v>0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-1.1452482174591827</v>
      </c>
      <c r="K11" s="8">
        <f>100*(output_transition_aggregates!K11-output_transition_aggregates!K$2)</f>
        <v>-0.47682999999999476</v>
      </c>
      <c r="L11" s="6">
        <f>100*(output_transition_aggregates!L11/output_transition_aggregates!L$2-1)</f>
        <v>4.2116846268754893</v>
      </c>
      <c r="M11" s="6">
        <f>100*(output_transition_aggregates!M11-output_transition_aggregates!M$2)</f>
        <v>1.9019999999999974E-2</v>
      </c>
      <c r="N11" s="6">
        <f>100*(output_transition_aggregates!N11/output_transition_aggregates!N$2-1)</f>
        <v>-0.50253804165171223</v>
      </c>
      <c r="O11" s="6">
        <f>output_transition_aggregates!O11/output_transition_aggregates!O$2</f>
        <v>0.97823110878990371</v>
      </c>
      <c r="P11" s="7">
        <f>100*(output_transition_aggregates!P11/SUM(output_transition_aggregates!P11:Q11)-output_transition_aggregates!P$2/SUM(output_transition_aggregates!P$2:Q$2))</f>
        <v>0.1612985792269272</v>
      </c>
      <c r="Q11" s="6">
        <f>output_transition_aggregates!Q11/output_transition_aggregates!Q$2</f>
        <v>0.98469015101519641</v>
      </c>
      <c r="R11" s="4">
        <f>100*(output_transition_aggregates!R11/output_transition_aggregates!R$2-1)</f>
        <v>-1.2787300602059459</v>
      </c>
      <c r="S11" s="6">
        <f>100*(output_transition_aggregates!S11/output_transition_aggregates!S$2-1)</f>
        <v>-0.32898125699685199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-2.9268158252788307E-2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1.0087978416215877</v>
      </c>
      <c r="X11" s="7">
        <f>100*(output_transition_aggregates!X11-output_transition_aggregates!X$2)</f>
        <v>0.18515000000000059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-2.7296755790263805</v>
      </c>
      <c r="AB11" s="7">
        <f>output_transition_aggregates!AB11</f>
        <v>32.602361000000002</v>
      </c>
      <c r="AC11" s="6">
        <f>output_transition_aggregates!AC11/output_transition_aggregates!AC$2</f>
        <v>0.98717659097249244</v>
      </c>
      <c r="AD11" s="6">
        <f>output_transition_aggregates!AD11/output_transition_aggregates!AD$2</f>
        <v>0.99650830188774731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0</v>
      </c>
      <c r="C12" s="6">
        <f>100*(output_transition_aggregates!C12/output_transition_aggregates!C$2-1)</f>
        <v>3.6801209128523027E-2</v>
      </c>
      <c r="D12" s="6">
        <f>100*(output_transition_aggregates!D12/output_transition_aggregates!D$2-1)</f>
        <v>0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-1.1212474183025845</v>
      </c>
      <c r="K12" s="8">
        <f>100*(output_transition_aggregates!K12-output_transition_aggregates!K$2)</f>
        <v>-0.42250999999999816</v>
      </c>
      <c r="L12" s="6">
        <f>100*(output_transition_aggregates!L12/output_transition_aggregates!L$2-1)</f>
        <v>4.3448573222081954</v>
      </c>
      <c r="M12" s="6">
        <f>100*(output_transition_aggregates!M12-output_transition_aggregates!M$2)</f>
        <v>1.8759999999999957E-2</v>
      </c>
      <c r="N12" s="6">
        <f>100*(output_transition_aggregates!N12/output_transition_aggregates!N$2-1)</f>
        <v>-0.48298121385609294</v>
      </c>
      <c r="O12" s="6">
        <f>output_transition_aggregates!O12/output_transition_aggregates!O$2</f>
        <v>0.98397913775094081</v>
      </c>
      <c r="P12" s="7">
        <f>100*(output_transition_aggregates!P12/SUM(output_transition_aggregates!P12:Q12)-output_transition_aggregates!P$2/SUM(output_transition_aggregates!P$2:Q$2))</f>
        <v>0.15566315145115855</v>
      </c>
      <c r="Q12" s="6">
        <f>output_transition_aggregates!Q12/output_transition_aggregates!Q$2</f>
        <v>0.98662558889102492</v>
      </c>
      <c r="R12" s="4">
        <f>100*(output_transition_aggregates!R12/output_transition_aggregates!R$2-1)</f>
        <v>-1.2318473465192992</v>
      </c>
      <c r="S12" s="6">
        <f>100*(output_transition_aggregates!S12/output_transition_aggregates!S$2-1)</f>
        <v>-0.1767989592321384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3.525872369184134E-2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1.0076370018613023</v>
      </c>
      <c r="X12" s="7">
        <f>100*(output_transition_aggregates!X12-output_transition_aggregates!X$2)</f>
        <v>0.21588999999999636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-2.6858583869328601</v>
      </c>
      <c r="AB12" s="7">
        <f>output_transition_aggregates!AB12</f>
        <v>32.608797600000003</v>
      </c>
      <c r="AC12" s="6">
        <f>output_transition_aggregates!AC12/output_transition_aggregates!AC$2</f>
        <v>0.98764680938381622</v>
      </c>
      <c r="AD12" s="6">
        <f>output_transition_aggregates!AD12/output_transition_aggregates!AD$2</f>
        <v>0.99803807738451777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0</v>
      </c>
      <c r="C13" s="6">
        <f>100*(output_transition_aggregates!C13/output_transition_aggregates!C$2-1)</f>
        <v>1.8406912622026539E-2</v>
      </c>
      <c r="D13" s="6">
        <f>100*(output_transition_aggregates!D13/output_transition_aggregates!D$2-1)</f>
        <v>0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-1.0935964728909675</v>
      </c>
      <c r="K13" s="8">
        <f>100*(output_transition_aggregates!K13-output_transition_aggregates!K$2)</f>
        <v>-0.36279000000000172</v>
      </c>
      <c r="L13" s="6">
        <f>100*(output_transition_aggregates!L13/output_transition_aggregates!L$2-1)</f>
        <v>4.389392481104637</v>
      </c>
      <c r="M13" s="6">
        <f>100*(output_transition_aggregates!M13-output_transition_aggregates!M$2)</f>
        <v>1.8569999999999871E-2</v>
      </c>
      <c r="N13" s="6">
        <f>100*(output_transition_aggregates!N13/output_transition_aggregates!N$2-1)</f>
        <v>-0.45410304744831764</v>
      </c>
      <c r="O13" s="6">
        <f>output_transition_aggregates!O13/output_transition_aggregates!O$2</f>
        <v>0.98130124343583203</v>
      </c>
      <c r="P13" s="7">
        <f>100*(output_transition_aggregates!P13/SUM(output_transition_aggregates!P13:Q13)-output_transition_aggregates!P$2/SUM(output_transition_aggregates!P$2:Q$2))</f>
        <v>0.15207659774431442</v>
      </c>
      <c r="Q13" s="6">
        <f>output_transition_aggregates!Q13/output_transition_aggregates!Q$2</f>
        <v>0.98785059873188186</v>
      </c>
      <c r="R13" s="6">
        <f>100*(output_transition_aggregates!R13/output_transition_aggregates!R$2-1)</f>
        <v>-1.1814702690795986</v>
      </c>
      <c r="S13" s="6">
        <f>100*(output_transition_aggregates!S13/output_transition_aggregates!S$2-1)</f>
        <v>-2.1760984145935414E-2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-1.3522639917822044E-3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1.0070295523960229</v>
      </c>
      <c r="X13" s="7">
        <f>100*(output_transition_aggregates!X13-output_transition_aggregates!X$2)</f>
        <v>0.24047000000000374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-2.6314977971308107</v>
      </c>
      <c r="AB13" s="7">
        <f>output_transition_aggregates!AB13</f>
        <v>32.6159532</v>
      </c>
      <c r="AC13" s="6">
        <f>output_transition_aggregates!AC13/output_transition_aggregates!AC$2</f>
        <v>0.98815265089228899</v>
      </c>
      <c r="AD13" s="6">
        <f>output_transition_aggregates!AD13/output_transition_aggregates!AD$2</f>
        <v>0.99960002443592244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0</v>
      </c>
      <c r="C14" s="6">
        <f>100*(output_transition_aggregates!C14/output_transition_aggregates!C$2-1)</f>
        <v>9.2097643688004993E-3</v>
      </c>
      <c r="D14" s="6">
        <f>100*(output_transition_aggregates!D14/output_transition_aggregates!D$2-1)</f>
        <v>0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-1.0552402773035596</v>
      </c>
      <c r="K14" s="8">
        <f>100*(output_transition_aggregates!K14-output_transition_aggregates!K$2)</f>
        <v>-0.31170999999999838</v>
      </c>
      <c r="L14" s="6">
        <f>100*(output_transition_aggregates!L14/output_transition_aggregates!L$2-1)</f>
        <v>4.4435140732667744</v>
      </c>
      <c r="M14" s="6">
        <f>100*(output_transition_aggregates!M14-output_transition_aggregates!M$2)</f>
        <v>1.8460000000000004E-2</v>
      </c>
      <c r="N14" s="6">
        <f>100*(output_transition_aggregates!N14/output_transition_aggregates!N$2-1)</f>
        <v>-0.42122359903178364</v>
      </c>
      <c r="O14" s="6">
        <f>output_transition_aggregates!O14/output_transition_aggregates!O$2</f>
        <v>0.98194120508821381</v>
      </c>
      <c r="P14" s="7">
        <f>100*(output_transition_aggregates!P14/SUM(output_transition_aggregates!P14:Q14)-output_transition_aggregates!P$2/SUM(output_transition_aggregates!P$2:Q$2))</f>
        <v>0.14747159026109075</v>
      </c>
      <c r="Q14" s="6">
        <f>output_transition_aggregates!Q14/output_transition_aggregates!Q$2</f>
        <v>0.98941376233089195</v>
      </c>
      <c r="R14" s="6">
        <f>100*(output_transition_aggregates!R14/output_transition_aggregates!R$2-1)</f>
        <v>-1.1364253318852824</v>
      </c>
      <c r="S14" s="6">
        <f>100*(output_transition_aggregates!S14/output_transition_aggregates!S$2-1)</f>
        <v>5.4565125528704961E-2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1.1299992809028769E-3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1.0060017584670502</v>
      </c>
      <c r="X14" s="7">
        <f>100*(output_transition_aggregates!X14-output_transition_aggregates!X$2)</f>
        <v>0.26540999999999926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-2.5682704568308901</v>
      </c>
      <c r="AB14" s="7">
        <f>output_transition_aggregates!AB14</f>
        <v>32.623832100000001</v>
      </c>
      <c r="AC14" s="6">
        <f>output_transition_aggregates!AC14/output_transition_aggregates!AC$2</f>
        <v>0.98860546219528744</v>
      </c>
      <c r="AD14" s="6">
        <f>output_transition_aggregates!AD14/output_transition_aggregates!AD$2</f>
        <v>1.0003764794848504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0</v>
      </c>
      <c r="C15" s="6">
        <f>100*(output_transition_aggregates!C15/output_transition_aggregates!C$2-1)</f>
        <v>4.6048821844113519E-3</v>
      </c>
      <c r="D15" s="6">
        <f>100*(output_transition_aggregates!D15/output_transition_aggregates!D$2-1)</f>
        <v>0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-1.0226222856338008</v>
      </c>
      <c r="K15" s="8">
        <f>100*(output_transition_aggregates!K15-output_transition_aggregates!K$2)</f>
        <v>-0.28017000000000181</v>
      </c>
      <c r="L15" s="6">
        <f>100*(output_transition_aggregates!L15/output_transition_aggregates!L$2-1)</f>
        <v>4.474724350897552</v>
      </c>
      <c r="M15" s="6">
        <f>100*(output_transition_aggregates!M15-output_transition_aggregates!M$2)</f>
        <v>1.8539999999999876E-2</v>
      </c>
      <c r="N15" s="6">
        <f>100*(output_transition_aggregates!N15/output_transition_aggregates!N$2-1)</f>
        <v>-0.39247031658183884</v>
      </c>
      <c r="O15" s="6">
        <f>output_transition_aggregates!O15/output_transition_aggregates!O$2</f>
        <v>0.98538766151072432</v>
      </c>
      <c r="P15" s="7">
        <f>100*(output_transition_aggregates!P15/SUM(output_transition_aggregates!P15:Q15)-output_transition_aggregates!P$2/SUM(output_transition_aggregates!P$2:Q$2))</f>
        <v>0.14306052793385848</v>
      </c>
      <c r="Q15" s="6">
        <f>output_transition_aggregates!Q15/output_transition_aggregates!Q$2</f>
        <v>0.99090702047702706</v>
      </c>
      <c r="R15" s="6">
        <f>100*(output_transition_aggregates!R15/output_transition_aggregates!R$2-1)</f>
        <v>-1.1040409922517647</v>
      </c>
      <c r="S15" s="6">
        <f>100*(output_transition_aggregates!S15/output_transition_aggregates!S$2-1)</f>
        <v>8.6411349835291418E-2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4.344277175511238E-2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1.0048510757291218</v>
      </c>
      <c r="X15" s="7">
        <f>100*(output_transition_aggregates!X15-output_transition_aggregates!X$2)</f>
        <v>0.28340999999999505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-2.5074172072390044</v>
      </c>
      <c r="AB15" s="7">
        <f>output_transition_aggregates!AB15</f>
        <v>32.631964699999997</v>
      </c>
      <c r="AC15" s="6">
        <f>output_transition_aggregates!AC15/output_transition_aggregates!AC$2</f>
        <v>0.9889313763256985</v>
      </c>
      <c r="AD15" s="6">
        <f>output_transition_aggregates!AD15/output_transition_aggregates!AD$2</f>
        <v>1.0007065090284588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0</v>
      </c>
      <c r="C16" s="6">
        <f>100*(output_transition_aggregates!C16/output_transition_aggregates!C$2-1)</f>
        <v>2.3087491499707014E-3</v>
      </c>
      <c r="D16" s="6">
        <f>100*(output_transition_aggregates!D16/output_transition_aggregates!D$2-1)</f>
        <v>0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-0.99168897685096846</v>
      </c>
      <c r="K16" s="8">
        <f>100*(output_transition_aggregates!K16-output_transition_aggregates!K$2)</f>
        <v>-0.24811000000000138</v>
      </c>
      <c r="L16" s="6">
        <f>100*(output_transition_aggregates!L16/output_transition_aggregates!L$2-1)</f>
        <v>4.4534549957844005</v>
      </c>
      <c r="M16" s="6">
        <f>100*(output_transition_aggregates!M16-output_transition_aggregates!M$2)</f>
        <v>1.6609999999999889E-2</v>
      </c>
      <c r="N16" s="6">
        <f>100*(output_transition_aggregates!N16/output_transition_aggregates!N$2-1)</f>
        <v>-0.36292277216012359</v>
      </c>
      <c r="O16" s="6">
        <f>output_transition_aggregates!O16/output_transition_aggregates!O$2</f>
        <v>0.98562196832028837</v>
      </c>
      <c r="P16" s="7">
        <f>100*(output_transition_aggregates!P16/SUM(output_transition_aggregates!P16:Q16)-output_transition_aggregates!P$2/SUM(output_transition_aggregates!P$2:Q$2))</f>
        <v>0.1400868638699225</v>
      </c>
      <c r="Q16" s="6">
        <f>output_transition_aggregates!Q16/output_transition_aggregates!Q$2</f>
        <v>0.99192508798516676</v>
      </c>
      <c r="R16" s="6">
        <f>100*(output_transition_aggregates!R16/output_transition_aggregates!R$2-1)</f>
        <v>-1.0695632698884183</v>
      </c>
      <c r="S16" s="6">
        <f>100*(output_transition_aggregates!S16/output_transition_aggregates!S$2-1)</f>
        <v>0.13761472864377566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4.1978780201231553E-2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1.0041753547033117</v>
      </c>
      <c r="X16" s="7">
        <f>100*(output_transition_aggregates!X16-output_transition_aggregates!X$2)</f>
        <v>0.30088000000000337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-2.4599858316353806</v>
      </c>
      <c r="AB16" s="7">
        <f>output_transition_aggregates!AB16</f>
        <v>32.639908499999997</v>
      </c>
      <c r="AC16" s="6">
        <f>output_transition_aggregates!AC16/output_transition_aggregates!AC$2</f>
        <v>0.98927828899384773</v>
      </c>
      <c r="AD16" s="6">
        <f>output_transition_aggregates!AD16/output_transition_aggregates!AD$2</f>
        <v>1.0012304715952285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0</v>
      </c>
      <c r="C17" s="6">
        <f>100*(output_transition_aggregates!C17/output_transition_aggregates!C$2-1)</f>
        <v>1.1606826327836828E-3</v>
      </c>
      <c r="D17" s="6">
        <f>100*(output_transition_aggregates!D17/output_transition_aggregates!D$2-1)</f>
        <v>0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-0.96770399631299631</v>
      </c>
      <c r="K17" s="8">
        <f>100*(output_transition_aggregates!K17-output_transition_aggregates!K$2)</f>
        <v>-0.21572999999999176</v>
      </c>
      <c r="L17" s="6">
        <f>100*(output_transition_aggregates!L17/output_transition_aggregates!L$2-1)</f>
        <v>4.4188890315545182</v>
      </c>
      <c r="M17" s="6">
        <f>100*(output_transition_aggregates!M17-output_transition_aggregates!M$2)</f>
        <v>1.6449999999999972E-2</v>
      </c>
      <c r="N17" s="6">
        <f>100*(output_transition_aggregates!N17/output_transition_aggregates!N$2-1)</f>
        <v>-0.33268586829118263</v>
      </c>
      <c r="O17" s="6">
        <f>output_transition_aggregates!O17/output_transition_aggregates!O$2</f>
        <v>0.98500311216678349</v>
      </c>
      <c r="P17" s="7">
        <f>100*(output_transition_aggregates!P17/SUM(output_transition_aggregates!P17:Q17)-output_transition_aggregates!P$2/SUM(output_transition_aggregates!P$2:Q$2))</f>
        <v>0.13713602935686922</v>
      </c>
      <c r="Q17" s="6">
        <f>output_transition_aggregates!Q17/output_transition_aggregates!Q$2</f>
        <v>0.99292845315599543</v>
      </c>
      <c r="R17" s="6">
        <f>100*(output_transition_aggregates!R17/output_transition_aggregates!R$2-1)</f>
        <v>-1.0364477022843488</v>
      </c>
      <c r="S17" s="6">
        <f>100*(output_transition_aggregates!S17/output_transition_aggregates!S$2-1)</f>
        <v>0.21298292124223295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3.2972991473477833E-2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1.0035180130512902</v>
      </c>
      <c r="X17" s="7">
        <f>100*(output_transition_aggregates!X17-output_transition_aggregates!X$2)</f>
        <v>0.31986999999999988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-2.4018214789186754</v>
      </c>
      <c r="AB17" s="7">
        <f>output_transition_aggregates!AB17</f>
        <v>32.648133799999997</v>
      </c>
      <c r="AC17" s="6">
        <f>output_transition_aggregates!AC17/output_transition_aggregates!AC$2</f>
        <v>0.98961161246962415</v>
      </c>
      <c r="AD17" s="6">
        <f>output_transition_aggregates!AD17/output_transition_aggregates!AD$2</f>
        <v>1.0019962630389683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0</v>
      </c>
      <c r="C18" s="6">
        <f>100*(output_transition_aggregates!C18/output_transition_aggregates!C$2-1)</f>
        <v>5.8034131638073916E-4</v>
      </c>
      <c r="D18" s="6">
        <f>100*(output_transition_aggregates!D18/output_transition_aggregates!D$2-1)</f>
        <v>0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-0.93684187131410912</v>
      </c>
      <c r="K18" s="8">
        <f>100*(output_transition_aggregates!K18-output_transition_aggregates!K$2)</f>
        <v>-0.18505999999999245</v>
      </c>
      <c r="L18" s="6">
        <f>100*(output_transition_aggregates!L18/output_transition_aggregates!L$2-1)</f>
        <v>4.3766982862380122</v>
      </c>
      <c r="M18" s="6">
        <f>100*(output_transition_aggregates!M18-output_transition_aggregates!M$2)</f>
        <v>1.5939999999999878E-2</v>
      </c>
      <c r="N18" s="6">
        <f>100*(output_transition_aggregates!N18/output_transition_aggregates!N$2-1)</f>
        <v>-0.30319826816922468</v>
      </c>
      <c r="O18" s="6">
        <f>output_transition_aggregates!O18/output_transition_aggregates!O$2</f>
        <v>0.98517285045859737</v>
      </c>
      <c r="P18" s="7">
        <f>100*(output_transition_aggregates!P18/SUM(output_transition_aggregates!P18:Q18)-output_transition_aggregates!P$2/SUM(output_transition_aggregates!P$2:Q$2))</f>
        <v>0.13400552317599443</v>
      </c>
      <c r="Q18" s="6">
        <f>output_transition_aggregates!Q18/output_transition_aggregates!Q$2</f>
        <v>0.99399506611752042</v>
      </c>
      <c r="R18" s="6">
        <f>100*(output_transition_aggregates!R18/output_transition_aggregates!R$2-1)</f>
        <v>-1.0043577951522442</v>
      </c>
      <c r="S18" s="6">
        <f>100*(output_transition_aggregates!S18/output_transition_aggregates!S$2-1)</f>
        <v>0.2511911608472861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3.5121168142789039E-2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1.0027817963538597</v>
      </c>
      <c r="X18" s="7">
        <f>100*(output_transition_aggregates!X18-output_transition_aggregates!X$2)</f>
        <v>0.33786000000000094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-2.3413786948265125</v>
      </c>
      <c r="AB18" s="7">
        <f>output_transition_aggregates!AB18</f>
        <v>32.656636399999996</v>
      </c>
      <c r="AC18" s="6">
        <f>output_transition_aggregates!AC18/output_transition_aggregates!AC$2</f>
        <v>0.98993464698546096</v>
      </c>
      <c r="AD18" s="6">
        <f>output_transition_aggregates!AD18/output_transition_aggregates!AD$2</f>
        <v>1.0023902742137036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0</v>
      </c>
      <c r="C19" s="6">
        <f>100*(output_transition_aggregates!C19/output_transition_aggregates!C$2-1)</f>
        <v>2.9017065819036958E-4</v>
      </c>
      <c r="D19" s="6">
        <f>100*(output_transition_aggregates!D19/output_transition_aggregates!D$2-1)</f>
        <v>0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-0.91021518146051639</v>
      </c>
      <c r="K19" s="8">
        <f>100*(output_transition_aggregates!K19-output_transition_aggregates!K$2)</f>
        <v>-0.15558999999999434</v>
      </c>
      <c r="L19" s="6">
        <f>100*(output_transition_aggregates!L19/output_transition_aggregates!L$2-1)</f>
        <v>4.3221678353068116</v>
      </c>
      <c r="M19" s="6">
        <f>100*(output_transition_aggregates!M19-output_transition_aggregates!M$2)</f>
        <v>1.5579999999999934E-2</v>
      </c>
      <c r="N19" s="6">
        <f>100*(output_transition_aggregates!N19/output_transition_aggregates!N$2-1)</f>
        <v>-0.27449993466072131</v>
      </c>
      <c r="O19" s="6">
        <f>output_transition_aggregates!O19/output_transition_aggregates!O$2</f>
        <v>0.98523563037474771</v>
      </c>
      <c r="P19" s="7">
        <f>100*(output_transition_aggregates!P19/SUM(output_transition_aggregates!P19:Q19)-output_transition_aggregates!P$2/SUM(output_transition_aggregates!P$2:Q$2))</f>
        <v>0.131036557651033</v>
      </c>
      <c r="Q19" s="6">
        <f>output_transition_aggregates!Q19/output_transition_aggregates!Q$2</f>
        <v>0.99500869518420776</v>
      </c>
      <c r="R19" s="6">
        <f>100*(output_transition_aggregates!R19/output_transition_aggregates!R$2-1)</f>
        <v>-0.9733582589319667</v>
      </c>
      <c r="S19" s="6">
        <f>100*(output_transition_aggregates!S19/output_transition_aggregates!S$2-1)</f>
        <v>0.30268372216935013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3.5657304574132284E-2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1.0020878075698911</v>
      </c>
      <c r="X19" s="7">
        <f>100*(output_transition_aggregates!X19-output_transition_aggregates!X$2)</f>
        <v>0.35532000000000341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-2.2827743091800468</v>
      </c>
      <c r="AB19" s="7">
        <f>output_transition_aggregates!AB19</f>
        <v>32.665211599999999</v>
      </c>
      <c r="AC19" s="6">
        <f>output_transition_aggregates!AC19/output_transition_aggregates!AC$2</f>
        <v>0.99024671308173962</v>
      </c>
      <c r="AD19" s="6">
        <f>output_transition_aggregates!AD19/output_transition_aggregates!AD$2</f>
        <v>1.002916586388396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0</v>
      </c>
      <c r="C20" s="6">
        <f>100*(output_transition_aggregates!C20/output_transition_aggregates!C$2-1)</f>
        <v>1.5139338687131243E-4</v>
      </c>
      <c r="D20" s="6">
        <f>100*(output_transition_aggregates!D20/output_transition_aggregates!D$2-1)</f>
        <v>0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-0.87628424444227138</v>
      </c>
      <c r="K20" s="8">
        <f>100*(output_transition_aggregates!K20-output_transition_aggregates!K$2)</f>
        <v>-0.13033999999999546</v>
      </c>
      <c r="L20" s="6">
        <f>100*(output_transition_aggregates!L20/output_transition_aggregates!L$2-1)</f>
        <v>4.254551728985434</v>
      </c>
      <c r="M20" s="6">
        <f>100*(output_transition_aggregates!M20-output_transition_aggregates!M$2)</f>
        <v>1.4780000000000001E-2</v>
      </c>
      <c r="N20" s="6">
        <f>100*(output_transition_aggregates!N20/output_transition_aggregates!N$2-1)</f>
        <v>-0.2484741178496952</v>
      </c>
      <c r="O20" s="6">
        <f>output_transition_aggregates!O20/output_transition_aggregates!O$2</f>
        <v>0.98670031622476284</v>
      </c>
      <c r="P20" s="7">
        <f>100*(output_transition_aggregates!P20/SUM(output_transition_aggregates!P20:Q20)-output_transition_aggregates!P$2/SUM(output_transition_aggregates!P$2:Q$2))</f>
        <v>0.12817553242008944</v>
      </c>
      <c r="Q20" s="6">
        <f>output_transition_aggregates!Q20/output_transition_aggregates!Q$2</f>
        <v>0.9959873715244576</v>
      </c>
      <c r="R20" s="6">
        <f>100*(output_transition_aggregates!R20/output_transition_aggregates!R$2-1)</f>
        <v>-0.94467535645906819</v>
      </c>
      <c r="S20" s="6">
        <f>100*(output_transition_aggregates!S20/output_transition_aggregates!S$2-1)</f>
        <v>0.30781671178514713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4.8259773588501045E-2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1.0013856336397009</v>
      </c>
      <c r="X20" s="7">
        <f>100*(output_transition_aggregates!X20-output_transition_aggregates!X$2)</f>
        <v>0.36975000000000202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-2.2276275735904294</v>
      </c>
      <c r="AB20" s="7">
        <f>output_transition_aggregates!AB20</f>
        <v>32.673872299999999</v>
      </c>
      <c r="AC20" s="6">
        <f>output_transition_aggregates!AC20/output_transition_aggregates!AC$2</f>
        <v>0.99053538635400484</v>
      </c>
      <c r="AD20" s="6">
        <f>output_transition_aggregates!AD20/output_transition_aggregates!AD$2</f>
        <v>1.0029783991506711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0</v>
      </c>
      <c r="C21" s="6">
        <f>100*(output_transition_aggregates!C21/output_transition_aggregates!C$2-1)</f>
        <v>7.5696693446758445E-5</v>
      </c>
      <c r="D21" s="6">
        <f>100*(output_transition_aggregates!D21/output_transition_aggregates!D$2-1)</f>
        <v>0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-0.85337097531829054</v>
      </c>
      <c r="K21" s="8">
        <f>100*(output_transition_aggregates!K21-output_transition_aggregates!K$2)</f>
        <v>-0.10801999999999756</v>
      </c>
      <c r="L21" s="6">
        <f>100*(output_transition_aggregates!L21/output_transition_aggregates!L$2-1)</f>
        <v>4.1633740487074355</v>
      </c>
      <c r="M21" s="6">
        <f>100*(output_transition_aggregates!M21-output_transition_aggregates!M$2)</f>
        <v>1.3789999999999983E-2</v>
      </c>
      <c r="N21" s="6">
        <f>100*(output_transition_aggregates!N21/output_transition_aggregates!N$2-1)</f>
        <v>-0.22472118907113092</v>
      </c>
      <c r="O21" s="6">
        <f>output_transition_aggregates!O21/output_transition_aggregates!O$2</f>
        <v>0.98725549816131741</v>
      </c>
      <c r="P21" s="7">
        <f>100*(output_transition_aggregates!P21/SUM(output_transition_aggregates!P21:Q21)-output_transition_aggregates!P$2/SUM(output_transition_aggregates!P$2:Q$2))</f>
        <v>0.12578013883520722</v>
      </c>
      <c r="Q21" s="6">
        <f>output_transition_aggregates!Q21/output_transition_aggregates!Q$2</f>
        <v>0.99680820579055718</v>
      </c>
      <c r="R21" s="6">
        <f>100*(output_transition_aggregates!R21/output_transition_aggregates!R$2-1)</f>
        <v>-0.91772669377472305</v>
      </c>
      <c r="S21" s="6">
        <f>100*(output_transition_aggregates!S21/output_transition_aggregates!S$2-1)</f>
        <v>0.35363406627846317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5.734721386898671E-2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1.0008114828374599</v>
      </c>
      <c r="X21" s="7">
        <f>100*(output_transition_aggregates!X21-output_transition_aggregates!X$2)</f>
        <v>0.3820900000000016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-2.1720825473252381</v>
      </c>
      <c r="AB21" s="7">
        <f>output_transition_aggregates!AB21</f>
        <v>32.682357400000001</v>
      </c>
      <c r="AC21" s="6">
        <f>output_transition_aggregates!AC21/output_transition_aggregates!AC$2</f>
        <v>0.99080655545228491</v>
      </c>
      <c r="AD21" s="6">
        <f>output_transition_aggregates!AD21/output_transition_aggregates!AD$2</f>
        <v>1.0034459711272949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0</v>
      </c>
      <c r="C22" s="6">
        <f>100*(output_transition_aggregates!C22/output_transition_aggregates!C$2-1)</f>
        <v>3.7848346723379223E-5</v>
      </c>
      <c r="D22" s="6">
        <f>100*(output_transition_aggregates!D22/output_transition_aggregates!D$2-1)</f>
        <v>0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-0.89235991565196349</v>
      </c>
      <c r="K22" s="8">
        <f>100*(output_transition_aggregates!K22-output_transition_aggregates!K$2)</f>
        <v>-7.0019999999992866E-2</v>
      </c>
      <c r="L22" s="6">
        <f>100*(output_transition_aggregates!L22/output_transition_aggregates!L$2-1)</f>
        <v>4.0569772531858783</v>
      </c>
      <c r="M22" s="6">
        <f>100*(output_transition_aggregates!M22-output_transition_aggregates!M$2)</f>
        <v>1.4029999999999945E-2</v>
      </c>
      <c r="N22" s="6">
        <f>100*(output_transition_aggregates!N22/output_transition_aggregates!N$2-1)</f>
        <v>-0.21181817854850626</v>
      </c>
      <c r="O22" s="6">
        <f>output_transition_aggregates!O22/output_transition_aggregates!O$2</f>
        <v>0.9865951464506989</v>
      </c>
      <c r="P22" s="7">
        <f>100*(output_transition_aggregates!P22/SUM(output_transition_aggregates!P22:Q22)-output_transition_aggregates!P$2/SUM(output_transition_aggregates!P$2:Q$2))</f>
        <v>0.12373102665870911</v>
      </c>
      <c r="Q22" s="6">
        <f>output_transition_aggregates!Q22/output_transition_aggregates!Q$2</f>
        <v>0.99751142135816873</v>
      </c>
      <c r="R22" s="6">
        <f>100*(output_transition_aggregates!R22/output_transition_aggregates!R$2-1)</f>
        <v>-0.88135619104514618</v>
      </c>
      <c r="S22" s="6">
        <f>100*(output_transition_aggregates!S22/output_transition_aggregates!S$2-1)</f>
        <v>0.73497543213807415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5.0920730811384457E-2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1.0005111623815444</v>
      </c>
      <c r="X22" s="7">
        <f>100*(output_transition_aggregates!X22-output_transition_aggregates!X$2)</f>
        <v>0.39154999999999607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-2.1119267412307519</v>
      </c>
      <c r="AB22" s="7">
        <f>output_transition_aggregates!AB22</f>
        <v>32.691004200000002</v>
      </c>
      <c r="AC22" s="6">
        <f>output_transition_aggregates!AC22/output_transition_aggregates!AC$2</f>
        <v>0.99117119878095894</v>
      </c>
      <c r="AD22" s="6">
        <f>output_transition_aggregates!AD22/output_transition_aggregates!AD$2</f>
        <v>1.0072648069580203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0</v>
      </c>
      <c r="C23" s="6">
        <f>100*(output_transition_aggregates!C23/output_transition_aggregates!C$2-1)</f>
        <v>2.5232231148919482E-5</v>
      </c>
      <c r="D23" s="6">
        <f>100*(output_transition_aggregates!D23/output_transition_aggregates!D$2-1)</f>
        <v>0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-0.78584524692824065</v>
      </c>
      <c r="K23" s="8">
        <f>100*(output_transition_aggregates!K23-output_transition_aggregates!K$2)</f>
        <v>-0.10582000000000091</v>
      </c>
      <c r="L23" s="6">
        <f>100*(output_transition_aggregates!L23/output_transition_aggregates!L$2-1)</f>
        <v>3.9135504669167043</v>
      </c>
      <c r="M23" s="6">
        <f>100*(output_transition_aggregates!M23-output_transition_aggregates!M$2)</f>
        <v>1.4249999999999853E-2</v>
      </c>
      <c r="N23" s="6">
        <f>100*(output_transition_aggregates!N23/output_transition_aggregates!N$2-1)</f>
        <v>-0.20948035085799344</v>
      </c>
      <c r="O23" s="6">
        <f>output_transition_aggregates!O23/output_transition_aggregates!O$2</f>
        <v>0.9961942135161046</v>
      </c>
      <c r="P23" s="7">
        <f>100*(output_transition_aggregates!P23/SUM(output_transition_aggregates!P23:Q23)-output_transition_aggregates!P$2/SUM(output_transition_aggregates!P$2:Q$2))</f>
        <v>2.603363198566376E-2</v>
      </c>
      <c r="Q23" s="6">
        <f>output_transition_aggregates!Q23/output_transition_aggregates!Q$2</f>
        <v>0.99826068575584859</v>
      </c>
      <c r="R23" s="6">
        <f>100*(output_transition_aggregates!R23/output_transition_aggregates!R$2-1)</f>
        <v>-0.89048359858896475</v>
      </c>
      <c r="S23" s="6">
        <f>100*(output_transition_aggregates!S23/output_transition_aggregates!S$2-1)</f>
        <v>0.19718632643861422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5.3934692856792005E-2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1.0004169959947848</v>
      </c>
      <c r="X23" s="7">
        <f>100*(output_transition_aggregates!X23-output_transition_aggregates!X$2)</f>
        <v>0.37625999999999493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-2.0442416760336091</v>
      </c>
      <c r="AB23" s="7">
        <f>output_transition_aggregates!AB23</f>
        <v>32.696709300000002</v>
      </c>
      <c r="AC23" s="6">
        <f>output_transition_aggregates!AC23/output_transition_aggregates!AC$2</f>
        <v>0.99108057180991926</v>
      </c>
      <c r="AD23" s="6">
        <f>output_transition_aggregates!AD23/output_transition_aggregates!AD$2</f>
        <v>1.0018905306824455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0</v>
      </c>
      <c r="C24" s="6">
        <f>100*(output_transition_aggregates!C24/output_transition_aggregates!C$2-1)</f>
        <v>1.2616115574459741E-5</v>
      </c>
      <c r="D24" s="6">
        <f>100*(output_transition_aggregates!D24/output_transition_aggregates!D$2-1)</f>
        <v>0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-0.7449501630464761</v>
      </c>
      <c r="K24" s="8">
        <f>100*(output_transition_aggregates!K24-output_transition_aggregates!K$2)</f>
        <v>-0.11280999999999652</v>
      </c>
      <c r="L24" s="6">
        <f>100*(output_transition_aggregates!L24/output_transition_aggregates!L$2-1)</f>
        <v>3.7224851097115819</v>
      </c>
      <c r="M24" s="6">
        <f>100*(output_transition_aggregates!M24-output_transition_aggregates!M$2)</f>
        <v>1.238999999999997E-2</v>
      </c>
      <c r="N24" s="6">
        <f>100*(output_transition_aggregates!N24/output_transition_aggregates!N$2-1)</f>
        <v>-0.2015776940067382</v>
      </c>
      <c r="O24" s="6">
        <f>output_transition_aggregates!O24/output_transition_aggregates!O$2</f>
        <v>0.99654728347189037</v>
      </c>
      <c r="P24" s="7">
        <f>100*(output_transition_aggregates!P24/SUM(output_transition_aggregates!P24:Q24)-output_transition_aggregates!P$2/SUM(output_transition_aggregates!P$2:Q$2))</f>
        <v>2.6841270355619506E-2</v>
      </c>
      <c r="Q24" s="6">
        <f>output_transition_aggregates!Q24/output_transition_aggregates!Q$2</f>
        <v>0.99797412887957926</v>
      </c>
      <c r="R24" s="6">
        <f>100*(output_transition_aggregates!R24/output_transition_aggregates!R$2-1)</f>
        <v>-0.88095175079595522</v>
      </c>
      <c r="S24" s="6">
        <f>100*(output_transition_aggregates!S24/output_transition_aggregates!S$2-1)</f>
        <v>6.354785735638302E-2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5.5370900192932768E-2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1.000621699060747</v>
      </c>
      <c r="X24" s="7">
        <f>100*(output_transition_aggregates!X24-output_transition_aggregates!X$2)</f>
        <v>0.37030000000000118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-1.9917403558043723</v>
      </c>
      <c r="AB24" s="7">
        <f>output_transition_aggregates!AB24</f>
        <v>32.705053399999997</v>
      </c>
      <c r="AC24" s="6">
        <f>output_transition_aggregates!AC24/output_transition_aggregates!AC$2</f>
        <v>0.99117644032658847</v>
      </c>
      <c r="AD24" s="6">
        <f>output_transition_aggregates!AD24/output_transition_aggregates!AD$2</f>
        <v>1.0005570378167588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0</v>
      </c>
      <c r="C25" s="6">
        <f>100*(output_transition_aggregates!C25/output_transition_aggregates!C$2-1)</f>
        <v>1.2616115574459741E-5</v>
      </c>
      <c r="D25" s="6">
        <f>100*(output_transition_aggregates!D25/output_transition_aggregates!D$2-1)</f>
        <v>0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-0.71732294556283716</v>
      </c>
      <c r="K25" s="8">
        <f>100*(output_transition_aggregates!K25-output_transition_aggregates!K$2)</f>
        <v>-0.12033999999999656</v>
      </c>
      <c r="L25" s="6">
        <f>100*(output_transition_aggregates!L25/output_transition_aggregates!L$2-1)</f>
        <v>3.546475759198553</v>
      </c>
      <c r="M25" s="6">
        <f>100*(output_transition_aggregates!M25-output_transition_aggregates!M$2)</f>
        <v>1.1599999999999978E-2</v>
      </c>
      <c r="N25" s="6">
        <f>100*(output_transition_aggregates!N25/output_transition_aggregates!N$2-1)</f>
        <v>-0.19347522282295859</v>
      </c>
      <c r="O25" s="6">
        <f>output_transition_aggregates!O25/output_transition_aggregates!O$2</f>
        <v>0.99657035643252678</v>
      </c>
      <c r="P25" s="7">
        <f>100*(output_transition_aggregates!P25/SUM(output_transition_aggregates!P25:Q25)-output_transition_aggregates!P$2/SUM(output_transition_aggregates!P$2:Q$2))</f>
        <v>2.7667356648659533E-2</v>
      </c>
      <c r="Q25" s="6">
        <f>output_transition_aggregates!Q25/output_transition_aggregates!Q$2</f>
        <v>0.99768119174372216</v>
      </c>
      <c r="R25" s="6">
        <f>100*(output_transition_aggregates!R25/output_transition_aggregates!R$2-1)</f>
        <v>-0.8732932702371965</v>
      </c>
      <c r="S25" s="6">
        <f>100*(output_transition_aggregates!S25/output_transition_aggregates!S$2-1)</f>
        <v>-1.9917445621930874E-2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5.293824893078114E-2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1.0008295645695677</v>
      </c>
      <c r="X25" s="7">
        <f>100*(output_transition_aggregates!X25-output_transition_aggregates!X$2)</f>
        <v>0.36549000000000165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-1.9490171586232008</v>
      </c>
      <c r="AB25" s="7">
        <f>output_transition_aggregates!AB25</f>
        <v>32.712545400000003</v>
      </c>
      <c r="AC25" s="6">
        <f>output_transition_aggregates!AC25/output_transition_aggregates!AC$2</f>
        <v>0.99125363988135484</v>
      </c>
      <c r="AD25" s="6">
        <f>output_transition_aggregates!AD25/output_transition_aggregates!AD$2</f>
        <v>0.99972563809025305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0</v>
      </c>
      <c r="C26" s="6">
        <f>100*(output_transition_aggregates!C26/output_transition_aggregates!C$2-1)</f>
        <v>1.2616115574459741E-5</v>
      </c>
      <c r="D26" s="6">
        <f>100*(output_transition_aggregates!D26/output_transition_aggregates!D$2-1)</f>
        <v>0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-0.6913725016568173</v>
      </c>
      <c r="K26" s="8">
        <f>100*(output_transition_aggregates!K26-output_transition_aggregates!K$2)</f>
        <v>-0.1244299999999976</v>
      </c>
      <c r="L26" s="6">
        <f>100*(output_transition_aggregates!L26/output_transition_aggregates!L$2-1)</f>
        <v>3.3826865013624641</v>
      </c>
      <c r="M26" s="6">
        <f>100*(output_transition_aggregates!M26-output_transition_aggregates!M$2)</f>
        <v>1.0989999999999958E-2</v>
      </c>
      <c r="N26" s="6">
        <f>100*(output_transition_aggregates!N26/output_transition_aggregates!N$2-1)</f>
        <v>-0.18455850823415609</v>
      </c>
      <c r="O26" s="6">
        <f>output_transition_aggregates!O26/output_transition_aggregates!O$2</f>
        <v>0.99582129008256171</v>
      </c>
      <c r="P26" s="7">
        <f>100*(output_transition_aggregates!P26/SUM(output_transition_aggregates!P26:Q26)-output_transition_aggregates!P$2/SUM(output_transition_aggregates!P$2:Q$2))</f>
        <v>2.8399180498654003E-2</v>
      </c>
      <c r="Q26" s="6">
        <f>output_transition_aggregates!Q26/output_transition_aggregates!Q$2</f>
        <v>0.99742182032134863</v>
      </c>
      <c r="R26" s="6">
        <f>100*(output_transition_aggregates!R26/output_transition_aggregates!R$2-1)</f>
        <v>-0.86448617937072703</v>
      </c>
      <c r="S26" s="6">
        <f>100*(output_transition_aggregates!S26/output_transition_aggregates!S$2-1)</f>
        <v>-8.9339322785153552E-2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4.2604113021875445E-2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1.0010401832639357</v>
      </c>
      <c r="X26" s="7">
        <f>100*(output_transition_aggregates!X26-output_transition_aggregates!X$2)</f>
        <v>0.36275000000000057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-1.9075166616381756</v>
      </c>
      <c r="AB26" s="7">
        <f>output_transition_aggregates!AB26</f>
        <v>32.719497500000003</v>
      </c>
      <c r="AC26" s="6">
        <f>output_transition_aggregates!AC26/output_transition_aggregates!AC$2</f>
        <v>0.99134229318397815</v>
      </c>
      <c r="AD26" s="6">
        <f>output_transition_aggregates!AD26/output_transition_aggregates!AD$2</f>
        <v>0.99903485336096953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0</v>
      </c>
      <c r="C27" s="6">
        <f>100*(output_transition_aggregates!C27/output_transition_aggregates!C$2-1)</f>
        <v>1.2616115574459741E-5</v>
      </c>
      <c r="D27" s="6">
        <f>100*(output_transition_aggregates!D27/output_transition_aggregates!D$2-1)</f>
        <v>0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-0.67533242233909219</v>
      </c>
      <c r="K27" s="8">
        <f>100*(output_transition_aggregates!K27-output_transition_aggregates!K$2)</f>
        <v>-0.1269899999999935</v>
      </c>
      <c r="L27" s="6">
        <f>100*(output_transition_aggregates!L27/output_transition_aggregates!L$2-1)</f>
        <v>3.2380440126895671</v>
      </c>
      <c r="M27" s="6">
        <f>100*(output_transition_aggregates!M27-output_transition_aggregates!M$2)</f>
        <v>1.0469999999999924E-2</v>
      </c>
      <c r="N27" s="6">
        <f>100*(output_transition_aggregates!N27/output_transition_aggregates!N$2-1)</f>
        <v>-0.17578166367812065</v>
      </c>
      <c r="O27" s="6">
        <f>output_transition_aggregates!O27/output_transition_aggregates!O$2</f>
        <v>0.99517900324810049</v>
      </c>
      <c r="P27" s="7">
        <f>100*(output_transition_aggregates!P27/SUM(output_transition_aggregates!P27:Q27)-output_transition_aggregates!P$2/SUM(output_transition_aggregates!P$2:Q$2))</f>
        <v>2.8810259674337535E-2</v>
      </c>
      <c r="Q27" s="6">
        <f>output_transition_aggregates!Q27/output_transition_aggregates!Q$2</f>
        <v>0.99727618396119255</v>
      </c>
      <c r="R27" s="6">
        <f>100*(output_transition_aggregates!R27/output_transition_aggregates!R$2-1)</f>
        <v>-0.85558525836646471</v>
      </c>
      <c r="S27" s="6">
        <f>100*(output_transition_aggregates!S27/output_transition_aggregates!S$2-1)</f>
        <v>-0.11292577154797812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3.8290536297248823E-2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1.0011583470112089</v>
      </c>
      <c r="X27" s="7">
        <f>100*(output_transition_aggregates!X27-output_transition_aggregates!X$2)</f>
        <v>0.36106000000000193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-1.8685850525475112</v>
      </c>
      <c r="AB27" s="7">
        <f>output_transition_aggregates!AB27</f>
        <v>32.7259855</v>
      </c>
      <c r="AC27" s="6">
        <f>output_transition_aggregates!AC27/output_transition_aggregates!AC$2</f>
        <v>0.99143191714319978</v>
      </c>
      <c r="AD27" s="6">
        <f>output_transition_aggregates!AD27/output_transition_aggregates!AD$2</f>
        <v>0.99880260365476092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0</v>
      </c>
      <c r="C28" s="6">
        <f>100*(output_transition_aggregates!C28/output_transition_aggregates!C$2-1)</f>
        <v>1.2616115574459741E-5</v>
      </c>
      <c r="D28" s="6">
        <f>100*(output_transition_aggregates!D28/output_transition_aggregates!D$2-1)</f>
        <v>0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-0.6557529270969642</v>
      </c>
      <c r="K28" s="8">
        <f>100*(output_transition_aggregates!K28-output_transition_aggregates!K$2)</f>
        <v>-0.12774999999999315</v>
      </c>
      <c r="L28" s="6">
        <f>100*(output_transition_aggregates!L28/output_transition_aggregates!L$2-1)</f>
        <v>3.1054258864319007</v>
      </c>
      <c r="M28" s="6">
        <f>100*(output_transition_aggregates!M28-output_transition_aggregates!M$2)</f>
        <v>1.005999999999993E-2</v>
      </c>
      <c r="N28" s="6">
        <f>100*(output_transition_aggregates!N28/output_transition_aggregates!N$2-1)</f>
        <v>-0.16681999086448629</v>
      </c>
      <c r="O28" s="6">
        <f>output_transition_aggregates!O28/output_transition_aggregates!O$2</f>
        <v>0.99484703879119141</v>
      </c>
      <c r="P28" s="7">
        <f>100*(output_transition_aggregates!P28/SUM(output_transition_aggregates!P28:Q28)-output_transition_aggregates!P$2/SUM(output_transition_aggregates!P$2:Q$2))</f>
        <v>2.9084377232053635E-2</v>
      </c>
      <c r="Q28" s="6">
        <f>output_transition_aggregates!Q28/output_transition_aggregates!Q$2</f>
        <v>0.99717909305442176</v>
      </c>
      <c r="R28" s="6">
        <f>100*(output_transition_aggregates!R28/output_transition_aggregates!R$2-1)</f>
        <v>-0.84624430637105785</v>
      </c>
      <c r="S28" s="6">
        <f>100*(output_transition_aggregates!S28/output_transition_aggregates!S$2-1)</f>
        <v>-0.15023031579814994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3.3001060045926775E-2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1.001243732968385</v>
      </c>
      <c r="X28" s="7">
        <f>100*(output_transition_aggregates!X28-output_transition_aggregates!X$2)</f>
        <v>0.36011999999999711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-1.8294551677493387</v>
      </c>
      <c r="AB28" s="7">
        <f>output_transition_aggregates!AB28</f>
        <v>32.7322785</v>
      </c>
      <c r="AC28" s="6">
        <f>output_transition_aggregates!AC28/output_transition_aggregates!AC$2</f>
        <v>0.99152594141233252</v>
      </c>
      <c r="AD28" s="6">
        <f>output_transition_aggregates!AD28/output_transition_aggregates!AD$2</f>
        <v>0.99843281151553687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0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0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-0.63367804476178735</v>
      </c>
      <c r="K29" s="8">
        <f>100*(output_transition_aggregates!K29-output_transition_aggregates!K$2)</f>
        <v>-0.12989999999999391</v>
      </c>
      <c r="L29" s="6">
        <f>100*(output_transition_aggregates!L29/output_transition_aggregates!L$2-1)</f>
        <v>2.9822637065987756</v>
      </c>
      <c r="M29" s="6">
        <f>100*(output_transition_aggregates!M29-output_transition_aggregates!M$2)</f>
        <v>9.6799999999999317E-3</v>
      </c>
      <c r="N29" s="6">
        <f>100*(output_transition_aggregates!N29/output_transition_aggregates!N$2-1)</f>
        <v>-0.15815803954964958</v>
      </c>
      <c r="O29" s="6">
        <f>output_transition_aggregates!O29/output_transition_aggregates!O$2</f>
        <v>0.99518687309513931</v>
      </c>
      <c r="P29" s="7">
        <f>100*(output_transition_aggregates!P29/SUM(output_transition_aggregates!P29:Q29)-output_transition_aggregates!P$2/SUM(output_transition_aggregates!P$2:Q$2))</f>
        <v>2.919717207711045E-2</v>
      </c>
      <c r="Q29" s="6">
        <f>output_transition_aggregates!Q29/output_transition_aggregates!Q$2</f>
        <v>0.99713914708135021</v>
      </c>
      <c r="R29" s="6">
        <f>100*(output_transition_aggregates!R29/output_transition_aggregates!R$2-1)</f>
        <v>-0.83832698405281736</v>
      </c>
      <c r="S29" s="6">
        <f>100*(output_transition_aggregates!S29/output_transition_aggregates!S$2-1)</f>
        <v>-0.20691008845730163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3.5112977537707368E-2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1.0012620751369634</v>
      </c>
      <c r="X29" s="7">
        <f>100*(output_transition_aggregates!X29-output_transition_aggregates!X$2)</f>
        <v>0.35918999999999812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-1.7892469413841483</v>
      </c>
      <c r="AB29" s="7">
        <f>output_transition_aggregates!AB29</f>
        <v>32.7382901</v>
      </c>
      <c r="AC29" s="6">
        <f>output_transition_aggregates!AC29/output_transition_aggregates!AC$2</f>
        <v>0.99160572938469371</v>
      </c>
      <c r="AD29" s="6">
        <f>output_transition_aggregates!AD29/output_transition_aggregates!AD$2</f>
        <v>0.99786944783129372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0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0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-0.60955465131058428</v>
      </c>
      <c r="K30" s="8">
        <f>100*(output_transition_aggregates!K30-output_transition_aggregates!K$2)</f>
        <v>-0.12786000000000186</v>
      </c>
      <c r="L30" s="6">
        <f>100*(output_transition_aggregates!L30/output_transition_aggregates!L$2-1)</f>
        <v>2.8625529037149766</v>
      </c>
      <c r="M30" s="6">
        <f>100*(output_transition_aggregates!M30-output_transition_aggregates!M$2)</f>
        <v>9.3299999999999286E-3</v>
      </c>
      <c r="N30" s="6">
        <f>100*(output_transition_aggregates!N30/output_transition_aggregates!N$2-1)</f>
        <v>-0.14842708155583528</v>
      </c>
      <c r="O30" s="6">
        <f>output_transition_aggregates!O30/output_transition_aggregates!O$2</f>
        <v>0.99402946899995703</v>
      </c>
      <c r="P30" s="7">
        <f>100*(output_transition_aggregates!P30/SUM(output_transition_aggregates!P30:Q30)-output_transition_aggregates!P$2/SUM(output_transition_aggregates!P$2:Q$2))</f>
        <v>2.9367947638834005E-2</v>
      </c>
      <c r="Q30" s="6">
        <f>output_transition_aggregates!Q30/output_transition_aggregates!Q$2</f>
        <v>0.99707867331656164</v>
      </c>
      <c r="R30" s="6">
        <f>100*(output_transition_aggregates!R30/output_transition_aggregates!R$2-1)</f>
        <v>-0.82830657243877504</v>
      </c>
      <c r="S30" s="6">
        <f>100*(output_transition_aggregates!S30/output_transition_aggregates!S$2-1)</f>
        <v>-0.26118603147244901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2.3397624392622676E-2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1.0013408757719524</v>
      </c>
      <c r="X30" s="7">
        <f>100*(output_transition_aggregates!X30-output_transition_aggregates!X$2)</f>
        <v>0.36019999999999941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-1.7466402746626475</v>
      </c>
      <c r="AB30" s="7">
        <f>output_transition_aggregates!AB30</f>
        <v>32.743913599999999</v>
      </c>
      <c r="AC30" s="6">
        <f>output_transition_aggregates!AC30/output_transition_aggregates!AC$2</f>
        <v>0.99170661296045282</v>
      </c>
      <c r="AD30" s="6">
        <f>output_transition_aggregates!AD30/output_transition_aggregates!AD$2</f>
        <v>0.99733048392163304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0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0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-0.58510302152227078</v>
      </c>
      <c r="K31" s="8">
        <f>100*(output_transition_aggregates!K31-output_transition_aggregates!K$2)</f>
        <v>-0.12512000000000079</v>
      </c>
      <c r="L31" s="6">
        <f>100*(output_transition_aggregates!L31/output_transition_aggregates!L$2-1)</f>
        <v>2.7635481877465562</v>
      </c>
      <c r="M31" s="6">
        <f>100*(output_transition_aggregates!M31-output_transition_aggregates!M$2)</f>
        <v>8.9799999999999255E-3</v>
      </c>
      <c r="N31" s="6">
        <f>100*(output_transition_aggregates!N31/output_transition_aggregates!N$2-1)</f>
        <v>-0.13870611427861945</v>
      </c>
      <c r="O31" s="6">
        <f>output_transition_aggregates!O31/output_transition_aggregates!O$2</f>
        <v>0.99373524403680225</v>
      </c>
      <c r="P31" s="7">
        <f>100*(output_transition_aggregates!P31/SUM(output_transition_aggregates!P31:Q31)-output_transition_aggregates!P$2/SUM(output_transition_aggregates!P$2:Q$2))</f>
        <v>2.9194038768478106E-2</v>
      </c>
      <c r="Q31" s="6">
        <f>output_transition_aggregates!Q31/output_transition_aggregates!Q$2</f>
        <v>0.99714025669171336</v>
      </c>
      <c r="R31" s="6">
        <f>100*(output_transition_aggregates!R31/output_transition_aggregates!R$2-1)</f>
        <v>-0.81830880947868501</v>
      </c>
      <c r="S31" s="6">
        <f>100*(output_transition_aggregates!S31/output_transition_aggregates!S$2-1)</f>
        <v>-0.3170705522193118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2.0711857149048607E-2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1.0013086560600071</v>
      </c>
      <c r="X31" s="7">
        <f>100*(output_transition_aggregates!X31-output_transition_aggregates!X$2)</f>
        <v>0.36172999999999345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-1.7032265910264521</v>
      </c>
      <c r="AB31" s="7">
        <f>output_transition_aggregates!AB31</f>
        <v>32.749159200000001</v>
      </c>
      <c r="AC31" s="6">
        <f>output_transition_aggregates!AC31/output_transition_aggregates!AC$2</f>
        <v>0.9918072700496724</v>
      </c>
      <c r="AD31" s="6">
        <f>output_transition_aggregates!AD31/output_transition_aggregates!AD$2</f>
        <v>0.99677543423465509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0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0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-0.57104817884594539</v>
      </c>
      <c r="K32" s="8">
        <f>100*(output_transition_aggregates!K32-output_transition_aggregates!K$2)</f>
        <v>-0.12211999999999223</v>
      </c>
      <c r="L32" s="6">
        <f>100*(output_transition_aggregates!L32/output_transition_aggregates!L$2-1)</f>
        <v>2.6748497574510699</v>
      </c>
      <c r="M32" s="6">
        <f>100*(output_transition_aggregates!M32-output_transition_aggregates!M$2)</f>
        <v>8.7499999999999037E-3</v>
      </c>
      <c r="N32" s="6">
        <f>100*(output_transition_aggregates!N32/output_transition_aggregates!N$2-1)</f>
        <v>-0.12907506345104514</v>
      </c>
      <c r="O32" s="6">
        <f>output_transition_aggregates!O32/output_transition_aggregates!O$2</f>
        <v>0.99362435073761923</v>
      </c>
      <c r="P32" s="7">
        <f>100*(output_transition_aggregates!P32/SUM(output_transition_aggregates!P32:Q32)-output_transition_aggregates!P$2/SUM(output_transition_aggregates!P$2:Q$2))</f>
        <v>2.8948095167810259E-2</v>
      </c>
      <c r="Q32" s="6">
        <f>output_transition_aggregates!Q32/output_transition_aggregates!Q$2</f>
        <v>0.99722736110521637</v>
      </c>
      <c r="R32" s="6">
        <f>100*(output_transition_aggregates!R32/output_transition_aggregates!R$2-1)</f>
        <v>-0.80867342498185391</v>
      </c>
      <c r="S32" s="6">
        <f>100*(output_transition_aggregates!S32/output_transition_aggregates!S$2-1)</f>
        <v>-0.327481122707729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1.8954030107956599E-2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1.0012549317366248</v>
      </c>
      <c r="X32" s="7">
        <f>100*(output_transition_aggregates!X32-output_transition_aggregates!X$2)</f>
        <v>0.36367999999999956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-1.6586615168783903</v>
      </c>
      <c r="AB32" s="7">
        <f>output_transition_aggregates!AB32</f>
        <v>32.754023599999996</v>
      </c>
      <c r="AC32" s="6">
        <f>output_transition_aggregates!AC32/output_transition_aggregates!AC$2</f>
        <v>0.99190430335425928</v>
      </c>
      <c r="AD32" s="6">
        <f>output_transition_aggregates!AD32/output_transition_aggregates!AD$2</f>
        <v>0.99667512405026149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0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0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-0.54495932202667241</v>
      </c>
      <c r="K33" s="8">
        <f>100*(output_transition_aggregates!K33-output_transition_aggregates!K$2)</f>
        <v>-0.11883999999999784</v>
      </c>
      <c r="L33" s="6">
        <f>100*(output_transition_aggregates!L33/output_transition_aggregates!L$2-1)</f>
        <v>2.5884087495080532</v>
      </c>
      <c r="M33" s="6">
        <f>100*(output_transition_aggregates!M33-output_transition_aggregates!M$2)</f>
        <v>8.4599999999998912E-3</v>
      </c>
      <c r="N33" s="6">
        <f>100*(output_transition_aggregates!N33/output_transition_aggregates!N$2-1)</f>
        <v>-0.11968878518081594</v>
      </c>
      <c r="O33" s="6">
        <f>output_transition_aggregates!O33/output_transition_aggregates!O$2</f>
        <v>0.99345890508964452</v>
      </c>
      <c r="P33" s="7">
        <f>100*(output_transition_aggregates!P33/SUM(output_transition_aggregates!P33:Q33)-output_transition_aggregates!P$2/SUM(output_transition_aggregates!P$2:Q$2))</f>
        <v>2.8657559514916678E-2</v>
      </c>
      <c r="Q33" s="6">
        <f>output_transition_aggregates!Q33/output_transition_aggregates!Q$2</f>
        <v>0.99733027746639347</v>
      </c>
      <c r="R33" s="6">
        <f>100*(output_transition_aggregates!R33/output_transition_aggregates!R$2-1)</f>
        <v>-0.79937777029437385</v>
      </c>
      <c r="S33" s="6">
        <f>100*(output_transition_aggregates!S33/output_transition_aggregates!S$2-1)</f>
        <v>-0.39478835274049384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1.7395117886085526E-2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1.0011870322281948</v>
      </c>
      <c r="X33" s="7">
        <f>100*(output_transition_aggregates!X33-output_transition_aggregates!X$2)</f>
        <v>0.36576000000000386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-1.6155330719792915</v>
      </c>
      <c r="AB33" s="7">
        <f>output_transition_aggregates!AB33</f>
        <v>32.758763399999999</v>
      </c>
      <c r="AC33" s="6">
        <f>output_transition_aggregates!AC33/output_transition_aggregates!AC$2</f>
        <v>0.99199787465031286</v>
      </c>
      <c r="AD33" s="6">
        <f>output_transition_aggregates!AD33/output_transition_aggregates!AD$2</f>
        <v>0.99600566653135325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0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0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-0.52294375951144056</v>
      </c>
      <c r="K34" s="8">
        <f>100*(output_transition_aggregates!K34-output_transition_aggregates!K$2)</f>
        <v>-0.11548000000000114</v>
      </c>
      <c r="L34" s="6">
        <f>100*(output_transition_aggregates!L34/output_transition_aggregates!L$2-1)</f>
        <v>2.5118695180303074</v>
      </c>
      <c r="M34" s="6">
        <f>100*(output_transition_aggregates!M34-output_transition_aggregates!M$2)</f>
        <v>8.4499999999999506E-3</v>
      </c>
      <c r="N34" s="6">
        <f>100*(output_transition_aggregates!N34/output_transition_aggregates!N$2-1)</f>
        <v>-0.11043238622673313</v>
      </c>
      <c r="O34" s="6">
        <f>output_transition_aggregates!O34/output_transition_aggregates!O$2</f>
        <v>0.99333119893542432</v>
      </c>
      <c r="P34" s="7">
        <f>100*(output_transition_aggregates!P34/SUM(output_transition_aggregates!P34:Q34)-output_transition_aggregates!P$2/SUM(output_transition_aggregates!P$2:Q$2))</f>
        <v>2.8330287205279719E-2</v>
      </c>
      <c r="Q34" s="6">
        <f>output_transition_aggregates!Q34/output_transition_aggregates!Q$2</f>
        <v>0.99744623174933678</v>
      </c>
      <c r="R34" s="6">
        <f>100*(output_transition_aggregates!R34/output_transition_aggregates!R$2-1)</f>
        <v>-0.79040890332823244</v>
      </c>
      <c r="S34" s="6">
        <f>100*(output_transition_aggregates!S34/output_transition_aggregates!S$2-1)</f>
        <v>-0.4453049230792594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1.633998356447286E-2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1.0011081943879958</v>
      </c>
      <c r="X34" s="7">
        <f>100*(output_transition_aggregates!X34-output_transition_aggregates!X$2)</f>
        <v>0.36808000000000396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-1.5705610108527002</v>
      </c>
      <c r="AB34" s="7">
        <f>output_transition_aggregates!AB34</f>
        <v>32.763057500000002</v>
      </c>
      <c r="AC34" s="6">
        <f>output_transition_aggregates!AC34/output_transition_aggregates!AC$2</f>
        <v>0.99208824277959307</v>
      </c>
      <c r="AD34" s="6">
        <f>output_transition_aggregates!AD34/output_transition_aggregates!AD$2</f>
        <v>0.99550411560938534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0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0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-0.51099674777110859</v>
      </c>
      <c r="K35" s="8">
        <f>100*(output_transition_aggregates!K35-output_transition_aggregates!K$2)</f>
        <v>-0.11700000000000044</v>
      </c>
      <c r="L35" s="6">
        <f>100*(output_transition_aggregates!L35/output_transition_aggregates!L$2-1)</f>
        <v>2.4421634474693033</v>
      </c>
      <c r="M35" s="6">
        <f>100*(output_transition_aggregates!M35-output_transition_aggregates!M$2)</f>
        <v>7.9700000000000257E-3</v>
      </c>
      <c r="N35" s="6">
        <f>100*(output_transition_aggregates!N35/output_transition_aggregates!N$2-1)</f>
        <v>-0.10166553238730724</v>
      </c>
      <c r="O35" s="6">
        <f>output_transition_aggregates!O35/output_transition_aggregates!O$2</f>
        <v>0.99434962868630772</v>
      </c>
      <c r="P35" s="7">
        <f>100*(output_transition_aggregates!P35/SUM(output_transition_aggregates!P35:Q35)-output_transition_aggregates!P$2/SUM(output_transition_aggregates!P$2:Q$2))</f>
        <v>2.7981956485583978E-2</v>
      </c>
      <c r="Q35" s="6">
        <f>output_transition_aggregates!Q35/output_transition_aggregates!Q$2</f>
        <v>0.99756967590223111</v>
      </c>
      <c r="R35" s="6">
        <f>100*(output_transition_aggregates!R35/output_transition_aggregates!R$2-1)</f>
        <v>-0.78455584404187872</v>
      </c>
      <c r="S35" s="6">
        <f>100*(output_transition_aggregates!S35/output_transition_aggregates!S$2-1)</f>
        <v>-0.4672104984819625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2.6334788465984596E-2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1.0009709071627322</v>
      </c>
      <c r="X35" s="7">
        <f>100*(output_transition_aggregates!X35-output_transition_aggregates!X$2)</f>
        <v>0.3688099999999972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-1.5310606635484336</v>
      </c>
      <c r="AB35" s="7">
        <f>output_transition_aggregates!AB35</f>
        <v>32.766959999999997</v>
      </c>
      <c r="AC35" s="6">
        <f>output_transition_aggregates!AC35/output_transition_aggregates!AC$2</f>
        <v>0.99214735576641533</v>
      </c>
      <c r="AD35" s="6">
        <f>output_transition_aggregates!AD35/output_transition_aggregates!AD$2</f>
        <v>0.99528849389770668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0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0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-0.48780269816598443</v>
      </c>
      <c r="K36" s="8">
        <f>100*(output_transition_aggregates!K36-output_transition_aggregates!K$2)</f>
        <v>-0.13311999999999768</v>
      </c>
      <c r="L36" s="6">
        <f>100*(output_transition_aggregates!L36/output_transition_aggregates!L$2-1)</f>
        <v>2.3626382421091163</v>
      </c>
      <c r="M36" s="6">
        <f>100*(output_transition_aggregates!M36-output_transition_aggregates!M$2)</f>
        <v>8.0699999999999522E-3</v>
      </c>
      <c r="N36" s="6">
        <f>100*(output_transition_aggregates!N36/output_transition_aggregates!N$2-1)</f>
        <v>-9.5536227737191837E-2</v>
      </c>
      <c r="O36" s="6">
        <f>output_transition_aggregates!O36/output_transition_aggregates!O$2</f>
        <v>0.99623123756921883</v>
      </c>
      <c r="P36" s="7">
        <f>100*(output_transition_aggregates!P36/SUM(output_transition_aggregates!P36:Q36)-output_transition_aggregates!P$2/SUM(output_transition_aggregates!P$2:Q$2))</f>
        <v>6.7440923357683924E-3</v>
      </c>
      <c r="Q36" s="6">
        <f>output_transition_aggregates!Q36/output_transition_aggregates!Q$2</f>
        <v>0.99758687486285913</v>
      </c>
      <c r="R36" s="6">
        <f>100*(output_transition_aggregates!R36/output_transition_aggregates!R$2-1)</f>
        <v>-0.78843199939017117</v>
      </c>
      <c r="S36" s="6">
        <f>100*(output_transition_aggregates!S36/output_transition_aggregates!S$2-1)</f>
        <v>-0.59486650431478383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2.3002391153289711E-2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1.0010090425030833</v>
      </c>
      <c r="X36" s="7">
        <f>100*(output_transition_aggregates!X36-output_transition_aggregates!X$2)</f>
        <v>0.36467999999999501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-1.4898993223788626</v>
      </c>
      <c r="AB36" s="7">
        <f>output_transition_aggregates!AB36</f>
        <v>32.769609099999997</v>
      </c>
      <c r="AC36" s="6">
        <f>output_transition_aggregates!AC36/output_transition_aggregates!AC$2</f>
        <v>0.99210907954123151</v>
      </c>
      <c r="AD36" s="6">
        <f>output_transition_aggregates!AD36/output_transition_aggregates!AD$2</f>
        <v>0.99401446418637229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0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0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-0.47636583687731271</v>
      </c>
      <c r="K37" s="8">
        <f>100*(output_transition_aggregates!K37-output_transition_aggregates!K$2)</f>
        <v>-0.13528999999999902</v>
      </c>
      <c r="L37" s="6">
        <f>100*(output_transition_aggregates!L37/output_transition_aggregates!L$2-1)</f>
        <v>2.2760167273691456</v>
      </c>
      <c r="M37" s="6">
        <f>100*(output_transition_aggregates!M37-output_transition_aggregates!M$2)</f>
        <v>7.7699999999999991E-3</v>
      </c>
      <c r="N37" s="6">
        <f>100*(output_transition_aggregates!N37/output_transition_aggregates!N$2-1)</f>
        <v>-9.2883692472955914E-2</v>
      </c>
      <c r="O37" s="6">
        <f>output_transition_aggregates!O37/output_transition_aggregates!O$2</f>
        <v>0.99579714396096541</v>
      </c>
      <c r="P37" s="7">
        <f>100*(output_transition_aggregates!P37/SUM(output_transition_aggregates!P37:Q37)-output_transition_aggregates!P$2/SUM(output_transition_aggregates!P$2:Q$2))</f>
        <v>7.2112013668957503E-3</v>
      </c>
      <c r="Q37" s="6">
        <f>output_transition_aggregates!Q37/output_transition_aggregates!Q$2</f>
        <v>0.99742015590580413</v>
      </c>
      <c r="R37" s="6">
        <f>100*(output_transition_aggregates!R37/output_transition_aggregates!R$2-1)</f>
        <v>-0.78375019906549159</v>
      </c>
      <c r="S37" s="6">
        <f>100*(output_transition_aggregates!S37/output_transition_aggregates!S$2-1)</f>
        <v>-0.62098330007132052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1.9852576707630673E-2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1.0011502734806175</v>
      </c>
      <c r="X37" s="7">
        <f>100*(output_transition_aggregates!X37-output_transition_aggregates!X$2)</f>
        <v>0.36193999999999393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-1.4521486712301357</v>
      </c>
      <c r="AB37" s="7">
        <f>output_transition_aggregates!AB37</f>
        <v>32.772793900000003</v>
      </c>
      <c r="AC37" s="6">
        <f>output_transition_aggregates!AC37/output_transition_aggregates!AC$2</f>
        <v>0.99215609167579788</v>
      </c>
      <c r="AD37" s="6">
        <f>output_transition_aggregates!AD37/output_transition_aggregates!AD$2</f>
        <v>0.99375438066323285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0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0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-0.45319156054548504</v>
      </c>
      <c r="K38" s="8">
        <f>100*(output_transition_aggregates!K38-output_transition_aggregates!K$2)</f>
        <v>-0.13949999999999241</v>
      </c>
      <c r="L38" s="6">
        <f>100*(output_transition_aggregates!L38/output_transition_aggregates!L$2-1)</f>
        <v>2.199784139968175</v>
      </c>
      <c r="M38" s="6">
        <f>100*(output_transition_aggregates!M38-output_transition_aggregates!M$2)</f>
        <v>7.6999999999998944E-3</v>
      </c>
      <c r="N38" s="6">
        <f>100*(output_transition_aggregates!N38/output_transition_aggregates!N$2-1)</f>
        <v>-8.8457805007591261E-2</v>
      </c>
      <c r="O38" s="6">
        <f>output_transition_aggregates!O38/output_transition_aggregates!O$2</f>
        <v>0.99525305135432907</v>
      </c>
      <c r="P38" s="7">
        <f>100*(output_transition_aggregates!P38/SUM(output_transition_aggregates!P38:Q38)-output_transition_aggregates!P$2/SUM(output_transition_aggregates!P$2:Q$2))</f>
        <v>7.5742676820339527E-3</v>
      </c>
      <c r="Q38" s="6">
        <f>output_transition_aggregates!Q38/output_transition_aggregates!Q$2</f>
        <v>0.9972906088959127</v>
      </c>
      <c r="R38" s="6">
        <f>100*(output_transition_aggregates!R38/output_transition_aggregates!R$2-1)</f>
        <v>-0.78086411344723272</v>
      </c>
      <c r="S38" s="6">
        <f>100*(output_transition_aggregates!S38/output_transition_aggregates!S$2-1)</f>
        <v>-0.71077447053391474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1.8515287056271312E-2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1.0012345432814906</v>
      </c>
      <c r="X38" s="7">
        <f>100*(output_transition_aggregates!X38-output_transition_aggregates!X$2)</f>
        <v>0.36017999999999883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-1.4209619895555026</v>
      </c>
      <c r="AB38" s="7">
        <f>output_transition_aggregates!AB38</f>
        <v>32.775795199999997</v>
      </c>
      <c r="AC38" s="6">
        <f>output_transition_aggregates!AC38/output_transition_aggregates!AC$2</f>
        <v>0.99218524372895989</v>
      </c>
      <c r="AD38" s="6">
        <f>output_transition_aggregates!AD38/output_transition_aggregates!AD$2</f>
        <v>0.99285827634931667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0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0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-0.43382957130990718</v>
      </c>
      <c r="K39" s="8">
        <f>100*(output_transition_aggregates!K39-output_transition_aggregates!K$2)</f>
        <v>-0.14320999999999362</v>
      </c>
      <c r="L39" s="6">
        <f>100*(output_transition_aggregates!L39/output_transition_aggregates!L$2-1)</f>
        <v>2.1423547063819992</v>
      </c>
      <c r="M39" s="6">
        <f>100*(output_transition_aggregates!M39-output_transition_aggregates!M$2)</f>
        <v>7.899999999999921E-3</v>
      </c>
      <c r="N39" s="6">
        <f>100*(output_transition_aggregates!N39/output_transition_aggregates!N$2-1)</f>
        <v>-8.3762168193324271E-2</v>
      </c>
      <c r="O39" s="6">
        <f>output_transition_aggregates!O39/output_transition_aggregates!O$2</f>
        <v>0.994211190922489</v>
      </c>
      <c r="P39" s="7">
        <f>100*(output_transition_aggregates!P39/SUM(output_transition_aggregates!P39:Q39)-output_transition_aggregates!P$2/SUM(output_transition_aggregates!P$2:Q$2))</f>
        <v>7.8884289427337551E-3</v>
      </c>
      <c r="Q39" s="6">
        <f>output_transition_aggregates!Q39/output_transition_aggregates!Q$2</f>
        <v>0.99717853824924019</v>
      </c>
      <c r="R39" s="6">
        <f>100*(output_transition_aggregates!R39/output_transition_aggregates!R$2-1)</f>
        <v>-0.77846982717200142</v>
      </c>
      <c r="S39" s="6">
        <f>100*(output_transition_aggregates!S39/output_transition_aggregates!S$2-1)</f>
        <v>-0.78590770234009399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1.5237247352448829E-2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1.0013062005161406</v>
      </c>
      <c r="X39" s="7">
        <f>100*(output_transition_aggregates!X39-output_transition_aggregates!X$2)</f>
        <v>0.3592099999999987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-1.3979776608326056</v>
      </c>
      <c r="AB39" s="7">
        <f>output_transition_aggregates!AB39</f>
        <v>32.778266899999998</v>
      </c>
      <c r="AC39" s="6">
        <f>output_transition_aggregates!AC39/output_transition_aggregates!AC$2</f>
        <v>0.99220951014391157</v>
      </c>
      <c r="AD39" s="6">
        <f>output_transition_aggregates!AD39/output_transition_aggregates!AD$2</f>
        <v>0.99210875142196453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0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0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-0.40595716523711411</v>
      </c>
      <c r="K40" s="8">
        <f>100*(output_transition_aggregates!K40-output_transition_aggregates!K$2)</f>
        <v>-0.15001999999999516</v>
      </c>
      <c r="L40" s="6">
        <f>100*(output_transition_aggregates!L40/output_transition_aggregates!L$2-1)</f>
        <v>2.1119316993597037</v>
      </c>
      <c r="M40" s="6">
        <f>100*(output_transition_aggregates!M40-output_transition_aggregates!M$2)</f>
        <v>1.2369999999999916E-2</v>
      </c>
      <c r="N40" s="6">
        <f>100*(output_transition_aggregates!N40/output_transition_aggregates!N$2-1)</f>
        <v>-7.6478935772872347E-2</v>
      </c>
      <c r="O40" s="6">
        <f>output_transition_aggregates!O40/output_transition_aggregates!O$2</f>
        <v>0.99249377566643282</v>
      </c>
      <c r="P40" s="7">
        <f>100*(output_transition_aggregates!P40/SUM(output_transition_aggregates!P40:Q40)-output_transition_aggregates!P$2/SUM(output_transition_aggregates!P$2:Q$2))</f>
        <v>8.0992042632028333E-3</v>
      </c>
      <c r="Q40" s="6">
        <f>output_transition_aggregates!Q40/output_transition_aggregates!Q$2</f>
        <v>0.99710336214714046</v>
      </c>
      <c r="R40" s="6">
        <f>100*(output_transition_aggregates!R40/output_transition_aggregates!R$2-1)</f>
        <v>-0.77889044503116622</v>
      </c>
      <c r="S40" s="6">
        <f>100*(output_transition_aggregates!S40/output_transition_aggregates!S$2-1)</f>
        <v>2.6536110401208068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1.2854642139662614E-2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1.0013127486331177</v>
      </c>
      <c r="X40" s="7">
        <f>100*(output_transition_aggregates!X40-output_transition_aggregates!X$2)</f>
        <v>0.3598499999999949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-1.3825469408606406</v>
      </c>
      <c r="AB40" s="7">
        <f>output_transition_aggregates!AB40</f>
        <v>32.7802972</v>
      </c>
      <c r="AC40" s="6">
        <f>output_transition_aggregates!AC40/output_transition_aggregates!AC$2</f>
        <v>0.99220578929361902</v>
      </c>
      <c r="AD40" s="6">
        <f>output_transition_aggregates!AD40/output_transition_aggregates!AD$2</f>
        <v>1.0265066499326385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0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0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0</v>
      </c>
      <c r="K41" s="8">
        <f>100*(output_transition_aggregates!K41-output_transition_aggregates!K$2)</f>
        <v>0</v>
      </c>
      <c r="L41" s="6">
        <f>100*(output_transition_aggregates!L41/output_transition_aggregates!L$2-1)</f>
        <v>0</v>
      </c>
      <c r="M41" s="6">
        <f>100*(output_transition_aggregates!M41-output_transition_aggregates!M$2)</f>
        <v>0</v>
      </c>
      <c r="N41" s="6">
        <f>100*(output_transition_aggregates!N41/output_transition_aggregates!N$2-1)</f>
        <v>0</v>
      </c>
      <c r="O41" s="6">
        <f>output_transition_aggregates!O41/output_transition_aggregates!O$2</f>
        <v>1</v>
      </c>
      <c r="P41" s="7">
        <f>100*(output_transition_aggregates!P41/SUM(output_transition_aggregates!P41:Q41)-output_transition_aggregates!P$2/SUM(output_transition_aggregates!P$2:Q$2))</f>
        <v>0</v>
      </c>
      <c r="Q41" s="6">
        <f>output_transition_aggregates!Q41/output_transition_aggregates!Q$2</f>
        <v>1</v>
      </c>
      <c r="R41" s="6">
        <f>100*(output_transition_aggregates!R41/output_transition_aggregates!R$2-1)</f>
        <v>0</v>
      </c>
      <c r="S41" s="6">
        <f>100*(output_transition_aggregates!S41/output_transition_aggregates!S$2-1)</f>
        <v>0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0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1</v>
      </c>
      <c r="X41" s="7">
        <f>100*(output_transition_aggregates!X41-output_transition_aggregates!X$2)</f>
        <v>0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0</v>
      </c>
      <c r="AB41" s="7">
        <f>output_transition_aggregates!AB41</f>
        <v>33.1899199</v>
      </c>
      <c r="AC41" s="6">
        <f>output_transition_aggregates!AC41/output_transition_aggregates!AC$2</f>
        <v>1</v>
      </c>
      <c r="AD41" s="6">
        <f>output_transition_aggregates!AD41/output_transition_aggregates!AD$2</f>
        <v>1</v>
      </c>
      <c r="AE41" s="2"/>
      <c r="AF41" s="3"/>
      <c r="AG41" s="3"/>
    </row>
    <row r="42" spans="1:33" x14ac:dyDescent="0.35">
      <c r="B42" s="6"/>
      <c r="C42" s="6"/>
      <c r="D42" s="6">
        <f>100*(output_transition_aggregates!D42/output_transition_aggregates!D$2-1)</f>
        <v>-100</v>
      </c>
      <c r="E42" s="6"/>
      <c r="F42" s="6"/>
      <c r="G42" s="6"/>
      <c r="H42" s="6"/>
      <c r="I42" s="6"/>
      <c r="J42" s="6">
        <f>100*(output_transition_aggregates!J42/output_transition_aggregates!J$2-1)</f>
        <v>-100</v>
      </c>
      <c r="K42" s="8">
        <f>100*(output_transition_aggregates!K42-output_transition_aggregates!K$2)</f>
        <v>-99.755099999999999</v>
      </c>
      <c r="L42" s="6"/>
      <c r="M42" s="6"/>
      <c r="N42" s="6"/>
      <c r="O42" s="6"/>
      <c r="P42" s="7"/>
      <c r="Q42" s="6"/>
      <c r="R42" s="6">
        <f>100*(output_transition_aggregates!R42/output_transition_aggregates!R$2-1)</f>
        <v>-100</v>
      </c>
      <c r="S42" s="6">
        <f>100*(output_transition_aggregates!S42/output_transition_aggregates!S$2-1)</f>
        <v>-100</v>
      </c>
      <c r="T42" s="7"/>
      <c r="U42" s="7"/>
      <c r="V42" s="7"/>
      <c r="W42" s="6"/>
      <c r="X42" s="7"/>
      <c r="Y42" s="6"/>
      <c r="Z42" s="6"/>
      <c r="AA42" s="6">
        <f>100*(output_transition_aggregates!AA42/output_transition_aggregates!AA$2-1)</f>
        <v>-100</v>
      </c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O67"/>
  <sheetViews>
    <sheetView workbookViewId="0">
      <pane xSplit="1" ySplit="1" topLeftCell="HP29" activePane="bottomRight" state="frozen"/>
      <selection pane="topRight" activeCell="B1" sqref="B1"/>
      <selection pane="bottomLeft" activeCell="A2" sqref="A2"/>
      <selection pane="bottomRight" activeCell="B8" sqref="B8:IG47"/>
    </sheetView>
  </sheetViews>
  <sheetFormatPr defaultRowHeight="14.5" x14ac:dyDescent="0.35"/>
  <cols>
    <col min="1" max="1" width="9.1796875" style="1"/>
    <col min="249" max="249" width="14" bestFit="1" customWidth="1"/>
    <col min="260" max="260" width="25.81640625" bestFit="1" customWidth="1"/>
  </cols>
  <sheetData>
    <row r="1" spans="1:301" s="1" customFormat="1" x14ac:dyDescent="0.35">
      <c r="A1" s="1" t="s">
        <v>0</v>
      </c>
      <c r="B1" s="1" t="s">
        <v>25</v>
      </c>
      <c r="C1" s="1" t="s">
        <v>26</v>
      </c>
      <c r="D1" s="1" t="s">
        <v>27</v>
      </c>
      <c r="E1" s="1" t="s">
        <v>28</v>
      </c>
      <c r="F1" s="1" t="s">
        <v>29</v>
      </c>
      <c r="G1" s="1" t="s">
        <v>30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1" t="s">
        <v>63</v>
      </c>
      <c r="N1" s="1" t="s">
        <v>64</v>
      </c>
      <c r="O1" s="1" t="s">
        <v>65</v>
      </c>
      <c r="P1" s="1" t="s">
        <v>66</v>
      </c>
      <c r="Q1" s="1" t="s">
        <v>67</v>
      </c>
      <c r="R1" s="1" t="s">
        <v>68</v>
      </c>
      <c r="S1" s="1" t="s">
        <v>69</v>
      </c>
      <c r="T1" s="1" t="s">
        <v>70</v>
      </c>
      <c r="U1" s="1" t="s">
        <v>71</v>
      </c>
      <c r="V1" s="1" t="s">
        <v>72</v>
      </c>
      <c r="W1" s="1" t="s">
        <v>73</v>
      </c>
      <c r="X1" s="1" t="s">
        <v>74</v>
      </c>
      <c r="Y1" s="1" t="s">
        <v>75</v>
      </c>
      <c r="Z1" s="1" t="s">
        <v>76</v>
      </c>
      <c r="AA1" s="1" t="s">
        <v>77</v>
      </c>
      <c r="AB1" s="1" t="s">
        <v>78</v>
      </c>
      <c r="AC1" s="1" t="s">
        <v>79</v>
      </c>
      <c r="AD1" s="1" t="s">
        <v>80</v>
      </c>
      <c r="AE1" s="1" t="s">
        <v>81</v>
      </c>
      <c r="AF1" s="1" t="s">
        <v>82</v>
      </c>
      <c r="AG1" s="1" t="s">
        <v>83</v>
      </c>
      <c r="AH1" s="1" t="s">
        <v>84</v>
      </c>
      <c r="AI1" s="1" t="s">
        <v>85</v>
      </c>
      <c r="AJ1" s="1" t="s">
        <v>86</v>
      </c>
      <c r="AK1" s="1" t="s">
        <v>87</v>
      </c>
      <c r="AL1" s="1" t="s">
        <v>88</v>
      </c>
      <c r="AM1" s="1" t="s">
        <v>89</v>
      </c>
      <c r="AN1" s="1" t="s">
        <v>90</v>
      </c>
      <c r="AO1" s="1" t="s">
        <v>91</v>
      </c>
      <c r="AP1" s="1" t="s">
        <v>92</v>
      </c>
      <c r="AQ1" s="1" t="s">
        <v>93</v>
      </c>
      <c r="AR1" s="1" t="s">
        <v>94</v>
      </c>
      <c r="AS1" s="1" t="s">
        <v>95</v>
      </c>
      <c r="AT1" s="1" t="s">
        <v>96</v>
      </c>
      <c r="AU1" s="1" t="s">
        <v>97</v>
      </c>
      <c r="AV1" s="1" t="s">
        <v>98</v>
      </c>
      <c r="AW1" s="1" t="s">
        <v>99</v>
      </c>
      <c r="AX1" s="1" t="s">
        <v>100</v>
      </c>
      <c r="AY1" s="1" t="s">
        <v>101</v>
      </c>
      <c r="AZ1" s="1" t="s">
        <v>102</v>
      </c>
      <c r="BA1" s="1" t="s">
        <v>103</v>
      </c>
      <c r="BB1" s="1" t="s">
        <v>104</v>
      </c>
      <c r="BC1" s="1" t="s">
        <v>105</v>
      </c>
      <c r="BD1" s="1" t="s">
        <v>106</v>
      </c>
      <c r="BE1" s="1" t="s">
        <v>107</v>
      </c>
      <c r="BF1" s="1" t="s">
        <v>108</v>
      </c>
      <c r="BG1" s="1" t="s">
        <v>109</v>
      </c>
      <c r="BH1" s="1" t="s">
        <v>110</v>
      </c>
      <c r="BI1" s="1" t="s">
        <v>111</v>
      </c>
      <c r="BJ1" s="1" t="s">
        <v>112</v>
      </c>
      <c r="BK1" s="1" t="s">
        <v>113</v>
      </c>
      <c r="BL1" s="1" t="s">
        <v>114</v>
      </c>
      <c r="BM1" s="1" t="s">
        <v>115</v>
      </c>
      <c r="BN1" s="1" t="s">
        <v>116</v>
      </c>
      <c r="BO1" s="1" t="s">
        <v>117</v>
      </c>
      <c r="BP1" s="1" t="s">
        <v>118</v>
      </c>
      <c r="BQ1" s="1" t="s">
        <v>119</v>
      </c>
      <c r="BR1" s="1" t="s">
        <v>120</v>
      </c>
      <c r="BS1" s="1" t="s">
        <v>121</v>
      </c>
      <c r="BT1" s="1" t="s">
        <v>122</v>
      </c>
      <c r="BU1" s="1" t="s">
        <v>123</v>
      </c>
      <c r="BV1" s="1" t="s">
        <v>124</v>
      </c>
      <c r="BW1" s="1" t="s">
        <v>125</v>
      </c>
      <c r="BX1" s="1" t="s">
        <v>126</v>
      </c>
      <c r="BY1" s="1" t="s">
        <v>127</v>
      </c>
      <c r="BZ1" s="1" t="s">
        <v>128</v>
      </c>
      <c r="CA1" s="1" t="s">
        <v>129</v>
      </c>
      <c r="CB1" s="1" t="s">
        <v>130</v>
      </c>
      <c r="CC1" s="1" t="s">
        <v>131</v>
      </c>
      <c r="CD1" s="1" t="s">
        <v>132</v>
      </c>
      <c r="CE1" s="1" t="s">
        <v>133</v>
      </c>
      <c r="CF1" s="1" t="s">
        <v>134</v>
      </c>
      <c r="CG1" s="1" t="s">
        <v>135</v>
      </c>
      <c r="CH1" s="1" t="s">
        <v>136</v>
      </c>
      <c r="CI1" s="1" t="s">
        <v>137</v>
      </c>
      <c r="CJ1" s="1" t="s">
        <v>138</v>
      </c>
      <c r="CK1" s="1" t="s">
        <v>139</v>
      </c>
      <c r="CL1" s="1" t="s">
        <v>140</v>
      </c>
      <c r="CM1" s="1" t="s">
        <v>141</v>
      </c>
      <c r="CN1" s="1" t="s">
        <v>142</v>
      </c>
      <c r="CO1" s="1" t="s">
        <v>143</v>
      </c>
      <c r="CP1" s="1" t="s">
        <v>144</v>
      </c>
      <c r="CQ1" s="1" t="s">
        <v>145</v>
      </c>
      <c r="CR1" s="1" t="s">
        <v>146</v>
      </c>
      <c r="CS1" s="1" t="s">
        <v>147</v>
      </c>
      <c r="CT1" s="1" t="s">
        <v>148</v>
      </c>
      <c r="CU1" s="1" t="s">
        <v>149</v>
      </c>
      <c r="CV1" s="1" t="s">
        <v>150</v>
      </c>
      <c r="CW1" s="1" t="s">
        <v>151</v>
      </c>
      <c r="CX1" s="1" t="s">
        <v>152</v>
      </c>
      <c r="CY1" s="1" t="s">
        <v>153</v>
      </c>
      <c r="CZ1" s="1" t="s">
        <v>154</v>
      </c>
      <c r="DA1" s="1" t="s">
        <v>155</v>
      </c>
      <c r="DB1" s="1" t="s">
        <v>156</v>
      </c>
      <c r="DC1" s="1" t="s">
        <v>157</v>
      </c>
      <c r="DD1" s="1" t="s">
        <v>158</v>
      </c>
      <c r="DE1" s="1" t="s">
        <v>159</v>
      </c>
      <c r="DF1" s="1" t="s">
        <v>160</v>
      </c>
      <c r="DG1" s="1" t="s">
        <v>161</v>
      </c>
      <c r="DH1" s="1" t="s">
        <v>162</v>
      </c>
      <c r="DI1" s="1" t="s">
        <v>163</v>
      </c>
      <c r="DJ1" s="1" t="s">
        <v>164</v>
      </c>
      <c r="DK1" s="1" t="s">
        <v>165</v>
      </c>
      <c r="DL1" s="1" t="s">
        <v>166</v>
      </c>
      <c r="DM1" s="1" t="s">
        <v>167</v>
      </c>
      <c r="DN1" s="1" t="s">
        <v>168</v>
      </c>
      <c r="DO1" s="1" t="s">
        <v>169</v>
      </c>
      <c r="DP1" s="1" t="s">
        <v>170</v>
      </c>
      <c r="DQ1" s="1" t="s">
        <v>171</v>
      </c>
      <c r="DR1" s="1" t="s">
        <v>41</v>
      </c>
      <c r="DS1" s="1" t="s">
        <v>42</v>
      </c>
      <c r="DT1" s="1" t="s">
        <v>43</v>
      </c>
      <c r="DU1" s="1" t="s">
        <v>44</v>
      </c>
      <c r="DV1" s="1" t="s">
        <v>45</v>
      </c>
      <c r="DW1" s="1" t="s">
        <v>46</v>
      </c>
      <c r="DX1" s="1" t="s">
        <v>172</v>
      </c>
      <c r="DY1" s="1" t="s">
        <v>173</v>
      </c>
      <c r="DZ1" s="1" t="s">
        <v>174</v>
      </c>
      <c r="EA1" s="1" t="s">
        <v>175</v>
      </c>
      <c r="EB1" s="1" t="s">
        <v>176</v>
      </c>
      <c r="EC1" s="1" t="s">
        <v>177</v>
      </c>
      <c r="ED1" s="1" t="s">
        <v>178</v>
      </c>
      <c r="EE1" s="1" t="s">
        <v>179</v>
      </c>
      <c r="EF1" s="1" t="s">
        <v>180</v>
      </c>
      <c r="EG1" s="1" t="s">
        <v>181</v>
      </c>
      <c r="EH1" s="1" t="s">
        <v>182</v>
      </c>
      <c r="EI1" s="1" t="s">
        <v>183</v>
      </c>
      <c r="EJ1" s="1" t="s">
        <v>184</v>
      </c>
      <c r="EK1" s="1" t="s">
        <v>185</v>
      </c>
      <c r="EL1" s="1" t="s">
        <v>186</v>
      </c>
      <c r="EM1" s="1" t="s">
        <v>187</v>
      </c>
      <c r="EN1" s="1" t="s">
        <v>188</v>
      </c>
      <c r="EO1" s="1" t="s">
        <v>189</v>
      </c>
      <c r="EP1" s="1" t="s">
        <v>190</v>
      </c>
      <c r="EQ1" s="1" t="s">
        <v>191</v>
      </c>
      <c r="ER1" s="1" t="s">
        <v>192</v>
      </c>
      <c r="ES1" s="1" t="s">
        <v>193</v>
      </c>
      <c r="ET1" s="1" t="s">
        <v>194</v>
      </c>
      <c r="EU1" s="1" t="s">
        <v>195</v>
      </c>
      <c r="EV1" s="1" t="s">
        <v>196</v>
      </c>
      <c r="EW1" s="1" t="s">
        <v>197</v>
      </c>
      <c r="EX1" s="1" t="s">
        <v>198</v>
      </c>
      <c r="EY1" s="1" t="s">
        <v>199</v>
      </c>
      <c r="EZ1" s="1" t="s">
        <v>200</v>
      </c>
      <c r="FA1" s="1" t="s">
        <v>201</v>
      </c>
      <c r="FB1" s="1" t="s">
        <v>202</v>
      </c>
      <c r="FC1" s="1" t="s">
        <v>203</v>
      </c>
      <c r="FD1" s="1" t="s">
        <v>204</v>
      </c>
      <c r="FE1" s="1" t="s">
        <v>205</v>
      </c>
      <c r="FF1" s="1" t="s">
        <v>206</v>
      </c>
      <c r="FG1" s="1" t="s">
        <v>207</v>
      </c>
      <c r="FH1" s="1" t="s">
        <v>208</v>
      </c>
      <c r="FI1" s="1" t="s">
        <v>209</v>
      </c>
      <c r="FJ1" s="1" t="s">
        <v>210</v>
      </c>
      <c r="FK1" s="1" t="s">
        <v>211</v>
      </c>
      <c r="FL1" s="1" t="s">
        <v>212</v>
      </c>
      <c r="FM1" s="1" t="s">
        <v>213</v>
      </c>
      <c r="FN1" s="1" t="s">
        <v>214</v>
      </c>
      <c r="FO1" s="1" t="s">
        <v>215</v>
      </c>
      <c r="FP1" s="1" t="s">
        <v>216</v>
      </c>
      <c r="FQ1" s="1" t="s">
        <v>217</v>
      </c>
      <c r="FR1" s="1" t="s">
        <v>218</v>
      </c>
      <c r="FS1" s="1" t="s">
        <v>219</v>
      </c>
      <c r="FT1" s="1" t="s">
        <v>220</v>
      </c>
      <c r="FU1" s="1" t="s">
        <v>221</v>
      </c>
      <c r="FV1" s="1" t="s">
        <v>222</v>
      </c>
      <c r="FW1" s="1" t="s">
        <v>223</v>
      </c>
      <c r="FX1" s="1" t="s">
        <v>224</v>
      </c>
      <c r="FY1" s="1" t="s">
        <v>225</v>
      </c>
      <c r="FZ1" s="1" t="s">
        <v>226</v>
      </c>
      <c r="GA1" s="1" t="s">
        <v>227</v>
      </c>
      <c r="GB1" s="1" t="s">
        <v>228</v>
      </c>
      <c r="GC1" s="1" t="s">
        <v>229</v>
      </c>
      <c r="GD1" s="1" t="s">
        <v>230</v>
      </c>
      <c r="GE1" s="1" t="s">
        <v>231</v>
      </c>
      <c r="GF1" s="1" t="s">
        <v>232</v>
      </c>
      <c r="GG1" s="1" t="s">
        <v>233</v>
      </c>
      <c r="GH1" s="1" t="s">
        <v>234</v>
      </c>
      <c r="GI1" s="1" t="s">
        <v>235</v>
      </c>
      <c r="GJ1" s="1" t="s">
        <v>236</v>
      </c>
      <c r="GK1" s="1" t="s">
        <v>237</v>
      </c>
      <c r="GL1" s="1" t="s">
        <v>238</v>
      </c>
      <c r="GM1" s="1" t="s">
        <v>239</v>
      </c>
      <c r="GN1" s="1" t="s">
        <v>240</v>
      </c>
      <c r="GO1" s="1" t="s">
        <v>241</v>
      </c>
      <c r="GP1" s="1" t="s">
        <v>242</v>
      </c>
      <c r="GQ1" s="1" t="s">
        <v>243</v>
      </c>
      <c r="GR1" s="1" t="s">
        <v>244</v>
      </c>
      <c r="GS1" s="1" t="s">
        <v>245</v>
      </c>
      <c r="GT1" s="1" t="s">
        <v>246</v>
      </c>
      <c r="GU1" s="1" t="s">
        <v>247</v>
      </c>
      <c r="GV1" s="1" t="s">
        <v>248</v>
      </c>
      <c r="GW1" s="1" t="s">
        <v>249</v>
      </c>
      <c r="GX1" s="1" t="s">
        <v>250</v>
      </c>
      <c r="GY1" s="1" t="s">
        <v>251</v>
      </c>
      <c r="GZ1" s="1" t="s">
        <v>252</v>
      </c>
      <c r="HA1" s="1" t="s">
        <v>253</v>
      </c>
      <c r="HB1" s="1" t="s">
        <v>254</v>
      </c>
      <c r="HC1" s="1" t="s">
        <v>255</v>
      </c>
      <c r="HD1" s="1" t="s">
        <v>256</v>
      </c>
      <c r="HE1" s="1" t="s">
        <v>257</v>
      </c>
      <c r="HF1" s="1" t="s">
        <v>258</v>
      </c>
      <c r="HG1" s="1" t="s">
        <v>259</v>
      </c>
      <c r="HH1" s="1" t="s">
        <v>260</v>
      </c>
      <c r="HI1" s="1" t="s">
        <v>261</v>
      </c>
      <c r="HJ1" s="1" t="s">
        <v>262</v>
      </c>
      <c r="HK1" s="1" t="s">
        <v>263</v>
      </c>
      <c r="HL1" s="1" t="s">
        <v>264</v>
      </c>
      <c r="HM1" s="1" t="s">
        <v>265</v>
      </c>
      <c r="HN1" s="1" t="s">
        <v>266</v>
      </c>
      <c r="HO1" s="1" t="s">
        <v>267</v>
      </c>
      <c r="HP1" s="1" t="s">
        <v>268</v>
      </c>
      <c r="HQ1" s="1" t="s">
        <v>269</v>
      </c>
      <c r="HR1" s="1" t="s">
        <v>270</v>
      </c>
      <c r="HS1" s="1" t="s">
        <v>271</v>
      </c>
      <c r="HT1" s="1" t="s">
        <v>272</v>
      </c>
      <c r="HU1" s="1" t="s">
        <v>273</v>
      </c>
      <c r="HV1" s="1" t="s">
        <v>274</v>
      </c>
      <c r="HW1" s="1" t="s">
        <v>275</v>
      </c>
      <c r="HX1" s="1" t="s">
        <v>276</v>
      </c>
      <c r="HY1" s="1" t="s">
        <v>277</v>
      </c>
      <c r="HZ1" s="1" t="s">
        <v>278</v>
      </c>
      <c r="IA1" s="1" t="s">
        <v>279</v>
      </c>
      <c r="IB1" s="1" t="s">
        <v>280</v>
      </c>
      <c r="IC1" s="1" t="s">
        <v>281</v>
      </c>
      <c r="ID1" s="1" t="s">
        <v>282</v>
      </c>
      <c r="IE1" s="1" t="s">
        <v>283</v>
      </c>
      <c r="IF1" s="1" t="s">
        <v>284</v>
      </c>
      <c r="IG1" s="1" t="s">
        <v>285</v>
      </c>
      <c r="II1" s="1" t="s">
        <v>286</v>
      </c>
      <c r="IL1" s="1" t="s">
        <v>287</v>
      </c>
      <c r="IO1" s="1" t="s">
        <v>288</v>
      </c>
      <c r="IP1" s="1" t="s">
        <v>289</v>
      </c>
      <c r="IQ1" s="1" t="s">
        <v>290</v>
      </c>
      <c r="IR1" s="1" t="s">
        <v>291</v>
      </c>
      <c r="IS1" s="1" t="s">
        <v>292</v>
      </c>
      <c r="IT1" s="1" t="s">
        <v>293</v>
      </c>
      <c r="IU1" s="1" t="s">
        <v>294</v>
      </c>
      <c r="IV1" s="1" t="s">
        <v>295</v>
      </c>
      <c r="IW1" s="1" t="s">
        <v>296</v>
      </c>
      <c r="IX1" s="1" t="s">
        <v>297</v>
      </c>
      <c r="IZ1" s="1" t="s">
        <v>298</v>
      </c>
      <c r="JA1" s="1" t="s">
        <v>289</v>
      </c>
      <c r="JB1" s="1" t="s">
        <v>290</v>
      </c>
      <c r="JC1" s="1" t="s">
        <v>291</v>
      </c>
      <c r="JD1" s="1" t="s">
        <v>292</v>
      </c>
      <c r="JE1" s="1" t="s">
        <v>293</v>
      </c>
      <c r="JF1" s="1" t="s">
        <v>294</v>
      </c>
      <c r="JG1" s="1" t="s">
        <v>295</v>
      </c>
      <c r="JH1" s="1" t="s">
        <v>296</v>
      </c>
      <c r="JI1" s="1" t="s">
        <v>297</v>
      </c>
      <c r="JL1" s="1" t="s">
        <v>56</v>
      </c>
      <c r="JM1" s="1" t="s">
        <v>289</v>
      </c>
      <c r="JN1" s="1" t="s">
        <v>290</v>
      </c>
      <c r="JO1" s="1" t="s">
        <v>291</v>
      </c>
      <c r="JP1" s="1" t="s">
        <v>292</v>
      </c>
      <c r="JQ1" s="1" t="s">
        <v>293</v>
      </c>
      <c r="JR1" s="1" t="s">
        <v>294</v>
      </c>
      <c r="JS1" s="1" t="s">
        <v>295</v>
      </c>
      <c r="JT1" s="1" t="s">
        <v>296</v>
      </c>
      <c r="JU1" s="1" t="s">
        <v>297</v>
      </c>
      <c r="JW1" s="1" t="s">
        <v>289</v>
      </c>
      <c r="JX1" s="1" t="s">
        <v>290</v>
      </c>
      <c r="JY1" s="1" t="s">
        <v>291</v>
      </c>
      <c r="JZ1" s="1" t="s">
        <v>292</v>
      </c>
      <c r="KA1" s="1" t="s">
        <v>293</v>
      </c>
      <c r="KB1" s="1" t="s">
        <v>294</v>
      </c>
      <c r="KC1" s="1" t="s">
        <v>295</v>
      </c>
      <c r="KD1" s="1" t="s">
        <v>296</v>
      </c>
      <c r="KE1" s="1" t="s">
        <v>297</v>
      </c>
      <c r="KG1" s="1" t="s">
        <v>289</v>
      </c>
      <c r="KH1" s="1" t="s">
        <v>290</v>
      </c>
      <c r="KI1" s="1" t="s">
        <v>291</v>
      </c>
      <c r="KJ1" s="1" t="s">
        <v>292</v>
      </c>
      <c r="KK1" s="1" t="s">
        <v>293</v>
      </c>
      <c r="KL1" s="1" t="s">
        <v>294</v>
      </c>
      <c r="KM1" s="1" t="s">
        <v>295</v>
      </c>
      <c r="KN1" s="1" t="s">
        <v>296</v>
      </c>
      <c r="KO1" s="1" t="s">
        <v>297</v>
      </c>
    </row>
    <row r="2" spans="1:301" s="1" customFormat="1" x14ac:dyDescent="0.35">
      <c r="A2" s="1">
        <f t="shared" ref="A2:A6" si="0">A3-1</f>
        <v>-6</v>
      </c>
      <c r="B2" s="10">
        <f t="shared" ref="B2:B6" si="1">B3</f>
        <v>1.0654E-2</v>
      </c>
      <c r="C2" s="10">
        <f t="shared" ref="C2:C6" si="2">C3</f>
        <v>1.0654E-2</v>
      </c>
      <c r="D2" s="10">
        <f t="shared" ref="D2:D6" si="3">D3</f>
        <v>1.06058E-2</v>
      </c>
      <c r="E2" s="10">
        <f t="shared" ref="E2:E6" si="4">E3</f>
        <v>1.04361E-2</v>
      </c>
      <c r="F2" s="10">
        <f t="shared" ref="F2:F6" si="5">F3</f>
        <v>9.7535E-3</v>
      </c>
      <c r="G2" s="10">
        <f t="shared" ref="G2:G6" si="6">G3</f>
        <v>9.1403999999999999E-3</v>
      </c>
      <c r="H2" s="10">
        <f t="shared" ref="H2:H6" si="7">H3</f>
        <v>8.5669000000000006E-3</v>
      </c>
      <c r="I2" s="10">
        <f t="shared" ref="I2:I6" si="8">I3</f>
        <v>7.9711000000000001E-3</v>
      </c>
      <c r="J2" s="10">
        <f t="shared" ref="J2:J6" si="9">J3</f>
        <v>7.4428000000000003E-3</v>
      </c>
      <c r="K2" s="10">
        <f t="shared" ref="K2:K6" si="10">K3</f>
        <v>6.9601000000000003E-3</v>
      </c>
      <c r="L2" s="10">
        <f t="shared" ref="L2:L6" si="11">L3</f>
        <v>6.5317999999999999E-3</v>
      </c>
      <c r="M2" s="10">
        <f t="shared" ref="M2:M6" si="12">M3</f>
        <v>6.1491999999999996E-3</v>
      </c>
      <c r="N2" s="10">
        <f t="shared" ref="N2:N6" si="13">N3</f>
        <v>5.8079999999999998E-3</v>
      </c>
      <c r="O2" s="10">
        <f t="shared" ref="O2:O6" si="14">O3</f>
        <v>5.5024999999999996E-3</v>
      </c>
      <c r="P2" s="10">
        <f t="shared" ref="P2:P6" si="15">P3</f>
        <v>5.2283E-3</v>
      </c>
      <c r="Q2" s="10">
        <f t="shared" ref="Q2:Q6" si="16">Q3</f>
        <v>4.9813000000000001E-3</v>
      </c>
      <c r="R2" s="10">
        <f t="shared" ref="R2:R6" si="17">R3</f>
        <v>4.7580000000000001E-3</v>
      </c>
      <c r="S2" s="10">
        <f t="shared" ref="S2:S6" si="18">S3</f>
        <v>4.5554000000000002E-3</v>
      </c>
      <c r="T2" s="10">
        <f t="shared" ref="T2:T6" si="19">T3</f>
        <v>4.3709999999999999E-3</v>
      </c>
      <c r="U2" s="10">
        <f t="shared" ref="U2:U6" si="20">U3</f>
        <v>4.2025999999999999E-3</v>
      </c>
      <c r="V2" s="10">
        <f t="shared" ref="V2:V6" si="21">V3</f>
        <v>4.0480999999999998E-3</v>
      </c>
      <c r="W2" s="10">
        <f t="shared" ref="W2:W6" si="22">W3</f>
        <v>3.9061E-3</v>
      </c>
      <c r="X2" s="10">
        <f t="shared" ref="X2:X6" si="23">X3</f>
        <v>3.7750000000000001E-3</v>
      </c>
      <c r="Y2" s="10">
        <f t="shared" ref="Y2:Y6" si="24">Y3</f>
        <v>3.6537000000000002E-3</v>
      </c>
      <c r="Z2" s="10">
        <f t="shared" ref="Z2:Z6" si="25">Z3</f>
        <v>3.5412E-3</v>
      </c>
      <c r="AA2" s="10">
        <f t="shared" ref="AA2:AA6" si="26">AA3</f>
        <v>3.4364E-3</v>
      </c>
      <c r="AB2" s="10">
        <f t="shared" ref="AB2:AB6" si="27">AB3</f>
        <v>3.3384999999999999E-3</v>
      </c>
      <c r="AC2" s="10">
        <f t="shared" ref="AC2:AC6" si="28">AC3</f>
        <v>3.2468000000000002E-3</v>
      </c>
      <c r="AD2" s="10">
        <f t="shared" ref="AD2:AD6" si="29">AD3</f>
        <v>3.1606999999999998E-3</v>
      </c>
      <c r="AE2" s="10">
        <f t="shared" ref="AE2:AE6" si="30">AE3</f>
        <v>3.0796999999999999E-3</v>
      </c>
      <c r="AF2" s="10">
        <f t="shared" ref="AF2:AF6" si="31">AF3</f>
        <v>3.0030999999999999E-3</v>
      </c>
      <c r="AG2" s="10">
        <f t="shared" ref="AG2:AG6" si="32">AG3</f>
        <v>2.9307000000000001E-3</v>
      </c>
      <c r="AH2" s="10">
        <f t="shared" ref="AH2:AH6" si="33">AH3</f>
        <v>2.8620999999999998E-3</v>
      </c>
      <c r="AI2" s="10">
        <f t="shared" ref="AI2:AI6" si="34">AI3</f>
        <v>2.7969000000000002E-3</v>
      </c>
      <c r="AJ2" s="10">
        <f t="shared" ref="AJ2:AJ6" si="35">AJ3</f>
        <v>2.7349000000000002E-3</v>
      </c>
      <c r="AK2" s="10">
        <f t="shared" ref="AK2:AK6" si="36">AK3</f>
        <v>2.6759000000000002E-3</v>
      </c>
      <c r="AL2" s="10">
        <f t="shared" ref="AL2:AL6" si="37">AL3</f>
        <v>2.6194999999999999E-3</v>
      </c>
      <c r="AM2" s="10">
        <f t="shared" ref="AM2:AM6" si="38">AM3</f>
        <v>2.5657000000000002E-3</v>
      </c>
      <c r="AN2" s="10">
        <f t="shared" ref="AN2:AN6" si="39">AN3</f>
        <v>2.5143000000000001E-3</v>
      </c>
      <c r="AO2" s="10">
        <f t="shared" ref="AO2:AO6" si="40">AO3</f>
        <v>2.4650000000000002E-3</v>
      </c>
      <c r="AP2" s="10">
        <f t="shared" ref="AP2:AP6" si="41">AP3</f>
        <v>2.4177000000000001E-3</v>
      </c>
      <c r="AQ2" s="10">
        <f t="shared" ref="AQ2:AQ6" si="42">AQ3</f>
        <v>2.3722999999999999E-3</v>
      </c>
      <c r="AR2" s="10">
        <f t="shared" ref="AR2:AR6" si="43">AR3</f>
        <v>2.3287E-3</v>
      </c>
      <c r="AS2" s="10">
        <f t="shared" ref="AS2:AS6" si="44">AS3</f>
        <v>2.2867E-3</v>
      </c>
      <c r="AT2" s="10">
        <f t="shared" ref="AT2:AT6" si="45">AT3</f>
        <v>2.2461999999999998E-3</v>
      </c>
      <c r="AU2" s="10">
        <f t="shared" ref="AU2:AU6" si="46">AU3</f>
        <v>2.2071999999999999E-3</v>
      </c>
      <c r="AV2" s="10">
        <f t="shared" ref="AV2:AV6" si="47">AV3</f>
        <v>2.1695E-3</v>
      </c>
      <c r="AW2" s="10">
        <f t="shared" ref="AW2:AW6" si="48">AW3</f>
        <v>2.1329999999999999E-3</v>
      </c>
      <c r="AX2" s="10">
        <f t="shared" ref="AX2:AX6" si="49">AX3</f>
        <v>2.0977000000000001E-3</v>
      </c>
      <c r="AY2" s="10">
        <f t="shared" ref="AY2:AY6" si="50">AY3</f>
        <v>2.0634E-3</v>
      </c>
      <c r="AZ2" s="10">
        <f t="shared" ref="AZ2:AZ6" si="51">AZ3</f>
        <v>2.0301999999999998E-3</v>
      </c>
      <c r="BA2" s="10">
        <f t="shared" ref="BA2:BA6" si="52">BA3</f>
        <v>1.9980000000000002E-3</v>
      </c>
      <c r="BB2" s="10">
        <f t="shared" ref="BB2:BB6" si="53">BB3</f>
        <v>1.9666000000000002E-3</v>
      </c>
      <c r="BC2" s="10">
        <f t="shared" ref="BC2:BC6" si="54">BC3</f>
        <v>1.9361000000000001E-3</v>
      </c>
      <c r="BD2" s="10">
        <f t="shared" ref="BD2:BD6" si="55">BD3</f>
        <v>1.9063000000000001E-3</v>
      </c>
      <c r="BE2" s="10">
        <f t="shared" ref="BE2:BE6" si="56">BE3</f>
        <v>1.8772999999999999E-3</v>
      </c>
      <c r="BF2" s="10">
        <f t="shared" ref="BF2:BF6" si="57">BF3</f>
        <v>1.8489999999999999E-3</v>
      </c>
      <c r="BG2" s="10">
        <f t="shared" ref="BG2:BG6" si="58">BG3</f>
        <v>1.8213000000000001E-3</v>
      </c>
      <c r="BH2" s="10">
        <f t="shared" ref="BH2:BH6" si="59">BH3</f>
        <v>1.7943E-3</v>
      </c>
      <c r="BI2" s="10">
        <f t="shared" ref="BI2:BI6" si="60">BI3</f>
        <v>1.7677999999999999E-3</v>
      </c>
      <c r="BJ2" s="10">
        <f t="shared" ref="BJ2:BJ6" si="61">BJ3</f>
        <v>1.7419E-3</v>
      </c>
      <c r="BK2" s="10">
        <f t="shared" ref="BK2:BK6" si="62">BK3</f>
        <v>1.7166E-3</v>
      </c>
      <c r="BL2" s="10">
        <f t="shared" ref="BL2:BL6" si="63">BL3</f>
        <v>1.6917E-3</v>
      </c>
      <c r="BM2" s="10">
        <f t="shared" ref="BM2:BM6" si="64">BM3</f>
        <v>1.6673E-3</v>
      </c>
      <c r="BN2" s="10">
        <f t="shared" ref="BN2:BN6" si="65">BN3</f>
        <v>1.6433999999999999E-3</v>
      </c>
      <c r="BO2" s="10">
        <f t="shared" ref="BO2:BO6" si="66">BO3</f>
        <v>1.6199000000000001E-3</v>
      </c>
      <c r="BP2" s="10">
        <f t="shared" ref="BP2:BP6" si="67">BP3</f>
        <v>1.5968E-3</v>
      </c>
      <c r="BQ2" s="10">
        <f t="shared" ref="BQ2:BQ6" si="68">BQ3</f>
        <v>1.5740999999999999E-3</v>
      </c>
      <c r="BR2" s="10">
        <f t="shared" ref="BR2:BR6" si="69">BR3</f>
        <v>1.5518000000000001E-3</v>
      </c>
      <c r="BS2" s="10">
        <f t="shared" ref="BS2:BS6" si="70">BS3</f>
        <v>1.5299000000000001E-3</v>
      </c>
      <c r="BT2" s="10">
        <f t="shared" ref="BT2:BT6" si="71">BT3</f>
        <v>1.5083E-3</v>
      </c>
      <c r="BU2" s="10">
        <f t="shared" ref="BU2:BU6" si="72">BU3</f>
        <v>1.4871000000000001E-3</v>
      </c>
      <c r="BV2" s="10">
        <f t="shared" ref="BV2:BV6" si="73">BV3</f>
        <v>1.4662E-3</v>
      </c>
      <c r="BW2" s="10">
        <f t="shared" ref="BW2:BW6" si="74">BW3</f>
        <v>1.4457000000000001E-3</v>
      </c>
      <c r="BX2" s="10">
        <f t="shared" ref="BX2:BX6" si="75">BX3</f>
        <v>1.4254000000000001E-3</v>
      </c>
      <c r="BY2" s="10">
        <f t="shared" ref="BY2:BY6" si="76">BY3</f>
        <v>1.4055000000000001E-3</v>
      </c>
      <c r="BZ2" s="10">
        <f t="shared" ref="BZ2:BZ6" si="77">BZ3</f>
        <v>1.3858E-3</v>
      </c>
      <c r="CA2" s="10">
        <f t="shared" ref="CA2:CA6" si="78">CA3</f>
        <v>1.3664E-3</v>
      </c>
      <c r="CB2" s="10">
        <f t="shared" ref="CB2:CB6" si="79">CB3</f>
        <v>1.3473999999999999E-3</v>
      </c>
      <c r="CC2" s="10">
        <f t="shared" ref="CC2:CC6" si="80">CC3</f>
        <v>1.3285E-3</v>
      </c>
      <c r="CD2" s="10">
        <f t="shared" ref="CD2:CD6" si="81">CD3</f>
        <v>1.31E-3</v>
      </c>
      <c r="CE2" s="10">
        <f t="shared" ref="CE2:CE6" si="82">CE3</f>
        <v>1.2917E-3</v>
      </c>
      <c r="CF2" s="10">
        <f t="shared" ref="CF2:CF6" si="83">CF3</f>
        <v>1.2737E-3</v>
      </c>
      <c r="CG2" s="10">
        <f t="shared" ref="CG2:CG6" si="84">CG3</f>
        <v>1.2558999999999999E-3</v>
      </c>
      <c r="CH2" s="10">
        <f t="shared" ref="CH2:CH6" si="85">CH3</f>
        <v>1.2384E-3</v>
      </c>
      <c r="CI2" s="10">
        <f t="shared" ref="CI2:CI6" si="86">CI3</f>
        <v>1.2210999999999999E-3</v>
      </c>
      <c r="CJ2" s="10">
        <f t="shared" ref="CJ2:CJ6" si="87">CJ3</f>
        <v>1.2041E-3</v>
      </c>
      <c r="CK2" s="10">
        <f t="shared" ref="CK2:CK6" si="88">CK3</f>
        <v>1.1873000000000001E-3</v>
      </c>
      <c r="CL2" s="10">
        <f t="shared" ref="CL2:CL6" si="89">CL3</f>
        <v>1.1707E-3</v>
      </c>
      <c r="CM2" s="10">
        <f t="shared" ref="CM2:CM6" si="90">CM3</f>
        <v>1.1543E-3</v>
      </c>
      <c r="CN2" s="10">
        <f t="shared" ref="CN2:CN6" si="91">CN3</f>
        <v>1.1382E-3</v>
      </c>
      <c r="CO2" s="10">
        <f t="shared" ref="CO2:CO6" si="92">CO3</f>
        <v>1.1222999999999999E-3</v>
      </c>
      <c r="CP2" s="10">
        <f t="shared" ref="CP2:CP6" si="93">CP3</f>
        <v>1.1065999999999999E-3</v>
      </c>
      <c r="CQ2" s="10">
        <f t="shared" ref="CQ2:CQ6" si="94">CQ3</f>
        <v>1.0911E-3</v>
      </c>
      <c r="CR2" s="10">
        <f t="shared" ref="CR2:CR6" si="95">CR3</f>
        <v>1.0759000000000001E-3</v>
      </c>
      <c r="CS2" s="10">
        <f t="shared" ref="CS2:CS6" si="96">CS3</f>
        <v>1.0608E-3</v>
      </c>
      <c r="CT2" s="10">
        <f t="shared" ref="CT2:CT6" si="97">CT3</f>
        <v>1.0459E-3</v>
      </c>
      <c r="CU2" s="10">
        <f t="shared" ref="CU2:CU6" si="98">CU3</f>
        <v>1.0313E-3</v>
      </c>
      <c r="CV2" s="10">
        <f t="shared" ref="CV2:CV6" si="99">CV3</f>
        <v>1.0168E-3</v>
      </c>
      <c r="CW2" s="10">
        <f t="shared" ref="CW2:CW6" si="100">CW3</f>
        <v>1.0026E-3</v>
      </c>
      <c r="CX2" s="10">
        <f t="shared" ref="CX2:CX6" si="101">CX3</f>
        <v>9.8850000000000001E-4</v>
      </c>
      <c r="CY2" s="10">
        <f t="shared" ref="CY2:CY6" si="102">CY3</f>
        <v>9.7460000000000005E-4</v>
      </c>
      <c r="CZ2" s="10">
        <f t="shared" ref="CZ2:CZ6" si="103">CZ3</f>
        <v>9.6089999999999999E-4</v>
      </c>
      <c r="DA2" s="10">
        <f t="shared" ref="DA2:DA6" si="104">DA3</f>
        <v>9.4740000000000004E-4</v>
      </c>
      <c r="DB2" s="10">
        <f t="shared" ref="DB2:DB6" si="105">DB3</f>
        <v>9.3409999999999999E-4</v>
      </c>
      <c r="DC2" s="10">
        <f t="shared" ref="DC2:DC6" si="106">DC3</f>
        <v>9.2100000000000005E-4</v>
      </c>
      <c r="DD2" s="10">
        <f t="shared" ref="DD2:DD6" si="107">DD3</f>
        <v>9.0799999999999995E-4</v>
      </c>
      <c r="DE2" s="10">
        <f t="shared" ref="DE2:DE6" si="108">DE3</f>
        <v>8.9519999999999997E-4</v>
      </c>
      <c r="DF2" s="10">
        <f t="shared" ref="DF2:DF6" si="109">DF3</f>
        <v>8.8259999999999999E-4</v>
      </c>
      <c r="DG2" s="10">
        <f t="shared" ref="DG2:DG6" si="110">DG3</f>
        <v>8.7020000000000001E-4</v>
      </c>
      <c r="DH2" s="10">
        <f t="shared" ref="DH2:DH6" si="111">DH3</f>
        <v>8.5789999999999998E-4</v>
      </c>
      <c r="DI2" s="10">
        <f t="shared" ref="DI2:DI6" si="112">DI3</f>
        <v>8.4579999999999996E-4</v>
      </c>
      <c r="DJ2" s="10">
        <f t="shared" ref="DJ2:DJ6" si="113">DJ3</f>
        <v>8.3390000000000005E-4</v>
      </c>
      <c r="DK2" s="10">
        <f t="shared" ref="DK2:DK6" si="114">DK3</f>
        <v>8.2209999999999998E-4</v>
      </c>
      <c r="DL2" s="10">
        <f t="shared" ref="DL2:DL6" si="115">DL3</f>
        <v>8.1050000000000002E-4</v>
      </c>
      <c r="DM2" s="10">
        <f t="shared" ref="DM2:DM6" si="116">DM3</f>
        <v>7.9909999999999996E-4</v>
      </c>
      <c r="DN2" s="10">
        <f t="shared" ref="DN2:DN6" si="117">DN3</f>
        <v>7.8779999999999996E-4</v>
      </c>
      <c r="DO2" s="10">
        <f t="shared" ref="DO2:DO6" si="118">DO3</f>
        <v>7.7669999999999996E-4</v>
      </c>
      <c r="DP2" s="10">
        <f t="shared" ref="DP2:DP6" si="119">DP3</f>
        <v>7.6570000000000002E-4</v>
      </c>
      <c r="DQ2" s="10">
        <f t="shared" ref="DQ2:DQ6" si="120">DQ3</f>
        <v>5.3164200000000002E-2</v>
      </c>
      <c r="DR2" s="10">
        <f t="shared" ref="DR2:DR6" si="121">DR3</f>
        <v>0</v>
      </c>
      <c r="DS2" s="10">
        <f t="shared" ref="DS2:DS6" si="122">DS3</f>
        <v>4.8199999999999999E-5</v>
      </c>
      <c r="DT2" s="10">
        <f t="shared" ref="DT2:DT6" si="123">DT3</f>
        <v>1.697E-4</v>
      </c>
      <c r="DU2" s="10">
        <f t="shared" ref="DU2:DU6" si="124">DU3</f>
        <v>6.826E-4</v>
      </c>
      <c r="DV2" s="10">
        <f t="shared" ref="DV2:DV6" si="125">DV3</f>
        <v>6.1309999999999999E-4</v>
      </c>
      <c r="DW2" s="10">
        <f t="shared" ref="DW2:DW6" si="126">DW3</f>
        <v>5.7359999999999996E-4</v>
      </c>
      <c r="DX2" s="10">
        <f t="shared" ref="DX2:DX6" si="127">DX3</f>
        <v>5.9579999999999995E-4</v>
      </c>
      <c r="DY2" s="10">
        <f t="shared" ref="DY2:DY6" si="128">DY3</f>
        <v>5.2820000000000005E-4</v>
      </c>
      <c r="DZ2" s="10">
        <f t="shared" ref="DZ2:DZ6" si="129">DZ3</f>
        <v>4.8280000000000003E-4</v>
      </c>
      <c r="EA2" s="10">
        <f t="shared" ref="EA2:EA6" si="130">EA3</f>
        <v>4.283E-4</v>
      </c>
      <c r="EB2" s="10">
        <f t="shared" ref="EB2:EB6" si="131">EB3</f>
        <v>3.8259999999999998E-4</v>
      </c>
      <c r="EC2" s="10">
        <f t="shared" ref="EC2:EC6" si="132">EC3</f>
        <v>3.412E-4</v>
      </c>
      <c r="ED2" s="10">
        <f t="shared" ref="ED2:ED6" si="133">ED3</f>
        <v>3.055E-4</v>
      </c>
      <c r="EE2" s="10">
        <f t="shared" ref="EE2:EE6" si="134">EE3</f>
        <v>2.742E-4</v>
      </c>
      <c r="EF2" s="10">
        <f t="shared" ref="EF2:EF6" si="135">EF3</f>
        <v>2.4699999999999999E-4</v>
      </c>
      <c r="EG2" s="10">
        <f t="shared" ref="EG2:EG6" si="136">EG3</f>
        <v>2.2330000000000001E-4</v>
      </c>
      <c r="EH2" s="10">
        <f t="shared" ref="EH2:EH6" si="137">EH3</f>
        <v>2.0259999999999999E-4</v>
      </c>
      <c r="EI2" s="10">
        <f t="shared" ref="EI2:EI6" si="138">EI3</f>
        <v>1.8440000000000001E-4</v>
      </c>
      <c r="EJ2" s="10">
        <f t="shared" ref="EJ2:EJ6" si="139">EJ3</f>
        <v>1.685E-4</v>
      </c>
      <c r="EK2" s="10">
        <f t="shared" ref="EK2:EK6" si="140">EK3</f>
        <v>1.5440000000000001E-4</v>
      </c>
      <c r="EL2" s="10">
        <f t="shared" ref="EL2:EL6" si="141">EL3</f>
        <v>1.4200000000000001E-4</v>
      </c>
      <c r="EM2" s="10">
        <f t="shared" ref="EM2:EM6" si="142">EM3</f>
        <v>1.3100000000000001E-4</v>
      </c>
      <c r="EN2" s="10">
        <f t="shared" ref="EN2:EN6" si="143">EN3</f>
        <v>1.2129999999999999E-4</v>
      </c>
      <c r="EO2" s="10">
        <f t="shared" ref="EO2:EO6" si="144">EO3</f>
        <v>1.126E-4</v>
      </c>
      <c r="EP2" s="10">
        <f t="shared" ref="EP2:EP6" si="145">EP3</f>
        <v>1.048E-4</v>
      </c>
      <c r="EQ2" s="10">
        <f t="shared" ref="EQ2:EQ6" si="146">EQ3</f>
        <v>9.7899999999999994E-5</v>
      </c>
      <c r="ER2" s="10">
        <f t="shared" ref="ER2:ER6" si="147">ER3</f>
        <v>9.1700000000000006E-5</v>
      </c>
      <c r="ES2" s="10">
        <f t="shared" ref="ES2:ES6" si="148">ES3</f>
        <v>8.6100000000000006E-5</v>
      </c>
      <c r="ET2" s="10">
        <f t="shared" ref="ET2:ET6" si="149">ET3</f>
        <v>8.1100000000000006E-5</v>
      </c>
      <c r="EU2" s="10">
        <f t="shared" ref="EU2:EU6" si="150">EU3</f>
        <v>7.6500000000000003E-5</v>
      </c>
      <c r="EV2" s="10">
        <f t="shared" ref="EV2:EV6" si="151">EV3</f>
        <v>7.2399999999999998E-5</v>
      </c>
      <c r="EW2" s="10">
        <f t="shared" ref="EW2:EW6" si="152">EW3</f>
        <v>6.86E-5</v>
      </c>
      <c r="EX2" s="10">
        <f t="shared" ref="EX2:EX6" si="153">EX3</f>
        <v>6.5199999999999999E-5</v>
      </c>
      <c r="EY2" s="10">
        <f t="shared" ref="EY2:EY6" si="154">EY3</f>
        <v>6.2000000000000003E-5</v>
      </c>
      <c r="EZ2" s="10">
        <f t="shared" ref="EZ2:EZ6" si="155">EZ3</f>
        <v>5.8999999999999998E-5</v>
      </c>
      <c r="FA2" s="10">
        <f t="shared" ref="FA2:FA6" si="156">FA3</f>
        <v>5.63E-5</v>
      </c>
      <c r="FB2" s="10">
        <f t="shared" ref="FB2:FB6" si="157">FB3</f>
        <v>5.38E-5</v>
      </c>
      <c r="FC2" s="10">
        <f t="shared" ref="FC2:FC6" si="158">FC3</f>
        <v>5.1499999999999998E-5</v>
      </c>
      <c r="FD2" s="10">
        <f t="shared" ref="FD2:FD6" si="159">FD3</f>
        <v>4.9299999999999999E-5</v>
      </c>
      <c r="FE2" s="10">
        <f t="shared" ref="FE2:FE6" si="160">FE3</f>
        <v>4.7299999999999998E-5</v>
      </c>
      <c r="FF2" s="10">
        <f t="shared" ref="FF2:FF6" si="161">FF3</f>
        <v>4.5399999999999999E-5</v>
      </c>
      <c r="FG2" s="10">
        <f t="shared" ref="FG2:FG6" si="162">FG3</f>
        <v>4.3600000000000003E-5</v>
      </c>
      <c r="FH2" s="10">
        <f t="shared" ref="FH2:FH6" si="163">FH3</f>
        <v>4.1999999999999998E-5</v>
      </c>
      <c r="FI2" s="10">
        <f t="shared" ref="FI2:FI6" si="164">FI3</f>
        <v>4.0500000000000002E-5</v>
      </c>
      <c r="FJ2" s="10">
        <f t="shared" ref="FJ2:FJ6" si="165">FJ3</f>
        <v>3.8999999999999999E-5</v>
      </c>
      <c r="FK2" s="10">
        <f t="shared" ref="FK2:FK6" si="166">FK3</f>
        <v>3.7700000000000002E-5</v>
      </c>
      <c r="FL2" s="10">
        <f t="shared" ref="FL2:FL6" si="167">FL3</f>
        <v>3.65E-5</v>
      </c>
      <c r="FM2" s="10">
        <f t="shared" ref="FM2:FM6" si="168">FM3</f>
        <v>3.5299999999999997E-5</v>
      </c>
      <c r="FN2" s="10">
        <f t="shared" ref="FN2:FN6" si="169">FN3</f>
        <v>3.4199999999999998E-5</v>
      </c>
      <c r="FO2" s="10">
        <f t="shared" ref="FO2:FO6" si="170">FO3</f>
        <v>3.3200000000000001E-5</v>
      </c>
      <c r="FP2" s="10">
        <f t="shared" ref="FP2:FP6" si="171">FP3</f>
        <v>3.2299999999999999E-5</v>
      </c>
      <c r="FQ2" s="10">
        <f t="shared" ref="FQ2:FQ6" si="172">FQ3</f>
        <v>3.1399999999999998E-5</v>
      </c>
      <c r="FR2" s="10">
        <f t="shared" ref="FR2:FR6" si="173">FR3</f>
        <v>3.0499999999999999E-5</v>
      </c>
      <c r="FS2" s="10">
        <f t="shared" ref="FS2:FS6" si="174">FS3</f>
        <v>2.9799999999999999E-5</v>
      </c>
      <c r="FT2" s="10">
        <f t="shared" ref="FT2:FT6" si="175">FT3</f>
        <v>2.9E-5</v>
      </c>
      <c r="FU2" s="10">
        <f t="shared" ref="FU2:FU6" si="176">FU3</f>
        <v>2.83E-5</v>
      </c>
      <c r="FV2" s="10">
        <f t="shared" ref="FV2:FV6" si="177">FV3</f>
        <v>2.7699999999999999E-5</v>
      </c>
      <c r="FW2" s="10">
        <f t="shared" ref="FW2:FW6" si="178">FW3</f>
        <v>2.6999999999999999E-5</v>
      </c>
      <c r="FX2" s="10">
        <f t="shared" ref="FX2:FX6" si="179">FX3</f>
        <v>2.65E-5</v>
      </c>
      <c r="FY2" s="10">
        <f t="shared" ref="FY2:FY6" si="180">FY3</f>
        <v>2.5899999999999999E-5</v>
      </c>
      <c r="FZ2" s="10">
        <f t="shared" ref="FZ2:FZ6" si="181">FZ3</f>
        <v>2.5400000000000001E-5</v>
      </c>
      <c r="GA2" s="10">
        <f t="shared" ref="GA2:GA6" si="182">GA3</f>
        <v>2.4899999999999999E-5</v>
      </c>
      <c r="GB2" s="10">
        <f t="shared" ref="GB2:GB6" si="183">GB3</f>
        <v>2.44E-5</v>
      </c>
      <c r="GC2" s="10">
        <f t="shared" ref="GC2:GC6" si="184">GC3</f>
        <v>2.3900000000000002E-5</v>
      </c>
      <c r="GD2" s="10">
        <f t="shared" ref="GD2:GD6" si="185">GD3</f>
        <v>2.3499999999999999E-5</v>
      </c>
      <c r="GE2" s="10">
        <f t="shared" ref="GE2:GE6" si="186">GE3</f>
        <v>2.3099999999999999E-5</v>
      </c>
      <c r="GF2" s="10">
        <f t="shared" ref="GF2:GF6" si="187">GF3</f>
        <v>2.27E-5</v>
      </c>
      <c r="GG2" s="10">
        <f t="shared" ref="GG2:GG6" si="188">GG3</f>
        <v>2.23E-5</v>
      </c>
      <c r="GH2" s="10">
        <f t="shared" ref="GH2:GH6" si="189">GH3</f>
        <v>2.19E-5</v>
      </c>
      <c r="GI2" s="10">
        <f t="shared" ref="GI2:GI6" si="190">GI3</f>
        <v>2.16E-5</v>
      </c>
      <c r="GJ2" s="10">
        <f t="shared" ref="GJ2:GJ6" si="191">GJ3</f>
        <v>2.12E-5</v>
      </c>
      <c r="GK2" s="10">
        <f t="shared" ref="GK2:GK6" si="192">GK3</f>
        <v>2.09E-5</v>
      </c>
      <c r="GL2" s="10">
        <f t="shared" ref="GL2:GL6" si="193">GL3</f>
        <v>2.0599999999999999E-5</v>
      </c>
      <c r="GM2" s="10">
        <f t="shared" ref="GM2:GM6" si="194">GM3</f>
        <v>2.0299999999999999E-5</v>
      </c>
      <c r="GN2" s="10">
        <f t="shared" ref="GN2:GN6" si="195">GN3</f>
        <v>1.9899999999999999E-5</v>
      </c>
      <c r="GO2" s="10">
        <f t="shared" ref="GO2:GO6" si="196">GO3</f>
        <v>1.9700000000000001E-5</v>
      </c>
      <c r="GP2" s="10">
        <f t="shared" ref="GP2:GP6" si="197">GP3</f>
        <v>1.9400000000000001E-5</v>
      </c>
      <c r="GQ2" s="10">
        <f t="shared" ref="GQ2:GQ6" si="198">GQ3</f>
        <v>1.91E-5</v>
      </c>
      <c r="GR2" s="10">
        <f t="shared" ref="GR2:GR6" si="199">GR3</f>
        <v>1.88E-5</v>
      </c>
      <c r="GS2" s="10">
        <f t="shared" ref="GS2:GS6" si="200">GS3</f>
        <v>1.8499999999999999E-5</v>
      </c>
      <c r="GT2" s="10">
        <f t="shared" ref="GT2:GT6" si="201">GT3</f>
        <v>1.8300000000000001E-5</v>
      </c>
      <c r="GU2" s="10">
        <f t="shared" ref="GU2:GU6" si="202">GU3</f>
        <v>1.8E-5</v>
      </c>
      <c r="GV2" s="10">
        <f t="shared" ref="GV2:GV6" si="203">GV3</f>
        <v>1.7799999999999999E-5</v>
      </c>
      <c r="GW2" s="10">
        <f t="shared" ref="GW2:GW6" si="204">GW3</f>
        <v>1.7499999999999998E-5</v>
      </c>
      <c r="GX2" s="10">
        <f t="shared" ref="GX2:GX6" si="205">GX3</f>
        <v>1.73E-5</v>
      </c>
      <c r="GY2" s="10">
        <f t="shared" ref="GY2:GY6" si="206">GY3</f>
        <v>1.7E-5</v>
      </c>
      <c r="GZ2" s="10">
        <f t="shared" ref="GZ2:GZ6" si="207">GZ3</f>
        <v>1.6799999999999998E-5</v>
      </c>
      <c r="HA2" s="10">
        <f t="shared" ref="HA2:HA6" si="208">HA3</f>
        <v>1.66E-5</v>
      </c>
      <c r="HB2" s="10">
        <f t="shared" ref="HB2:HB6" si="209">HB3</f>
        <v>1.6399999999999999E-5</v>
      </c>
      <c r="HC2" s="10">
        <f t="shared" ref="HC2:HC6" si="210">HC3</f>
        <v>1.6099999999999998E-5</v>
      </c>
      <c r="HD2" s="10">
        <f t="shared" ref="HD2:HD6" si="211">HD3</f>
        <v>1.59E-5</v>
      </c>
      <c r="HE2" s="10">
        <f t="shared" ref="HE2:HE6" si="212">HE3</f>
        <v>1.5699999999999999E-5</v>
      </c>
      <c r="HF2" s="10">
        <f t="shared" ref="HF2:HF6" si="213">HF3</f>
        <v>1.5500000000000001E-5</v>
      </c>
      <c r="HG2" s="10">
        <f t="shared" ref="HG2:HG6" si="214">HG3</f>
        <v>1.5299999999999999E-5</v>
      </c>
      <c r="HH2" s="10">
        <f t="shared" ref="HH2:HH6" si="215">HH3</f>
        <v>1.5099999999999999E-5</v>
      </c>
      <c r="HI2" s="10">
        <f t="shared" ref="HI2:HI6" si="216">HI3</f>
        <v>1.49E-5</v>
      </c>
      <c r="HJ2" s="10">
        <f t="shared" ref="HJ2:HJ6" si="217">HJ3</f>
        <v>1.47E-5</v>
      </c>
      <c r="HK2" s="10">
        <f t="shared" ref="HK2:HK6" si="218">HK3</f>
        <v>1.45E-5</v>
      </c>
      <c r="HL2" s="10">
        <f t="shared" ref="HL2:HL6" si="219">HL3</f>
        <v>1.43E-5</v>
      </c>
      <c r="HM2" s="10">
        <f t="shared" ref="HM2:HM6" si="220">HM3</f>
        <v>1.4100000000000001E-5</v>
      </c>
      <c r="HN2" s="10">
        <f t="shared" ref="HN2:HN6" si="221">HN3</f>
        <v>1.3900000000000001E-5</v>
      </c>
      <c r="HO2" s="10">
        <f t="shared" ref="HO2:HO6" si="222">HO3</f>
        <v>1.3699999999999999E-5</v>
      </c>
      <c r="HP2" s="10">
        <f t="shared" ref="HP2:HP6" si="223">HP3</f>
        <v>1.3499999999999999E-5</v>
      </c>
      <c r="HQ2" s="10">
        <f t="shared" ref="HQ2:HQ6" si="224">HQ3</f>
        <v>1.33E-5</v>
      </c>
      <c r="HR2" s="10">
        <f t="shared" ref="HR2:HR6" si="225">HR3</f>
        <v>1.31E-5</v>
      </c>
      <c r="HS2" s="10">
        <f t="shared" ref="HS2:HS6" si="226">HS3</f>
        <v>1.2999999999999999E-5</v>
      </c>
      <c r="HT2" s="10">
        <f t="shared" ref="HT2:HT6" si="227">HT3</f>
        <v>1.2799999999999999E-5</v>
      </c>
      <c r="HU2" s="10">
        <f t="shared" ref="HU2:HU6" si="228">HU3</f>
        <v>1.26E-5</v>
      </c>
      <c r="HV2" s="10">
        <f t="shared" ref="HV2:HV6" si="229">HV3</f>
        <v>1.24E-5</v>
      </c>
      <c r="HW2" s="10">
        <f t="shared" ref="HW2:HW6" si="230">HW3</f>
        <v>1.2300000000000001E-5</v>
      </c>
      <c r="HX2" s="10">
        <f t="shared" ref="HX2:HX6" si="231">HX3</f>
        <v>1.2099999999999999E-5</v>
      </c>
      <c r="HY2" s="10">
        <f t="shared" ref="HY2:HY6" si="232">HY3</f>
        <v>1.19E-5</v>
      </c>
      <c r="HZ2" s="10">
        <f t="shared" ref="HZ2:HZ6" si="233">HZ3</f>
        <v>1.1800000000000001E-5</v>
      </c>
      <c r="IA2" s="10">
        <f t="shared" ref="IA2:IA6" si="234">IA3</f>
        <v>1.1600000000000001E-5</v>
      </c>
      <c r="IB2" s="10">
        <f t="shared" ref="IB2:IB6" si="235">IB3</f>
        <v>1.1399999999999999E-5</v>
      </c>
      <c r="IC2" s="10">
        <f t="shared" ref="IC2:IC6" si="236">IC3</f>
        <v>1.13E-5</v>
      </c>
      <c r="ID2" s="10">
        <f t="shared" ref="ID2:ID6" si="237">ID3</f>
        <v>1.11E-5</v>
      </c>
      <c r="IE2" s="10">
        <f t="shared" ref="IE2:IE6" si="238">IE3</f>
        <v>1.1E-5</v>
      </c>
      <c r="IF2" s="10">
        <f t="shared" ref="IF2:IF6" si="239">IF3</f>
        <v>1.08E-5</v>
      </c>
      <c r="IG2" s="10">
        <f t="shared" ref="IG2:IG6" si="240">IG3</f>
        <v>7.5480000000000002E-4</v>
      </c>
      <c r="JL2" s="1">
        <v>2007</v>
      </c>
      <c r="JM2">
        <f>JA8</f>
        <v>0</v>
      </c>
      <c r="JN2">
        <f t="shared" ref="JN2:JU2" si="241">JB8</f>
        <v>0</v>
      </c>
      <c r="JO2">
        <f t="shared" si="241"/>
        <v>0</v>
      </c>
      <c r="JP2">
        <f t="shared" si="241"/>
        <v>0</v>
      </c>
      <c r="JQ2">
        <f t="shared" si="241"/>
        <v>0</v>
      </c>
      <c r="JR2">
        <f t="shared" si="241"/>
        <v>0</v>
      </c>
      <c r="JS2">
        <f t="shared" si="241"/>
        <v>0</v>
      </c>
      <c r="JT2">
        <f t="shared" si="241"/>
        <v>0</v>
      </c>
      <c r="JU2">
        <f t="shared" si="241"/>
        <v>0</v>
      </c>
      <c r="JW2" s="1">
        <f>IP8/SUM($IP8:$IX8)</f>
        <v>0.20092450071653625</v>
      </c>
      <c r="JX2" s="1">
        <f t="shared" ref="JX2:KE2" si="242">IQ8/SUM($IP8:$IX8)</f>
        <v>0.18509556230005753</v>
      </c>
      <c r="JY2" s="1">
        <f t="shared" si="242"/>
        <v>0.12012236606561268</v>
      </c>
      <c r="JZ2" s="1">
        <f t="shared" si="242"/>
        <v>7.9446264602141367E-2</v>
      </c>
      <c r="KA2" s="1">
        <f t="shared" si="242"/>
        <v>5.5515882015180026E-2</v>
      </c>
      <c r="KB2" s="1">
        <f t="shared" si="242"/>
        <v>0.13612018509314955</v>
      </c>
      <c r="KC2" s="1">
        <f t="shared" si="242"/>
        <v>6.0673978392932308E-2</v>
      </c>
      <c r="KD2" s="1">
        <f t="shared" si="242"/>
        <v>4.0031942561291757E-2</v>
      </c>
      <c r="KE2" s="1">
        <f t="shared" si="242"/>
        <v>0.12206931825309868</v>
      </c>
      <c r="KG2" s="1">
        <f>100*(JW3-JW2)</f>
        <v>-1.576863568378009</v>
      </c>
      <c r="KH2" s="1">
        <f t="shared" ref="KH2:KO2" si="243">100*(JX3-JX2)</f>
        <v>-1.0535342147598714</v>
      </c>
      <c r="KI2" s="1">
        <f t="shared" si="243"/>
        <v>-0.5070087934646833</v>
      </c>
      <c r="KJ2" s="1">
        <f t="shared" si="243"/>
        <v>-8.8231779847174063E-2</v>
      </c>
      <c r="KK2" s="1">
        <f t="shared" si="243"/>
        <v>9.6819489816189069E-2</v>
      </c>
      <c r="KL2" s="1">
        <f t="shared" si="243"/>
        <v>0.9324226141734393</v>
      </c>
      <c r="KM2" s="1">
        <f t="shared" si="243"/>
        <v>0.56383332886653303</v>
      </c>
      <c r="KN2" s="1">
        <f t="shared" si="243"/>
        <v>0.35273324650289606</v>
      </c>
      <c r="KO2" s="1">
        <f t="shared" si="243"/>
        <v>1.2798296770906561</v>
      </c>
    </row>
    <row r="3" spans="1:301" s="1" customFormat="1" x14ac:dyDescent="0.35">
      <c r="A3" s="1">
        <f t="shared" si="0"/>
        <v>-5</v>
      </c>
      <c r="B3" s="10">
        <f t="shared" si="1"/>
        <v>1.0654E-2</v>
      </c>
      <c r="C3" s="10">
        <f t="shared" si="2"/>
        <v>1.0654E-2</v>
      </c>
      <c r="D3" s="10">
        <f t="shared" si="3"/>
        <v>1.06058E-2</v>
      </c>
      <c r="E3" s="10">
        <f t="shared" si="4"/>
        <v>1.04361E-2</v>
      </c>
      <c r="F3" s="10">
        <f t="shared" si="5"/>
        <v>9.7535E-3</v>
      </c>
      <c r="G3" s="10">
        <f t="shared" si="6"/>
        <v>9.1403999999999999E-3</v>
      </c>
      <c r="H3" s="10">
        <f t="shared" si="7"/>
        <v>8.5669000000000006E-3</v>
      </c>
      <c r="I3" s="10">
        <f t="shared" si="8"/>
        <v>7.9711000000000001E-3</v>
      </c>
      <c r="J3" s="10">
        <f t="shared" si="9"/>
        <v>7.4428000000000003E-3</v>
      </c>
      <c r="K3" s="10">
        <f t="shared" si="10"/>
        <v>6.9601000000000003E-3</v>
      </c>
      <c r="L3" s="10">
        <f t="shared" si="11"/>
        <v>6.5317999999999999E-3</v>
      </c>
      <c r="M3" s="10">
        <f t="shared" si="12"/>
        <v>6.1491999999999996E-3</v>
      </c>
      <c r="N3" s="10">
        <f t="shared" si="13"/>
        <v>5.8079999999999998E-3</v>
      </c>
      <c r="O3" s="10">
        <f t="shared" si="14"/>
        <v>5.5024999999999996E-3</v>
      </c>
      <c r="P3" s="10">
        <f t="shared" si="15"/>
        <v>5.2283E-3</v>
      </c>
      <c r="Q3" s="10">
        <f t="shared" si="16"/>
        <v>4.9813000000000001E-3</v>
      </c>
      <c r="R3" s="10">
        <f t="shared" si="17"/>
        <v>4.7580000000000001E-3</v>
      </c>
      <c r="S3" s="10">
        <f t="shared" si="18"/>
        <v>4.5554000000000002E-3</v>
      </c>
      <c r="T3" s="10">
        <f t="shared" si="19"/>
        <v>4.3709999999999999E-3</v>
      </c>
      <c r="U3" s="10">
        <f t="shared" si="20"/>
        <v>4.2025999999999999E-3</v>
      </c>
      <c r="V3" s="10">
        <f t="shared" si="21"/>
        <v>4.0480999999999998E-3</v>
      </c>
      <c r="W3" s="10">
        <f t="shared" si="22"/>
        <v>3.9061E-3</v>
      </c>
      <c r="X3" s="10">
        <f t="shared" si="23"/>
        <v>3.7750000000000001E-3</v>
      </c>
      <c r="Y3" s="10">
        <f t="shared" si="24"/>
        <v>3.6537000000000002E-3</v>
      </c>
      <c r="Z3" s="10">
        <f t="shared" si="25"/>
        <v>3.5412E-3</v>
      </c>
      <c r="AA3" s="10">
        <f t="shared" si="26"/>
        <v>3.4364E-3</v>
      </c>
      <c r="AB3" s="10">
        <f t="shared" si="27"/>
        <v>3.3384999999999999E-3</v>
      </c>
      <c r="AC3" s="10">
        <f t="shared" si="28"/>
        <v>3.2468000000000002E-3</v>
      </c>
      <c r="AD3" s="10">
        <f t="shared" si="29"/>
        <v>3.1606999999999998E-3</v>
      </c>
      <c r="AE3" s="10">
        <f t="shared" si="30"/>
        <v>3.0796999999999999E-3</v>
      </c>
      <c r="AF3" s="10">
        <f t="shared" si="31"/>
        <v>3.0030999999999999E-3</v>
      </c>
      <c r="AG3" s="10">
        <f t="shared" si="32"/>
        <v>2.9307000000000001E-3</v>
      </c>
      <c r="AH3" s="10">
        <f t="shared" si="33"/>
        <v>2.8620999999999998E-3</v>
      </c>
      <c r="AI3" s="10">
        <f t="shared" si="34"/>
        <v>2.7969000000000002E-3</v>
      </c>
      <c r="AJ3" s="10">
        <f t="shared" si="35"/>
        <v>2.7349000000000002E-3</v>
      </c>
      <c r="AK3" s="10">
        <f t="shared" si="36"/>
        <v>2.6759000000000002E-3</v>
      </c>
      <c r="AL3" s="10">
        <f t="shared" si="37"/>
        <v>2.6194999999999999E-3</v>
      </c>
      <c r="AM3" s="10">
        <f t="shared" si="38"/>
        <v>2.5657000000000002E-3</v>
      </c>
      <c r="AN3" s="10">
        <f t="shared" si="39"/>
        <v>2.5143000000000001E-3</v>
      </c>
      <c r="AO3" s="10">
        <f t="shared" si="40"/>
        <v>2.4650000000000002E-3</v>
      </c>
      <c r="AP3" s="10">
        <f t="shared" si="41"/>
        <v>2.4177000000000001E-3</v>
      </c>
      <c r="AQ3" s="10">
        <f t="shared" si="42"/>
        <v>2.3722999999999999E-3</v>
      </c>
      <c r="AR3" s="10">
        <f t="shared" si="43"/>
        <v>2.3287E-3</v>
      </c>
      <c r="AS3" s="10">
        <f t="shared" si="44"/>
        <v>2.2867E-3</v>
      </c>
      <c r="AT3" s="10">
        <f t="shared" si="45"/>
        <v>2.2461999999999998E-3</v>
      </c>
      <c r="AU3" s="10">
        <f t="shared" si="46"/>
        <v>2.2071999999999999E-3</v>
      </c>
      <c r="AV3" s="10">
        <f t="shared" si="47"/>
        <v>2.1695E-3</v>
      </c>
      <c r="AW3" s="10">
        <f t="shared" si="48"/>
        <v>2.1329999999999999E-3</v>
      </c>
      <c r="AX3" s="10">
        <f t="shared" si="49"/>
        <v>2.0977000000000001E-3</v>
      </c>
      <c r="AY3" s="10">
        <f t="shared" si="50"/>
        <v>2.0634E-3</v>
      </c>
      <c r="AZ3" s="10">
        <f t="shared" si="51"/>
        <v>2.0301999999999998E-3</v>
      </c>
      <c r="BA3" s="10">
        <f t="shared" si="52"/>
        <v>1.9980000000000002E-3</v>
      </c>
      <c r="BB3" s="10">
        <f t="shared" si="53"/>
        <v>1.9666000000000002E-3</v>
      </c>
      <c r="BC3" s="10">
        <f t="shared" si="54"/>
        <v>1.9361000000000001E-3</v>
      </c>
      <c r="BD3" s="10">
        <f t="shared" si="55"/>
        <v>1.9063000000000001E-3</v>
      </c>
      <c r="BE3" s="10">
        <f t="shared" si="56"/>
        <v>1.8772999999999999E-3</v>
      </c>
      <c r="BF3" s="10">
        <f t="shared" si="57"/>
        <v>1.8489999999999999E-3</v>
      </c>
      <c r="BG3" s="10">
        <f t="shared" si="58"/>
        <v>1.8213000000000001E-3</v>
      </c>
      <c r="BH3" s="10">
        <f t="shared" si="59"/>
        <v>1.7943E-3</v>
      </c>
      <c r="BI3" s="10">
        <f t="shared" si="60"/>
        <v>1.7677999999999999E-3</v>
      </c>
      <c r="BJ3" s="10">
        <f t="shared" si="61"/>
        <v>1.7419E-3</v>
      </c>
      <c r="BK3" s="10">
        <f t="shared" si="62"/>
        <v>1.7166E-3</v>
      </c>
      <c r="BL3" s="10">
        <f t="shared" si="63"/>
        <v>1.6917E-3</v>
      </c>
      <c r="BM3" s="10">
        <f t="shared" si="64"/>
        <v>1.6673E-3</v>
      </c>
      <c r="BN3" s="10">
        <f t="shared" si="65"/>
        <v>1.6433999999999999E-3</v>
      </c>
      <c r="BO3" s="10">
        <f t="shared" si="66"/>
        <v>1.6199000000000001E-3</v>
      </c>
      <c r="BP3" s="10">
        <f t="shared" si="67"/>
        <v>1.5968E-3</v>
      </c>
      <c r="BQ3" s="10">
        <f t="shared" si="68"/>
        <v>1.5740999999999999E-3</v>
      </c>
      <c r="BR3" s="10">
        <f t="shared" si="69"/>
        <v>1.5518000000000001E-3</v>
      </c>
      <c r="BS3" s="10">
        <f t="shared" si="70"/>
        <v>1.5299000000000001E-3</v>
      </c>
      <c r="BT3" s="10">
        <f t="shared" si="71"/>
        <v>1.5083E-3</v>
      </c>
      <c r="BU3" s="10">
        <f t="shared" si="72"/>
        <v>1.4871000000000001E-3</v>
      </c>
      <c r="BV3" s="10">
        <f t="shared" si="73"/>
        <v>1.4662E-3</v>
      </c>
      <c r="BW3" s="10">
        <f t="shared" si="74"/>
        <v>1.4457000000000001E-3</v>
      </c>
      <c r="BX3" s="10">
        <f t="shared" si="75"/>
        <v>1.4254000000000001E-3</v>
      </c>
      <c r="BY3" s="10">
        <f t="shared" si="76"/>
        <v>1.4055000000000001E-3</v>
      </c>
      <c r="BZ3" s="10">
        <f t="shared" si="77"/>
        <v>1.3858E-3</v>
      </c>
      <c r="CA3" s="10">
        <f t="shared" si="78"/>
        <v>1.3664E-3</v>
      </c>
      <c r="CB3" s="10">
        <f t="shared" si="79"/>
        <v>1.3473999999999999E-3</v>
      </c>
      <c r="CC3" s="10">
        <f t="shared" si="80"/>
        <v>1.3285E-3</v>
      </c>
      <c r="CD3" s="10">
        <f t="shared" si="81"/>
        <v>1.31E-3</v>
      </c>
      <c r="CE3" s="10">
        <f t="shared" si="82"/>
        <v>1.2917E-3</v>
      </c>
      <c r="CF3" s="10">
        <f t="shared" si="83"/>
        <v>1.2737E-3</v>
      </c>
      <c r="CG3" s="10">
        <f t="shared" si="84"/>
        <v>1.2558999999999999E-3</v>
      </c>
      <c r="CH3" s="10">
        <f t="shared" si="85"/>
        <v>1.2384E-3</v>
      </c>
      <c r="CI3" s="10">
        <f t="shared" si="86"/>
        <v>1.2210999999999999E-3</v>
      </c>
      <c r="CJ3" s="10">
        <f t="shared" si="87"/>
        <v>1.2041E-3</v>
      </c>
      <c r="CK3" s="10">
        <f t="shared" si="88"/>
        <v>1.1873000000000001E-3</v>
      </c>
      <c r="CL3" s="10">
        <f t="shared" si="89"/>
        <v>1.1707E-3</v>
      </c>
      <c r="CM3" s="10">
        <f t="shared" si="90"/>
        <v>1.1543E-3</v>
      </c>
      <c r="CN3" s="10">
        <f t="shared" si="91"/>
        <v>1.1382E-3</v>
      </c>
      <c r="CO3" s="10">
        <f t="shared" si="92"/>
        <v>1.1222999999999999E-3</v>
      </c>
      <c r="CP3" s="10">
        <f t="shared" si="93"/>
        <v>1.1065999999999999E-3</v>
      </c>
      <c r="CQ3" s="10">
        <f t="shared" si="94"/>
        <v>1.0911E-3</v>
      </c>
      <c r="CR3" s="10">
        <f t="shared" si="95"/>
        <v>1.0759000000000001E-3</v>
      </c>
      <c r="CS3" s="10">
        <f t="shared" si="96"/>
        <v>1.0608E-3</v>
      </c>
      <c r="CT3" s="10">
        <f t="shared" si="97"/>
        <v>1.0459E-3</v>
      </c>
      <c r="CU3" s="10">
        <f t="shared" si="98"/>
        <v>1.0313E-3</v>
      </c>
      <c r="CV3" s="10">
        <f t="shared" si="99"/>
        <v>1.0168E-3</v>
      </c>
      <c r="CW3" s="10">
        <f t="shared" si="100"/>
        <v>1.0026E-3</v>
      </c>
      <c r="CX3" s="10">
        <f t="shared" si="101"/>
        <v>9.8850000000000001E-4</v>
      </c>
      <c r="CY3" s="10">
        <f t="shared" si="102"/>
        <v>9.7460000000000005E-4</v>
      </c>
      <c r="CZ3" s="10">
        <f t="shared" si="103"/>
        <v>9.6089999999999999E-4</v>
      </c>
      <c r="DA3" s="10">
        <f t="shared" si="104"/>
        <v>9.4740000000000004E-4</v>
      </c>
      <c r="DB3" s="10">
        <f t="shared" si="105"/>
        <v>9.3409999999999999E-4</v>
      </c>
      <c r="DC3" s="10">
        <f t="shared" si="106"/>
        <v>9.2100000000000005E-4</v>
      </c>
      <c r="DD3" s="10">
        <f t="shared" si="107"/>
        <v>9.0799999999999995E-4</v>
      </c>
      <c r="DE3" s="10">
        <f t="shared" si="108"/>
        <v>8.9519999999999997E-4</v>
      </c>
      <c r="DF3" s="10">
        <f t="shared" si="109"/>
        <v>8.8259999999999999E-4</v>
      </c>
      <c r="DG3" s="10">
        <f t="shared" si="110"/>
        <v>8.7020000000000001E-4</v>
      </c>
      <c r="DH3" s="10">
        <f t="shared" si="111"/>
        <v>8.5789999999999998E-4</v>
      </c>
      <c r="DI3" s="10">
        <f t="shared" si="112"/>
        <v>8.4579999999999996E-4</v>
      </c>
      <c r="DJ3" s="10">
        <f t="shared" si="113"/>
        <v>8.3390000000000005E-4</v>
      </c>
      <c r="DK3" s="10">
        <f t="shared" si="114"/>
        <v>8.2209999999999998E-4</v>
      </c>
      <c r="DL3" s="10">
        <f t="shared" si="115"/>
        <v>8.1050000000000002E-4</v>
      </c>
      <c r="DM3" s="10">
        <f t="shared" si="116"/>
        <v>7.9909999999999996E-4</v>
      </c>
      <c r="DN3" s="10">
        <f t="shared" si="117"/>
        <v>7.8779999999999996E-4</v>
      </c>
      <c r="DO3" s="10">
        <f t="shared" si="118"/>
        <v>7.7669999999999996E-4</v>
      </c>
      <c r="DP3" s="10">
        <f t="shared" si="119"/>
        <v>7.6570000000000002E-4</v>
      </c>
      <c r="DQ3" s="10">
        <f t="shared" si="120"/>
        <v>5.3164200000000002E-2</v>
      </c>
      <c r="DR3" s="10">
        <f t="shared" si="121"/>
        <v>0</v>
      </c>
      <c r="DS3" s="10">
        <f t="shared" si="122"/>
        <v>4.8199999999999999E-5</v>
      </c>
      <c r="DT3" s="10">
        <f t="shared" si="123"/>
        <v>1.697E-4</v>
      </c>
      <c r="DU3" s="10">
        <f t="shared" si="124"/>
        <v>6.826E-4</v>
      </c>
      <c r="DV3" s="10">
        <f t="shared" si="125"/>
        <v>6.1309999999999999E-4</v>
      </c>
      <c r="DW3" s="10">
        <f t="shared" si="126"/>
        <v>5.7359999999999996E-4</v>
      </c>
      <c r="DX3" s="10">
        <f t="shared" si="127"/>
        <v>5.9579999999999995E-4</v>
      </c>
      <c r="DY3" s="10">
        <f t="shared" si="128"/>
        <v>5.2820000000000005E-4</v>
      </c>
      <c r="DZ3" s="10">
        <f t="shared" si="129"/>
        <v>4.8280000000000003E-4</v>
      </c>
      <c r="EA3" s="10">
        <f t="shared" si="130"/>
        <v>4.283E-4</v>
      </c>
      <c r="EB3" s="10">
        <f t="shared" si="131"/>
        <v>3.8259999999999998E-4</v>
      </c>
      <c r="EC3" s="10">
        <f t="shared" si="132"/>
        <v>3.412E-4</v>
      </c>
      <c r="ED3" s="10">
        <f t="shared" si="133"/>
        <v>3.055E-4</v>
      </c>
      <c r="EE3" s="10">
        <f t="shared" si="134"/>
        <v>2.742E-4</v>
      </c>
      <c r="EF3" s="10">
        <f t="shared" si="135"/>
        <v>2.4699999999999999E-4</v>
      </c>
      <c r="EG3" s="10">
        <f t="shared" si="136"/>
        <v>2.2330000000000001E-4</v>
      </c>
      <c r="EH3" s="10">
        <f t="shared" si="137"/>
        <v>2.0259999999999999E-4</v>
      </c>
      <c r="EI3" s="10">
        <f t="shared" si="138"/>
        <v>1.8440000000000001E-4</v>
      </c>
      <c r="EJ3" s="10">
        <f t="shared" si="139"/>
        <v>1.685E-4</v>
      </c>
      <c r="EK3" s="10">
        <f t="shared" si="140"/>
        <v>1.5440000000000001E-4</v>
      </c>
      <c r="EL3" s="10">
        <f t="shared" si="141"/>
        <v>1.4200000000000001E-4</v>
      </c>
      <c r="EM3" s="10">
        <f t="shared" si="142"/>
        <v>1.3100000000000001E-4</v>
      </c>
      <c r="EN3" s="10">
        <f t="shared" si="143"/>
        <v>1.2129999999999999E-4</v>
      </c>
      <c r="EO3" s="10">
        <f t="shared" si="144"/>
        <v>1.126E-4</v>
      </c>
      <c r="EP3" s="10">
        <f t="shared" si="145"/>
        <v>1.048E-4</v>
      </c>
      <c r="EQ3" s="10">
        <f t="shared" si="146"/>
        <v>9.7899999999999994E-5</v>
      </c>
      <c r="ER3" s="10">
        <f t="shared" si="147"/>
        <v>9.1700000000000006E-5</v>
      </c>
      <c r="ES3" s="10">
        <f t="shared" si="148"/>
        <v>8.6100000000000006E-5</v>
      </c>
      <c r="ET3" s="10">
        <f t="shared" si="149"/>
        <v>8.1100000000000006E-5</v>
      </c>
      <c r="EU3" s="10">
        <f t="shared" si="150"/>
        <v>7.6500000000000003E-5</v>
      </c>
      <c r="EV3" s="10">
        <f t="shared" si="151"/>
        <v>7.2399999999999998E-5</v>
      </c>
      <c r="EW3" s="10">
        <f t="shared" si="152"/>
        <v>6.86E-5</v>
      </c>
      <c r="EX3" s="10">
        <f t="shared" si="153"/>
        <v>6.5199999999999999E-5</v>
      </c>
      <c r="EY3" s="10">
        <f t="shared" si="154"/>
        <v>6.2000000000000003E-5</v>
      </c>
      <c r="EZ3" s="10">
        <f t="shared" si="155"/>
        <v>5.8999999999999998E-5</v>
      </c>
      <c r="FA3" s="10">
        <f t="shared" si="156"/>
        <v>5.63E-5</v>
      </c>
      <c r="FB3" s="10">
        <f t="shared" si="157"/>
        <v>5.38E-5</v>
      </c>
      <c r="FC3" s="10">
        <f t="shared" si="158"/>
        <v>5.1499999999999998E-5</v>
      </c>
      <c r="FD3" s="10">
        <f t="shared" si="159"/>
        <v>4.9299999999999999E-5</v>
      </c>
      <c r="FE3" s="10">
        <f t="shared" si="160"/>
        <v>4.7299999999999998E-5</v>
      </c>
      <c r="FF3" s="10">
        <f t="shared" si="161"/>
        <v>4.5399999999999999E-5</v>
      </c>
      <c r="FG3" s="10">
        <f t="shared" si="162"/>
        <v>4.3600000000000003E-5</v>
      </c>
      <c r="FH3" s="10">
        <f t="shared" si="163"/>
        <v>4.1999999999999998E-5</v>
      </c>
      <c r="FI3" s="10">
        <f t="shared" si="164"/>
        <v>4.0500000000000002E-5</v>
      </c>
      <c r="FJ3" s="10">
        <f t="shared" si="165"/>
        <v>3.8999999999999999E-5</v>
      </c>
      <c r="FK3" s="10">
        <f t="shared" si="166"/>
        <v>3.7700000000000002E-5</v>
      </c>
      <c r="FL3" s="10">
        <f t="shared" si="167"/>
        <v>3.65E-5</v>
      </c>
      <c r="FM3" s="10">
        <f t="shared" si="168"/>
        <v>3.5299999999999997E-5</v>
      </c>
      <c r="FN3" s="10">
        <f t="shared" si="169"/>
        <v>3.4199999999999998E-5</v>
      </c>
      <c r="FO3" s="10">
        <f t="shared" si="170"/>
        <v>3.3200000000000001E-5</v>
      </c>
      <c r="FP3" s="10">
        <f t="shared" si="171"/>
        <v>3.2299999999999999E-5</v>
      </c>
      <c r="FQ3" s="10">
        <f t="shared" si="172"/>
        <v>3.1399999999999998E-5</v>
      </c>
      <c r="FR3" s="10">
        <f t="shared" si="173"/>
        <v>3.0499999999999999E-5</v>
      </c>
      <c r="FS3" s="10">
        <f t="shared" si="174"/>
        <v>2.9799999999999999E-5</v>
      </c>
      <c r="FT3" s="10">
        <f t="shared" si="175"/>
        <v>2.9E-5</v>
      </c>
      <c r="FU3" s="10">
        <f t="shared" si="176"/>
        <v>2.83E-5</v>
      </c>
      <c r="FV3" s="10">
        <f t="shared" si="177"/>
        <v>2.7699999999999999E-5</v>
      </c>
      <c r="FW3" s="10">
        <f t="shared" si="178"/>
        <v>2.6999999999999999E-5</v>
      </c>
      <c r="FX3" s="10">
        <f t="shared" si="179"/>
        <v>2.65E-5</v>
      </c>
      <c r="FY3" s="10">
        <f t="shared" si="180"/>
        <v>2.5899999999999999E-5</v>
      </c>
      <c r="FZ3" s="10">
        <f t="shared" si="181"/>
        <v>2.5400000000000001E-5</v>
      </c>
      <c r="GA3" s="10">
        <f t="shared" si="182"/>
        <v>2.4899999999999999E-5</v>
      </c>
      <c r="GB3" s="10">
        <f t="shared" si="183"/>
        <v>2.44E-5</v>
      </c>
      <c r="GC3" s="10">
        <f t="shared" si="184"/>
        <v>2.3900000000000002E-5</v>
      </c>
      <c r="GD3" s="10">
        <f t="shared" si="185"/>
        <v>2.3499999999999999E-5</v>
      </c>
      <c r="GE3" s="10">
        <f t="shared" si="186"/>
        <v>2.3099999999999999E-5</v>
      </c>
      <c r="GF3" s="10">
        <f t="shared" si="187"/>
        <v>2.27E-5</v>
      </c>
      <c r="GG3" s="10">
        <f t="shared" si="188"/>
        <v>2.23E-5</v>
      </c>
      <c r="GH3" s="10">
        <f t="shared" si="189"/>
        <v>2.19E-5</v>
      </c>
      <c r="GI3" s="10">
        <f t="shared" si="190"/>
        <v>2.16E-5</v>
      </c>
      <c r="GJ3" s="10">
        <f t="shared" si="191"/>
        <v>2.12E-5</v>
      </c>
      <c r="GK3" s="10">
        <f t="shared" si="192"/>
        <v>2.09E-5</v>
      </c>
      <c r="GL3" s="10">
        <f t="shared" si="193"/>
        <v>2.0599999999999999E-5</v>
      </c>
      <c r="GM3" s="10">
        <f t="shared" si="194"/>
        <v>2.0299999999999999E-5</v>
      </c>
      <c r="GN3" s="10">
        <f t="shared" si="195"/>
        <v>1.9899999999999999E-5</v>
      </c>
      <c r="GO3" s="10">
        <f t="shared" si="196"/>
        <v>1.9700000000000001E-5</v>
      </c>
      <c r="GP3" s="10">
        <f t="shared" si="197"/>
        <v>1.9400000000000001E-5</v>
      </c>
      <c r="GQ3" s="10">
        <f t="shared" si="198"/>
        <v>1.91E-5</v>
      </c>
      <c r="GR3" s="10">
        <f t="shared" si="199"/>
        <v>1.88E-5</v>
      </c>
      <c r="GS3" s="10">
        <f t="shared" si="200"/>
        <v>1.8499999999999999E-5</v>
      </c>
      <c r="GT3" s="10">
        <f t="shared" si="201"/>
        <v>1.8300000000000001E-5</v>
      </c>
      <c r="GU3" s="10">
        <f t="shared" si="202"/>
        <v>1.8E-5</v>
      </c>
      <c r="GV3" s="10">
        <f t="shared" si="203"/>
        <v>1.7799999999999999E-5</v>
      </c>
      <c r="GW3" s="10">
        <f t="shared" si="204"/>
        <v>1.7499999999999998E-5</v>
      </c>
      <c r="GX3" s="10">
        <f t="shared" si="205"/>
        <v>1.73E-5</v>
      </c>
      <c r="GY3" s="10">
        <f t="shared" si="206"/>
        <v>1.7E-5</v>
      </c>
      <c r="GZ3" s="10">
        <f t="shared" si="207"/>
        <v>1.6799999999999998E-5</v>
      </c>
      <c r="HA3" s="10">
        <f t="shared" si="208"/>
        <v>1.66E-5</v>
      </c>
      <c r="HB3" s="10">
        <f t="shared" si="209"/>
        <v>1.6399999999999999E-5</v>
      </c>
      <c r="HC3" s="10">
        <f t="shared" si="210"/>
        <v>1.6099999999999998E-5</v>
      </c>
      <c r="HD3" s="10">
        <f t="shared" si="211"/>
        <v>1.59E-5</v>
      </c>
      <c r="HE3" s="10">
        <f t="shared" si="212"/>
        <v>1.5699999999999999E-5</v>
      </c>
      <c r="HF3" s="10">
        <f t="shared" si="213"/>
        <v>1.5500000000000001E-5</v>
      </c>
      <c r="HG3" s="10">
        <f t="shared" si="214"/>
        <v>1.5299999999999999E-5</v>
      </c>
      <c r="HH3" s="10">
        <f t="shared" si="215"/>
        <v>1.5099999999999999E-5</v>
      </c>
      <c r="HI3" s="10">
        <f t="shared" si="216"/>
        <v>1.49E-5</v>
      </c>
      <c r="HJ3" s="10">
        <f t="shared" si="217"/>
        <v>1.47E-5</v>
      </c>
      <c r="HK3" s="10">
        <f t="shared" si="218"/>
        <v>1.45E-5</v>
      </c>
      <c r="HL3" s="10">
        <f t="shared" si="219"/>
        <v>1.43E-5</v>
      </c>
      <c r="HM3" s="10">
        <f t="shared" si="220"/>
        <v>1.4100000000000001E-5</v>
      </c>
      <c r="HN3" s="10">
        <f t="shared" si="221"/>
        <v>1.3900000000000001E-5</v>
      </c>
      <c r="HO3" s="10">
        <f t="shared" si="222"/>
        <v>1.3699999999999999E-5</v>
      </c>
      <c r="HP3" s="10">
        <f t="shared" si="223"/>
        <v>1.3499999999999999E-5</v>
      </c>
      <c r="HQ3" s="10">
        <f t="shared" si="224"/>
        <v>1.33E-5</v>
      </c>
      <c r="HR3" s="10">
        <f t="shared" si="225"/>
        <v>1.31E-5</v>
      </c>
      <c r="HS3" s="10">
        <f t="shared" si="226"/>
        <v>1.2999999999999999E-5</v>
      </c>
      <c r="HT3" s="10">
        <f t="shared" si="227"/>
        <v>1.2799999999999999E-5</v>
      </c>
      <c r="HU3" s="10">
        <f t="shared" si="228"/>
        <v>1.26E-5</v>
      </c>
      <c r="HV3" s="10">
        <f t="shared" si="229"/>
        <v>1.24E-5</v>
      </c>
      <c r="HW3" s="10">
        <f t="shared" si="230"/>
        <v>1.2300000000000001E-5</v>
      </c>
      <c r="HX3" s="10">
        <f t="shared" si="231"/>
        <v>1.2099999999999999E-5</v>
      </c>
      <c r="HY3" s="10">
        <f t="shared" si="232"/>
        <v>1.19E-5</v>
      </c>
      <c r="HZ3" s="10">
        <f t="shared" si="233"/>
        <v>1.1800000000000001E-5</v>
      </c>
      <c r="IA3" s="10">
        <f t="shared" si="234"/>
        <v>1.1600000000000001E-5</v>
      </c>
      <c r="IB3" s="10">
        <f t="shared" si="235"/>
        <v>1.1399999999999999E-5</v>
      </c>
      <c r="IC3" s="10">
        <f t="shared" si="236"/>
        <v>1.13E-5</v>
      </c>
      <c r="ID3" s="10">
        <f t="shared" si="237"/>
        <v>1.11E-5</v>
      </c>
      <c r="IE3" s="10">
        <f t="shared" si="238"/>
        <v>1.1E-5</v>
      </c>
      <c r="IF3" s="10">
        <f t="shared" si="239"/>
        <v>1.08E-5</v>
      </c>
      <c r="IG3" s="10">
        <f t="shared" si="240"/>
        <v>7.5480000000000002E-4</v>
      </c>
      <c r="JL3" s="1">
        <f>JL2+1</f>
        <v>2008</v>
      </c>
      <c r="JM3">
        <f>JA10</f>
        <v>28.80092204891848</v>
      </c>
      <c r="JN3">
        <f t="shared" ref="JN3:JU3" si="244">JB10</f>
        <v>19.90899336992932</v>
      </c>
      <c r="JO3">
        <f t="shared" si="244"/>
        <v>17.997563259733461</v>
      </c>
      <c r="JP3">
        <f t="shared" si="244"/>
        <v>16.607016270858708</v>
      </c>
      <c r="JQ3">
        <f t="shared" si="244"/>
        <v>15.160829240675049</v>
      </c>
      <c r="JR3">
        <f t="shared" si="244"/>
        <v>11.700090907947228</v>
      </c>
      <c r="JS3">
        <f t="shared" si="244"/>
        <v>8.3459541406626219</v>
      </c>
      <c r="JT3">
        <f t="shared" si="244"/>
        <v>5.8463333571807246</v>
      </c>
      <c r="JU3">
        <f t="shared" si="244"/>
        <v>1.6815353289818726</v>
      </c>
      <c r="JW3" s="1">
        <f>IP14/SUM($IP14:$IX14)</f>
        <v>0.18515586503275616</v>
      </c>
      <c r="JX3" s="1">
        <f t="shared" ref="JX3:KE3" si="245">IQ14/SUM($IP14:$IX14)</f>
        <v>0.17456022015245881</v>
      </c>
      <c r="JY3" s="1">
        <f t="shared" si="245"/>
        <v>0.11505227813096584</v>
      </c>
      <c r="JZ3" s="1">
        <f t="shared" si="245"/>
        <v>7.8563946803669626E-2</v>
      </c>
      <c r="KA3" s="1">
        <f t="shared" si="245"/>
        <v>5.6484076913341917E-2</v>
      </c>
      <c r="KB3" s="1">
        <f t="shared" si="245"/>
        <v>0.14544441123488394</v>
      </c>
      <c r="KC3" s="1">
        <f t="shared" si="245"/>
        <v>6.6312311681597638E-2</v>
      </c>
      <c r="KD3" s="1">
        <f t="shared" si="245"/>
        <v>4.3559275026320718E-2</v>
      </c>
      <c r="KE3" s="1">
        <f t="shared" si="245"/>
        <v>0.13486761502400524</v>
      </c>
    </row>
    <row r="4" spans="1:301" s="1" customFormat="1" x14ac:dyDescent="0.35">
      <c r="A4" s="1">
        <f t="shared" si="0"/>
        <v>-4</v>
      </c>
      <c r="B4" s="10">
        <f t="shared" si="1"/>
        <v>1.0654E-2</v>
      </c>
      <c r="C4" s="10">
        <f t="shared" si="2"/>
        <v>1.0654E-2</v>
      </c>
      <c r="D4" s="10">
        <f t="shared" si="3"/>
        <v>1.06058E-2</v>
      </c>
      <c r="E4" s="10">
        <f t="shared" si="4"/>
        <v>1.04361E-2</v>
      </c>
      <c r="F4" s="10">
        <f t="shared" si="5"/>
        <v>9.7535E-3</v>
      </c>
      <c r="G4" s="10">
        <f t="shared" si="6"/>
        <v>9.1403999999999999E-3</v>
      </c>
      <c r="H4" s="10">
        <f t="shared" si="7"/>
        <v>8.5669000000000006E-3</v>
      </c>
      <c r="I4" s="10">
        <f t="shared" si="8"/>
        <v>7.9711000000000001E-3</v>
      </c>
      <c r="J4" s="10">
        <f t="shared" si="9"/>
        <v>7.4428000000000003E-3</v>
      </c>
      <c r="K4" s="10">
        <f t="shared" si="10"/>
        <v>6.9601000000000003E-3</v>
      </c>
      <c r="L4" s="10">
        <f t="shared" si="11"/>
        <v>6.5317999999999999E-3</v>
      </c>
      <c r="M4" s="10">
        <f t="shared" si="12"/>
        <v>6.1491999999999996E-3</v>
      </c>
      <c r="N4" s="10">
        <f t="shared" si="13"/>
        <v>5.8079999999999998E-3</v>
      </c>
      <c r="O4" s="10">
        <f t="shared" si="14"/>
        <v>5.5024999999999996E-3</v>
      </c>
      <c r="P4" s="10">
        <f t="shared" si="15"/>
        <v>5.2283E-3</v>
      </c>
      <c r="Q4" s="10">
        <f t="shared" si="16"/>
        <v>4.9813000000000001E-3</v>
      </c>
      <c r="R4" s="10">
        <f t="shared" si="17"/>
        <v>4.7580000000000001E-3</v>
      </c>
      <c r="S4" s="10">
        <f t="shared" si="18"/>
        <v>4.5554000000000002E-3</v>
      </c>
      <c r="T4" s="10">
        <f t="shared" si="19"/>
        <v>4.3709999999999999E-3</v>
      </c>
      <c r="U4" s="10">
        <f t="shared" si="20"/>
        <v>4.2025999999999999E-3</v>
      </c>
      <c r="V4" s="10">
        <f t="shared" si="21"/>
        <v>4.0480999999999998E-3</v>
      </c>
      <c r="W4" s="10">
        <f t="shared" si="22"/>
        <v>3.9061E-3</v>
      </c>
      <c r="X4" s="10">
        <f t="shared" si="23"/>
        <v>3.7750000000000001E-3</v>
      </c>
      <c r="Y4" s="10">
        <f t="shared" si="24"/>
        <v>3.6537000000000002E-3</v>
      </c>
      <c r="Z4" s="10">
        <f t="shared" si="25"/>
        <v>3.5412E-3</v>
      </c>
      <c r="AA4" s="10">
        <f t="shared" si="26"/>
        <v>3.4364E-3</v>
      </c>
      <c r="AB4" s="10">
        <f t="shared" si="27"/>
        <v>3.3384999999999999E-3</v>
      </c>
      <c r="AC4" s="10">
        <f t="shared" si="28"/>
        <v>3.2468000000000002E-3</v>
      </c>
      <c r="AD4" s="10">
        <f t="shared" si="29"/>
        <v>3.1606999999999998E-3</v>
      </c>
      <c r="AE4" s="10">
        <f t="shared" si="30"/>
        <v>3.0796999999999999E-3</v>
      </c>
      <c r="AF4" s="10">
        <f t="shared" si="31"/>
        <v>3.0030999999999999E-3</v>
      </c>
      <c r="AG4" s="10">
        <f t="shared" si="32"/>
        <v>2.9307000000000001E-3</v>
      </c>
      <c r="AH4" s="10">
        <f t="shared" si="33"/>
        <v>2.8620999999999998E-3</v>
      </c>
      <c r="AI4" s="10">
        <f t="shared" si="34"/>
        <v>2.7969000000000002E-3</v>
      </c>
      <c r="AJ4" s="10">
        <f t="shared" si="35"/>
        <v>2.7349000000000002E-3</v>
      </c>
      <c r="AK4" s="10">
        <f t="shared" si="36"/>
        <v>2.6759000000000002E-3</v>
      </c>
      <c r="AL4" s="10">
        <f t="shared" si="37"/>
        <v>2.6194999999999999E-3</v>
      </c>
      <c r="AM4" s="10">
        <f t="shared" si="38"/>
        <v>2.5657000000000002E-3</v>
      </c>
      <c r="AN4" s="10">
        <f t="shared" si="39"/>
        <v>2.5143000000000001E-3</v>
      </c>
      <c r="AO4" s="10">
        <f t="shared" si="40"/>
        <v>2.4650000000000002E-3</v>
      </c>
      <c r="AP4" s="10">
        <f t="shared" si="41"/>
        <v>2.4177000000000001E-3</v>
      </c>
      <c r="AQ4" s="10">
        <f t="shared" si="42"/>
        <v>2.3722999999999999E-3</v>
      </c>
      <c r="AR4" s="10">
        <f t="shared" si="43"/>
        <v>2.3287E-3</v>
      </c>
      <c r="AS4" s="10">
        <f t="shared" si="44"/>
        <v>2.2867E-3</v>
      </c>
      <c r="AT4" s="10">
        <f t="shared" si="45"/>
        <v>2.2461999999999998E-3</v>
      </c>
      <c r="AU4" s="10">
        <f t="shared" si="46"/>
        <v>2.2071999999999999E-3</v>
      </c>
      <c r="AV4" s="10">
        <f t="shared" si="47"/>
        <v>2.1695E-3</v>
      </c>
      <c r="AW4" s="10">
        <f t="shared" si="48"/>
        <v>2.1329999999999999E-3</v>
      </c>
      <c r="AX4" s="10">
        <f t="shared" si="49"/>
        <v>2.0977000000000001E-3</v>
      </c>
      <c r="AY4" s="10">
        <f t="shared" si="50"/>
        <v>2.0634E-3</v>
      </c>
      <c r="AZ4" s="10">
        <f t="shared" si="51"/>
        <v>2.0301999999999998E-3</v>
      </c>
      <c r="BA4" s="10">
        <f t="shared" si="52"/>
        <v>1.9980000000000002E-3</v>
      </c>
      <c r="BB4" s="10">
        <f t="shared" si="53"/>
        <v>1.9666000000000002E-3</v>
      </c>
      <c r="BC4" s="10">
        <f t="shared" si="54"/>
        <v>1.9361000000000001E-3</v>
      </c>
      <c r="BD4" s="10">
        <f t="shared" si="55"/>
        <v>1.9063000000000001E-3</v>
      </c>
      <c r="BE4" s="10">
        <f t="shared" si="56"/>
        <v>1.8772999999999999E-3</v>
      </c>
      <c r="BF4" s="10">
        <f t="shared" si="57"/>
        <v>1.8489999999999999E-3</v>
      </c>
      <c r="BG4" s="10">
        <f t="shared" si="58"/>
        <v>1.8213000000000001E-3</v>
      </c>
      <c r="BH4" s="10">
        <f t="shared" si="59"/>
        <v>1.7943E-3</v>
      </c>
      <c r="BI4" s="10">
        <f t="shared" si="60"/>
        <v>1.7677999999999999E-3</v>
      </c>
      <c r="BJ4" s="10">
        <f t="shared" si="61"/>
        <v>1.7419E-3</v>
      </c>
      <c r="BK4" s="10">
        <f t="shared" si="62"/>
        <v>1.7166E-3</v>
      </c>
      <c r="BL4" s="10">
        <f t="shared" si="63"/>
        <v>1.6917E-3</v>
      </c>
      <c r="BM4" s="10">
        <f t="shared" si="64"/>
        <v>1.6673E-3</v>
      </c>
      <c r="BN4" s="10">
        <f t="shared" si="65"/>
        <v>1.6433999999999999E-3</v>
      </c>
      <c r="BO4" s="10">
        <f t="shared" si="66"/>
        <v>1.6199000000000001E-3</v>
      </c>
      <c r="BP4" s="10">
        <f t="shared" si="67"/>
        <v>1.5968E-3</v>
      </c>
      <c r="BQ4" s="10">
        <f t="shared" si="68"/>
        <v>1.5740999999999999E-3</v>
      </c>
      <c r="BR4" s="10">
        <f t="shared" si="69"/>
        <v>1.5518000000000001E-3</v>
      </c>
      <c r="BS4" s="10">
        <f t="shared" si="70"/>
        <v>1.5299000000000001E-3</v>
      </c>
      <c r="BT4" s="10">
        <f t="shared" si="71"/>
        <v>1.5083E-3</v>
      </c>
      <c r="BU4" s="10">
        <f t="shared" si="72"/>
        <v>1.4871000000000001E-3</v>
      </c>
      <c r="BV4" s="10">
        <f t="shared" si="73"/>
        <v>1.4662E-3</v>
      </c>
      <c r="BW4" s="10">
        <f t="shared" si="74"/>
        <v>1.4457000000000001E-3</v>
      </c>
      <c r="BX4" s="10">
        <f t="shared" si="75"/>
        <v>1.4254000000000001E-3</v>
      </c>
      <c r="BY4" s="10">
        <f t="shared" si="76"/>
        <v>1.4055000000000001E-3</v>
      </c>
      <c r="BZ4" s="10">
        <f t="shared" si="77"/>
        <v>1.3858E-3</v>
      </c>
      <c r="CA4" s="10">
        <f t="shared" si="78"/>
        <v>1.3664E-3</v>
      </c>
      <c r="CB4" s="10">
        <f t="shared" si="79"/>
        <v>1.3473999999999999E-3</v>
      </c>
      <c r="CC4" s="10">
        <f t="shared" si="80"/>
        <v>1.3285E-3</v>
      </c>
      <c r="CD4" s="10">
        <f t="shared" si="81"/>
        <v>1.31E-3</v>
      </c>
      <c r="CE4" s="10">
        <f t="shared" si="82"/>
        <v>1.2917E-3</v>
      </c>
      <c r="CF4" s="10">
        <f t="shared" si="83"/>
        <v>1.2737E-3</v>
      </c>
      <c r="CG4" s="10">
        <f t="shared" si="84"/>
        <v>1.2558999999999999E-3</v>
      </c>
      <c r="CH4" s="10">
        <f t="shared" si="85"/>
        <v>1.2384E-3</v>
      </c>
      <c r="CI4" s="10">
        <f t="shared" si="86"/>
        <v>1.2210999999999999E-3</v>
      </c>
      <c r="CJ4" s="10">
        <f t="shared" si="87"/>
        <v>1.2041E-3</v>
      </c>
      <c r="CK4" s="10">
        <f t="shared" si="88"/>
        <v>1.1873000000000001E-3</v>
      </c>
      <c r="CL4" s="10">
        <f t="shared" si="89"/>
        <v>1.1707E-3</v>
      </c>
      <c r="CM4" s="10">
        <f t="shared" si="90"/>
        <v>1.1543E-3</v>
      </c>
      <c r="CN4" s="10">
        <f t="shared" si="91"/>
        <v>1.1382E-3</v>
      </c>
      <c r="CO4" s="10">
        <f t="shared" si="92"/>
        <v>1.1222999999999999E-3</v>
      </c>
      <c r="CP4" s="10">
        <f t="shared" si="93"/>
        <v>1.1065999999999999E-3</v>
      </c>
      <c r="CQ4" s="10">
        <f t="shared" si="94"/>
        <v>1.0911E-3</v>
      </c>
      <c r="CR4" s="10">
        <f t="shared" si="95"/>
        <v>1.0759000000000001E-3</v>
      </c>
      <c r="CS4" s="10">
        <f t="shared" si="96"/>
        <v>1.0608E-3</v>
      </c>
      <c r="CT4" s="10">
        <f t="shared" si="97"/>
        <v>1.0459E-3</v>
      </c>
      <c r="CU4" s="10">
        <f t="shared" si="98"/>
        <v>1.0313E-3</v>
      </c>
      <c r="CV4" s="10">
        <f t="shared" si="99"/>
        <v>1.0168E-3</v>
      </c>
      <c r="CW4" s="10">
        <f t="shared" si="100"/>
        <v>1.0026E-3</v>
      </c>
      <c r="CX4" s="10">
        <f t="shared" si="101"/>
        <v>9.8850000000000001E-4</v>
      </c>
      <c r="CY4" s="10">
        <f t="shared" si="102"/>
        <v>9.7460000000000005E-4</v>
      </c>
      <c r="CZ4" s="10">
        <f t="shared" si="103"/>
        <v>9.6089999999999999E-4</v>
      </c>
      <c r="DA4" s="10">
        <f t="shared" si="104"/>
        <v>9.4740000000000004E-4</v>
      </c>
      <c r="DB4" s="10">
        <f t="shared" si="105"/>
        <v>9.3409999999999999E-4</v>
      </c>
      <c r="DC4" s="10">
        <f t="shared" si="106"/>
        <v>9.2100000000000005E-4</v>
      </c>
      <c r="DD4" s="10">
        <f t="shared" si="107"/>
        <v>9.0799999999999995E-4</v>
      </c>
      <c r="DE4" s="10">
        <f t="shared" si="108"/>
        <v>8.9519999999999997E-4</v>
      </c>
      <c r="DF4" s="10">
        <f t="shared" si="109"/>
        <v>8.8259999999999999E-4</v>
      </c>
      <c r="DG4" s="10">
        <f t="shared" si="110"/>
        <v>8.7020000000000001E-4</v>
      </c>
      <c r="DH4" s="10">
        <f t="shared" si="111"/>
        <v>8.5789999999999998E-4</v>
      </c>
      <c r="DI4" s="10">
        <f t="shared" si="112"/>
        <v>8.4579999999999996E-4</v>
      </c>
      <c r="DJ4" s="10">
        <f t="shared" si="113"/>
        <v>8.3390000000000005E-4</v>
      </c>
      <c r="DK4" s="10">
        <f t="shared" si="114"/>
        <v>8.2209999999999998E-4</v>
      </c>
      <c r="DL4" s="10">
        <f t="shared" si="115"/>
        <v>8.1050000000000002E-4</v>
      </c>
      <c r="DM4" s="10">
        <f t="shared" si="116"/>
        <v>7.9909999999999996E-4</v>
      </c>
      <c r="DN4" s="10">
        <f t="shared" si="117"/>
        <v>7.8779999999999996E-4</v>
      </c>
      <c r="DO4" s="10">
        <f t="shared" si="118"/>
        <v>7.7669999999999996E-4</v>
      </c>
      <c r="DP4" s="10">
        <f t="shared" si="119"/>
        <v>7.6570000000000002E-4</v>
      </c>
      <c r="DQ4" s="10">
        <f t="shared" si="120"/>
        <v>5.3164200000000002E-2</v>
      </c>
      <c r="DR4" s="10">
        <f t="shared" si="121"/>
        <v>0</v>
      </c>
      <c r="DS4" s="10">
        <f t="shared" si="122"/>
        <v>4.8199999999999999E-5</v>
      </c>
      <c r="DT4" s="10">
        <f t="shared" si="123"/>
        <v>1.697E-4</v>
      </c>
      <c r="DU4" s="10">
        <f t="shared" si="124"/>
        <v>6.826E-4</v>
      </c>
      <c r="DV4" s="10">
        <f t="shared" si="125"/>
        <v>6.1309999999999999E-4</v>
      </c>
      <c r="DW4" s="10">
        <f t="shared" si="126"/>
        <v>5.7359999999999996E-4</v>
      </c>
      <c r="DX4" s="10">
        <f t="shared" si="127"/>
        <v>5.9579999999999995E-4</v>
      </c>
      <c r="DY4" s="10">
        <f t="shared" si="128"/>
        <v>5.2820000000000005E-4</v>
      </c>
      <c r="DZ4" s="10">
        <f t="shared" si="129"/>
        <v>4.8280000000000003E-4</v>
      </c>
      <c r="EA4" s="10">
        <f t="shared" si="130"/>
        <v>4.283E-4</v>
      </c>
      <c r="EB4" s="10">
        <f t="shared" si="131"/>
        <v>3.8259999999999998E-4</v>
      </c>
      <c r="EC4" s="10">
        <f t="shared" si="132"/>
        <v>3.412E-4</v>
      </c>
      <c r="ED4" s="10">
        <f t="shared" si="133"/>
        <v>3.055E-4</v>
      </c>
      <c r="EE4" s="10">
        <f t="shared" si="134"/>
        <v>2.742E-4</v>
      </c>
      <c r="EF4" s="10">
        <f t="shared" si="135"/>
        <v>2.4699999999999999E-4</v>
      </c>
      <c r="EG4" s="10">
        <f t="shared" si="136"/>
        <v>2.2330000000000001E-4</v>
      </c>
      <c r="EH4" s="10">
        <f t="shared" si="137"/>
        <v>2.0259999999999999E-4</v>
      </c>
      <c r="EI4" s="10">
        <f t="shared" si="138"/>
        <v>1.8440000000000001E-4</v>
      </c>
      <c r="EJ4" s="10">
        <f t="shared" si="139"/>
        <v>1.685E-4</v>
      </c>
      <c r="EK4" s="10">
        <f t="shared" si="140"/>
        <v>1.5440000000000001E-4</v>
      </c>
      <c r="EL4" s="10">
        <f t="shared" si="141"/>
        <v>1.4200000000000001E-4</v>
      </c>
      <c r="EM4" s="10">
        <f t="shared" si="142"/>
        <v>1.3100000000000001E-4</v>
      </c>
      <c r="EN4" s="10">
        <f t="shared" si="143"/>
        <v>1.2129999999999999E-4</v>
      </c>
      <c r="EO4" s="10">
        <f t="shared" si="144"/>
        <v>1.126E-4</v>
      </c>
      <c r="EP4" s="10">
        <f t="shared" si="145"/>
        <v>1.048E-4</v>
      </c>
      <c r="EQ4" s="10">
        <f t="shared" si="146"/>
        <v>9.7899999999999994E-5</v>
      </c>
      <c r="ER4" s="10">
        <f t="shared" si="147"/>
        <v>9.1700000000000006E-5</v>
      </c>
      <c r="ES4" s="10">
        <f t="shared" si="148"/>
        <v>8.6100000000000006E-5</v>
      </c>
      <c r="ET4" s="10">
        <f t="shared" si="149"/>
        <v>8.1100000000000006E-5</v>
      </c>
      <c r="EU4" s="10">
        <f t="shared" si="150"/>
        <v>7.6500000000000003E-5</v>
      </c>
      <c r="EV4" s="10">
        <f t="shared" si="151"/>
        <v>7.2399999999999998E-5</v>
      </c>
      <c r="EW4" s="10">
        <f t="shared" si="152"/>
        <v>6.86E-5</v>
      </c>
      <c r="EX4" s="10">
        <f t="shared" si="153"/>
        <v>6.5199999999999999E-5</v>
      </c>
      <c r="EY4" s="10">
        <f t="shared" si="154"/>
        <v>6.2000000000000003E-5</v>
      </c>
      <c r="EZ4" s="10">
        <f t="shared" si="155"/>
        <v>5.8999999999999998E-5</v>
      </c>
      <c r="FA4" s="10">
        <f t="shared" si="156"/>
        <v>5.63E-5</v>
      </c>
      <c r="FB4" s="10">
        <f t="shared" si="157"/>
        <v>5.38E-5</v>
      </c>
      <c r="FC4" s="10">
        <f t="shared" si="158"/>
        <v>5.1499999999999998E-5</v>
      </c>
      <c r="FD4" s="10">
        <f t="shared" si="159"/>
        <v>4.9299999999999999E-5</v>
      </c>
      <c r="FE4" s="10">
        <f t="shared" si="160"/>
        <v>4.7299999999999998E-5</v>
      </c>
      <c r="FF4" s="10">
        <f t="shared" si="161"/>
        <v>4.5399999999999999E-5</v>
      </c>
      <c r="FG4" s="10">
        <f t="shared" si="162"/>
        <v>4.3600000000000003E-5</v>
      </c>
      <c r="FH4" s="10">
        <f t="shared" si="163"/>
        <v>4.1999999999999998E-5</v>
      </c>
      <c r="FI4" s="10">
        <f t="shared" si="164"/>
        <v>4.0500000000000002E-5</v>
      </c>
      <c r="FJ4" s="10">
        <f t="shared" si="165"/>
        <v>3.8999999999999999E-5</v>
      </c>
      <c r="FK4" s="10">
        <f t="shared" si="166"/>
        <v>3.7700000000000002E-5</v>
      </c>
      <c r="FL4" s="10">
        <f t="shared" si="167"/>
        <v>3.65E-5</v>
      </c>
      <c r="FM4" s="10">
        <f t="shared" si="168"/>
        <v>3.5299999999999997E-5</v>
      </c>
      <c r="FN4" s="10">
        <f t="shared" si="169"/>
        <v>3.4199999999999998E-5</v>
      </c>
      <c r="FO4" s="10">
        <f t="shared" si="170"/>
        <v>3.3200000000000001E-5</v>
      </c>
      <c r="FP4" s="10">
        <f t="shared" si="171"/>
        <v>3.2299999999999999E-5</v>
      </c>
      <c r="FQ4" s="10">
        <f t="shared" si="172"/>
        <v>3.1399999999999998E-5</v>
      </c>
      <c r="FR4" s="10">
        <f t="shared" si="173"/>
        <v>3.0499999999999999E-5</v>
      </c>
      <c r="FS4" s="10">
        <f t="shared" si="174"/>
        <v>2.9799999999999999E-5</v>
      </c>
      <c r="FT4" s="10">
        <f t="shared" si="175"/>
        <v>2.9E-5</v>
      </c>
      <c r="FU4" s="10">
        <f t="shared" si="176"/>
        <v>2.83E-5</v>
      </c>
      <c r="FV4" s="10">
        <f t="shared" si="177"/>
        <v>2.7699999999999999E-5</v>
      </c>
      <c r="FW4" s="10">
        <f t="shared" si="178"/>
        <v>2.6999999999999999E-5</v>
      </c>
      <c r="FX4" s="10">
        <f t="shared" si="179"/>
        <v>2.65E-5</v>
      </c>
      <c r="FY4" s="10">
        <f t="shared" si="180"/>
        <v>2.5899999999999999E-5</v>
      </c>
      <c r="FZ4" s="10">
        <f t="shared" si="181"/>
        <v>2.5400000000000001E-5</v>
      </c>
      <c r="GA4" s="10">
        <f t="shared" si="182"/>
        <v>2.4899999999999999E-5</v>
      </c>
      <c r="GB4" s="10">
        <f t="shared" si="183"/>
        <v>2.44E-5</v>
      </c>
      <c r="GC4" s="10">
        <f t="shared" si="184"/>
        <v>2.3900000000000002E-5</v>
      </c>
      <c r="GD4" s="10">
        <f t="shared" si="185"/>
        <v>2.3499999999999999E-5</v>
      </c>
      <c r="GE4" s="10">
        <f t="shared" si="186"/>
        <v>2.3099999999999999E-5</v>
      </c>
      <c r="GF4" s="10">
        <f t="shared" si="187"/>
        <v>2.27E-5</v>
      </c>
      <c r="GG4" s="10">
        <f t="shared" si="188"/>
        <v>2.23E-5</v>
      </c>
      <c r="GH4" s="10">
        <f t="shared" si="189"/>
        <v>2.19E-5</v>
      </c>
      <c r="GI4" s="10">
        <f t="shared" si="190"/>
        <v>2.16E-5</v>
      </c>
      <c r="GJ4" s="10">
        <f t="shared" si="191"/>
        <v>2.12E-5</v>
      </c>
      <c r="GK4" s="10">
        <f t="shared" si="192"/>
        <v>2.09E-5</v>
      </c>
      <c r="GL4" s="10">
        <f t="shared" si="193"/>
        <v>2.0599999999999999E-5</v>
      </c>
      <c r="GM4" s="10">
        <f t="shared" si="194"/>
        <v>2.0299999999999999E-5</v>
      </c>
      <c r="GN4" s="10">
        <f t="shared" si="195"/>
        <v>1.9899999999999999E-5</v>
      </c>
      <c r="GO4" s="10">
        <f t="shared" si="196"/>
        <v>1.9700000000000001E-5</v>
      </c>
      <c r="GP4" s="10">
        <f t="shared" si="197"/>
        <v>1.9400000000000001E-5</v>
      </c>
      <c r="GQ4" s="10">
        <f t="shared" si="198"/>
        <v>1.91E-5</v>
      </c>
      <c r="GR4" s="10">
        <f t="shared" si="199"/>
        <v>1.88E-5</v>
      </c>
      <c r="GS4" s="10">
        <f t="shared" si="200"/>
        <v>1.8499999999999999E-5</v>
      </c>
      <c r="GT4" s="10">
        <f t="shared" si="201"/>
        <v>1.8300000000000001E-5</v>
      </c>
      <c r="GU4" s="10">
        <f t="shared" si="202"/>
        <v>1.8E-5</v>
      </c>
      <c r="GV4" s="10">
        <f t="shared" si="203"/>
        <v>1.7799999999999999E-5</v>
      </c>
      <c r="GW4" s="10">
        <f t="shared" si="204"/>
        <v>1.7499999999999998E-5</v>
      </c>
      <c r="GX4" s="10">
        <f t="shared" si="205"/>
        <v>1.73E-5</v>
      </c>
      <c r="GY4" s="10">
        <f t="shared" si="206"/>
        <v>1.7E-5</v>
      </c>
      <c r="GZ4" s="10">
        <f t="shared" si="207"/>
        <v>1.6799999999999998E-5</v>
      </c>
      <c r="HA4" s="10">
        <f t="shared" si="208"/>
        <v>1.66E-5</v>
      </c>
      <c r="HB4" s="10">
        <f t="shared" si="209"/>
        <v>1.6399999999999999E-5</v>
      </c>
      <c r="HC4" s="10">
        <f t="shared" si="210"/>
        <v>1.6099999999999998E-5</v>
      </c>
      <c r="HD4" s="10">
        <f t="shared" si="211"/>
        <v>1.59E-5</v>
      </c>
      <c r="HE4" s="10">
        <f t="shared" si="212"/>
        <v>1.5699999999999999E-5</v>
      </c>
      <c r="HF4" s="10">
        <f t="shared" si="213"/>
        <v>1.5500000000000001E-5</v>
      </c>
      <c r="HG4" s="10">
        <f t="shared" si="214"/>
        <v>1.5299999999999999E-5</v>
      </c>
      <c r="HH4" s="10">
        <f t="shared" si="215"/>
        <v>1.5099999999999999E-5</v>
      </c>
      <c r="HI4" s="10">
        <f t="shared" si="216"/>
        <v>1.49E-5</v>
      </c>
      <c r="HJ4" s="10">
        <f t="shared" si="217"/>
        <v>1.47E-5</v>
      </c>
      <c r="HK4" s="10">
        <f t="shared" si="218"/>
        <v>1.45E-5</v>
      </c>
      <c r="HL4" s="10">
        <f t="shared" si="219"/>
        <v>1.43E-5</v>
      </c>
      <c r="HM4" s="10">
        <f t="shared" si="220"/>
        <v>1.4100000000000001E-5</v>
      </c>
      <c r="HN4" s="10">
        <f t="shared" si="221"/>
        <v>1.3900000000000001E-5</v>
      </c>
      <c r="HO4" s="10">
        <f t="shared" si="222"/>
        <v>1.3699999999999999E-5</v>
      </c>
      <c r="HP4" s="10">
        <f t="shared" si="223"/>
        <v>1.3499999999999999E-5</v>
      </c>
      <c r="HQ4" s="10">
        <f t="shared" si="224"/>
        <v>1.33E-5</v>
      </c>
      <c r="HR4" s="10">
        <f t="shared" si="225"/>
        <v>1.31E-5</v>
      </c>
      <c r="HS4" s="10">
        <f t="shared" si="226"/>
        <v>1.2999999999999999E-5</v>
      </c>
      <c r="HT4" s="10">
        <f t="shared" si="227"/>
        <v>1.2799999999999999E-5</v>
      </c>
      <c r="HU4" s="10">
        <f t="shared" si="228"/>
        <v>1.26E-5</v>
      </c>
      <c r="HV4" s="10">
        <f t="shared" si="229"/>
        <v>1.24E-5</v>
      </c>
      <c r="HW4" s="10">
        <f t="shared" si="230"/>
        <v>1.2300000000000001E-5</v>
      </c>
      <c r="HX4" s="10">
        <f t="shared" si="231"/>
        <v>1.2099999999999999E-5</v>
      </c>
      <c r="HY4" s="10">
        <f t="shared" si="232"/>
        <v>1.19E-5</v>
      </c>
      <c r="HZ4" s="10">
        <f t="shared" si="233"/>
        <v>1.1800000000000001E-5</v>
      </c>
      <c r="IA4" s="10">
        <f t="shared" si="234"/>
        <v>1.1600000000000001E-5</v>
      </c>
      <c r="IB4" s="10">
        <f t="shared" si="235"/>
        <v>1.1399999999999999E-5</v>
      </c>
      <c r="IC4" s="10">
        <f t="shared" si="236"/>
        <v>1.13E-5</v>
      </c>
      <c r="ID4" s="10">
        <f t="shared" si="237"/>
        <v>1.11E-5</v>
      </c>
      <c r="IE4" s="10">
        <f t="shared" si="238"/>
        <v>1.1E-5</v>
      </c>
      <c r="IF4" s="10">
        <f t="shared" si="239"/>
        <v>1.08E-5</v>
      </c>
      <c r="IG4" s="10">
        <f t="shared" si="240"/>
        <v>7.5480000000000002E-4</v>
      </c>
      <c r="JL4" s="1">
        <f t="shared" ref="JL4:JL9" si="246">JL3+1</f>
        <v>2009</v>
      </c>
      <c r="JM4">
        <f>JA14</f>
        <v>-19.156662980784677</v>
      </c>
      <c r="JN4">
        <f t="shared" ref="JN4:JU4" si="247">JB14</f>
        <v>-16.843785610520712</v>
      </c>
      <c r="JO4">
        <f t="shared" si="247"/>
        <v>-15.295971761662386</v>
      </c>
      <c r="JP4">
        <f t="shared" si="247"/>
        <v>-12.100336872289107</v>
      </c>
      <c r="JQ4">
        <f t="shared" si="247"/>
        <v>-9.2545763051784835</v>
      </c>
      <c r="JR4">
        <f t="shared" si="247"/>
        <v>-4.3579643859101447</v>
      </c>
      <c r="JS4">
        <f t="shared" si="247"/>
        <v>-2.0974732289592075</v>
      </c>
      <c r="JT4">
        <f t="shared" si="247"/>
        <v>-2.5390439333099581</v>
      </c>
      <c r="JU4">
        <f t="shared" si="247"/>
        <v>-1.0130792616366349</v>
      </c>
    </row>
    <row r="5" spans="1:301" s="1" customFormat="1" x14ac:dyDescent="0.35">
      <c r="A5" s="1">
        <f t="shared" si="0"/>
        <v>-3</v>
      </c>
      <c r="B5" s="10">
        <f t="shared" si="1"/>
        <v>1.0654E-2</v>
      </c>
      <c r="C5" s="10">
        <f t="shared" si="2"/>
        <v>1.0654E-2</v>
      </c>
      <c r="D5" s="10">
        <f t="shared" si="3"/>
        <v>1.06058E-2</v>
      </c>
      <c r="E5" s="10">
        <f t="shared" si="4"/>
        <v>1.04361E-2</v>
      </c>
      <c r="F5" s="10">
        <f t="shared" si="5"/>
        <v>9.7535E-3</v>
      </c>
      <c r="G5" s="10">
        <f t="shared" si="6"/>
        <v>9.1403999999999999E-3</v>
      </c>
      <c r="H5" s="10">
        <f t="shared" si="7"/>
        <v>8.5669000000000006E-3</v>
      </c>
      <c r="I5" s="10">
        <f t="shared" si="8"/>
        <v>7.9711000000000001E-3</v>
      </c>
      <c r="J5" s="10">
        <f t="shared" si="9"/>
        <v>7.4428000000000003E-3</v>
      </c>
      <c r="K5" s="10">
        <f t="shared" si="10"/>
        <v>6.9601000000000003E-3</v>
      </c>
      <c r="L5" s="10">
        <f t="shared" si="11"/>
        <v>6.5317999999999999E-3</v>
      </c>
      <c r="M5" s="10">
        <f t="shared" si="12"/>
        <v>6.1491999999999996E-3</v>
      </c>
      <c r="N5" s="10">
        <f t="shared" si="13"/>
        <v>5.8079999999999998E-3</v>
      </c>
      <c r="O5" s="10">
        <f t="shared" si="14"/>
        <v>5.5024999999999996E-3</v>
      </c>
      <c r="P5" s="10">
        <f t="shared" si="15"/>
        <v>5.2283E-3</v>
      </c>
      <c r="Q5" s="10">
        <f t="shared" si="16"/>
        <v>4.9813000000000001E-3</v>
      </c>
      <c r="R5" s="10">
        <f t="shared" si="17"/>
        <v>4.7580000000000001E-3</v>
      </c>
      <c r="S5" s="10">
        <f t="shared" si="18"/>
        <v>4.5554000000000002E-3</v>
      </c>
      <c r="T5" s="10">
        <f t="shared" si="19"/>
        <v>4.3709999999999999E-3</v>
      </c>
      <c r="U5" s="10">
        <f t="shared" si="20"/>
        <v>4.2025999999999999E-3</v>
      </c>
      <c r="V5" s="10">
        <f t="shared" si="21"/>
        <v>4.0480999999999998E-3</v>
      </c>
      <c r="W5" s="10">
        <f t="shared" si="22"/>
        <v>3.9061E-3</v>
      </c>
      <c r="X5" s="10">
        <f t="shared" si="23"/>
        <v>3.7750000000000001E-3</v>
      </c>
      <c r="Y5" s="10">
        <f t="shared" si="24"/>
        <v>3.6537000000000002E-3</v>
      </c>
      <c r="Z5" s="10">
        <f t="shared" si="25"/>
        <v>3.5412E-3</v>
      </c>
      <c r="AA5" s="10">
        <f t="shared" si="26"/>
        <v>3.4364E-3</v>
      </c>
      <c r="AB5" s="10">
        <f t="shared" si="27"/>
        <v>3.3384999999999999E-3</v>
      </c>
      <c r="AC5" s="10">
        <f t="shared" si="28"/>
        <v>3.2468000000000002E-3</v>
      </c>
      <c r="AD5" s="10">
        <f t="shared" si="29"/>
        <v>3.1606999999999998E-3</v>
      </c>
      <c r="AE5" s="10">
        <f t="shared" si="30"/>
        <v>3.0796999999999999E-3</v>
      </c>
      <c r="AF5" s="10">
        <f t="shared" si="31"/>
        <v>3.0030999999999999E-3</v>
      </c>
      <c r="AG5" s="10">
        <f t="shared" si="32"/>
        <v>2.9307000000000001E-3</v>
      </c>
      <c r="AH5" s="10">
        <f t="shared" si="33"/>
        <v>2.8620999999999998E-3</v>
      </c>
      <c r="AI5" s="10">
        <f t="shared" si="34"/>
        <v>2.7969000000000002E-3</v>
      </c>
      <c r="AJ5" s="10">
        <f t="shared" si="35"/>
        <v>2.7349000000000002E-3</v>
      </c>
      <c r="AK5" s="10">
        <f t="shared" si="36"/>
        <v>2.6759000000000002E-3</v>
      </c>
      <c r="AL5" s="10">
        <f t="shared" si="37"/>
        <v>2.6194999999999999E-3</v>
      </c>
      <c r="AM5" s="10">
        <f t="shared" si="38"/>
        <v>2.5657000000000002E-3</v>
      </c>
      <c r="AN5" s="10">
        <f t="shared" si="39"/>
        <v>2.5143000000000001E-3</v>
      </c>
      <c r="AO5" s="10">
        <f t="shared" si="40"/>
        <v>2.4650000000000002E-3</v>
      </c>
      <c r="AP5" s="10">
        <f t="shared" si="41"/>
        <v>2.4177000000000001E-3</v>
      </c>
      <c r="AQ5" s="10">
        <f t="shared" si="42"/>
        <v>2.3722999999999999E-3</v>
      </c>
      <c r="AR5" s="10">
        <f t="shared" si="43"/>
        <v>2.3287E-3</v>
      </c>
      <c r="AS5" s="10">
        <f t="shared" si="44"/>
        <v>2.2867E-3</v>
      </c>
      <c r="AT5" s="10">
        <f t="shared" si="45"/>
        <v>2.2461999999999998E-3</v>
      </c>
      <c r="AU5" s="10">
        <f t="shared" si="46"/>
        <v>2.2071999999999999E-3</v>
      </c>
      <c r="AV5" s="10">
        <f t="shared" si="47"/>
        <v>2.1695E-3</v>
      </c>
      <c r="AW5" s="10">
        <f t="shared" si="48"/>
        <v>2.1329999999999999E-3</v>
      </c>
      <c r="AX5" s="10">
        <f t="shared" si="49"/>
        <v>2.0977000000000001E-3</v>
      </c>
      <c r="AY5" s="10">
        <f t="shared" si="50"/>
        <v>2.0634E-3</v>
      </c>
      <c r="AZ5" s="10">
        <f t="shared" si="51"/>
        <v>2.0301999999999998E-3</v>
      </c>
      <c r="BA5" s="10">
        <f t="shared" si="52"/>
        <v>1.9980000000000002E-3</v>
      </c>
      <c r="BB5" s="10">
        <f t="shared" si="53"/>
        <v>1.9666000000000002E-3</v>
      </c>
      <c r="BC5" s="10">
        <f t="shared" si="54"/>
        <v>1.9361000000000001E-3</v>
      </c>
      <c r="BD5" s="10">
        <f t="shared" si="55"/>
        <v>1.9063000000000001E-3</v>
      </c>
      <c r="BE5" s="10">
        <f t="shared" si="56"/>
        <v>1.8772999999999999E-3</v>
      </c>
      <c r="BF5" s="10">
        <f t="shared" si="57"/>
        <v>1.8489999999999999E-3</v>
      </c>
      <c r="BG5" s="10">
        <f t="shared" si="58"/>
        <v>1.8213000000000001E-3</v>
      </c>
      <c r="BH5" s="10">
        <f t="shared" si="59"/>
        <v>1.7943E-3</v>
      </c>
      <c r="BI5" s="10">
        <f t="shared" si="60"/>
        <v>1.7677999999999999E-3</v>
      </c>
      <c r="BJ5" s="10">
        <f t="shared" si="61"/>
        <v>1.7419E-3</v>
      </c>
      <c r="BK5" s="10">
        <f t="shared" si="62"/>
        <v>1.7166E-3</v>
      </c>
      <c r="BL5" s="10">
        <f t="shared" si="63"/>
        <v>1.6917E-3</v>
      </c>
      <c r="BM5" s="10">
        <f t="shared" si="64"/>
        <v>1.6673E-3</v>
      </c>
      <c r="BN5" s="10">
        <f t="shared" si="65"/>
        <v>1.6433999999999999E-3</v>
      </c>
      <c r="BO5" s="10">
        <f t="shared" si="66"/>
        <v>1.6199000000000001E-3</v>
      </c>
      <c r="BP5" s="10">
        <f t="shared" si="67"/>
        <v>1.5968E-3</v>
      </c>
      <c r="BQ5" s="10">
        <f t="shared" si="68"/>
        <v>1.5740999999999999E-3</v>
      </c>
      <c r="BR5" s="10">
        <f t="shared" si="69"/>
        <v>1.5518000000000001E-3</v>
      </c>
      <c r="BS5" s="10">
        <f t="shared" si="70"/>
        <v>1.5299000000000001E-3</v>
      </c>
      <c r="BT5" s="10">
        <f t="shared" si="71"/>
        <v>1.5083E-3</v>
      </c>
      <c r="BU5" s="10">
        <f t="shared" si="72"/>
        <v>1.4871000000000001E-3</v>
      </c>
      <c r="BV5" s="10">
        <f t="shared" si="73"/>
        <v>1.4662E-3</v>
      </c>
      <c r="BW5" s="10">
        <f t="shared" si="74"/>
        <v>1.4457000000000001E-3</v>
      </c>
      <c r="BX5" s="10">
        <f t="shared" si="75"/>
        <v>1.4254000000000001E-3</v>
      </c>
      <c r="BY5" s="10">
        <f t="shared" si="76"/>
        <v>1.4055000000000001E-3</v>
      </c>
      <c r="BZ5" s="10">
        <f t="shared" si="77"/>
        <v>1.3858E-3</v>
      </c>
      <c r="CA5" s="10">
        <f t="shared" si="78"/>
        <v>1.3664E-3</v>
      </c>
      <c r="CB5" s="10">
        <f t="shared" si="79"/>
        <v>1.3473999999999999E-3</v>
      </c>
      <c r="CC5" s="10">
        <f t="shared" si="80"/>
        <v>1.3285E-3</v>
      </c>
      <c r="CD5" s="10">
        <f t="shared" si="81"/>
        <v>1.31E-3</v>
      </c>
      <c r="CE5" s="10">
        <f t="shared" si="82"/>
        <v>1.2917E-3</v>
      </c>
      <c r="CF5" s="10">
        <f t="shared" si="83"/>
        <v>1.2737E-3</v>
      </c>
      <c r="CG5" s="10">
        <f t="shared" si="84"/>
        <v>1.2558999999999999E-3</v>
      </c>
      <c r="CH5" s="10">
        <f t="shared" si="85"/>
        <v>1.2384E-3</v>
      </c>
      <c r="CI5" s="10">
        <f t="shared" si="86"/>
        <v>1.2210999999999999E-3</v>
      </c>
      <c r="CJ5" s="10">
        <f t="shared" si="87"/>
        <v>1.2041E-3</v>
      </c>
      <c r="CK5" s="10">
        <f t="shared" si="88"/>
        <v>1.1873000000000001E-3</v>
      </c>
      <c r="CL5" s="10">
        <f t="shared" si="89"/>
        <v>1.1707E-3</v>
      </c>
      <c r="CM5" s="10">
        <f t="shared" si="90"/>
        <v>1.1543E-3</v>
      </c>
      <c r="CN5" s="10">
        <f t="shared" si="91"/>
        <v>1.1382E-3</v>
      </c>
      <c r="CO5" s="10">
        <f t="shared" si="92"/>
        <v>1.1222999999999999E-3</v>
      </c>
      <c r="CP5" s="10">
        <f t="shared" si="93"/>
        <v>1.1065999999999999E-3</v>
      </c>
      <c r="CQ5" s="10">
        <f t="shared" si="94"/>
        <v>1.0911E-3</v>
      </c>
      <c r="CR5" s="10">
        <f t="shared" si="95"/>
        <v>1.0759000000000001E-3</v>
      </c>
      <c r="CS5" s="10">
        <f t="shared" si="96"/>
        <v>1.0608E-3</v>
      </c>
      <c r="CT5" s="10">
        <f t="shared" si="97"/>
        <v>1.0459E-3</v>
      </c>
      <c r="CU5" s="10">
        <f t="shared" si="98"/>
        <v>1.0313E-3</v>
      </c>
      <c r="CV5" s="10">
        <f t="shared" si="99"/>
        <v>1.0168E-3</v>
      </c>
      <c r="CW5" s="10">
        <f t="shared" si="100"/>
        <v>1.0026E-3</v>
      </c>
      <c r="CX5" s="10">
        <f t="shared" si="101"/>
        <v>9.8850000000000001E-4</v>
      </c>
      <c r="CY5" s="10">
        <f t="shared" si="102"/>
        <v>9.7460000000000005E-4</v>
      </c>
      <c r="CZ5" s="10">
        <f t="shared" si="103"/>
        <v>9.6089999999999999E-4</v>
      </c>
      <c r="DA5" s="10">
        <f t="shared" si="104"/>
        <v>9.4740000000000004E-4</v>
      </c>
      <c r="DB5" s="10">
        <f t="shared" si="105"/>
        <v>9.3409999999999999E-4</v>
      </c>
      <c r="DC5" s="10">
        <f t="shared" si="106"/>
        <v>9.2100000000000005E-4</v>
      </c>
      <c r="DD5" s="10">
        <f t="shared" si="107"/>
        <v>9.0799999999999995E-4</v>
      </c>
      <c r="DE5" s="10">
        <f t="shared" si="108"/>
        <v>8.9519999999999997E-4</v>
      </c>
      <c r="DF5" s="10">
        <f t="shared" si="109"/>
        <v>8.8259999999999999E-4</v>
      </c>
      <c r="DG5" s="10">
        <f t="shared" si="110"/>
        <v>8.7020000000000001E-4</v>
      </c>
      <c r="DH5" s="10">
        <f t="shared" si="111"/>
        <v>8.5789999999999998E-4</v>
      </c>
      <c r="DI5" s="10">
        <f t="shared" si="112"/>
        <v>8.4579999999999996E-4</v>
      </c>
      <c r="DJ5" s="10">
        <f t="shared" si="113"/>
        <v>8.3390000000000005E-4</v>
      </c>
      <c r="DK5" s="10">
        <f t="shared" si="114"/>
        <v>8.2209999999999998E-4</v>
      </c>
      <c r="DL5" s="10">
        <f t="shared" si="115"/>
        <v>8.1050000000000002E-4</v>
      </c>
      <c r="DM5" s="10">
        <f t="shared" si="116"/>
        <v>7.9909999999999996E-4</v>
      </c>
      <c r="DN5" s="10">
        <f t="shared" si="117"/>
        <v>7.8779999999999996E-4</v>
      </c>
      <c r="DO5" s="10">
        <f t="shared" si="118"/>
        <v>7.7669999999999996E-4</v>
      </c>
      <c r="DP5" s="10">
        <f t="shared" si="119"/>
        <v>7.6570000000000002E-4</v>
      </c>
      <c r="DQ5" s="10">
        <f t="shared" si="120"/>
        <v>5.3164200000000002E-2</v>
      </c>
      <c r="DR5" s="10">
        <f t="shared" si="121"/>
        <v>0</v>
      </c>
      <c r="DS5" s="10">
        <f t="shared" si="122"/>
        <v>4.8199999999999999E-5</v>
      </c>
      <c r="DT5" s="10">
        <f t="shared" si="123"/>
        <v>1.697E-4</v>
      </c>
      <c r="DU5" s="10">
        <f t="shared" si="124"/>
        <v>6.826E-4</v>
      </c>
      <c r="DV5" s="10">
        <f t="shared" si="125"/>
        <v>6.1309999999999999E-4</v>
      </c>
      <c r="DW5" s="10">
        <f t="shared" si="126"/>
        <v>5.7359999999999996E-4</v>
      </c>
      <c r="DX5" s="10">
        <f t="shared" si="127"/>
        <v>5.9579999999999995E-4</v>
      </c>
      <c r="DY5" s="10">
        <f t="shared" si="128"/>
        <v>5.2820000000000005E-4</v>
      </c>
      <c r="DZ5" s="10">
        <f t="shared" si="129"/>
        <v>4.8280000000000003E-4</v>
      </c>
      <c r="EA5" s="10">
        <f t="shared" si="130"/>
        <v>4.283E-4</v>
      </c>
      <c r="EB5" s="10">
        <f t="shared" si="131"/>
        <v>3.8259999999999998E-4</v>
      </c>
      <c r="EC5" s="10">
        <f t="shared" si="132"/>
        <v>3.412E-4</v>
      </c>
      <c r="ED5" s="10">
        <f t="shared" si="133"/>
        <v>3.055E-4</v>
      </c>
      <c r="EE5" s="10">
        <f t="shared" si="134"/>
        <v>2.742E-4</v>
      </c>
      <c r="EF5" s="10">
        <f t="shared" si="135"/>
        <v>2.4699999999999999E-4</v>
      </c>
      <c r="EG5" s="10">
        <f t="shared" si="136"/>
        <v>2.2330000000000001E-4</v>
      </c>
      <c r="EH5" s="10">
        <f t="shared" si="137"/>
        <v>2.0259999999999999E-4</v>
      </c>
      <c r="EI5" s="10">
        <f t="shared" si="138"/>
        <v>1.8440000000000001E-4</v>
      </c>
      <c r="EJ5" s="10">
        <f t="shared" si="139"/>
        <v>1.685E-4</v>
      </c>
      <c r="EK5" s="10">
        <f t="shared" si="140"/>
        <v>1.5440000000000001E-4</v>
      </c>
      <c r="EL5" s="10">
        <f t="shared" si="141"/>
        <v>1.4200000000000001E-4</v>
      </c>
      <c r="EM5" s="10">
        <f t="shared" si="142"/>
        <v>1.3100000000000001E-4</v>
      </c>
      <c r="EN5" s="10">
        <f t="shared" si="143"/>
        <v>1.2129999999999999E-4</v>
      </c>
      <c r="EO5" s="10">
        <f t="shared" si="144"/>
        <v>1.126E-4</v>
      </c>
      <c r="EP5" s="10">
        <f t="shared" si="145"/>
        <v>1.048E-4</v>
      </c>
      <c r="EQ5" s="10">
        <f t="shared" si="146"/>
        <v>9.7899999999999994E-5</v>
      </c>
      <c r="ER5" s="10">
        <f t="shared" si="147"/>
        <v>9.1700000000000006E-5</v>
      </c>
      <c r="ES5" s="10">
        <f t="shared" si="148"/>
        <v>8.6100000000000006E-5</v>
      </c>
      <c r="ET5" s="10">
        <f t="shared" si="149"/>
        <v>8.1100000000000006E-5</v>
      </c>
      <c r="EU5" s="10">
        <f t="shared" si="150"/>
        <v>7.6500000000000003E-5</v>
      </c>
      <c r="EV5" s="10">
        <f t="shared" si="151"/>
        <v>7.2399999999999998E-5</v>
      </c>
      <c r="EW5" s="10">
        <f t="shared" si="152"/>
        <v>6.86E-5</v>
      </c>
      <c r="EX5" s="10">
        <f t="shared" si="153"/>
        <v>6.5199999999999999E-5</v>
      </c>
      <c r="EY5" s="10">
        <f t="shared" si="154"/>
        <v>6.2000000000000003E-5</v>
      </c>
      <c r="EZ5" s="10">
        <f t="shared" si="155"/>
        <v>5.8999999999999998E-5</v>
      </c>
      <c r="FA5" s="10">
        <f t="shared" si="156"/>
        <v>5.63E-5</v>
      </c>
      <c r="FB5" s="10">
        <f t="shared" si="157"/>
        <v>5.38E-5</v>
      </c>
      <c r="FC5" s="10">
        <f t="shared" si="158"/>
        <v>5.1499999999999998E-5</v>
      </c>
      <c r="FD5" s="10">
        <f t="shared" si="159"/>
        <v>4.9299999999999999E-5</v>
      </c>
      <c r="FE5" s="10">
        <f t="shared" si="160"/>
        <v>4.7299999999999998E-5</v>
      </c>
      <c r="FF5" s="10">
        <f t="shared" si="161"/>
        <v>4.5399999999999999E-5</v>
      </c>
      <c r="FG5" s="10">
        <f t="shared" si="162"/>
        <v>4.3600000000000003E-5</v>
      </c>
      <c r="FH5" s="10">
        <f t="shared" si="163"/>
        <v>4.1999999999999998E-5</v>
      </c>
      <c r="FI5" s="10">
        <f t="shared" si="164"/>
        <v>4.0500000000000002E-5</v>
      </c>
      <c r="FJ5" s="10">
        <f t="shared" si="165"/>
        <v>3.8999999999999999E-5</v>
      </c>
      <c r="FK5" s="10">
        <f t="shared" si="166"/>
        <v>3.7700000000000002E-5</v>
      </c>
      <c r="FL5" s="10">
        <f t="shared" si="167"/>
        <v>3.65E-5</v>
      </c>
      <c r="FM5" s="10">
        <f t="shared" si="168"/>
        <v>3.5299999999999997E-5</v>
      </c>
      <c r="FN5" s="10">
        <f t="shared" si="169"/>
        <v>3.4199999999999998E-5</v>
      </c>
      <c r="FO5" s="10">
        <f t="shared" si="170"/>
        <v>3.3200000000000001E-5</v>
      </c>
      <c r="FP5" s="10">
        <f t="shared" si="171"/>
        <v>3.2299999999999999E-5</v>
      </c>
      <c r="FQ5" s="10">
        <f t="shared" si="172"/>
        <v>3.1399999999999998E-5</v>
      </c>
      <c r="FR5" s="10">
        <f t="shared" si="173"/>
        <v>3.0499999999999999E-5</v>
      </c>
      <c r="FS5" s="10">
        <f t="shared" si="174"/>
        <v>2.9799999999999999E-5</v>
      </c>
      <c r="FT5" s="10">
        <f t="shared" si="175"/>
        <v>2.9E-5</v>
      </c>
      <c r="FU5" s="10">
        <f t="shared" si="176"/>
        <v>2.83E-5</v>
      </c>
      <c r="FV5" s="10">
        <f t="shared" si="177"/>
        <v>2.7699999999999999E-5</v>
      </c>
      <c r="FW5" s="10">
        <f t="shared" si="178"/>
        <v>2.6999999999999999E-5</v>
      </c>
      <c r="FX5" s="10">
        <f t="shared" si="179"/>
        <v>2.65E-5</v>
      </c>
      <c r="FY5" s="10">
        <f t="shared" si="180"/>
        <v>2.5899999999999999E-5</v>
      </c>
      <c r="FZ5" s="10">
        <f t="shared" si="181"/>
        <v>2.5400000000000001E-5</v>
      </c>
      <c r="GA5" s="10">
        <f t="shared" si="182"/>
        <v>2.4899999999999999E-5</v>
      </c>
      <c r="GB5" s="10">
        <f t="shared" si="183"/>
        <v>2.44E-5</v>
      </c>
      <c r="GC5" s="10">
        <f t="shared" si="184"/>
        <v>2.3900000000000002E-5</v>
      </c>
      <c r="GD5" s="10">
        <f t="shared" si="185"/>
        <v>2.3499999999999999E-5</v>
      </c>
      <c r="GE5" s="10">
        <f t="shared" si="186"/>
        <v>2.3099999999999999E-5</v>
      </c>
      <c r="GF5" s="10">
        <f t="shared" si="187"/>
        <v>2.27E-5</v>
      </c>
      <c r="GG5" s="10">
        <f t="shared" si="188"/>
        <v>2.23E-5</v>
      </c>
      <c r="GH5" s="10">
        <f t="shared" si="189"/>
        <v>2.19E-5</v>
      </c>
      <c r="GI5" s="10">
        <f t="shared" si="190"/>
        <v>2.16E-5</v>
      </c>
      <c r="GJ5" s="10">
        <f t="shared" si="191"/>
        <v>2.12E-5</v>
      </c>
      <c r="GK5" s="10">
        <f t="shared" si="192"/>
        <v>2.09E-5</v>
      </c>
      <c r="GL5" s="10">
        <f t="shared" si="193"/>
        <v>2.0599999999999999E-5</v>
      </c>
      <c r="GM5" s="10">
        <f t="shared" si="194"/>
        <v>2.0299999999999999E-5</v>
      </c>
      <c r="GN5" s="10">
        <f t="shared" si="195"/>
        <v>1.9899999999999999E-5</v>
      </c>
      <c r="GO5" s="10">
        <f t="shared" si="196"/>
        <v>1.9700000000000001E-5</v>
      </c>
      <c r="GP5" s="10">
        <f t="shared" si="197"/>
        <v>1.9400000000000001E-5</v>
      </c>
      <c r="GQ5" s="10">
        <f t="shared" si="198"/>
        <v>1.91E-5</v>
      </c>
      <c r="GR5" s="10">
        <f t="shared" si="199"/>
        <v>1.88E-5</v>
      </c>
      <c r="GS5" s="10">
        <f t="shared" si="200"/>
        <v>1.8499999999999999E-5</v>
      </c>
      <c r="GT5" s="10">
        <f t="shared" si="201"/>
        <v>1.8300000000000001E-5</v>
      </c>
      <c r="GU5" s="10">
        <f t="shared" si="202"/>
        <v>1.8E-5</v>
      </c>
      <c r="GV5" s="10">
        <f t="shared" si="203"/>
        <v>1.7799999999999999E-5</v>
      </c>
      <c r="GW5" s="10">
        <f t="shared" si="204"/>
        <v>1.7499999999999998E-5</v>
      </c>
      <c r="GX5" s="10">
        <f t="shared" si="205"/>
        <v>1.73E-5</v>
      </c>
      <c r="GY5" s="10">
        <f t="shared" si="206"/>
        <v>1.7E-5</v>
      </c>
      <c r="GZ5" s="10">
        <f t="shared" si="207"/>
        <v>1.6799999999999998E-5</v>
      </c>
      <c r="HA5" s="10">
        <f t="shared" si="208"/>
        <v>1.66E-5</v>
      </c>
      <c r="HB5" s="10">
        <f t="shared" si="209"/>
        <v>1.6399999999999999E-5</v>
      </c>
      <c r="HC5" s="10">
        <f t="shared" si="210"/>
        <v>1.6099999999999998E-5</v>
      </c>
      <c r="HD5" s="10">
        <f t="shared" si="211"/>
        <v>1.59E-5</v>
      </c>
      <c r="HE5" s="10">
        <f t="shared" si="212"/>
        <v>1.5699999999999999E-5</v>
      </c>
      <c r="HF5" s="10">
        <f t="shared" si="213"/>
        <v>1.5500000000000001E-5</v>
      </c>
      <c r="HG5" s="10">
        <f t="shared" si="214"/>
        <v>1.5299999999999999E-5</v>
      </c>
      <c r="HH5" s="10">
        <f t="shared" si="215"/>
        <v>1.5099999999999999E-5</v>
      </c>
      <c r="HI5" s="10">
        <f t="shared" si="216"/>
        <v>1.49E-5</v>
      </c>
      <c r="HJ5" s="10">
        <f t="shared" si="217"/>
        <v>1.47E-5</v>
      </c>
      <c r="HK5" s="10">
        <f t="shared" si="218"/>
        <v>1.45E-5</v>
      </c>
      <c r="HL5" s="10">
        <f t="shared" si="219"/>
        <v>1.43E-5</v>
      </c>
      <c r="HM5" s="10">
        <f t="shared" si="220"/>
        <v>1.4100000000000001E-5</v>
      </c>
      <c r="HN5" s="10">
        <f t="shared" si="221"/>
        <v>1.3900000000000001E-5</v>
      </c>
      <c r="HO5" s="10">
        <f t="shared" si="222"/>
        <v>1.3699999999999999E-5</v>
      </c>
      <c r="HP5" s="10">
        <f t="shared" si="223"/>
        <v>1.3499999999999999E-5</v>
      </c>
      <c r="HQ5" s="10">
        <f t="shared" si="224"/>
        <v>1.33E-5</v>
      </c>
      <c r="HR5" s="10">
        <f t="shared" si="225"/>
        <v>1.31E-5</v>
      </c>
      <c r="HS5" s="10">
        <f t="shared" si="226"/>
        <v>1.2999999999999999E-5</v>
      </c>
      <c r="HT5" s="10">
        <f t="shared" si="227"/>
        <v>1.2799999999999999E-5</v>
      </c>
      <c r="HU5" s="10">
        <f t="shared" si="228"/>
        <v>1.26E-5</v>
      </c>
      <c r="HV5" s="10">
        <f t="shared" si="229"/>
        <v>1.24E-5</v>
      </c>
      <c r="HW5" s="10">
        <f t="shared" si="230"/>
        <v>1.2300000000000001E-5</v>
      </c>
      <c r="HX5" s="10">
        <f t="shared" si="231"/>
        <v>1.2099999999999999E-5</v>
      </c>
      <c r="HY5" s="10">
        <f t="shared" si="232"/>
        <v>1.19E-5</v>
      </c>
      <c r="HZ5" s="10">
        <f t="shared" si="233"/>
        <v>1.1800000000000001E-5</v>
      </c>
      <c r="IA5" s="10">
        <f t="shared" si="234"/>
        <v>1.1600000000000001E-5</v>
      </c>
      <c r="IB5" s="10">
        <f t="shared" si="235"/>
        <v>1.1399999999999999E-5</v>
      </c>
      <c r="IC5" s="10">
        <f t="shared" si="236"/>
        <v>1.13E-5</v>
      </c>
      <c r="ID5" s="10">
        <f t="shared" si="237"/>
        <v>1.11E-5</v>
      </c>
      <c r="IE5" s="10">
        <f t="shared" si="238"/>
        <v>1.1E-5</v>
      </c>
      <c r="IF5" s="10">
        <f t="shared" si="239"/>
        <v>1.08E-5</v>
      </c>
      <c r="IG5" s="10">
        <f t="shared" si="240"/>
        <v>7.5480000000000002E-4</v>
      </c>
      <c r="JL5" s="1">
        <f t="shared" si="246"/>
        <v>2010</v>
      </c>
      <c r="JM5">
        <f>JA18</f>
        <v>2.4176454214965459</v>
      </c>
      <c r="JN5">
        <f t="shared" ref="JN5:JU5" si="248">JB18</f>
        <v>-10.216355286656627</v>
      </c>
      <c r="JO5">
        <f t="shared" si="248"/>
        <v>-4.0286555112509674</v>
      </c>
      <c r="JP5">
        <f t="shared" si="248"/>
        <v>-3.8382922685441065</v>
      </c>
      <c r="JQ5">
        <f t="shared" si="248"/>
        <v>-2.6732848120853485</v>
      </c>
      <c r="JR5">
        <f t="shared" si="248"/>
        <v>-0.96885831514698617</v>
      </c>
      <c r="JS5">
        <f t="shared" si="248"/>
        <v>-0.30265643747366022</v>
      </c>
      <c r="JT5">
        <f t="shared" si="248"/>
        <v>-0.42880935403409315</v>
      </c>
      <c r="JU5">
        <f t="shared" si="248"/>
        <v>-0.25924437898780356</v>
      </c>
    </row>
    <row r="6" spans="1:301" s="1" customFormat="1" x14ac:dyDescent="0.35">
      <c r="A6" s="1">
        <f t="shared" si="0"/>
        <v>-2</v>
      </c>
      <c r="B6" s="10">
        <f t="shared" si="1"/>
        <v>1.0654E-2</v>
      </c>
      <c r="C6" s="10">
        <f t="shared" si="2"/>
        <v>1.0654E-2</v>
      </c>
      <c r="D6" s="10">
        <f t="shared" si="3"/>
        <v>1.06058E-2</v>
      </c>
      <c r="E6" s="10">
        <f t="shared" si="4"/>
        <v>1.04361E-2</v>
      </c>
      <c r="F6" s="10">
        <f t="shared" si="5"/>
        <v>9.7535E-3</v>
      </c>
      <c r="G6" s="10">
        <f t="shared" si="6"/>
        <v>9.1403999999999999E-3</v>
      </c>
      <c r="H6" s="10">
        <f t="shared" si="7"/>
        <v>8.5669000000000006E-3</v>
      </c>
      <c r="I6" s="10">
        <f t="shared" si="8"/>
        <v>7.9711000000000001E-3</v>
      </c>
      <c r="J6" s="10">
        <f t="shared" si="9"/>
        <v>7.4428000000000003E-3</v>
      </c>
      <c r="K6" s="10">
        <f t="shared" si="10"/>
        <v>6.9601000000000003E-3</v>
      </c>
      <c r="L6" s="10">
        <f t="shared" si="11"/>
        <v>6.5317999999999999E-3</v>
      </c>
      <c r="M6" s="10">
        <f t="shared" si="12"/>
        <v>6.1491999999999996E-3</v>
      </c>
      <c r="N6" s="10">
        <f t="shared" si="13"/>
        <v>5.8079999999999998E-3</v>
      </c>
      <c r="O6" s="10">
        <f t="shared" si="14"/>
        <v>5.5024999999999996E-3</v>
      </c>
      <c r="P6" s="10">
        <f t="shared" si="15"/>
        <v>5.2283E-3</v>
      </c>
      <c r="Q6" s="10">
        <f t="shared" si="16"/>
        <v>4.9813000000000001E-3</v>
      </c>
      <c r="R6" s="10">
        <f t="shared" si="17"/>
        <v>4.7580000000000001E-3</v>
      </c>
      <c r="S6" s="10">
        <f t="shared" si="18"/>
        <v>4.5554000000000002E-3</v>
      </c>
      <c r="T6" s="10">
        <f t="shared" si="19"/>
        <v>4.3709999999999999E-3</v>
      </c>
      <c r="U6" s="10">
        <f t="shared" si="20"/>
        <v>4.2025999999999999E-3</v>
      </c>
      <c r="V6" s="10">
        <f t="shared" si="21"/>
        <v>4.0480999999999998E-3</v>
      </c>
      <c r="W6" s="10">
        <f t="shared" si="22"/>
        <v>3.9061E-3</v>
      </c>
      <c r="X6" s="10">
        <f t="shared" si="23"/>
        <v>3.7750000000000001E-3</v>
      </c>
      <c r="Y6" s="10">
        <f t="shared" si="24"/>
        <v>3.6537000000000002E-3</v>
      </c>
      <c r="Z6" s="10">
        <f t="shared" si="25"/>
        <v>3.5412E-3</v>
      </c>
      <c r="AA6" s="10">
        <f t="shared" si="26"/>
        <v>3.4364E-3</v>
      </c>
      <c r="AB6" s="10">
        <f t="shared" si="27"/>
        <v>3.3384999999999999E-3</v>
      </c>
      <c r="AC6" s="10">
        <f t="shared" si="28"/>
        <v>3.2468000000000002E-3</v>
      </c>
      <c r="AD6" s="10">
        <f t="shared" si="29"/>
        <v>3.1606999999999998E-3</v>
      </c>
      <c r="AE6" s="10">
        <f t="shared" si="30"/>
        <v>3.0796999999999999E-3</v>
      </c>
      <c r="AF6" s="10">
        <f t="shared" si="31"/>
        <v>3.0030999999999999E-3</v>
      </c>
      <c r="AG6" s="10">
        <f t="shared" si="32"/>
        <v>2.9307000000000001E-3</v>
      </c>
      <c r="AH6" s="10">
        <f t="shared" si="33"/>
        <v>2.8620999999999998E-3</v>
      </c>
      <c r="AI6" s="10">
        <f t="shared" si="34"/>
        <v>2.7969000000000002E-3</v>
      </c>
      <c r="AJ6" s="10">
        <f t="shared" si="35"/>
        <v>2.7349000000000002E-3</v>
      </c>
      <c r="AK6" s="10">
        <f t="shared" si="36"/>
        <v>2.6759000000000002E-3</v>
      </c>
      <c r="AL6" s="10">
        <f t="shared" si="37"/>
        <v>2.6194999999999999E-3</v>
      </c>
      <c r="AM6" s="10">
        <f t="shared" si="38"/>
        <v>2.5657000000000002E-3</v>
      </c>
      <c r="AN6" s="10">
        <f t="shared" si="39"/>
        <v>2.5143000000000001E-3</v>
      </c>
      <c r="AO6" s="10">
        <f t="shared" si="40"/>
        <v>2.4650000000000002E-3</v>
      </c>
      <c r="AP6" s="10">
        <f t="shared" si="41"/>
        <v>2.4177000000000001E-3</v>
      </c>
      <c r="AQ6" s="10">
        <f t="shared" si="42"/>
        <v>2.3722999999999999E-3</v>
      </c>
      <c r="AR6" s="10">
        <f t="shared" si="43"/>
        <v>2.3287E-3</v>
      </c>
      <c r="AS6" s="10">
        <f t="shared" si="44"/>
        <v>2.2867E-3</v>
      </c>
      <c r="AT6" s="10">
        <f t="shared" si="45"/>
        <v>2.2461999999999998E-3</v>
      </c>
      <c r="AU6" s="10">
        <f t="shared" si="46"/>
        <v>2.2071999999999999E-3</v>
      </c>
      <c r="AV6" s="10">
        <f t="shared" si="47"/>
        <v>2.1695E-3</v>
      </c>
      <c r="AW6" s="10">
        <f t="shared" si="48"/>
        <v>2.1329999999999999E-3</v>
      </c>
      <c r="AX6" s="10">
        <f t="shared" si="49"/>
        <v>2.0977000000000001E-3</v>
      </c>
      <c r="AY6" s="10">
        <f t="shared" si="50"/>
        <v>2.0634E-3</v>
      </c>
      <c r="AZ6" s="10">
        <f t="shared" si="51"/>
        <v>2.0301999999999998E-3</v>
      </c>
      <c r="BA6" s="10">
        <f t="shared" si="52"/>
        <v>1.9980000000000002E-3</v>
      </c>
      <c r="BB6" s="10">
        <f t="shared" si="53"/>
        <v>1.9666000000000002E-3</v>
      </c>
      <c r="BC6" s="10">
        <f t="shared" si="54"/>
        <v>1.9361000000000001E-3</v>
      </c>
      <c r="BD6" s="10">
        <f t="shared" si="55"/>
        <v>1.9063000000000001E-3</v>
      </c>
      <c r="BE6" s="10">
        <f t="shared" si="56"/>
        <v>1.8772999999999999E-3</v>
      </c>
      <c r="BF6" s="10">
        <f t="shared" si="57"/>
        <v>1.8489999999999999E-3</v>
      </c>
      <c r="BG6" s="10">
        <f t="shared" si="58"/>
        <v>1.8213000000000001E-3</v>
      </c>
      <c r="BH6" s="10">
        <f t="shared" si="59"/>
        <v>1.7943E-3</v>
      </c>
      <c r="BI6" s="10">
        <f t="shared" si="60"/>
        <v>1.7677999999999999E-3</v>
      </c>
      <c r="BJ6" s="10">
        <f t="shared" si="61"/>
        <v>1.7419E-3</v>
      </c>
      <c r="BK6" s="10">
        <f t="shared" si="62"/>
        <v>1.7166E-3</v>
      </c>
      <c r="BL6" s="10">
        <f t="shared" si="63"/>
        <v>1.6917E-3</v>
      </c>
      <c r="BM6" s="10">
        <f t="shared" si="64"/>
        <v>1.6673E-3</v>
      </c>
      <c r="BN6" s="10">
        <f t="shared" si="65"/>
        <v>1.6433999999999999E-3</v>
      </c>
      <c r="BO6" s="10">
        <f t="shared" si="66"/>
        <v>1.6199000000000001E-3</v>
      </c>
      <c r="BP6" s="10">
        <f t="shared" si="67"/>
        <v>1.5968E-3</v>
      </c>
      <c r="BQ6" s="10">
        <f t="shared" si="68"/>
        <v>1.5740999999999999E-3</v>
      </c>
      <c r="BR6" s="10">
        <f t="shared" si="69"/>
        <v>1.5518000000000001E-3</v>
      </c>
      <c r="BS6" s="10">
        <f t="shared" si="70"/>
        <v>1.5299000000000001E-3</v>
      </c>
      <c r="BT6" s="10">
        <f t="shared" si="71"/>
        <v>1.5083E-3</v>
      </c>
      <c r="BU6" s="10">
        <f t="shared" si="72"/>
        <v>1.4871000000000001E-3</v>
      </c>
      <c r="BV6" s="10">
        <f t="shared" si="73"/>
        <v>1.4662E-3</v>
      </c>
      <c r="BW6" s="10">
        <f t="shared" si="74"/>
        <v>1.4457000000000001E-3</v>
      </c>
      <c r="BX6" s="10">
        <f t="shared" si="75"/>
        <v>1.4254000000000001E-3</v>
      </c>
      <c r="BY6" s="10">
        <f t="shared" si="76"/>
        <v>1.4055000000000001E-3</v>
      </c>
      <c r="BZ6" s="10">
        <f t="shared" si="77"/>
        <v>1.3858E-3</v>
      </c>
      <c r="CA6" s="10">
        <f t="shared" si="78"/>
        <v>1.3664E-3</v>
      </c>
      <c r="CB6" s="10">
        <f t="shared" si="79"/>
        <v>1.3473999999999999E-3</v>
      </c>
      <c r="CC6" s="10">
        <f t="shared" si="80"/>
        <v>1.3285E-3</v>
      </c>
      <c r="CD6" s="10">
        <f t="shared" si="81"/>
        <v>1.31E-3</v>
      </c>
      <c r="CE6" s="10">
        <f t="shared" si="82"/>
        <v>1.2917E-3</v>
      </c>
      <c r="CF6" s="10">
        <f t="shared" si="83"/>
        <v>1.2737E-3</v>
      </c>
      <c r="CG6" s="10">
        <f t="shared" si="84"/>
        <v>1.2558999999999999E-3</v>
      </c>
      <c r="CH6" s="10">
        <f t="shared" si="85"/>
        <v>1.2384E-3</v>
      </c>
      <c r="CI6" s="10">
        <f t="shared" si="86"/>
        <v>1.2210999999999999E-3</v>
      </c>
      <c r="CJ6" s="10">
        <f t="shared" si="87"/>
        <v>1.2041E-3</v>
      </c>
      <c r="CK6" s="10">
        <f t="shared" si="88"/>
        <v>1.1873000000000001E-3</v>
      </c>
      <c r="CL6" s="10">
        <f t="shared" si="89"/>
        <v>1.1707E-3</v>
      </c>
      <c r="CM6" s="10">
        <f t="shared" si="90"/>
        <v>1.1543E-3</v>
      </c>
      <c r="CN6" s="10">
        <f t="shared" si="91"/>
        <v>1.1382E-3</v>
      </c>
      <c r="CO6" s="10">
        <f t="shared" si="92"/>
        <v>1.1222999999999999E-3</v>
      </c>
      <c r="CP6" s="10">
        <f t="shared" si="93"/>
        <v>1.1065999999999999E-3</v>
      </c>
      <c r="CQ6" s="10">
        <f t="shared" si="94"/>
        <v>1.0911E-3</v>
      </c>
      <c r="CR6" s="10">
        <f t="shared" si="95"/>
        <v>1.0759000000000001E-3</v>
      </c>
      <c r="CS6" s="10">
        <f t="shared" si="96"/>
        <v>1.0608E-3</v>
      </c>
      <c r="CT6" s="10">
        <f t="shared" si="97"/>
        <v>1.0459E-3</v>
      </c>
      <c r="CU6" s="10">
        <f t="shared" si="98"/>
        <v>1.0313E-3</v>
      </c>
      <c r="CV6" s="10">
        <f t="shared" si="99"/>
        <v>1.0168E-3</v>
      </c>
      <c r="CW6" s="10">
        <f t="shared" si="100"/>
        <v>1.0026E-3</v>
      </c>
      <c r="CX6" s="10">
        <f t="shared" si="101"/>
        <v>9.8850000000000001E-4</v>
      </c>
      <c r="CY6" s="10">
        <f t="shared" si="102"/>
        <v>9.7460000000000005E-4</v>
      </c>
      <c r="CZ6" s="10">
        <f t="shared" si="103"/>
        <v>9.6089999999999999E-4</v>
      </c>
      <c r="DA6" s="10">
        <f t="shared" si="104"/>
        <v>9.4740000000000004E-4</v>
      </c>
      <c r="DB6" s="10">
        <f t="shared" si="105"/>
        <v>9.3409999999999999E-4</v>
      </c>
      <c r="DC6" s="10">
        <f t="shared" si="106"/>
        <v>9.2100000000000005E-4</v>
      </c>
      <c r="DD6" s="10">
        <f t="shared" si="107"/>
        <v>9.0799999999999995E-4</v>
      </c>
      <c r="DE6" s="10">
        <f t="shared" si="108"/>
        <v>8.9519999999999997E-4</v>
      </c>
      <c r="DF6" s="10">
        <f t="shared" si="109"/>
        <v>8.8259999999999999E-4</v>
      </c>
      <c r="DG6" s="10">
        <f t="shared" si="110"/>
        <v>8.7020000000000001E-4</v>
      </c>
      <c r="DH6" s="10">
        <f t="shared" si="111"/>
        <v>8.5789999999999998E-4</v>
      </c>
      <c r="DI6" s="10">
        <f t="shared" si="112"/>
        <v>8.4579999999999996E-4</v>
      </c>
      <c r="DJ6" s="10">
        <f t="shared" si="113"/>
        <v>8.3390000000000005E-4</v>
      </c>
      <c r="DK6" s="10">
        <f t="shared" si="114"/>
        <v>8.2209999999999998E-4</v>
      </c>
      <c r="DL6" s="10">
        <f t="shared" si="115"/>
        <v>8.1050000000000002E-4</v>
      </c>
      <c r="DM6" s="10">
        <f t="shared" si="116"/>
        <v>7.9909999999999996E-4</v>
      </c>
      <c r="DN6" s="10">
        <f t="shared" si="117"/>
        <v>7.8779999999999996E-4</v>
      </c>
      <c r="DO6" s="10">
        <f t="shared" si="118"/>
        <v>7.7669999999999996E-4</v>
      </c>
      <c r="DP6" s="10">
        <f t="shared" si="119"/>
        <v>7.6570000000000002E-4</v>
      </c>
      <c r="DQ6" s="10">
        <f t="shared" si="120"/>
        <v>5.3164200000000002E-2</v>
      </c>
      <c r="DR6" s="10">
        <f t="shared" si="121"/>
        <v>0</v>
      </c>
      <c r="DS6" s="10">
        <f t="shared" si="122"/>
        <v>4.8199999999999999E-5</v>
      </c>
      <c r="DT6" s="10">
        <f t="shared" si="123"/>
        <v>1.697E-4</v>
      </c>
      <c r="DU6" s="10">
        <f t="shared" si="124"/>
        <v>6.826E-4</v>
      </c>
      <c r="DV6" s="10">
        <f t="shared" si="125"/>
        <v>6.1309999999999999E-4</v>
      </c>
      <c r="DW6" s="10">
        <f t="shared" si="126"/>
        <v>5.7359999999999996E-4</v>
      </c>
      <c r="DX6" s="10">
        <f t="shared" si="127"/>
        <v>5.9579999999999995E-4</v>
      </c>
      <c r="DY6" s="10">
        <f t="shared" si="128"/>
        <v>5.2820000000000005E-4</v>
      </c>
      <c r="DZ6" s="10">
        <f t="shared" si="129"/>
        <v>4.8280000000000003E-4</v>
      </c>
      <c r="EA6" s="10">
        <f t="shared" si="130"/>
        <v>4.283E-4</v>
      </c>
      <c r="EB6" s="10">
        <f t="shared" si="131"/>
        <v>3.8259999999999998E-4</v>
      </c>
      <c r="EC6" s="10">
        <f t="shared" si="132"/>
        <v>3.412E-4</v>
      </c>
      <c r="ED6" s="10">
        <f t="shared" si="133"/>
        <v>3.055E-4</v>
      </c>
      <c r="EE6" s="10">
        <f t="shared" si="134"/>
        <v>2.742E-4</v>
      </c>
      <c r="EF6" s="10">
        <f t="shared" si="135"/>
        <v>2.4699999999999999E-4</v>
      </c>
      <c r="EG6" s="10">
        <f t="shared" si="136"/>
        <v>2.2330000000000001E-4</v>
      </c>
      <c r="EH6" s="10">
        <f t="shared" si="137"/>
        <v>2.0259999999999999E-4</v>
      </c>
      <c r="EI6" s="10">
        <f t="shared" si="138"/>
        <v>1.8440000000000001E-4</v>
      </c>
      <c r="EJ6" s="10">
        <f t="shared" si="139"/>
        <v>1.685E-4</v>
      </c>
      <c r="EK6" s="10">
        <f t="shared" si="140"/>
        <v>1.5440000000000001E-4</v>
      </c>
      <c r="EL6" s="10">
        <f t="shared" si="141"/>
        <v>1.4200000000000001E-4</v>
      </c>
      <c r="EM6" s="10">
        <f t="shared" si="142"/>
        <v>1.3100000000000001E-4</v>
      </c>
      <c r="EN6" s="10">
        <f t="shared" si="143"/>
        <v>1.2129999999999999E-4</v>
      </c>
      <c r="EO6" s="10">
        <f t="shared" si="144"/>
        <v>1.126E-4</v>
      </c>
      <c r="EP6" s="10">
        <f t="shared" si="145"/>
        <v>1.048E-4</v>
      </c>
      <c r="EQ6" s="10">
        <f t="shared" si="146"/>
        <v>9.7899999999999994E-5</v>
      </c>
      <c r="ER6" s="10">
        <f t="shared" si="147"/>
        <v>9.1700000000000006E-5</v>
      </c>
      <c r="ES6" s="10">
        <f t="shared" si="148"/>
        <v>8.6100000000000006E-5</v>
      </c>
      <c r="ET6" s="10">
        <f t="shared" si="149"/>
        <v>8.1100000000000006E-5</v>
      </c>
      <c r="EU6" s="10">
        <f t="shared" si="150"/>
        <v>7.6500000000000003E-5</v>
      </c>
      <c r="EV6" s="10">
        <f t="shared" si="151"/>
        <v>7.2399999999999998E-5</v>
      </c>
      <c r="EW6" s="10">
        <f t="shared" si="152"/>
        <v>6.86E-5</v>
      </c>
      <c r="EX6" s="10">
        <f t="shared" si="153"/>
        <v>6.5199999999999999E-5</v>
      </c>
      <c r="EY6" s="10">
        <f t="shared" si="154"/>
        <v>6.2000000000000003E-5</v>
      </c>
      <c r="EZ6" s="10">
        <f t="shared" si="155"/>
        <v>5.8999999999999998E-5</v>
      </c>
      <c r="FA6" s="10">
        <f t="shared" si="156"/>
        <v>5.63E-5</v>
      </c>
      <c r="FB6" s="10">
        <f t="shared" si="157"/>
        <v>5.38E-5</v>
      </c>
      <c r="FC6" s="10">
        <f t="shared" si="158"/>
        <v>5.1499999999999998E-5</v>
      </c>
      <c r="FD6" s="10">
        <f t="shared" si="159"/>
        <v>4.9299999999999999E-5</v>
      </c>
      <c r="FE6" s="10">
        <f t="shared" si="160"/>
        <v>4.7299999999999998E-5</v>
      </c>
      <c r="FF6" s="10">
        <f t="shared" si="161"/>
        <v>4.5399999999999999E-5</v>
      </c>
      <c r="FG6" s="10">
        <f t="shared" si="162"/>
        <v>4.3600000000000003E-5</v>
      </c>
      <c r="FH6" s="10">
        <f t="shared" si="163"/>
        <v>4.1999999999999998E-5</v>
      </c>
      <c r="FI6" s="10">
        <f t="shared" si="164"/>
        <v>4.0500000000000002E-5</v>
      </c>
      <c r="FJ6" s="10">
        <f t="shared" si="165"/>
        <v>3.8999999999999999E-5</v>
      </c>
      <c r="FK6" s="10">
        <f t="shared" si="166"/>
        <v>3.7700000000000002E-5</v>
      </c>
      <c r="FL6" s="10">
        <f t="shared" si="167"/>
        <v>3.65E-5</v>
      </c>
      <c r="FM6" s="10">
        <f t="shared" si="168"/>
        <v>3.5299999999999997E-5</v>
      </c>
      <c r="FN6" s="10">
        <f t="shared" si="169"/>
        <v>3.4199999999999998E-5</v>
      </c>
      <c r="FO6" s="10">
        <f t="shared" si="170"/>
        <v>3.3200000000000001E-5</v>
      </c>
      <c r="FP6" s="10">
        <f t="shared" si="171"/>
        <v>3.2299999999999999E-5</v>
      </c>
      <c r="FQ6" s="10">
        <f t="shared" si="172"/>
        <v>3.1399999999999998E-5</v>
      </c>
      <c r="FR6" s="10">
        <f t="shared" si="173"/>
        <v>3.0499999999999999E-5</v>
      </c>
      <c r="FS6" s="10">
        <f t="shared" si="174"/>
        <v>2.9799999999999999E-5</v>
      </c>
      <c r="FT6" s="10">
        <f t="shared" si="175"/>
        <v>2.9E-5</v>
      </c>
      <c r="FU6" s="10">
        <f t="shared" si="176"/>
        <v>2.83E-5</v>
      </c>
      <c r="FV6" s="10">
        <f t="shared" si="177"/>
        <v>2.7699999999999999E-5</v>
      </c>
      <c r="FW6" s="10">
        <f t="shared" si="178"/>
        <v>2.6999999999999999E-5</v>
      </c>
      <c r="FX6" s="10">
        <f t="shared" si="179"/>
        <v>2.65E-5</v>
      </c>
      <c r="FY6" s="10">
        <f t="shared" si="180"/>
        <v>2.5899999999999999E-5</v>
      </c>
      <c r="FZ6" s="10">
        <f t="shared" si="181"/>
        <v>2.5400000000000001E-5</v>
      </c>
      <c r="GA6" s="10">
        <f t="shared" si="182"/>
        <v>2.4899999999999999E-5</v>
      </c>
      <c r="GB6" s="10">
        <f t="shared" si="183"/>
        <v>2.44E-5</v>
      </c>
      <c r="GC6" s="10">
        <f t="shared" si="184"/>
        <v>2.3900000000000002E-5</v>
      </c>
      <c r="GD6" s="10">
        <f t="shared" si="185"/>
        <v>2.3499999999999999E-5</v>
      </c>
      <c r="GE6" s="10">
        <f t="shared" si="186"/>
        <v>2.3099999999999999E-5</v>
      </c>
      <c r="GF6" s="10">
        <f t="shared" si="187"/>
        <v>2.27E-5</v>
      </c>
      <c r="GG6" s="10">
        <f t="shared" si="188"/>
        <v>2.23E-5</v>
      </c>
      <c r="GH6" s="10">
        <f t="shared" si="189"/>
        <v>2.19E-5</v>
      </c>
      <c r="GI6" s="10">
        <f t="shared" si="190"/>
        <v>2.16E-5</v>
      </c>
      <c r="GJ6" s="10">
        <f t="shared" si="191"/>
        <v>2.12E-5</v>
      </c>
      <c r="GK6" s="10">
        <f t="shared" si="192"/>
        <v>2.09E-5</v>
      </c>
      <c r="GL6" s="10">
        <f t="shared" si="193"/>
        <v>2.0599999999999999E-5</v>
      </c>
      <c r="GM6" s="10">
        <f t="shared" si="194"/>
        <v>2.0299999999999999E-5</v>
      </c>
      <c r="GN6" s="10">
        <f t="shared" si="195"/>
        <v>1.9899999999999999E-5</v>
      </c>
      <c r="GO6" s="10">
        <f t="shared" si="196"/>
        <v>1.9700000000000001E-5</v>
      </c>
      <c r="GP6" s="10">
        <f t="shared" si="197"/>
        <v>1.9400000000000001E-5</v>
      </c>
      <c r="GQ6" s="10">
        <f t="shared" si="198"/>
        <v>1.91E-5</v>
      </c>
      <c r="GR6" s="10">
        <f t="shared" si="199"/>
        <v>1.88E-5</v>
      </c>
      <c r="GS6" s="10">
        <f t="shared" si="200"/>
        <v>1.8499999999999999E-5</v>
      </c>
      <c r="GT6" s="10">
        <f t="shared" si="201"/>
        <v>1.8300000000000001E-5</v>
      </c>
      <c r="GU6" s="10">
        <f t="shared" si="202"/>
        <v>1.8E-5</v>
      </c>
      <c r="GV6" s="10">
        <f t="shared" si="203"/>
        <v>1.7799999999999999E-5</v>
      </c>
      <c r="GW6" s="10">
        <f t="shared" si="204"/>
        <v>1.7499999999999998E-5</v>
      </c>
      <c r="GX6" s="10">
        <f t="shared" si="205"/>
        <v>1.73E-5</v>
      </c>
      <c r="GY6" s="10">
        <f t="shared" si="206"/>
        <v>1.7E-5</v>
      </c>
      <c r="GZ6" s="10">
        <f t="shared" si="207"/>
        <v>1.6799999999999998E-5</v>
      </c>
      <c r="HA6" s="10">
        <f t="shared" si="208"/>
        <v>1.66E-5</v>
      </c>
      <c r="HB6" s="10">
        <f t="shared" si="209"/>
        <v>1.6399999999999999E-5</v>
      </c>
      <c r="HC6" s="10">
        <f t="shared" si="210"/>
        <v>1.6099999999999998E-5</v>
      </c>
      <c r="HD6" s="10">
        <f t="shared" si="211"/>
        <v>1.59E-5</v>
      </c>
      <c r="HE6" s="10">
        <f t="shared" si="212"/>
        <v>1.5699999999999999E-5</v>
      </c>
      <c r="HF6" s="10">
        <f t="shared" si="213"/>
        <v>1.5500000000000001E-5</v>
      </c>
      <c r="HG6" s="10">
        <f t="shared" si="214"/>
        <v>1.5299999999999999E-5</v>
      </c>
      <c r="HH6" s="10">
        <f t="shared" si="215"/>
        <v>1.5099999999999999E-5</v>
      </c>
      <c r="HI6" s="10">
        <f t="shared" si="216"/>
        <v>1.49E-5</v>
      </c>
      <c r="HJ6" s="10">
        <f t="shared" si="217"/>
        <v>1.47E-5</v>
      </c>
      <c r="HK6" s="10">
        <f t="shared" si="218"/>
        <v>1.45E-5</v>
      </c>
      <c r="HL6" s="10">
        <f t="shared" si="219"/>
        <v>1.43E-5</v>
      </c>
      <c r="HM6" s="10">
        <f t="shared" si="220"/>
        <v>1.4100000000000001E-5</v>
      </c>
      <c r="HN6" s="10">
        <f t="shared" si="221"/>
        <v>1.3900000000000001E-5</v>
      </c>
      <c r="HO6" s="10">
        <f t="shared" si="222"/>
        <v>1.3699999999999999E-5</v>
      </c>
      <c r="HP6" s="10">
        <f t="shared" si="223"/>
        <v>1.3499999999999999E-5</v>
      </c>
      <c r="HQ6" s="10">
        <f t="shared" si="224"/>
        <v>1.33E-5</v>
      </c>
      <c r="HR6" s="10">
        <f t="shared" si="225"/>
        <v>1.31E-5</v>
      </c>
      <c r="HS6" s="10">
        <f t="shared" si="226"/>
        <v>1.2999999999999999E-5</v>
      </c>
      <c r="HT6" s="10">
        <f t="shared" si="227"/>
        <v>1.2799999999999999E-5</v>
      </c>
      <c r="HU6" s="10">
        <f t="shared" si="228"/>
        <v>1.26E-5</v>
      </c>
      <c r="HV6" s="10">
        <f t="shared" si="229"/>
        <v>1.24E-5</v>
      </c>
      <c r="HW6" s="10">
        <f t="shared" si="230"/>
        <v>1.2300000000000001E-5</v>
      </c>
      <c r="HX6" s="10">
        <f t="shared" si="231"/>
        <v>1.2099999999999999E-5</v>
      </c>
      <c r="HY6" s="10">
        <f t="shared" si="232"/>
        <v>1.19E-5</v>
      </c>
      <c r="HZ6" s="10">
        <f t="shared" si="233"/>
        <v>1.1800000000000001E-5</v>
      </c>
      <c r="IA6" s="10">
        <f t="shared" si="234"/>
        <v>1.1600000000000001E-5</v>
      </c>
      <c r="IB6" s="10">
        <f t="shared" si="235"/>
        <v>1.1399999999999999E-5</v>
      </c>
      <c r="IC6" s="10">
        <f t="shared" si="236"/>
        <v>1.13E-5</v>
      </c>
      <c r="ID6" s="10">
        <f t="shared" si="237"/>
        <v>1.11E-5</v>
      </c>
      <c r="IE6" s="10">
        <f t="shared" si="238"/>
        <v>1.1E-5</v>
      </c>
      <c r="IF6" s="10">
        <f t="shared" si="239"/>
        <v>1.08E-5</v>
      </c>
      <c r="IG6" s="10">
        <f t="shared" si="240"/>
        <v>7.5480000000000002E-4</v>
      </c>
      <c r="JL6" s="1">
        <f t="shared" si="246"/>
        <v>2011</v>
      </c>
      <c r="JM6">
        <f>JA22</f>
        <v>5.1849082369348567</v>
      </c>
      <c r="JN6">
        <f t="shared" ref="JN6:JU6" si="249">JB22</f>
        <v>2.8740600622705044</v>
      </c>
      <c r="JO6">
        <f t="shared" si="249"/>
        <v>-11.293189719708758</v>
      </c>
      <c r="JP6">
        <f t="shared" si="249"/>
        <v>-5.0031444412189918</v>
      </c>
      <c r="JQ6">
        <f t="shared" si="249"/>
        <v>-3.5384700812067496</v>
      </c>
      <c r="JR6">
        <f t="shared" si="249"/>
        <v>-1.2915144109404637</v>
      </c>
      <c r="JS6">
        <f t="shared" si="249"/>
        <v>-7.5578276833440525E-2</v>
      </c>
      <c r="JT6">
        <f t="shared" si="249"/>
        <v>-0.10853836087264156</v>
      </c>
      <c r="JU6">
        <f t="shared" si="249"/>
        <v>-9.886894738760002E-2</v>
      </c>
    </row>
    <row r="7" spans="1:301" s="1" customFormat="1" x14ac:dyDescent="0.35">
      <c r="A7" s="1">
        <f>A8-1</f>
        <v>-1</v>
      </c>
      <c r="B7" s="10">
        <f>B8</f>
        <v>1.0654E-2</v>
      </c>
      <c r="C7" s="10">
        <f t="shared" ref="C7:BN7" si="250">C8</f>
        <v>1.0654E-2</v>
      </c>
      <c r="D7" s="10">
        <f t="shared" si="250"/>
        <v>1.06058E-2</v>
      </c>
      <c r="E7" s="10">
        <f t="shared" si="250"/>
        <v>1.04361E-2</v>
      </c>
      <c r="F7" s="10">
        <f t="shared" si="250"/>
        <v>9.7535E-3</v>
      </c>
      <c r="G7" s="10">
        <f t="shared" si="250"/>
        <v>9.1403999999999999E-3</v>
      </c>
      <c r="H7" s="10">
        <f t="shared" si="250"/>
        <v>8.5669000000000006E-3</v>
      </c>
      <c r="I7" s="10">
        <f t="shared" si="250"/>
        <v>7.9711000000000001E-3</v>
      </c>
      <c r="J7" s="10">
        <f t="shared" si="250"/>
        <v>7.4428000000000003E-3</v>
      </c>
      <c r="K7" s="10">
        <f t="shared" si="250"/>
        <v>6.9601000000000003E-3</v>
      </c>
      <c r="L7" s="10">
        <f t="shared" si="250"/>
        <v>6.5317999999999999E-3</v>
      </c>
      <c r="M7" s="10">
        <f t="shared" si="250"/>
        <v>6.1491999999999996E-3</v>
      </c>
      <c r="N7" s="10">
        <f t="shared" si="250"/>
        <v>5.8079999999999998E-3</v>
      </c>
      <c r="O7" s="10">
        <f t="shared" si="250"/>
        <v>5.5024999999999996E-3</v>
      </c>
      <c r="P7" s="10">
        <f t="shared" si="250"/>
        <v>5.2283E-3</v>
      </c>
      <c r="Q7" s="10">
        <f t="shared" si="250"/>
        <v>4.9813000000000001E-3</v>
      </c>
      <c r="R7" s="10">
        <f t="shared" si="250"/>
        <v>4.7580000000000001E-3</v>
      </c>
      <c r="S7" s="10">
        <f t="shared" si="250"/>
        <v>4.5554000000000002E-3</v>
      </c>
      <c r="T7" s="10">
        <f t="shared" si="250"/>
        <v>4.3709999999999999E-3</v>
      </c>
      <c r="U7" s="10">
        <f t="shared" si="250"/>
        <v>4.2025999999999999E-3</v>
      </c>
      <c r="V7" s="10">
        <f t="shared" si="250"/>
        <v>4.0480999999999998E-3</v>
      </c>
      <c r="W7" s="10">
        <f t="shared" si="250"/>
        <v>3.9061E-3</v>
      </c>
      <c r="X7" s="10">
        <f t="shared" si="250"/>
        <v>3.7750000000000001E-3</v>
      </c>
      <c r="Y7" s="10">
        <f t="shared" si="250"/>
        <v>3.6537000000000002E-3</v>
      </c>
      <c r="Z7" s="10">
        <f t="shared" si="250"/>
        <v>3.5412E-3</v>
      </c>
      <c r="AA7" s="10">
        <f t="shared" si="250"/>
        <v>3.4364E-3</v>
      </c>
      <c r="AB7" s="10">
        <f t="shared" si="250"/>
        <v>3.3384999999999999E-3</v>
      </c>
      <c r="AC7" s="10">
        <f t="shared" si="250"/>
        <v>3.2468000000000002E-3</v>
      </c>
      <c r="AD7" s="10">
        <f t="shared" si="250"/>
        <v>3.1606999999999998E-3</v>
      </c>
      <c r="AE7" s="10">
        <f t="shared" si="250"/>
        <v>3.0796999999999999E-3</v>
      </c>
      <c r="AF7" s="10">
        <f t="shared" si="250"/>
        <v>3.0030999999999999E-3</v>
      </c>
      <c r="AG7" s="10">
        <f t="shared" si="250"/>
        <v>2.9307000000000001E-3</v>
      </c>
      <c r="AH7" s="10">
        <f t="shared" si="250"/>
        <v>2.8620999999999998E-3</v>
      </c>
      <c r="AI7" s="10">
        <f t="shared" si="250"/>
        <v>2.7969000000000002E-3</v>
      </c>
      <c r="AJ7" s="10">
        <f t="shared" si="250"/>
        <v>2.7349000000000002E-3</v>
      </c>
      <c r="AK7" s="10">
        <f t="shared" si="250"/>
        <v>2.6759000000000002E-3</v>
      </c>
      <c r="AL7" s="10">
        <f t="shared" si="250"/>
        <v>2.6194999999999999E-3</v>
      </c>
      <c r="AM7" s="10">
        <f t="shared" si="250"/>
        <v>2.5657000000000002E-3</v>
      </c>
      <c r="AN7" s="10">
        <f t="shared" si="250"/>
        <v>2.5143000000000001E-3</v>
      </c>
      <c r="AO7" s="10">
        <f t="shared" si="250"/>
        <v>2.4650000000000002E-3</v>
      </c>
      <c r="AP7" s="10">
        <f t="shared" si="250"/>
        <v>2.4177000000000001E-3</v>
      </c>
      <c r="AQ7" s="10">
        <f t="shared" si="250"/>
        <v>2.3722999999999999E-3</v>
      </c>
      <c r="AR7" s="10">
        <f t="shared" si="250"/>
        <v>2.3287E-3</v>
      </c>
      <c r="AS7" s="10">
        <f t="shared" si="250"/>
        <v>2.2867E-3</v>
      </c>
      <c r="AT7" s="10">
        <f t="shared" si="250"/>
        <v>2.2461999999999998E-3</v>
      </c>
      <c r="AU7" s="10">
        <f t="shared" si="250"/>
        <v>2.2071999999999999E-3</v>
      </c>
      <c r="AV7" s="10">
        <f t="shared" si="250"/>
        <v>2.1695E-3</v>
      </c>
      <c r="AW7" s="10">
        <f t="shared" si="250"/>
        <v>2.1329999999999999E-3</v>
      </c>
      <c r="AX7" s="10">
        <f t="shared" si="250"/>
        <v>2.0977000000000001E-3</v>
      </c>
      <c r="AY7" s="10">
        <f t="shared" si="250"/>
        <v>2.0634E-3</v>
      </c>
      <c r="AZ7" s="10">
        <f t="shared" si="250"/>
        <v>2.0301999999999998E-3</v>
      </c>
      <c r="BA7" s="10">
        <f t="shared" si="250"/>
        <v>1.9980000000000002E-3</v>
      </c>
      <c r="BB7" s="10">
        <f t="shared" si="250"/>
        <v>1.9666000000000002E-3</v>
      </c>
      <c r="BC7" s="10">
        <f t="shared" si="250"/>
        <v>1.9361000000000001E-3</v>
      </c>
      <c r="BD7" s="10">
        <f t="shared" si="250"/>
        <v>1.9063000000000001E-3</v>
      </c>
      <c r="BE7" s="10">
        <f t="shared" si="250"/>
        <v>1.8772999999999999E-3</v>
      </c>
      <c r="BF7" s="10">
        <f t="shared" si="250"/>
        <v>1.8489999999999999E-3</v>
      </c>
      <c r="BG7" s="10">
        <f t="shared" si="250"/>
        <v>1.8213000000000001E-3</v>
      </c>
      <c r="BH7" s="10">
        <f t="shared" si="250"/>
        <v>1.7943E-3</v>
      </c>
      <c r="BI7" s="10">
        <f t="shared" si="250"/>
        <v>1.7677999999999999E-3</v>
      </c>
      <c r="BJ7" s="10">
        <f t="shared" si="250"/>
        <v>1.7419E-3</v>
      </c>
      <c r="BK7" s="10">
        <f t="shared" si="250"/>
        <v>1.7166E-3</v>
      </c>
      <c r="BL7" s="10">
        <f t="shared" si="250"/>
        <v>1.6917E-3</v>
      </c>
      <c r="BM7" s="10">
        <f t="shared" si="250"/>
        <v>1.6673E-3</v>
      </c>
      <c r="BN7" s="10">
        <f t="shared" si="250"/>
        <v>1.6433999999999999E-3</v>
      </c>
      <c r="BO7" s="10">
        <f t="shared" ref="BO7:DZ7" si="251">BO8</f>
        <v>1.6199000000000001E-3</v>
      </c>
      <c r="BP7" s="10">
        <f t="shared" si="251"/>
        <v>1.5968E-3</v>
      </c>
      <c r="BQ7" s="10">
        <f t="shared" si="251"/>
        <v>1.5740999999999999E-3</v>
      </c>
      <c r="BR7" s="10">
        <f t="shared" si="251"/>
        <v>1.5518000000000001E-3</v>
      </c>
      <c r="BS7" s="10">
        <f t="shared" si="251"/>
        <v>1.5299000000000001E-3</v>
      </c>
      <c r="BT7" s="10">
        <f t="shared" si="251"/>
        <v>1.5083E-3</v>
      </c>
      <c r="BU7" s="10">
        <f t="shared" si="251"/>
        <v>1.4871000000000001E-3</v>
      </c>
      <c r="BV7" s="10">
        <f t="shared" si="251"/>
        <v>1.4662E-3</v>
      </c>
      <c r="BW7" s="10">
        <f t="shared" si="251"/>
        <v>1.4457000000000001E-3</v>
      </c>
      <c r="BX7" s="10">
        <f t="shared" si="251"/>
        <v>1.4254000000000001E-3</v>
      </c>
      <c r="BY7" s="10">
        <f t="shared" si="251"/>
        <v>1.4055000000000001E-3</v>
      </c>
      <c r="BZ7" s="10">
        <f t="shared" si="251"/>
        <v>1.3858E-3</v>
      </c>
      <c r="CA7" s="10">
        <f t="shared" si="251"/>
        <v>1.3664E-3</v>
      </c>
      <c r="CB7" s="10">
        <f t="shared" si="251"/>
        <v>1.3473999999999999E-3</v>
      </c>
      <c r="CC7" s="10">
        <f t="shared" si="251"/>
        <v>1.3285E-3</v>
      </c>
      <c r="CD7" s="10">
        <f t="shared" si="251"/>
        <v>1.31E-3</v>
      </c>
      <c r="CE7" s="10">
        <f t="shared" si="251"/>
        <v>1.2917E-3</v>
      </c>
      <c r="CF7" s="10">
        <f t="shared" si="251"/>
        <v>1.2737E-3</v>
      </c>
      <c r="CG7" s="10">
        <f t="shared" si="251"/>
        <v>1.2558999999999999E-3</v>
      </c>
      <c r="CH7" s="10">
        <f t="shared" si="251"/>
        <v>1.2384E-3</v>
      </c>
      <c r="CI7" s="10">
        <f t="shared" si="251"/>
        <v>1.2210999999999999E-3</v>
      </c>
      <c r="CJ7" s="10">
        <f t="shared" si="251"/>
        <v>1.2041E-3</v>
      </c>
      <c r="CK7" s="10">
        <f t="shared" si="251"/>
        <v>1.1873000000000001E-3</v>
      </c>
      <c r="CL7" s="10">
        <f t="shared" si="251"/>
        <v>1.1707E-3</v>
      </c>
      <c r="CM7" s="10">
        <f t="shared" si="251"/>
        <v>1.1543E-3</v>
      </c>
      <c r="CN7" s="10">
        <f t="shared" si="251"/>
        <v>1.1382E-3</v>
      </c>
      <c r="CO7" s="10">
        <f t="shared" si="251"/>
        <v>1.1222999999999999E-3</v>
      </c>
      <c r="CP7" s="10">
        <f t="shared" si="251"/>
        <v>1.1065999999999999E-3</v>
      </c>
      <c r="CQ7" s="10">
        <f t="shared" si="251"/>
        <v>1.0911E-3</v>
      </c>
      <c r="CR7" s="10">
        <f t="shared" si="251"/>
        <v>1.0759000000000001E-3</v>
      </c>
      <c r="CS7" s="10">
        <f t="shared" si="251"/>
        <v>1.0608E-3</v>
      </c>
      <c r="CT7" s="10">
        <f t="shared" si="251"/>
        <v>1.0459E-3</v>
      </c>
      <c r="CU7" s="10">
        <f t="shared" si="251"/>
        <v>1.0313E-3</v>
      </c>
      <c r="CV7" s="10">
        <f t="shared" si="251"/>
        <v>1.0168E-3</v>
      </c>
      <c r="CW7" s="10">
        <f t="shared" si="251"/>
        <v>1.0026E-3</v>
      </c>
      <c r="CX7" s="10">
        <f t="shared" si="251"/>
        <v>9.8850000000000001E-4</v>
      </c>
      <c r="CY7" s="10">
        <f t="shared" si="251"/>
        <v>9.7460000000000005E-4</v>
      </c>
      <c r="CZ7" s="10">
        <f t="shared" si="251"/>
        <v>9.6089999999999999E-4</v>
      </c>
      <c r="DA7" s="10">
        <f t="shared" si="251"/>
        <v>9.4740000000000004E-4</v>
      </c>
      <c r="DB7" s="10">
        <f t="shared" si="251"/>
        <v>9.3409999999999999E-4</v>
      </c>
      <c r="DC7" s="10">
        <f t="shared" si="251"/>
        <v>9.2100000000000005E-4</v>
      </c>
      <c r="DD7" s="10">
        <f t="shared" si="251"/>
        <v>9.0799999999999995E-4</v>
      </c>
      <c r="DE7" s="10">
        <f t="shared" si="251"/>
        <v>8.9519999999999997E-4</v>
      </c>
      <c r="DF7" s="10">
        <f t="shared" si="251"/>
        <v>8.8259999999999999E-4</v>
      </c>
      <c r="DG7" s="10">
        <f t="shared" si="251"/>
        <v>8.7020000000000001E-4</v>
      </c>
      <c r="DH7" s="10">
        <f t="shared" si="251"/>
        <v>8.5789999999999998E-4</v>
      </c>
      <c r="DI7" s="10">
        <f t="shared" si="251"/>
        <v>8.4579999999999996E-4</v>
      </c>
      <c r="DJ7" s="10">
        <f t="shared" si="251"/>
        <v>8.3390000000000005E-4</v>
      </c>
      <c r="DK7" s="10">
        <f t="shared" si="251"/>
        <v>8.2209999999999998E-4</v>
      </c>
      <c r="DL7" s="10">
        <f t="shared" si="251"/>
        <v>8.1050000000000002E-4</v>
      </c>
      <c r="DM7" s="10">
        <f t="shared" si="251"/>
        <v>7.9909999999999996E-4</v>
      </c>
      <c r="DN7" s="10">
        <f t="shared" si="251"/>
        <v>7.8779999999999996E-4</v>
      </c>
      <c r="DO7" s="10">
        <f t="shared" si="251"/>
        <v>7.7669999999999996E-4</v>
      </c>
      <c r="DP7" s="10">
        <f t="shared" si="251"/>
        <v>7.6570000000000002E-4</v>
      </c>
      <c r="DQ7" s="10">
        <f t="shared" si="251"/>
        <v>5.3164200000000002E-2</v>
      </c>
      <c r="DR7" s="10">
        <f t="shared" si="251"/>
        <v>0</v>
      </c>
      <c r="DS7" s="10">
        <f t="shared" si="251"/>
        <v>4.8199999999999999E-5</v>
      </c>
      <c r="DT7" s="10">
        <f t="shared" si="251"/>
        <v>1.697E-4</v>
      </c>
      <c r="DU7" s="10">
        <f t="shared" si="251"/>
        <v>6.826E-4</v>
      </c>
      <c r="DV7" s="10">
        <f t="shared" si="251"/>
        <v>6.1309999999999999E-4</v>
      </c>
      <c r="DW7" s="10">
        <f t="shared" si="251"/>
        <v>5.7359999999999996E-4</v>
      </c>
      <c r="DX7" s="10">
        <f t="shared" si="251"/>
        <v>5.9579999999999995E-4</v>
      </c>
      <c r="DY7" s="10">
        <f t="shared" si="251"/>
        <v>5.2820000000000005E-4</v>
      </c>
      <c r="DZ7" s="10">
        <f t="shared" si="251"/>
        <v>4.8280000000000003E-4</v>
      </c>
      <c r="EA7" s="10">
        <f t="shared" ref="EA7:GL7" si="252">EA8</f>
        <v>4.283E-4</v>
      </c>
      <c r="EB7" s="10">
        <f t="shared" si="252"/>
        <v>3.8259999999999998E-4</v>
      </c>
      <c r="EC7" s="10">
        <f t="shared" si="252"/>
        <v>3.412E-4</v>
      </c>
      <c r="ED7" s="10">
        <f t="shared" si="252"/>
        <v>3.055E-4</v>
      </c>
      <c r="EE7" s="10">
        <f t="shared" si="252"/>
        <v>2.742E-4</v>
      </c>
      <c r="EF7" s="10">
        <f t="shared" si="252"/>
        <v>2.4699999999999999E-4</v>
      </c>
      <c r="EG7" s="10">
        <f t="shared" si="252"/>
        <v>2.2330000000000001E-4</v>
      </c>
      <c r="EH7" s="10">
        <f t="shared" si="252"/>
        <v>2.0259999999999999E-4</v>
      </c>
      <c r="EI7" s="10">
        <f t="shared" si="252"/>
        <v>1.8440000000000001E-4</v>
      </c>
      <c r="EJ7" s="10">
        <f t="shared" si="252"/>
        <v>1.685E-4</v>
      </c>
      <c r="EK7" s="10">
        <f t="shared" si="252"/>
        <v>1.5440000000000001E-4</v>
      </c>
      <c r="EL7" s="10">
        <f t="shared" si="252"/>
        <v>1.4200000000000001E-4</v>
      </c>
      <c r="EM7" s="10">
        <f t="shared" si="252"/>
        <v>1.3100000000000001E-4</v>
      </c>
      <c r="EN7" s="10">
        <f t="shared" si="252"/>
        <v>1.2129999999999999E-4</v>
      </c>
      <c r="EO7" s="10">
        <f t="shared" si="252"/>
        <v>1.126E-4</v>
      </c>
      <c r="EP7" s="10">
        <f t="shared" si="252"/>
        <v>1.048E-4</v>
      </c>
      <c r="EQ7" s="10">
        <f t="shared" si="252"/>
        <v>9.7899999999999994E-5</v>
      </c>
      <c r="ER7" s="10">
        <f t="shared" si="252"/>
        <v>9.1700000000000006E-5</v>
      </c>
      <c r="ES7" s="10">
        <f t="shared" si="252"/>
        <v>8.6100000000000006E-5</v>
      </c>
      <c r="ET7" s="10">
        <f t="shared" si="252"/>
        <v>8.1100000000000006E-5</v>
      </c>
      <c r="EU7" s="10">
        <f t="shared" si="252"/>
        <v>7.6500000000000003E-5</v>
      </c>
      <c r="EV7" s="10">
        <f t="shared" si="252"/>
        <v>7.2399999999999998E-5</v>
      </c>
      <c r="EW7" s="10">
        <f t="shared" si="252"/>
        <v>6.86E-5</v>
      </c>
      <c r="EX7" s="10">
        <f t="shared" si="252"/>
        <v>6.5199999999999999E-5</v>
      </c>
      <c r="EY7" s="10">
        <f t="shared" si="252"/>
        <v>6.2000000000000003E-5</v>
      </c>
      <c r="EZ7" s="10">
        <f t="shared" si="252"/>
        <v>5.8999999999999998E-5</v>
      </c>
      <c r="FA7" s="10">
        <f t="shared" si="252"/>
        <v>5.63E-5</v>
      </c>
      <c r="FB7" s="10">
        <f t="shared" si="252"/>
        <v>5.38E-5</v>
      </c>
      <c r="FC7" s="10">
        <f t="shared" si="252"/>
        <v>5.1499999999999998E-5</v>
      </c>
      <c r="FD7" s="10">
        <f t="shared" si="252"/>
        <v>4.9299999999999999E-5</v>
      </c>
      <c r="FE7" s="10">
        <f t="shared" si="252"/>
        <v>4.7299999999999998E-5</v>
      </c>
      <c r="FF7" s="10">
        <f t="shared" si="252"/>
        <v>4.5399999999999999E-5</v>
      </c>
      <c r="FG7" s="10">
        <f t="shared" si="252"/>
        <v>4.3600000000000003E-5</v>
      </c>
      <c r="FH7" s="10">
        <f t="shared" si="252"/>
        <v>4.1999999999999998E-5</v>
      </c>
      <c r="FI7" s="10">
        <f t="shared" si="252"/>
        <v>4.0500000000000002E-5</v>
      </c>
      <c r="FJ7" s="10">
        <f t="shared" si="252"/>
        <v>3.8999999999999999E-5</v>
      </c>
      <c r="FK7" s="10">
        <f t="shared" si="252"/>
        <v>3.7700000000000002E-5</v>
      </c>
      <c r="FL7" s="10">
        <f t="shared" si="252"/>
        <v>3.65E-5</v>
      </c>
      <c r="FM7" s="10">
        <f t="shared" si="252"/>
        <v>3.5299999999999997E-5</v>
      </c>
      <c r="FN7" s="10">
        <f t="shared" si="252"/>
        <v>3.4199999999999998E-5</v>
      </c>
      <c r="FO7" s="10">
        <f t="shared" si="252"/>
        <v>3.3200000000000001E-5</v>
      </c>
      <c r="FP7" s="10">
        <f t="shared" si="252"/>
        <v>3.2299999999999999E-5</v>
      </c>
      <c r="FQ7" s="10">
        <f t="shared" si="252"/>
        <v>3.1399999999999998E-5</v>
      </c>
      <c r="FR7" s="10">
        <f t="shared" si="252"/>
        <v>3.0499999999999999E-5</v>
      </c>
      <c r="FS7" s="10">
        <f t="shared" si="252"/>
        <v>2.9799999999999999E-5</v>
      </c>
      <c r="FT7" s="10">
        <f t="shared" si="252"/>
        <v>2.9E-5</v>
      </c>
      <c r="FU7" s="10">
        <f t="shared" si="252"/>
        <v>2.83E-5</v>
      </c>
      <c r="FV7" s="10">
        <f t="shared" si="252"/>
        <v>2.7699999999999999E-5</v>
      </c>
      <c r="FW7" s="10">
        <f t="shared" si="252"/>
        <v>2.6999999999999999E-5</v>
      </c>
      <c r="FX7" s="10">
        <f t="shared" si="252"/>
        <v>2.65E-5</v>
      </c>
      <c r="FY7" s="10">
        <f t="shared" si="252"/>
        <v>2.5899999999999999E-5</v>
      </c>
      <c r="FZ7" s="10">
        <f t="shared" si="252"/>
        <v>2.5400000000000001E-5</v>
      </c>
      <c r="GA7" s="10">
        <f t="shared" si="252"/>
        <v>2.4899999999999999E-5</v>
      </c>
      <c r="GB7" s="10">
        <f t="shared" si="252"/>
        <v>2.44E-5</v>
      </c>
      <c r="GC7" s="10">
        <f t="shared" si="252"/>
        <v>2.3900000000000002E-5</v>
      </c>
      <c r="GD7" s="10">
        <f t="shared" si="252"/>
        <v>2.3499999999999999E-5</v>
      </c>
      <c r="GE7" s="10">
        <f t="shared" si="252"/>
        <v>2.3099999999999999E-5</v>
      </c>
      <c r="GF7" s="10">
        <f t="shared" si="252"/>
        <v>2.27E-5</v>
      </c>
      <c r="GG7" s="10">
        <f t="shared" si="252"/>
        <v>2.23E-5</v>
      </c>
      <c r="GH7" s="10">
        <f t="shared" si="252"/>
        <v>2.19E-5</v>
      </c>
      <c r="GI7" s="10">
        <f t="shared" si="252"/>
        <v>2.16E-5</v>
      </c>
      <c r="GJ7" s="10">
        <f t="shared" si="252"/>
        <v>2.12E-5</v>
      </c>
      <c r="GK7" s="10">
        <f t="shared" si="252"/>
        <v>2.09E-5</v>
      </c>
      <c r="GL7" s="10">
        <f t="shared" si="252"/>
        <v>2.0599999999999999E-5</v>
      </c>
      <c r="GM7" s="10">
        <f t="shared" ref="GM7:IG7" si="253">GM8</f>
        <v>2.0299999999999999E-5</v>
      </c>
      <c r="GN7" s="10">
        <f t="shared" si="253"/>
        <v>1.9899999999999999E-5</v>
      </c>
      <c r="GO7" s="10">
        <f t="shared" si="253"/>
        <v>1.9700000000000001E-5</v>
      </c>
      <c r="GP7" s="10">
        <f t="shared" si="253"/>
        <v>1.9400000000000001E-5</v>
      </c>
      <c r="GQ7" s="10">
        <f t="shared" si="253"/>
        <v>1.91E-5</v>
      </c>
      <c r="GR7" s="10">
        <f t="shared" si="253"/>
        <v>1.88E-5</v>
      </c>
      <c r="GS7" s="10">
        <f t="shared" si="253"/>
        <v>1.8499999999999999E-5</v>
      </c>
      <c r="GT7" s="10">
        <f t="shared" si="253"/>
        <v>1.8300000000000001E-5</v>
      </c>
      <c r="GU7" s="10">
        <f t="shared" si="253"/>
        <v>1.8E-5</v>
      </c>
      <c r="GV7" s="10">
        <f t="shared" si="253"/>
        <v>1.7799999999999999E-5</v>
      </c>
      <c r="GW7" s="10">
        <f t="shared" si="253"/>
        <v>1.7499999999999998E-5</v>
      </c>
      <c r="GX7" s="10">
        <f t="shared" si="253"/>
        <v>1.73E-5</v>
      </c>
      <c r="GY7" s="10">
        <f t="shared" si="253"/>
        <v>1.7E-5</v>
      </c>
      <c r="GZ7" s="10">
        <f t="shared" si="253"/>
        <v>1.6799999999999998E-5</v>
      </c>
      <c r="HA7" s="10">
        <f t="shared" si="253"/>
        <v>1.66E-5</v>
      </c>
      <c r="HB7" s="10">
        <f t="shared" si="253"/>
        <v>1.6399999999999999E-5</v>
      </c>
      <c r="HC7" s="10">
        <f t="shared" si="253"/>
        <v>1.6099999999999998E-5</v>
      </c>
      <c r="HD7" s="10">
        <f t="shared" si="253"/>
        <v>1.59E-5</v>
      </c>
      <c r="HE7" s="10">
        <f t="shared" si="253"/>
        <v>1.5699999999999999E-5</v>
      </c>
      <c r="HF7" s="10">
        <f t="shared" si="253"/>
        <v>1.5500000000000001E-5</v>
      </c>
      <c r="HG7" s="10">
        <f t="shared" si="253"/>
        <v>1.5299999999999999E-5</v>
      </c>
      <c r="HH7" s="10">
        <f t="shared" si="253"/>
        <v>1.5099999999999999E-5</v>
      </c>
      <c r="HI7" s="10">
        <f t="shared" si="253"/>
        <v>1.49E-5</v>
      </c>
      <c r="HJ7" s="10">
        <f t="shared" si="253"/>
        <v>1.47E-5</v>
      </c>
      <c r="HK7" s="10">
        <f t="shared" si="253"/>
        <v>1.45E-5</v>
      </c>
      <c r="HL7" s="10">
        <f t="shared" si="253"/>
        <v>1.43E-5</v>
      </c>
      <c r="HM7" s="10">
        <f t="shared" si="253"/>
        <v>1.4100000000000001E-5</v>
      </c>
      <c r="HN7" s="10">
        <f t="shared" si="253"/>
        <v>1.3900000000000001E-5</v>
      </c>
      <c r="HO7" s="10">
        <f t="shared" si="253"/>
        <v>1.3699999999999999E-5</v>
      </c>
      <c r="HP7" s="10">
        <f t="shared" si="253"/>
        <v>1.3499999999999999E-5</v>
      </c>
      <c r="HQ7" s="10">
        <f t="shared" si="253"/>
        <v>1.33E-5</v>
      </c>
      <c r="HR7" s="10">
        <f t="shared" si="253"/>
        <v>1.31E-5</v>
      </c>
      <c r="HS7" s="10">
        <f t="shared" si="253"/>
        <v>1.2999999999999999E-5</v>
      </c>
      <c r="HT7" s="10">
        <f t="shared" si="253"/>
        <v>1.2799999999999999E-5</v>
      </c>
      <c r="HU7" s="10">
        <f t="shared" si="253"/>
        <v>1.26E-5</v>
      </c>
      <c r="HV7" s="10">
        <f t="shared" si="253"/>
        <v>1.24E-5</v>
      </c>
      <c r="HW7" s="10">
        <f t="shared" si="253"/>
        <v>1.2300000000000001E-5</v>
      </c>
      <c r="HX7" s="10">
        <f t="shared" si="253"/>
        <v>1.2099999999999999E-5</v>
      </c>
      <c r="HY7" s="10">
        <f t="shared" si="253"/>
        <v>1.19E-5</v>
      </c>
      <c r="HZ7" s="10">
        <f t="shared" si="253"/>
        <v>1.1800000000000001E-5</v>
      </c>
      <c r="IA7" s="10">
        <f t="shared" si="253"/>
        <v>1.1600000000000001E-5</v>
      </c>
      <c r="IB7" s="10">
        <f t="shared" si="253"/>
        <v>1.1399999999999999E-5</v>
      </c>
      <c r="IC7" s="10">
        <f t="shared" si="253"/>
        <v>1.13E-5</v>
      </c>
      <c r="ID7" s="10">
        <f t="shared" si="253"/>
        <v>1.11E-5</v>
      </c>
      <c r="IE7" s="10">
        <f t="shared" si="253"/>
        <v>1.1E-5</v>
      </c>
      <c r="IF7" s="10">
        <f t="shared" si="253"/>
        <v>1.08E-5</v>
      </c>
      <c r="IG7" s="10">
        <f t="shared" si="253"/>
        <v>7.5480000000000002E-4</v>
      </c>
      <c r="IZ7" s="1" t="s">
        <v>56</v>
      </c>
      <c r="JA7" s="1" t="s">
        <v>289</v>
      </c>
      <c r="JB7" s="1" t="s">
        <v>290</v>
      </c>
      <c r="JC7" s="1" t="s">
        <v>291</v>
      </c>
      <c r="JD7" s="1" t="s">
        <v>292</v>
      </c>
      <c r="JE7" s="1" t="s">
        <v>293</v>
      </c>
      <c r="JF7" s="1" t="s">
        <v>294</v>
      </c>
      <c r="JG7" s="1" t="s">
        <v>295</v>
      </c>
      <c r="JH7" s="1" t="s">
        <v>296</v>
      </c>
      <c r="JI7" s="1" t="s">
        <v>297</v>
      </c>
      <c r="JL7" s="1">
        <f t="shared" si="246"/>
        <v>2012</v>
      </c>
      <c r="JM7">
        <f>JA26</f>
        <v>5.5365704576859223</v>
      </c>
      <c r="JN7">
        <f t="shared" ref="JN7:JU7" si="254">JB26</f>
        <v>4.0062070288339591</v>
      </c>
      <c r="JO7">
        <f t="shared" si="254"/>
        <v>2.1065961840476586</v>
      </c>
      <c r="JP7">
        <f t="shared" si="254"/>
        <v>-11.737695352733498</v>
      </c>
      <c r="JQ7">
        <f t="shared" si="254"/>
        <v>-5.8660101922023165</v>
      </c>
      <c r="JR7">
        <f t="shared" si="254"/>
        <v>-2.5526426379049689</v>
      </c>
      <c r="JS7">
        <f t="shared" si="254"/>
        <v>-0.30664487101702337</v>
      </c>
      <c r="JT7">
        <f t="shared" si="254"/>
        <v>-0.12663954655002579</v>
      </c>
      <c r="JU7">
        <f t="shared" si="254"/>
        <v>-7.1175787420829306E-2</v>
      </c>
    </row>
    <row r="8" spans="1:301" x14ac:dyDescent="0.35">
      <c r="A8" s="1">
        <v>0</v>
      </c>
      <c r="B8" s="4">
        <v>1.0654E-2</v>
      </c>
      <c r="C8" s="4">
        <v>1.0654E-2</v>
      </c>
      <c r="D8" s="4">
        <v>1.06058E-2</v>
      </c>
      <c r="E8" s="4">
        <v>1.04361E-2</v>
      </c>
      <c r="F8" s="4">
        <v>9.7535E-3</v>
      </c>
      <c r="G8" s="4">
        <v>9.1403999999999999E-3</v>
      </c>
      <c r="H8" s="4">
        <v>8.5669000000000006E-3</v>
      </c>
      <c r="I8" s="4">
        <v>7.9711000000000001E-3</v>
      </c>
      <c r="J8" s="4">
        <v>7.4428000000000003E-3</v>
      </c>
      <c r="K8" s="4">
        <v>6.9601000000000003E-3</v>
      </c>
      <c r="L8" s="4">
        <v>6.5317999999999999E-3</v>
      </c>
      <c r="M8" s="4">
        <v>6.1491999999999996E-3</v>
      </c>
      <c r="N8" s="4">
        <v>5.8079999999999998E-3</v>
      </c>
      <c r="O8" s="4">
        <v>5.5024999999999996E-3</v>
      </c>
      <c r="P8" s="4">
        <v>5.2283E-3</v>
      </c>
      <c r="Q8" s="4">
        <v>4.9813000000000001E-3</v>
      </c>
      <c r="R8" s="4">
        <v>4.7580000000000001E-3</v>
      </c>
      <c r="S8" s="4">
        <v>4.5554000000000002E-3</v>
      </c>
      <c r="T8" s="4">
        <v>4.3709999999999999E-3</v>
      </c>
      <c r="U8" s="4">
        <v>4.2025999999999999E-3</v>
      </c>
      <c r="V8" s="4">
        <v>4.0480999999999998E-3</v>
      </c>
      <c r="W8" s="4">
        <v>3.9061E-3</v>
      </c>
      <c r="X8" s="4">
        <v>3.7750000000000001E-3</v>
      </c>
      <c r="Y8" s="4">
        <v>3.6537000000000002E-3</v>
      </c>
      <c r="Z8" s="4">
        <v>3.5412E-3</v>
      </c>
      <c r="AA8" s="4">
        <v>3.4364E-3</v>
      </c>
      <c r="AB8" s="4">
        <v>3.3384999999999999E-3</v>
      </c>
      <c r="AC8" s="4">
        <v>3.2468000000000002E-3</v>
      </c>
      <c r="AD8" s="4">
        <v>3.1606999999999998E-3</v>
      </c>
      <c r="AE8" s="4">
        <v>3.0796999999999999E-3</v>
      </c>
      <c r="AF8" s="4">
        <v>3.0030999999999999E-3</v>
      </c>
      <c r="AG8" s="4">
        <v>2.9307000000000001E-3</v>
      </c>
      <c r="AH8" s="4">
        <v>2.8620999999999998E-3</v>
      </c>
      <c r="AI8" s="4">
        <v>2.7969000000000002E-3</v>
      </c>
      <c r="AJ8" s="4">
        <v>2.7349000000000002E-3</v>
      </c>
      <c r="AK8" s="4">
        <v>2.6759000000000002E-3</v>
      </c>
      <c r="AL8" s="4">
        <v>2.6194999999999999E-3</v>
      </c>
      <c r="AM8" s="4">
        <v>2.5657000000000002E-3</v>
      </c>
      <c r="AN8" s="4">
        <v>2.5143000000000001E-3</v>
      </c>
      <c r="AO8" s="4">
        <v>2.4650000000000002E-3</v>
      </c>
      <c r="AP8" s="4">
        <v>2.4177000000000001E-3</v>
      </c>
      <c r="AQ8" s="4">
        <v>2.3722999999999999E-3</v>
      </c>
      <c r="AR8" s="4">
        <v>2.3287E-3</v>
      </c>
      <c r="AS8" s="4">
        <v>2.2867E-3</v>
      </c>
      <c r="AT8" s="4">
        <v>2.2461999999999998E-3</v>
      </c>
      <c r="AU8" s="4">
        <v>2.2071999999999999E-3</v>
      </c>
      <c r="AV8" s="4">
        <v>2.1695E-3</v>
      </c>
      <c r="AW8" s="4">
        <v>2.1329999999999999E-3</v>
      </c>
      <c r="AX8" s="4">
        <v>2.0977000000000001E-3</v>
      </c>
      <c r="AY8" s="4">
        <v>2.0634E-3</v>
      </c>
      <c r="AZ8" s="4">
        <v>2.0301999999999998E-3</v>
      </c>
      <c r="BA8" s="4">
        <v>1.9980000000000002E-3</v>
      </c>
      <c r="BB8" s="4">
        <v>1.9666000000000002E-3</v>
      </c>
      <c r="BC8" s="4">
        <v>1.9361000000000001E-3</v>
      </c>
      <c r="BD8" s="4">
        <v>1.9063000000000001E-3</v>
      </c>
      <c r="BE8" s="4">
        <v>1.8772999999999999E-3</v>
      </c>
      <c r="BF8" s="4">
        <v>1.8489999999999999E-3</v>
      </c>
      <c r="BG8" s="4">
        <v>1.8213000000000001E-3</v>
      </c>
      <c r="BH8" s="4">
        <v>1.7943E-3</v>
      </c>
      <c r="BI8" s="4">
        <v>1.7677999999999999E-3</v>
      </c>
      <c r="BJ8" s="4">
        <v>1.7419E-3</v>
      </c>
      <c r="BK8" s="4">
        <v>1.7166E-3</v>
      </c>
      <c r="BL8" s="4">
        <v>1.6917E-3</v>
      </c>
      <c r="BM8" s="4">
        <v>1.6673E-3</v>
      </c>
      <c r="BN8" s="4">
        <v>1.6433999999999999E-3</v>
      </c>
      <c r="BO8" s="4">
        <v>1.6199000000000001E-3</v>
      </c>
      <c r="BP8" s="4">
        <v>1.5968E-3</v>
      </c>
      <c r="BQ8" s="4">
        <v>1.5740999999999999E-3</v>
      </c>
      <c r="BR8" s="4">
        <v>1.5518000000000001E-3</v>
      </c>
      <c r="BS8" s="4">
        <v>1.5299000000000001E-3</v>
      </c>
      <c r="BT8" s="4">
        <v>1.5083E-3</v>
      </c>
      <c r="BU8" s="4">
        <v>1.4871000000000001E-3</v>
      </c>
      <c r="BV8" s="4">
        <v>1.4662E-3</v>
      </c>
      <c r="BW8" s="4">
        <v>1.4457000000000001E-3</v>
      </c>
      <c r="BX8" s="4">
        <v>1.4254000000000001E-3</v>
      </c>
      <c r="BY8" s="4">
        <v>1.4055000000000001E-3</v>
      </c>
      <c r="BZ8" s="4">
        <v>1.3858E-3</v>
      </c>
      <c r="CA8" s="4">
        <v>1.3664E-3</v>
      </c>
      <c r="CB8" s="4">
        <v>1.3473999999999999E-3</v>
      </c>
      <c r="CC8" s="4">
        <v>1.3285E-3</v>
      </c>
      <c r="CD8" s="4">
        <v>1.31E-3</v>
      </c>
      <c r="CE8" s="4">
        <v>1.2917E-3</v>
      </c>
      <c r="CF8" s="4">
        <v>1.2737E-3</v>
      </c>
      <c r="CG8" s="4">
        <v>1.2558999999999999E-3</v>
      </c>
      <c r="CH8" s="4">
        <v>1.2384E-3</v>
      </c>
      <c r="CI8" s="4">
        <v>1.2210999999999999E-3</v>
      </c>
      <c r="CJ8" s="4">
        <v>1.2041E-3</v>
      </c>
      <c r="CK8" s="4">
        <v>1.1873000000000001E-3</v>
      </c>
      <c r="CL8" s="4">
        <v>1.1707E-3</v>
      </c>
      <c r="CM8" s="4">
        <v>1.1543E-3</v>
      </c>
      <c r="CN8" s="4">
        <v>1.1382E-3</v>
      </c>
      <c r="CO8" s="4">
        <v>1.1222999999999999E-3</v>
      </c>
      <c r="CP8" s="4">
        <v>1.1065999999999999E-3</v>
      </c>
      <c r="CQ8" s="4">
        <v>1.0911E-3</v>
      </c>
      <c r="CR8" s="4">
        <v>1.0759000000000001E-3</v>
      </c>
      <c r="CS8" s="4">
        <v>1.0608E-3</v>
      </c>
      <c r="CT8" s="4">
        <v>1.0459E-3</v>
      </c>
      <c r="CU8" s="4">
        <v>1.0313E-3</v>
      </c>
      <c r="CV8" s="4">
        <v>1.0168E-3</v>
      </c>
      <c r="CW8" s="4">
        <v>1.0026E-3</v>
      </c>
      <c r="CX8" s="4">
        <v>9.8850000000000001E-4</v>
      </c>
      <c r="CY8" s="4">
        <v>9.7460000000000005E-4</v>
      </c>
      <c r="CZ8" s="4">
        <v>9.6089999999999999E-4</v>
      </c>
      <c r="DA8" s="4">
        <v>9.4740000000000004E-4</v>
      </c>
      <c r="DB8" s="4">
        <v>9.3409999999999999E-4</v>
      </c>
      <c r="DC8" s="4">
        <v>9.2100000000000005E-4</v>
      </c>
      <c r="DD8" s="4">
        <v>9.0799999999999995E-4</v>
      </c>
      <c r="DE8" s="4">
        <v>8.9519999999999997E-4</v>
      </c>
      <c r="DF8" s="4">
        <v>8.8259999999999999E-4</v>
      </c>
      <c r="DG8" s="4">
        <v>8.7020000000000001E-4</v>
      </c>
      <c r="DH8" s="4">
        <v>8.5789999999999998E-4</v>
      </c>
      <c r="DI8" s="4">
        <v>8.4579999999999996E-4</v>
      </c>
      <c r="DJ8" s="4">
        <v>8.3390000000000005E-4</v>
      </c>
      <c r="DK8" s="4">
        <v>8.2209999999999998E-4</v>
      </c>
      <c r="DL8" s="4">
        <v>8.1050000000000002E-4</v>
      </c>
      <c r="DM8" s="4">
        <v>7.9909999999999996E-4</v>
      </c>
      <c r="DN8" s="4">
        <v>7.8779999999999996E-4</v>
      </c>
      <c r="DO8" s="4">
        <v>7.7669999999999996E-4</v>
      </c>
      <c r="DP8" s="4">
        <v>7.6570000000000002E-4</v>
      </c>
      <c r="DQ8" s="4">
        <v>5.3164200000000002E-2</v>
      </c>
      <c r="DR8" s="4">
        <v>0</v>
      </c>
      <c r="DS8" s="4">
        <v>4.8199999999999999E-5</v>
      </c>
      <c r="DT8" s="4">
        <v>1.697E-4</v>
      </c>
      <c r="DU8" s="4">
        <v>6.826E-4</v>
      </c>
      <c r="DV8" s="4">
        <v>6.1309999999999999E-4</v>
      </c>
      <c r="DW8" s="4">
        <v>5.7359999999999996E-4</v>
      </c>
      <c r="DX8" s="4">
        <v>5.9579999999999995E-4</v>
      </c>
      <c r="DY8" s="4">
        <v>5.2820000000000005E-4</v>
      </c>
      <c r="DZ8" s="4">
        <v>4.8280000000000003E-4</v>
      </c>
      <c r="EA8" s="4">
        <v>4.283E-4</v>
      </c>
      <c r="EB8" s="4">
        <v>3.8259999999999998E-4</v>
      </c>
      <c r="EC8" s="4">
        <v>3.412E-4</v>
      </c>
      <c r="ED8" s="4">
        <v>3.055E-4</v>
      </c>
      <c r="EE8" s="4">
        <v>2.742E-4</v>
      </c>
      <c r="EF8" s="4">
        <v>2.4699999999999999E-4</v>
      </c>
      <c r="EG8" s="4">
        <v>2.2330000000000001E-4</v>
      </c>
      <c r="EH8" s="4">
        <v>2.0259999999999999E-4</v>
      </c>
      <c r="EI8" s="4">
        <v>1.8440000000000001E-4</v>
      </c>
      <c r="EJ8" s="4">
        <v>1.685E-4</v>
      </c>
      <c r="EK8" s="4">
        <v>1.5440000000000001E-4</v>
      </c>
      <c r="EL8" s="4">
        <v>1.4200000000000001E-4</v>
      </c>
      <c r="EM8" s="4">
        <v>1.3100000000000001E-4</v>
      </c>
      <c r="EN8" s="4">
        <v>1.2129999999999999E-4</v>
      </c>
      <c r="EO8" s="4">
        <v>1.126E-4</v>
      </c>
      <c r="EP8" s="4">
        <v>1.048E-4</v>
      </c>
      <c r="EQ8" s="4">
        <v>9.7899999999999994E-5</v>
      </c>
      <c r="ER8" s="4">
        <v>9.1700000000000006E-5</v>
      </c>
      <c r="ES8" s="4">
        <v>8.6100000000000006E-5</v>
      </c>
      <c r="ET8" s="4">
        <v>8.1100000000000006E-5</v>
      </c>
      <c r="EU8" s="4">
        <v>7.6500000000000003E-5</v>
      </c>
      <c r="EV8" s="4">
        <v>7.2399999999999998E-5</v>
      </c>
      <c r="EW8" s="4">
        <v>6.86E-5</v>
      </c>
      <c r="EX8" s="4">
        <v>6.5199999999999999E-5</v>
      </c>
      <c r="EY8" s="4">
        <v>6.2000000000000003E-5</v>
      </c>
      <c r="EZ8" s="4">
        <v>5.8999999999999998E-5</v>
      </c>
      <c r="FA8" s="4">
        <v>5.63E-5</v>
      </c>
      <c r="FB8" s="4">
        <v>5.38E-5</v>
      </c>
      <c r="FC8" s="4">
        <v>5.1499999999999998E-5</v>
      </c>
      <c r="FD8" s="4">
        <v>4.9299999999999999E-5</v>
      </c>
      <c r="FE8" s="4">
        <v>4.7299999999999998E-5</v>
      </c>
      <c r="FF8" s="4">
        <v>4.5399999999999999E-5</v>
      </c>
      <c r="FG8" s="4">
        <v>4.3600000000000003E-5</v>
      </c>
      <c r="FH8" s="4">
        <v>4.1999999999999998E-5</v>
      </c>
      <c r="FI8" s="4">
        <v>4.0500000000000002E-5</v>
      </c>
      <c r="FJ8" s="4">
        <v>3.8999999999999999E-5</v>
      </c>
      <c r="FK8" s="4">
        <v>3.7700000000000002E-5</v>
      </c>
      <c r="FL8" s="4">
        <v>3.65E-5</v>
      </c>
      <c r="FM8" s="4">
        <v>3.5299999999999997E-5</v>
      </c>
      <c r="FN8" s="4">
        <v>3.4199999999999998E-5</v>
      </c>
      <c r="FO8" s="4">
        <v>3.3200000000000001E-5</v>
      </c>
      <c r="FP8" s="4">
        <v>3.2299999999999999E-5</v>
      </c>
      <c r="FQ8" s="4">
        <v>3.1399999999999998E-5</v>
      </c>
      <c r="FR8" s="4">
        <v>3.0499999999999999E-5</v>
      </c>
      <c r="FS8" s="4">
        <v>2.9799999999999999E-5</v>
      </c>
      <c r="FT8" s="4">
        <v>2.9E-5</v>
      </c>
      <c r="FU8" s="4">
        <v>2.83E-5</v>
      </c>
      <c r="FV8" s="4">
        <v>2.7699999999999999E-5</v>
      </c>
      <c r="FW8" s="4">
        <v>2.6999999999999999E-5</v>
      </c>
      <c r="FX8" s="4">
        <v>2.65E-5</v>
      </c>
      <c r="FY8" s="4">
        <v>2.5899999999999999E-5</v>
      </c>
      <c r="FZ8" s="4">
        <v>2.5400000000000001E-5</v>
      </c>
      <c r="GA8" s="4">
        <v>2.4899999999999999E-5</v>
      </c>
      <c r="GB8" s="4">
        <v>2.44E-5</v>
      </c>
      <c r="GC8" s="4">
        <v>2.3900000000000002E-5</v>
      </c>
      <c r="GD8" s="4">
        <v>2.3499999999999999E-5</v>
      </c>
      <c r="GE8" s="4">
        <v>2.3099999999999999E-5</v>
      </c>
      <c r="GF8" s="4">
        <v>2.27E-5</v>
      </c>
      <c r="GG8" s="4">
        <v>2.23E-5</v>
      </c>
      <c r="GH8" s="4">
        <v>2.19E-5</v>
      </c>
      <c r="GI8" s="4">
        <v>2.16E-5</v>
      </c>
      <c r="GJ8" s="4">
        <v>2.12E-5</v>
      </c>
      <c r="GK8" s="4">
        <v>2.09E-5</v>
      </c>
      <c r="GL8" s="4">
        <v>2.0599999999999999E-5</v>
      </c>
      <c r="GM8" s="4">
        <v>2.0299999999999999E-5</v>
      </c>
      <c r="GN8" s="4">
        <v>1.9899999999999999E-5</v>
      </c>
      <c r="GO8" s="4">
        <v>1.9700000000000001E-5</v>
      </c>
      <c r="GP8" s="4">
        <v>1.9400000000000001E-5</v>
      </c>
      <c r="GQ8" s="4">
        <v>1.91E-5</v>
      </c>
      <c r="GR8" s="4">
        <v>1.88E-5</v>
      </c>
      <c r="GS8" s="4">
        <v>1.8499999999999999E-5</v>
      </c>
      <c r="GT8" s="4">
        <v>1.8300000000000001E-5</v>
      </c>
      <c r="GU8" s="4">
        <v>1.8E-5</v>
      </c>
      <c r="GV8" s="4">
        <v>1.7799999999999999E-5</v>
      </c>
      <c r="GW8" s="4">
        <v>1.7499999999999998E-5</v>
      </c>
      <c r="GX8" s="4">
        <v>1.73E-5</v>
      </c>
      <c r="GY8" s="4">
        <v>1.7E-5</v>
      </c>
      <c r="GZ8" s="4">
        <v>1.6799999999999998E-5</v>
      </c>
      <c r="HA8" s="4">
        <v>1.66E-5</v>
      </c>
      <c r="HB8" s="4">
        <v>1.6399999999999999E-5</v>
      </c>
      <c r="HC8" s="4">
        <v>1.6099999999999998E-5</v>
      </c>
      <c r="HD8" s="4">
        <v>1.59E-5</v>
      </c>
      <c r="HE8" s="4">
        <v>1.5699999999999999E-5</v>
      </c>
      <c r="HF8" s="4">
        <v>1.5500000000000001E-5</v>
      </c>
      <c r="HG8" s="4">
        <v>1.5299999999999999E-5</v>
      </c>
      <c r="HH8" s="4">
        <v>1.5099999999999999E-5</v>
      </c>
      <c r="HI8" s="4">
        <v>1.49E-5</v>
      </c>
      <c r="HJ8" s="4">
        <v>1.47E-5</v>
      </c>
      <c r="HK8" s="4">
        <v>1.45E-5</v>
      </c>
      <c r="HL8" s="4">
        <v>1.43E-5</v>
      </c>
      <c r="HM8" s="4">
        <v>1.4100000000000001E-5</v>
      </c>
      <c r="HN8" s="4">
        <v>1.3900000000000001E-5</v>
      </c>
      <c r="HO8" s="4">
        <v>1.3699999999999999E-5</v>
      </c>
      <c r="HP8" s="4">
        <v>1.3499999999999999E-5</v>
      </c>
      <c r="HQ8" s="4">
        <v>1.33E-5</v>
      </c>
      <c r="HR8" s="4">
        <v>1.31E-5</v>
      </c>
      <c r="HS8" s="4">
        <v>1.2999999999999999E-5</v>
      </c>
      <c r="HT8" s="4">
        <v>1.2799999999999999E-5</v>
      </c>
      <c r="HU8" s="4">
        <v>1.26E-5</v>
      </c>
      <c r="HV8" s="4">
        <v>1.24E-5</v>
      </c>
      <c r="HW8" s="4">
        <v>1.2300000000000001E-5</v>
      </c>
      <c r="HX8" s="4">
        <v>1.2099999999999999E-5</v>
      </c>
      <c r="HY8" s="4">
        <v>1.19E-5</v>
      </c>
      <c r="HZ8" s="4">
        <v>1.1800000000000001E-5</v>
      </c>
      <c r="IA8" s="4">
        <v>1.1600000000000001E-5</v>
      </c>
      <c r="IB8" s="4">
        <v>1.1399999999999999E-5</v>
      </c>
      <c r="IC8" s="4">
        <v>1.13E-5</v>
      </c>
      <c r="ID8" s="4">
        <v>1.11E-5</v>
      </c>
      <c r="IE8" s="4">
        <v>1.1E-5</v>
      </c>
      <c r="IF8" s="4">
        <v>1.08E-5</v>
      </c>
      <c r="IG8" s="4">
        <v>7.5480000000000002E-4</v>
      </c>
      <c r="IH8" s="4"/>
      <c r="II8" s="4">
        <f>(SUM(C5:DQ5)-SUM(G9:DQ9))/IL8</f>
        <v>0.11498167756396181</v>
      </c>
      <c r="IL8">
        <f>SUM(C2:DQ9)/8</f>
        <v>0.36048700000000011</v>
      </c>
      <c r="IO8" s="4"/>
      <c r="IP8" s="4">
        <f>SUM(C5:F5)-SUM(G9:J9)</f>
        <v>8.3281999999999939E-3</v>
      </c>
      <c r="IQ8" s="4">
        <f>SUM(G5:J5)-SUM(K9:N9)</f>
        <v>7.6721000000000011E-3</v>
      </c>
      <c r="IR8" s="4">
        <f>SUM(K5:N5)-SUM(O9:R9)</f>
        <v>4.9790000000000043E-3</v>
      </c>
      <c r="IS8" s="4">
        <f>SUM(O5:R5)-SUM(S9:V9)</f>
        <v>3.2929999999999973E-3</v>
      </c>
      <c r="IT8" s="4">
        <f>SUM(S5:V5)-SUM(W9:Z9)</f>
        <v>2.3011000000000021E-3</v>
      </c>
      <c r="IU8" s="4">
        <f>SUM(W5:AP5)-SUM(AA9:AT9)</f>
        <v>5.6420999999999902E-3</v>
      </c>
      <c r="IV8" s="4">
        <f>SUM(AQ5:BJ5)-SUM(AU9:BN9)</f>
        <v>2.5149000000000074E-3</v>
      </c>
      <c r="IW8" s="4">
        <f>SUM(BK5:CD5)-SUM(BO9:CH9)</f>
        <v>1.6593000000000059E-3</v>
      </c>
      <c r="IX8" s="4">
        <f>SUM(CE5:DQ5)-SUM(CI9:DQ9)</f>
        <v>5.0596999999999864E-3</v>
      </c>
      <c r="IZ8">
        <v>2007.75</v>
      </c>
      <c r="JA8">
        <f>100*LN(IP8/IP$8)</f>
        <v>0</v>
      </c>
      <c r="JB8">
        <f t="shared" ref="JB8:JI23" si="255">100*LN(IQ8/IQ$8)</f>
        <v>0</v>
      </c>
      <c r="JC8">
        <f t="shared" si="255"/>
        <v>0</v>
      </c>
      <c r="JD8">
        <f t="shared" si="255"/>
        <v>0</v>
      </c>
      <c r="JE8">
        <f t="shared" si="255"/>
        <v>0</v>
      </c>
      <c r="JF8">
        <f t="shared" si="255"/>
        <v>0</v>
      </c>
      <c r="JG8">
        <f t="shared" si="255"/>
        <v>0</v>
      </c>
      <c r="JH8">
        <f t="shared" si="255"/>
        <v>0</v>
      </c>
      <c r="JI8">
        <f t="shared" si="255"/>
        <v>0</v>
      </c>
      <c r="JL8" s="1">
        <f>JL7+1</f>
        <v>2013</v>
      </c>
      <c r="JM8">
        <f>JA30</f>
        <v>6.3940223752420771</v>
      </c>
      <c r="JN8">
        <f t="shared" ref="JN8:JU8" si="256">JB30</f>
        <v>3.9210185441712779</v>
      </c>
      <c r="JO8">
        <f t="shared" si="256"/>
        <v>3.4252966122430015</v>
      </c>
      <c r="JP8">
        <f t="shared" si="256"/>
        <v>2.1688393300295603</v>
      </c>
      <c r="JQ8">
        <f t="shared" si="256"/>
        <v>-11.779390008461709</v>
      </c>
      <c r="JR8">
        <f t="shared" si="256"/>
        <v>-3.9551850371557653</v>
      </c>
      <c r="JS8">
        <f t="shared" si="256"/>
        <v>-0.66625687801185729</v>
      </c>
      <c r="JT8">
        <f t="shared" si="256"/>
        <v>-0.28365389126552076</v>
      </c>
      <c r="JU8">
        <f t="shared" si="256"/>
        <v>-7.7109390405367254E-2</v>
      </c>
    </row>
    <row r="9" spans="1:301" x14ac:dyDescent="0.35">
      <c r="A9" s="1">
        <v>1</v>
      </c>
      <c r="B9" s="4">
        <v>8.2175000000000008E-3</v>
      </c>
      <c r="C9" s="4">
        <v>1.0654E-2</v>
      </c>
      <c r="D9" s="4">
        <v>1.06058E-2</v>
      </c>
      <c r="E9" s="4">
        <v>1.04361E-2</v>
      </c>
      <c r="F9" s="4">
        <v>9.7535E-3</v>
      </c>
      <c r="G9" s="4">
        <v>9.1403999999999999E-3</v>
      </c>
      <c r="H9" s="4">
        <v>8.5669000000000006E-3</v>
      </c>
      <c r="I9" s="4">
        <v>7.9711000000000001E-3</v>
      </c>
      <c r="J9" s="4">
        <v>7.4428000000000003E-3</v>
      </c>
      <c r="K9" s="4">
        <v>6.9601000000000003E-3</v>
      </c>
      <c r="L9" s="4">
        <v>6.5317999999999999E-3</v>
      </c>
      <c r="M9" s="4">
        <v>6.1491999999999996E-3</v>
      </c>
      <c r="N9" s="4">
        <v>5.8079999999999998E-3</v>
      </c>
      <c r="O9" s="4">
        <v>5.5024999999999996E-3</v>
      </c>
      <c r="P9" s="4">
        <v>5.2283E-3</v>
      </c>
      <c r="Q9" s="4">
        <v>4.9813000000000001E-3</v>
      </c>
      <c r="R9" s="4">
        <v>4.7580000000000001E-3</v>
      </c>
      <c r="S9" s="4">
        <v>4.5554000000000002E-3</v>
      </c>
      <c r="T9" s="4">
        <v>4.3709999999999999E-3</v>
      </c>
      <c r="U9" s="4">
        <v>4.2025999999999999E-3</v>
      </c>
      <c r="V9" s="4">
        <v>4.0480999999999998E-3</v>
      </c>
      <c r="W9" s="4">
        <v>3.9061E-3</v>
      </c>
      <c r="X9" s="4">
        <v>3.7750000000000001E-3</v>
      </c>
      <c r="Y9" s="4">
        <v>3.6537000000000002E-3</v>
      </c>
      <c r="Z9" s="4">
        <v>3.5412E-3</v>
      </c>
      <c r="AA9" s="4">
        <v>3.4364E-3</v>
      </c>
      <c r="AB9" s="4">
        <v>3.3384999999999999E-3</v>
      </c>
      <c r="AC9" s="4">
        <v>3.2468000000000002E-3</v>
      </c>
      <c r="AD9" s="4">
        <v>3.1606999999999998E-3</v>
      </c>
      <c r="AE9" s="4">
        <v>3.0796999999999999E-3</v>
      </c>
      <c r="AF9" s="4">
        <v>3.0030999999999999E-3</v>
      </c>
      <c r="AG9" s="4">
        <v>2.9307000000000001E-3</v>
      </c>
      <c r="AH9" s="4">
        <v>2.8620999999999998E-3</v>
      </c>
      <c r="AI9" s="4">
        <v>2.7969000000000002E-3</v>
      </c>
      <c r="AJ9" s="4">
        <v>2.7349000000000002E-3</v>
      </c>
      <c r="AK9" s="4">
        <v>2.6759000000000002E-3</v>
      </c>
      <c r="AL9" s="4">
        <v>2.6194999999999999E-3</v>
      </c>
      <c r="AM9" s="4">
        <v>2.5657000000000002E-3</v>
      </c>
      <c r="AN9" s="4">
        <v>2.5143000000000001E-3</v>
      </c>
      <c r="AO9" s="4">
        <v>2.4650000000000002E-3</v>
      </c>
      <c r="AP9" s="4">
        <v>2.4177000000000001E-3</v>
      </c>
      <c r="AQ9" s="4">
        <v>2.3722999999999999E-3</v>
      </c>
      <c r="AR9" s="4">
        <v>2.3287E-3</v>
      </c>
      <c r="AS9" s="4">
        <v>2.2867E-3</v>
      </c>
      <c r="AT9" s="4">
        <v>2.2461999999999998E-3</v>
      </c>
      <c r="AU9" s="4">
        <v>2.2071999999999999E-3</v>
      </c>
      <c r="AV9" s="4">
        <v>2.1695E-3</v>
      </c>
      <c r="AW9" s="4">
        <v>2.1329999999999999E-3</v>
      </c>
      <c r="AX9" s="4">
        <v>2.0977000000000001E-3</v>
      </c>
      <c r="AY9" s="4">
        <v>2.0634E-3</v>
      </c>
      <c r="AZ9" s="4">
        <v>2.0301999999999998E-3</v>
      </c>
      <c r="BA9" s="4">
        <v>1.9980000000000002E-3</v>
      </c>
      <c r="BB9" s="4">
        <v>1.9666000000000002E-3</v>
      </c>
      <c r="BC9" s="4">
        <v>1.9361000000000001E-3</v>
      </c>
      <c r="BD9" s="4">
        <v>1.9063000000000001E-3</v>
      </c>
      <c r="BE9" s="4">
        <v>1.8772999999999999E-3</v>
      </c>
      <c r="BF9" s="4">
        <v>1.8489999999999999E-3</v>
      </c>
      <c r="BG9" s="4">
        <v>1.8213000000000001E-3</v>
      </c>
      <c r="BH9" s="4">
        <v>1.7943E-3</v>
      </c>
      <c r="BI9" s="4">
        <v>1.7677999999999999E-3</v>
      </c>
      <c r="BJ9" s="4">
        <v>1.7419E-3</v>
      </c>
      <c r="BK9" s="4">
        <v>1.7166E-3</v>
      </c>
      <c r="BL9" s="4">
        <v>1.6917E-3</v>
      </c>
      <c r="BM9" s="4">
        <v>1.6673E-3</v>
      </c>
      <c r="BN9" s="4">
        <v>1.6433999999999999E-3</v>
      </c>
      <c r="BO9" s="4">
        <v>1.6199000000000001E-3</v>
      </c>
      <c r="BP9" s="4">
        <v>1.5968E-3</v>
      </c>
      <c r="BQ9" s="4">
        <v>1.5740999999999999E-3</v>
      </c>
      <c r="BR9" s="4">
        <v>1.5518000000000001E-3</v>
      </c>
      <c r="BS9" s="4">
        <v>1.5299000000000001E-3</v>
      </c>
      <c r="BT9" s="4">
        <v>1.5083E-3</v>
      </c>
      <c r="BU9" s="4">
        <v>1.4871000000000001E-3</v>
      </c>
      <c r="BV9" s="4">
        <v>1.4662E-3</v>
      </c>
      <c r="BW9" s="4">
        <v>1.4457000000000001E-3</v>
      </c>
      <c r="BX9" s="4">
        <v>1.4254000000000001E-3</v>
      </c>
      <c r="BY9" s="4">
        <v>1.4055000000000001E-3</v>
      </c>
      <c r="BZ9" s="4">
        <v>1.3858E-3</v>
      </c>
      <c r="CA9" s="4">
        <v>1.3664E-3</v>
      </c>
      <c r="CB9" s="4">
        <v>1.3473999999999999E-3</v>
      </c>
      <c r="CC9" s="4">
        <v>1.3285E-3</v>
      </c>
      <c r="CD9" s="4">
        <v>1.31E-3</v>
      </c>
      <c r="CE9" s="4">
        <v>1.2917E-3</v>
      </c>
      <c r="CF9" s="4">
        <v>1.2737E-3</v>
      </c>
      <c r="CG9" s="4">
        <v>1.2558999999999999E-3</v>
      </c>
      <c r="CH9" s="4">
        <v>1.2384E-3</v>
      </c>
      <c r="CI9" s="4">
        <v>1.2210999999999999E-3</v>
      </c>
      <c r="CJ9" s="4">
        <v>1.2041E-3</v>
      </c>
      <c r="CK9" s="4">
        <v>1.1873000000000001E-3</v>
      </c>
      <c r="CL9" s="4">
        <v>1.1707E-3</v>
      </c>
      <c r="CM9" s="4">
        <v>1.1543E-3</v>
      </c>
      <c r="CN9" s="4">
        <v>1.1382E-3</v>
      </c>
      <c r="CO9" s="4">
        <v>1.1222999999999999E-3</v>
      </c>
      <c r="CP9" s="4">
        <v>1.1065999999999999E-3</v>
      </c>
      <c r="CQ9" s="4">
        <v>1.0911E-3</v>
      </c>
      <c r="CR9" s="4">
        <v>1.0759000000000001E-3</v>
      </c>
      <c r="CS9" s="4">
        <v>1.0608E-3</v>
      </c>
      <c r="CT9" s="4">
        <v>1.0459E-3</v>
      </c>
      <c r="CU9" s="4">
        <v>1.0313E-3</v>
      </c>
      <c r="CV9" s="4">
        <v>1.0168E-3</v>
      </c>
      <c r="CW9" s="4">
        <v>1.0026E-3</v>
      </c>
      <c r="CX9" s="4">
        <v>9.8850000000000001E-4</v>
      </c>
      <c r="CY9" s="4">
        <v>9.7460000000000005E-4</v>
      </c>
      <c r="CZ9" s="4">
        <v>9.6089999999999999E-4</v>
      </c>
      <c r="DA9" s="4">
        <v>9.4740000000000004E-4</v>
      </c>
      <c r="DB9" s="4">
        <v>9.3409999999999999E-4</v>
      </c>
      <c r="DC9" s="4">
        <v>9.2100000000000005E-4</v>
      </c>
      <c r="DD9" s="4">
        <v>9.0799999999999995E-4</v>
      </c>
      <c r="DE9" s="4">
        <v>8.9519999999999997E-4</v>
      </c>
      <c r="DF9" s="4">
        <v>8.8259999999999999E-4</v>
      </c>
      <c r="DG9" s="4">
        <v>8.7020000000000001E-4</v>
      </c>
      <c r="DH9" s="4">
        <v>8.5789999999999998E-4</v>
      </c>
      <c r="DI9" s="4">
        <v>8.4579999999999996E-4</v>
      </c>
      <c r="DJ9" s="4">
        <v>8.3390000000000005E-4</v>
      </c>
      <c r="DK9" s="4">
        <v>8.2209999999999998E-4</v>
      </c>
      <c r="DL9" s="4">
        <v>8.1050000000000002E-4</v>
      </c>
      <c r="DM9" s="4">
        <v>7.9909999999999996E-4</v>
      </c>
      <c r="DN9" s="4">
        <v>7.8779999999999996E-4</v>
      </c>
      <c r="DO9" s="4">
        <v>7.7669999999999996E-4</v>
      </c>
      <c r="DP9" s="4">
        <v>7.6570000000000002E-4</v>
      </c>
      <c r="DQ9" s="4">
        <v>5.3164200000000002E-2</v>
      </c>
      <c r="DR9" s="4">
        <v>0</v>
      </c>
      <c r="DS9" s="4">
        <v>5.7399999999999997E-4</v>
      </c>
      <c r="DT9" s="4">
        <v>9.9979999999999991E-4</v>
      </c>
      <c r="DU9" s="4">
        <v>1.4205000000000001E-3</v>
      </c>
      <c r="DV9" s="4">
        <v>1.4537E-3</v>
      </c>
      <c r="DW9" s="4">
        <v>1.4117999999999999E-3</v>
      </c>
      <c r="DX9" s="4">
        <v>1.3565999999999999E-3</v>
      </c>
      <c r="DY9" s="4">
        <v>1.2097E-3</v>
      </c>
      <c r="DZ9" s="4">
        <v>1.0834E-3</v>
      </c>
      <c r="EA9" s="4">
        <v>9.5770000000000002E-4</v>
      </c>
      <c r="EB9" s="4">
        <v>8.4929999999999999E-4</v>
      </c>
      <c r="EC9" s="4">
        <v>7.5370000000000005E-4</v>
      </c>
      <c r="ED9" s="4">
        <v>6.713E-4</v>
      </c>
      <c r="EE9" s="4">
        <v>5.9969999999999999E-4</v>
      </c>
      <c r="EF9" s="4">
        <v>5.3759999999999995E-4</v>
      </c>
      <c r="EG9" s="4">
        <v>4.8339999999999999E-4</v>
      </c>
      <c r="EH9" s="4">
        <v>4.3600000000000003E-4</v>
      </c>
      <c r="EI9" s="4">
        <v>3.9439999999999999E-4</v>
      </c>
      <c r="EJ9" s="4">
        <v>3.5780000000000002E-4</v>
      </c>
      <c r="EK9" s="4">
        <v>3.2529999999999999E-4</v>
      </c>
      <c r="EL9" s="4">
        <v>2.965E-4</v>
      </c>
      <c r="EM9" s="4">
        <v>2.7080000000000002E-4</v>
      </c>
      <c r="EN9" s="4">
        <v>2.4790000000000001E-4</v>
      </c>
      <c r="EO9" s="4">
        <v>2.274E-4</v>
      </c>
      <c r="EP9" s="4">
        <v>2.0909999999999999E-4</v>
      </c>
      <c r="EQ9" s="4">
        <v>1.9259999999999999E-4</v>
      </c>
      <c r="ER9" s="4">
        <v>1.7780000000000001E-4</v>
      </c>
      <c r="ES9" s="4">
        <v>1.6449999999999999E-4</v>
      </c>
      <c r="ET9" s="4">
        <v>1.526E-4</v>
      </c>
      <c r="EU9" s="4">
        <v>1.418E-4</v>
      </c>
      <c r="EV9" s="4">
        <v>1.3200000000000001E-4</v>
      </c>
      <c r="EW9" s="4">
        <v>1.2320000000000001E-4</v>
      </c>
      <c r="EX9" s="4">
        <v>1.1519999999999999E-4</v>
      </c>
      <c r="EY9" s="4">
        <v>1.0789999999999999E-4</v>
      </c>
      <c r="EZ9" s="4">
        <v>1.014E-4</v>
      </c>
      <c r="FA9" s="4">
        <v>9.5400000000000001E-5</v>
      </c>
      <c r="FB9" s="4">
        <v>9.0000000000000006E-5</v>
      </c>
      <c r="FC9" s="4">
        <v>8.5000000000000006E-5</v>
      </c>
      <c r="FD9" s="4">
        <v>8.0500000000000005E-5</v>
      </c>
      <c r="FE9" s="4">
        <v>7.64E-5</v>
      </c>
      <c r="FF9" s="4">
        <v>7.2600000000000003E-5</v>
      </c>
      <c r="FG9" s="4">
        <v>6.9200000000000002E-5</v>
      </c>
      <c r="FH9" s="4">
        <v>6.6099999999999994E-5</v>
      </c>
      <c r="FI9" s="4">
        <v>6.3200000000000005E-5</v>
      </c>
      <c r="FJ9" s="4">
        <v>6.05E-5</v>
      </c>
      <c r="FK9" s="4">
        <v>5.8E-5</v>
      </c>
      <c r="FL9" s="4">
        <v>5.5800000000000001E-5</v>
      </c>
      <c r="FM9" s="4">
        <v>5.3699999999999997E-5</v>
      </c>
      <c r="FN9" s="4">
        <v>5.1700000000000003E-5</v>
      </c>
      <c r="FO9" s="4">
        <v>4.99E-5</v>
      </c>
      <c r="FP9" s="4">
        <v>4.8300000000000002E-5</v>
      </c>
      <c r="FQ9" s="4">
        <v>4.6699999999999997E-5</v>
      </c>
      <c r="FR9" s="4">
        <v>4.5200000000000001E-5</v>
      </c>
      <c r="FS9" s="4">
        <v>4.3900000000000003E-5</v>
      </c>
      <c r="FT9" s="4">
        <v>4.2599999999999999E-5</v>
      </c>
      <c r="FU9" s="4">
        <v>4.1300000000000001E-5</v>
      </c>
      <c r="FV9" s="4">
        <v>4.0200000000000001E-5</v>
      </c>
      <c r="FW9" s="4">
        <v>3.9100000000000002E-5</v>
      </c>
      <c r="FX9" s="4">
        <v>3.8099999999999998E-5</v>
      </c>
      <c r="FY9" s="4">
        <v>3.7100000000000001E-5</v>
      </c>
      <c r="FZ9" s="4">
        <v>3.6100000000000003E-5</v>
      </c>
      <c r="GA9" s="4">
        <v>3.5299999999999997E-5</v>
      </c>
      <c r="GB9" s="4">
        <v>3.4400000000000003E-5</v>
      </c>
      <c r="GC9" s="4">
        <v>3.3599999999999997E-5</v>
      </c>
      <c r="GD9" s="4">
        <v>3.2799999999999998E-5</v>
      </c>
      <c r="GE9" s="4">
        <v>3.2100000000000001E-5</v>
      </c>
      <c r="GF9" s="4">
        <v>3.1300000000000002E-5</v>
      </c>
      <c r="GG9" s="4">
        <v>3.0599999999999998E-5</v>
      </c>
      <c r="GH9" s="4">
        <v>3.0000000000000001E-5</v>
      </c>
      <c r="GI9" s="4">
        <v>2.9300000000000001E-5</v>
      </c>
      <c r="GJ9" s="4">
        <v>2.87E-5</v>
      </c>
      <c r="GK9" s="4">
        <v>2.8099999999999999E-5</v>
      </c>
      <c r="GL9" s="4">
        <v>2.7500000000000001E-5</v>
      </c>
      <c r="GM9" s="4">
        <v>2.69E-5</v>
      </c>
      <c r="GN9" s="4">
        <v>2.6400000000000001E-5</v>
      </c>
      <c r="GO9" s="4">
        <v>2.5899999999999999E-5</v>
      </c>
      <c r="GP9" s="4">
        <v>2.5299999999999998E-5</v>
      </c>
      <c r="GQ9" s="4">
        <v>2.48E-5</v>
      </c>
      <c r="GR9" s="4">
        <v>2.44E-5</v>
      </c>
      <c r="GS9" s="4">
        <v>2.3900000000000002E-5</v>
      </c>
      <c r="GT9" s="4">
        <v>2.34E-5</v>
      </c>
      <c r="GU9" s="4">
        <v>2.3E-5</v>
      </c>
      <c r="GV9" s="4">
        <v>2.2500000000000001E-5</v>
      </c>
      <c r="GW9" s="4">
        <v>2.2099999999999998E-5</v>
      </c>
      <c r="GX9" s="4">
        <v>2.1699999999999999E-5</v>
      </c>
      <c r="GY9" s="4">
        <v>2.1299999999999999E-5</v>
      </c>
      <c r="GZ9" s="4">
        <v>2.09E-5</v>
      </c>
      <c r="HA9" s="4">
        <v>2.05E-5</v>
      </c>
      <c r="HB9" s="4">
        <v>2.0100000000000001E-5</v>
      </c>
      <c r="HC9" s="4">
        <v>1.98E-5</v>
      </c>
      <c r="HD9" s="4">
        <v>1.9400000000000001E-5</v>
      </c>
      <c r="HE9" s="4">
        <v>1.91E-5</v>
      </c>
      <c r="HF9" s="4">
        <v>1.8700000000000001E-5</v>
      </c>
      <c r="HG9" s="4">
        <v>1.84E-5</v>
      </c>
      <c r="HH9" s="4">
        <v>1.8099999999999999E-5</v>
      </c>
      <c r="HI9" s="4">
        <v>1.77E-5</v>
      </c>
      <c r="HJ9" s="4">
        <v>1.7399999999999999E-5</v>
      </c>
      <c r="HK9" s="4">
        <v>1.7099999999999999E-5</v>
      </c>
      <c r="HL9" s="4">
        <v>1.6799999999999998E-5</v>
      </c>
      <c r="HM9" s="4">
        <v>1.6500000000000001E-5</v>
      </c>
      <c r="HN9" s="4">
        <v>1.63E-5</v>
      </c>
      <c r="HO9" s="4">
        <v>1.5999999999999999E-5</v>
      </c>
      <c r="HP9" s="4">
        <v>1.5699999999999999E-5</v>
      </c>
      <c r="HQ9" s="4">
        <v>1.5400000000000002E-5</v>
      </c>
      <c r="HR9" s="4">
        <v>1.52E-5</v>
      </c>
      <c r="HS9" s="4">
        <v>1.49E-5</v>
      </c>
      <c r="HT9" s="4">
        <v>1.47E-5</v>
      </c>
      <c r="HU9" s="4">
        <v>1.4399999999999999E-5</v>
      </c>
      <c r="HV9" s="4">
        <v>1.42E-5</v>
      </c>
      <c r="HW9" s="4">
        <v>1.4E-5</v>
      </c>
      <c r="HX9" s="4">
        <v>1.3699999999999999E-5</v>
      </c>
      <c r="HY9" s="4">
        <v>1.3499999999999999E-5</v>
      </c>
      <c r="HZ9" s="4">
        <v>1.33E-5</v>
      </c>
      <c r="IA9" s="4">
        <v>1.31E-5</v>
      </c>
      <c r="IB9" s="4">
        <v>1.29E-5</v>
      </c>
      <c r="IC9" s="4">
        <v>1.27E-5</v>
      </c>
      <c r="ID9" s="4">
        <v>1.2500000000000001E-5</v>
      </c>
      <c r="IE9" s="4">
        <v>1.2300000000000001E-5</v>
      </c>
      <c r="IF9" s="4">
        <v>1.2099999999999999E-5</v>
      </c>
      <c r="IG9" s="4">
        <v>8.1490000000000002E-4</v>
      </c>
      <c r="IH9" s="4"/>
      <c r="II9" s="4">
        <f t="shared" ref="II9:II47" si="257">(SUM(C6:DQ6)-SUM(G10:DQ10))/IL9</f>
        <v>0.14146560052982809</v>
      </c>
      <c r="IL9">
        <f t="shared" ref="IL9:IL63" si="258">SUM(C3:DQ10)/8</f>
        <v>0.35875788750000004</v>
      </c>
      <c r="IO9" s="4"/>
      <c r="IP9" s="4">
        <f t="shared" ref="IP9:IP12" si="259">SUM(C6:F6)-SUM(G10:J10)</f>
        <v>1.1449199999999996E-2</v>
      </c>
      <c r="IQ9" s="4">
        <f t="shared" ref="IQ9:IQ12" si="260">SUM(G6:J6)-SUM(K10:N10)</f>
        <v>9.6813000000000038E-3</v>
      </c>
      <c r="IR9" s="4">
        <f t="shared" ref="IR9:IR47" si="261">SUM(K6:N6)-SUM(O10:R10)</f>
        <v>6.2211000000000037E-3</v>
      </c>
      <c r="IS9" s="4">
        <f t="shared" ref="IS9:IS47" si="262">SUM(O6:R6)-SUM(S10:V10)</f>
        <v>4.0966999999999983E-3</v>
      </c>
      <c r="IT9" s="4">
        <f t="shared" ref="IT9:IT47" si="263">SUM(S6:V6)-SUM(W10:Z10)</f>
        <v>2.8368999999999998E-3</v>
      </c>
      <c r="IU9" s="4">
        <f t="shared" ref="IU9:IU47" si="264">SUM(W6:AP6)-SUM(AA10:AT10)</f>
        <v>6.6632999999999831E-3</v>
      </c>
      <c r="IV9" s="4">
        <f t="shared" ref="IV9:IV47" si="265">SUM(AQ6:BJ6)-SUM(AU10:BN10)</f>
        <v>2.8036999999999992E-3</v>
      </c>
      <c r="IW9" s="4">
        <f t="shared" ref="IW9:IW47" si="266">SUM(BK6:CD6)-SUM(BO10:CH10)</f>
        <v>1.7931000000000058E-3</v>
      </c>
      <c r="IX9" s="4">
        <f t="shared" ref="IX9:IX47" si="267">SUM(CE6:DQ6)-SUM(CI10:DQ10)</f>
        <v>5.2065999999999918E-3</v>
      </c>
      <c r="IZ9">
        <f>IZ8+0.25</f>
        <v>2008</v>
      </c>
      <c r="JA9">
        <f t="shared" ref="JA9:JI47" si="268">100*LN(IP9/IP$8)</f>
        <v>31.82725121695238</v>
      </c>
      <c r="JB9">
        <f t="shared" si="255"/>
        <v>23.26058178850078</v>
      </c>
      <c r="JC9">
        <f t="shared" si="255"/>
        <v>22.271767232972145</v>
      </c>
      <c r="JD9">
        <f t="shared" si="255"/>
        <v>21.838276817900542</v>
      </c>
      <c r="JE9">
        <f t="shared" si="255"/>
        <v>20.932463722914047</v>
      </c>
      <c r="JF9">
        <f t="shared" si="255"/>
        <v>16.635852069642993</v>
      </c>
      <c r="JG9">
        <f t="shared" si="255"/>
        <v>10.870693210445099</v>
      </c>
      <c r="JH9">
        <f t="shared" si="255"/>
        <v>7.7550138829575825</v>
      </c>
      <c r="JI9">
        <f t="shared" si="255"/>
        <v>2.8619858559957168</v>
      </c>
      <c r="JL9" s="1">
        <f t="shared" si="246"/>
        <v>2014</v>
      </c>
      <c r="JM9">
        <f>JA34</f>
        <v>3.6674214621128467</v>
      </c>
      <c r="JN9">
        <f t="shared" ref="JN9:JU9" si="269">JB34</f>
        <v>3.7629772198529956</v>
      </c>
      <c r="JO9">
        <f t="shared" si="269"/>
        <v>2.925261521348562</v>
      </c>
      <c r="JP9">
        <f t="shared" si="269"/>
        <v>3.1034808572629866</v>
      </c>
      <c r="JQ9">
        <f t="shared" si="269"/>
        <v>2.2516312384667674</v>
      </c>
      <c r="JR9">
        <f t="shared" si="269"/>
        <v>-6.7675840801816083</v>
      </c>
      <c r="JS9">
        <f t="shared" si="269"/>
        <v>-1.1920141142164009</v>
      </c>
      <c r="JT9">
        <f t="shared" si="269"/>
        <v>-0.46513116568107016</v>
      </c>
      <c r="JU9">
        <f t="shared" si="269"/>
        <v>-0.10084732373425079</v>
      </c>
    </row>
    <row r="10" spans="1:301" x14ac:dyDescent="0.35">
      <c r="A10" s="1">
        <v>2</v>
      </c>
      <c r="B10" s="4">
        <v>9.7630000000000008E-3</v>
      </c>
      <c r="C10" s="4">
        <v>8.2175000000000008E-3</v>
      </c>
      <c r="D10" s="4">
        <v>1.008E-2</v>
      </c>
      <c r="E10" s="4">
        <v>9.6059000000000005E-3</v>
      </c>
      <c r="F10" s="4">
        <v>9.0156000000000003E-3</v>
      </c>
      <c r="G10" s="4">
        <v>8.2999000000000007E-3</v>
      </c>
      <c r="H10" s="4">
        <v>7.7286000000000004E-3</v>
      </c>
      <c r="I10" s="4">
        <v>7.2103000000000002E-3</v>
      </c>
      <c r="J10" s="4">
        <v>6.7613999999999999E-3</v>
      </c>
      <c r="K10" s="4">
        <v>6.3594999999999997E-3</v>
      </c>
      <c r="L10" s="4">
        <v>6.0023999999999997E-3</v>
      </c>
      <c r="M10" s="4">
        <v>5.6825000000000001E-3</v>
      </c>
      <c r="N10" s="4">
        <v>5.3955000000000001E-3</v>
      </c>
      <c r="O10" s="4">
        <v>5.1367000000000001E-3</v>
      </c>
      <c r="P10" s="4">
        <v>4.9027999999999997E-3</v>
      </c>
      <c r="Q10" s="4">
        <v>4.6906999999999999E-3</v>
      </c>
      <c r="R10" s="4">
        <v>4.4977999999999997E-3</v>
      </c>
      <c r="S10" s="4">
        <v>4.3219E-3</v>
      </c>
      <c r="T10" s="4">
        <v>4.1609999999999998E-3</v>
      </c>
      <c r="U10" s="4">
        <v>4.0133E-3</v>
      </c>
      <c r="V10" s="4">
        <v>3.8771999999999999E-3</v>
      </c>
      <c r="W10" s="4">
        <v>3.7515999999999999E-3</v>
      </c>
      <c r="X10" s="4">
        <v>3.6351999999999999E-3</v>
      </c>
      <c r="Y10" s="4">
        <v>3.5271E-3</v>
      </c>
      <c r="Z10" s="4">
        <v>3.4263000000000002E-3</v>
      </c>
      <c r="AA10" s="4">
        <v>3.3321000000000002E-3</v>
      </c>
      <c r="AB10" s="4">
        <v>3.2437999999999998E-3</v>
      </c>
      <c r="AC10" s="4">
        <v>3.1606999999999998E-3</v>
      </c>
      <c r="AD10" s="4">
        <v>3.0823000000000001E-3</v>
      </c>
      <c r="AE10" s="4">
        <v>3.0081999999999999E-3</v>
      </c>
      <c r="AF10" s="4">
        <v>2.9378999999999998E-3</v>
      </c>
      <c r="AG10" s="4">
        <v>2.8711000000000001E-3</v>
      </c>
      <c r="AH10" s="4">
        <v>2.8075000000000001E-3</v>
      </c>
      <c r="AI10" s="4">
        <v>2.7469E-3</v>
      </c>
      <c r="AJ10" s="4">
        <v>2.689E-3</v>
      </c>
      <c r="AK10" s="4">
        <v>2.6335999999999998E-3</v>
      </c>
      <c r="AL10" s="4">
        <v>2.5804999999999999E-3</v>
      </c>
      <c r="AM10" s="4">
        <v>2.5295999999999999E-3</v>
      </c>
      <c r="AN10" s="4">
        <v>2.4807000000000002E-3</v>
      </c>
      <c r="AO10" s="4">
        <v>2.4337999999999999E-3</v>
      </c>
      <c r="AP10" s="4">
        <v>2.3885999999999998E-3</v>
      </c>
      <c r="AQ10" s="4">
        <v>2.3451000000000001E-3</v>
      </c>
      <c r="AR10" s="4">
        <v>2.3031000000000002E-3</v>
      </c>
      <c r="AS10" s="4">
        <v>2.2626E-3</v>
      </c>
      <c r="AT10" s="4">
        <v>2.2235000000000002E-3</v>
      </c>
      <c r="AU10" s="4">
        <v>2.1857000000000001E-3</v>
      </c>
      <c r="AV10" s="4">
        <v>2.1491000000000001E-3</v>
      </c>
      <c r="AW10" s="4">
        <v>2.1137E-3</v>
      </c>
      <c r="AX10" s="4">
        <v>2.0793000000000001E-3</v>
      </c>
      <c r="AY10" s="4">
        <v>2.0458999999999998E-3</v>
      </c>
      <c r="AZ10" s="4">
        <v>2.0135000000000001E-3</v>
      </c>
      <c r="BA10" s="4">
        <v>1.9819999999999998E-3</v>
      </c>
      <c r="BB10" s="4">
        <v>1.9513E-3</v>
      </c>
      <c r="BC10" s="4">
        <v>1.9214E-3</v>
      </c>
      <c r="BD10" s="4">
        <v>1.8921999999999999E-3</v>
      </c>
      <c r="BE10" s="4">
        <v>1.8637E-3</v>
      </c>
      <c r="BF10" s="4">
        <v>1.836E-3</v>
      </c>
      <c r="BG10" s="4">
        <v>1.8087999999999999E-3</v>
      </c>
      <c r="BH10" s="4">
        <v>1.7822000000000001E-3</v>
      </c>
      <c r="BI10" s="4">
        <v>1.7562000000000001E-3</v>
      </c>
      <c r="BJ10" s="4">
        <v>1.7306999999999999E-3</v>
      </c>
      <c r="BK10" s="4">
        <v>1.7057999999999999E-3</v>
      </c>
      <c r="BL10" s="4">
        <v>1.6812999999999999E-3</v>
      </c>
      <c r="BM10" s="4">
        <v>1.6573E-3</v>
      </c>
      <c r="BN10" s="4">
        <v>1.6337000000000001E-3</v>
      </c>
      <c r="BO10" s="4">
        <v>1.6106E-3</v>
      </c>
      <c r="BP10" s="4">
        <v>1.5878000000000001E-3</v>
      </c>
      <c r="BQ10" s="4">
        <v>1.5655000000000001E-3</v>
      </c>
      <c r="BR10" s="4">
        <v>1.5435E-3</v>
      </c>
      <c r="BS10" s="4">
        <v>1.5219000000000001E-3</v>
      </c>
      <c r="BT10" s="4">
        <v>1.5005999999999999E-3</v>
      </c>
      <c r="BU10" s="4">
        <v>1.4796E-3</v>
      </c>
      <c r="BV10" s="4">
        <v>1.459E-3</v>
      </c>
      <c r="BW10" s="4">
        <v>1.4387E-3</v>
      </c>
      <c r="BX10" s="4">
        <v>1.4187E-3</v>
      </c>
      <c r="BY10" s="4">
        <v>1.3990000000000001E-3</v>
      </c>
      <c r="BZ10" s="4">
        <v>1.3795999999999999E-3</v>
      </c>
      <c r="CA10" s="4">
        <v>1.3604999999999999E-3</v>
      </c>
      <c r="CB10" s="4">
        <v>1.3416000000000001E-3</v>
      </c>
      <c r="CC10" s="4">
        <v>1.323E-3</v>
      </c>
      <c r="CD10" s="4">
        <v>1.3047E-3</v>
      </c>
      <c r="CE10" s="4">
        <v>1.2865999999999999E-3</v>
      </c>
      <c r="CF10" s="4">
        <v>1.2688E-3</v>
      </c>
      <c r="CG10" s="4">
        <v>1.2512000000000001E-3</v>
      </c>
      <c r="CH10" s="4">
        <v>1.2338E-3</v>
      </c>
      <c r="CI10" s="4">
        <v>1.2167E-3</v>
      </c>
      <c r="CJ10" s="4">
        <v>1.1998E-3</v>
      </c>
      <c r="CK10" s="4">
        <v>1.1831999999999999E-3</v>
      </c>
      <c r="CL10" s="4">
        <v>1.1668E-3</v>
      </c>
      <c r="CM10" s="4">
        <v>1.1506000000000001E-3</v>
      </c>
      <c r="CN10" s="4">
        <v>1.1345999999999999E-3</v>
      </c>
      <c r="CO10" s="4">
        <v>1.1188000000000001E-3</v>
      </c>
      <c r="CP10" s="4">
        <v>1.1031999999999999E-3</v>
      </c>
      <c r="CQ10" s="4">
        <v>1.0878999999999999E-3</v>
      </c>
      <c r="CR10" s="4">
        <v>1.0727E-3</v>
      </c>
      <c r="CS10" s="4">
        <v>1.0578E-3</v>
      </c>
      <c r="CT10" s="4">
        <v>1.0430999999999999E-3</v>
      </c>
      <c r="CU10" s="4">
        <v>1.0284999999999999E-3</v>
      </c>
      <c r="CV10" s="4">
        <v>1.0142E-3</v>
      </c>
      <c r="CW10" s="4">
        <v>1E-3</v>
      </c>
      <c r="CX10" s="4">
        <v>9.859999999999999E-4</v>
      </c>
      <c r="CY10" s="4">
        <v>9.722E-4</v>
      </c>
      <c r="CZ10" s="4">
        <v>9.5859999999999999E-4</v>
      </c>
      <c r="DA10" s="4">
        <v>9.4519999999999999E-4</v>
      </c>
      <c r="DB10" s="4">
        <v>9.3199999999999999E-4</v>
      </c>
      <c r="DC10" s="4">
        <v>9.1889999999999995E-4</v>
      </c>
      <c r="DD10" s="4">
        <v>9.0600000000000001E-4</v>
      </c>
      <c r="DE10" s="4">
        <v>8.9329999999999998E-4</v>
      </c>
      <c r="DF10" s="4">
        <v>8.8080000000000005E-4</v>
      </c>
      <c r="DG10" s="4">
        <v>8.6839999999999997E-4</v>
      </c>
      <c r="DH10" s="4">
        <v>8.5619999999999999E-4</v>
      </c>
      <c r="DI10" s="4">
        <v>8.4420000000000003E-4</v>
      </c>
      <c r="DJ10" s="4">
        <v>8.3230000000000001E-4</v>
      </c>
      <c r="DK10" s="4">
        <v>8.206E-4</v>
      </c>
      <c r="DL10" s="4">
        <v>8.0900000000000004E-4</v>
      </c>
      <c r="DM10" s="4">
        <v>7.9759999999999998E-4</v>
      </c>
      <c r="DN10" s="4">
        <v>7.8640000000000003E-4</v>
      </c>
      <c r="DO10" s="4">
        <v>7.7530000000000003E-4</v>
      </c>
      <c r="DP10" s="4">
        <v>7.6440000000000004E-4</v>
      </c>
      <c r="DQ10" s="4">
        <v>5.3102999999999997E-2</v>
      </c>
      <c r="DR10" s="4">
        <v>0</v>
      </c>
      <c r="DS10" s="4">
        <v>1.039E-4</v>
      </c>
      <c r="DT10" s="4">
        <v>5.4230000000000001E-4</v>
      </c>
      <c r="DU10" s="4">
        <v>6.0300000000000002E-4</v>
      </c>
      <c r="DV10" s="4">
        <v>6.5459999999999997E-4</v>
      </c>
      <c r="DW10" s="4">
        <v>4.8099999999999998E-4</v>
      </c>
      <c r="DX10" s="4">
        <v>4.1869999999999999E-4</v>
      </c>
      <c r="DY10" s="4">
        <v>3.5859999999999999E-4</v>
      </c>
      <c r="DZ10" s="4">
        <v>3.1480000000000001E-4</v>
      </c>
      <c r="EA10" s="4">
        <v>2.7559999999999998E-4</v>
      </c>
      <c r="EB10" s="4">
        <v>2.4259999999999999E-4</v>
      </c>
      <c r="EC10" s="4">
        <v>2.1379999999999999E-4</v>
      </c>
      <c r="ED10" s="4">
        <v>1.8890000000000001E-4</v>
      </c>
      <c r="EE10" s="4">
        <v>1.673E-4</v>
      </c>
      <c r="EF10" s="4">
        <v>1.4860000000000001E-4</v>
      </c>
      <c r="EG10" s="4">
        <v>1.326E-4</v>
      </c>
      <c r="EH10" s="4">
        <v>1.189E-4</v>
      </c>
      <c r="EI10" s="4">
        <v>1.072E-4</v>
      </c>
      <c r="EJ10" s="4">
        <v>9.7200000000000004E-5</v>
      </c>
      <c r="EK10" s="4">
        <v>8.8700000000000001E-5</v>
      </c>
      <c r="EL10" s="4">
        <v>8.14E-5</v>
      </c>
      <c r="EM10" s="4">
        <v>7.5199999999999998E-5</v>
      </c>
      <c r="EN10" s="4">
        <v>6.9900000000000005E-5</v>
      </c>
      <c r="EO10" s="4">
        <v>6.5400000000000004E-5</v>
      </c>
      <c r="EP10" s="4">
        <v>6.1500000000000004E-5</v>
      </c>
      <c r="EQ10" s="4">
        <v>5.8199999999999998E-5</v>
      </c>
      <c r="ER10" s="4">
        <v>5.5399999999999998E-5</v>
      </c>
      <c r="ES10" s="4">
        <v>5.3000000000000001E-5</v>
      </c>
      <c r="ET10" s="4">
        <v>5.0899999999999997E-5</v>
      </c>
      <c r="EU10" s="4">
        <v>4.8999999999999998E-5</v>
      </c>
      <c r="EV10" s="4">
        <v>4.74E-5</v>
      </c>
      <c r="EW10" s="4">
        <v>4.5899999999999998E-5</v>
      </c>
      <c r="EX10" s="4">
        <v>4.4499999999999997E-5</v>
      </c>
      <c r="EY10" s="4">
        <v>4.32E-5</v>
      </c>
      <c r="EZ10" s="4">
        <v>4.1999999999999998E-5</v>
      </c>
      <c r="FA10" s="4">
        <v>4.0899999999999998E-5</v>
      </c>
      <c r="FB10" s="4">
        <v>3.9799999999999998E-5</v>
      </c>
      <c r="FC10" s="4">
        <v>3.8699999999999999E-5</v>
      </c>
      <c r="FD10" s="4">
        <v>3.7700000000000002E-5</v>
      </c>
      <c r="FE10" s="4">
        <v>3.6699999999999998E-5</v>
      </c>
      <c r="FF10" s="4">
        <v>3.57E-5</v>
      </c>
      <c r="FG10" s="4">
        <v>3.4700000000000003E-5</v>
      </c>
      <c r="FH10" s="4">
        <v>3.3800000000000002E-5</v>
      </c>
      <c r="FI10" s="4">
        <v>3.29E-5</v>
      </c>
      <c r="FJ10" s="4">
        <v>3.2100000000000001E-5</v>
      </c>
      <c r="FK10" s="4">
        <v>3.1300000000000002E-5</v>
      </c>
      <c r="FL10" s="4">
        <v>3.0499999999999999E-5</v>
      </c>
      <c r="FM10" s="4">
        <v>2.97E-5</v>
      </c>
      <c r="FN10" s="4">
        <v>2.9E-5</v>
      </c>
      <c r="FO10" s="4">
        <v>2.83E-5</v>
      </c>
      <c r="FP10" s="4">
        <v>2.7699999999999999E-5</v>
      </c>
      <c r="FQ10" s="4">
        <v>2.6999999999999999E-5</v>
      </c>
      <c r="FR10" s="4">
        <v>2.6400000000000001E-5</v>
      </c>
      <c r="FS10" s="4">
        <v>2.58E-5</v>
      </c>
      <c r="FT10" s="4">
        <v>2.5299999999999998E-5</v>
      </c>
      <c r="FU10" s="4">
        <v>2.48E-5</v>
      </c>
      <c r="FV10" s="4">
        <v>2.4300000000000001E-5</v>
      </c>
      <c r="FW10" s="4">
        <v>2.3799999999999999E-5</v>
      </c>
      <c r="FX10" s="4">
        <v>2.3300000000000001E-5</v>
      </c>
      <c r="FY10" s="4">
        <v>2.2900000000000001E-5</v>
      </c>
      <c r="FZ10" s="4">
        <v>2.2500000000000001E-5</v>
      </c>
      <c r="GA10" s="4">
        <v>2.2099999999999998E-5</v>
      </c>
      <c r="GB10" s="4">
        <v>2.1699999999999999E-5</v>
      </c>
      <c r="GC10" s="4">
        <v>2.1299999999999999E-5</v>
      </c>
      <c r="GD10" s="4">
        <v>2.09E-5</v>
      </c>
      <c r="GE10" s="4">
        <v>2.0599999999999999E-5</v>
      </c>
      <c r="GF10" s="4">
        <v>2.0299999999999999E-5</v>
      </c>
      <c r="GG10" s="4">
        <v>2.0000000000000002E-5</v>
      </c>
      <c r="GH10" s="4">
        <v>1.9700000000000001E-5</v>
      </c>
      <c r="GI10" s="4">
        <v>1.9400000000000001E-5</v>
      </c>
      <c r="GJ10" s="4">
        <v>1.91E-5</v>
      </c>
      <c r="GK10" s="4">
        <v>1.88E-5</v>
      </c>
      <c r="GL10" s="4">
        <v>1.8499999999999999E-5</v>
      </c>
      <c r="GM10" s="4">
        <v>1.8300000000000001E-5</v>
      </c>
      <c r="GN10" s="4">
        <v>1.8E-5</v>
      </c>
      <c r="GO10" s="4">
        <v>1.7799999999999999E-5</v>
      </c>
      <c r="GP10" s="4">
        <v>1.7600000000000001E-5</v>
      </c>
      <c r="GQ10" s="4">
        <v>1.73E-5</v>
      </c>
      <c r="GR10" s="4">
        <v>1.7099999999999999E-5</v>
      </c>
      <c r="GS10" s="4">
        <v>1.6900000000000001E-5</v>
      </c>
      <c r="GT10" s="4">
        <v>1.6699999999999999E-5</v>
      </c>
      <c r="GU10" s="4">
        <v>1.6399999999999999E-5</v>
      </c>
      <c r="GV10" s="4">
        <v>1.6200000000000001E-5</v>
      </c>
      <c r="GW10" s="4">
        <v>1.5999999999999999E-5</v>
      </c>
      <c r="GX10" s="4">
        <v>1.5800000000000001E-5</v>
      </c>
      <c r="GY10" s="4">
        <v>1.56E-5</v>
      </c>
      <c r="GZ10" s="4">
        <v>1.5400000000000002E-5</v>
      </c>
      <c r="HA10" s="4">
        <v>1.5299999999999999E-5</v>
      </c>
      <c r="HB10" s="4">
        <v>1.5099999999999999E-5</v>
      </c>
      <c r="HC10" s="4">
        <v>1.49E-5</v>
      </c>
      <c r="HD10" s="4">
        <v>1.47E-5</v>
      </c>
      <c r="HE10" s="4">
        <v>1.45E-5</v>
      </c>
      <c r="HF10" s="4">
        <v>1.43E-5</v>
      </c>
      <c r="HG10" s="4">
        <v>1.42E-5</v>
      </c>
      <c r="HH10" s="4">
        <v>1.4E-5</v>
      </c>
      <c r="HI10" s="4">
        <v>1.38E-5</v>
      </c>
      <c r="HJ10" s="4">
        <v>1.36E-5</v>
      </c>
      <c r="HK10" s="4">
        <v>1.3499999999999999E-5</v>
      </c>
      <c r="HL10" s="4">
        <v>1.33E-5</v>
      </c>
      <c r="HM10" s="4">
        <v>1.31E-5</v>
      </c>
      <c r="HN10" s="4">
        <v>1.2999999999999999E-5</v>
      </c>
      <c r="HO10" s="4">
        <v>1.2799999999999999E-5</v>
      </c>
      <c r="HP10" s="4">
        <v>1.26E-5</v>
      </c>
      <c r="HQ10" s="4">
        <v>1.2500000000000001E-5</v>
      </c>
      <c r="HR10" s="4">
        <v>1.2300000000000001E-5</v>
      </c>
      <c r="HS10" s="4">
        <v>1.22E-5</v>
      </c>
      <c r="HT10" s="4">
        <v>1.2E-5</v>
      </c>
      <c r="HU10" s="4">
        <v>1.19E-5</v>
      </c>
      <c r="HV10" s="4">
        <v>1.17E-5</v>
      </c>
      <c r="HW10" s="4">
        <v>1.15E-5</v>
      </c>
      <c r="HX10" s="4">
        <v>1.1399999999999999E-5</v>
      </c>
      <c r="HY10" s="4">
        <v>1.13E-5</v>
      </c>
      <c r="HZ10" s="4">
        <v>1.11E-5</v>
      </c>
      <c r="IA10" s="4">
        <v>1.1E-5</v>
      </c>
      <c r="IB10" s="4">
        <v>1.08E-5</v>
      </c>
      <c r="IC10" s="4">
        <v>1.0699999999999999E-5</v>
      </c>
      <c r="ID10" s="4">
        <v>1.0499999999999999E-5</v>
      </c>
      <c r="IE10" s="4">
        <v>1.04E-5</v>
      </c>
      <c r="IF10" s="4">
        <v>1.03E-5</v>
      </c>
      <c r="IG10" s="4">
        <v>7.2190000000000004E-4</v>
      </c>
      <c r="IH10" s="4"/>
      <c r="II10" s="4">
        <f t="shared" si="257"/>
        <v>0.13711972565696068</v>
      </c>
      <c r="IL10">
        <f t="shared" si="258"/>
        <v>0.35718785000000036</v>
      </c>
      <c r="IO10" s="4"/>
      <c r="IP10" s="4">
        <f t="shared" si="259"/>
        <v>1.1107899999999997E-2</v>
      </c>
      <c r="IQ10" s="4">
        <f t="shared" si="260"/>
        <v>9.3622000000000045E-3</v>
      </c>
      <c r="IR10" s="4">
        <f t="shared" si="261"/>
        <v>5.9608000000000022E-3</v>
      </c>
      <c r="IS10" s="4">
        <f t="shared" si="262"/>
        <v>3.8878999999999962E-3</v>
      </c>
      <c r="IT10" s="4">
        <f t="shared" si="263"/>
        <v>2.677800000000001E-3</v>
      </c>
      <c r="IU10" s="4">
        <f t="shared" si="264"/>
        <v>6.3423999999999911E-3</v>
      </c>
      <c r="IV10" s="4">
        <f t="shared" si="265"/>
        <v>2.7337999999999946E-3</v>
      </c>
      <c r="IW10" s="4">
        <f t="shared" si="266"/>
        <v>1.7592000000000024E-3</v>
      </c>
      <c r="IX10" s="4">
        <f t="shared" si="267"/>
        <v>5.1454999999999834E-3</v>
      </c>
      <c r="IZ10">
        <f t="shared" ref="IZ10:IZ47" si="270">IZ9+0.25</f>
        <v>2008.25</v>
      </c>
      <c r="JA10">
        <f t="shared" si="268"/>
        <v>28.80092204891848</v>
      </c>
      <c r="JB10">
        <f t="shared" si="255"/>
        <v>19.90899336992932</v>
      </c>
      <c r="JC10">
        <f t="shared" si="255"/>
        <v>17.997563259733461</v>
      </c>
      <c r="JD10">
        <f t="shared" si="255"/>
        <v>16.607016270858708</v>
      </c>
      <c r="JE10">
        <f t="shared" si="255"/>
        <v>15.160829240675049</v>
      </c>
      <c r="JF10">
        <f t="shared" si="255"/>
        <v>11.700090907947228</v>
      </c>
      <c r="JG10">
        <f t="shared" si="255"/>
        <v>8.3459541406626219</v>
      </c>
      <c r="JH10">
        <f t="shared" si="255"/>
        <v>5.8463333571807246</v>
      </c>
      <c r="JI10">
        <f t="shared" si="255"/>
        <v>1.6815353289818726</v>
      </c>
    </row>
    <row r="11" spans="1:301" x14ac:dyDescent="0.35">
      <c r="A11" s="1">
        <v>3</v>
      </c>
      <c r="B11" s="4">
        <v>1.0503200000000001E-2</v>
      </c>
      <c r="C11" s="4">
        <v>9.7630000000000008E-3</v>
      </c>
      <c r="D11" s="4">
        <v>8.1136000000000003E-3</v>
      </c>
      <c r="E11" s="4">
        <v>9.5376999999999997E-3</v>
      </c>
      <c r="F11" s="4">
        <v>9.0028999999999994E-3</v>
      </c>
      <c r="G11" s="4">
        <v>8.3610000000000004E-3</v>
      </c>
      <c r="H11" s="4">
        <v>7.8189000000000002E-3</v>
      </c>
      <c r="I11" s="4">
        <v>7.3099000000000003E-3</v>
      </c>
      <c r="J11" s="4">
        <v>6.8516999999999996E-3</v>
      </c>
      <c r="K11" s="4">
        <v>6.4466000000000002E-3</v>
      </c>
      <c r="L11" s="4">
        <v>6.0838999999999997E-3</v>
      </c>
      <c r="M11" s="4">
        <v>5.7597999999999998E-3</v>
      </c>
      <c r="N11" s="4">
        <v>5.4686999999999999E-3</v>
      </c>
      <c r="O11" s="4">
        <v>5.2065999999999996E-3</v>
      </c>
      <c r="P11" s="4">
        <v>4.9693999999999997E-3</v>
      </c>
      <c r="Q11" s="4">
        <v>4.7542000000000001E-3</v>
      </c>
      <c r="R11" s="4">
        <v>4.5580999999999998E-3</v>
      </c>
      <c r="S11" s="4">
        <v>4.3790000000000001E-3</v>
      </c>
      <c r="T11" s="4">
        <v>4.2148000000000003E-3</v>
      </c>
      <c r="U11" s="4">
        <v>4.0638000000000002E-3</v>
      </c>
      <c r="V11" s="4">
        <v>3.9246000000000003E-3</v>
      </c>
      <c r="W11" s="4">
        <v>3.7959000000000001E-3</v>
      </c>
      <c r="X11" s="4">
        <v>3.6763999999999998E-3</v>
      </c>
      <c r="Y11" s="4">
        <v>3.5653E-3</v>
      </c>
      <c r="Z11" s="4">
        <v>3.4616999999999998E-3</v>
      </c>
      <c r="AA11" s="4">
        <v>3.3647999999999998E-3</v>
      </c>
      <c r="AB11" s="4">
        <v>3.2739000000000002E-3</v>
      </c>
      <c r="AC11" s="4">
        <v>3.1884000000000001E-3</v>
      </c>
      <c r="AD11" s="4">
        <v>3.1077000000000001E-3</v>
      </c>
      <c r="AE11" s="4">
        <v>3.0314000000000001E-3</v>
      </c>
      <c r="AF11" s="4">
        <v>2.9591999999999999E-3</v>
      </c>
      <c r="AG11" s="4">
        <v>2.8904999999999998E-3</v>
      </c>
      <c r="AH11" s="4">
        <v>2.8251999999999999E-3</v>
      </c>
      <c r="AI11" s="4">
        <v>2.7629999999999998E-3</v>
      </c>
      <c r="AJ11" s="4">
        <v>2.7036999999999999E-3</v>
      </c>
      <c r="AK11" s="4">
        <v>2.647E-3</v>
      </c>
      <c r="AL11" s="4">
        <v>2.5926999999999999E-3</v>
      </c>
      <c r="AM11" s="4">
        <v>2.5406999999999999E-3</v>
      </c>
      <c r="AN11" s="4">
        <v>2.4908999999999999E-3</v>
      </c>
      <c r="AO11" s="4">
        <v>2.4431000000000001E-3</v>
      </c>
      <c r="AP11" s="4">
        <v>2.3971000000000001E-3</v>
      </c>
      <c r="AQ11" s="4">
        <v>2.3528999999999998E-3</v>
      </c>
      <c r="AR11" s="4">
        <v>2.3102999999999999E-3</v>
      </c>
      <c r="AS11" s="4">
        <v>2.2693000000000001E-3</v>
      </c>
      <c r="AT11" s="4">
        <v>2.2296999999999998E-3</v>
      </c>
      <c r="AU11" s="4">
        <v>2.1914E-3</v>
      </c>
      <c r="AV11" s="4">
        <v>2.1543999999999999E-3</v>
      </c>
      <c r="AW11" s="4">
        <v>2.1186E-3</v>
      </c>
      <c r="AX11" s="4">
        <v>2.0839000000000001E-3</v>
      </c>
      <c r="AY11" s="4">
        <v>2.0503000000000001E-3</v>
      </c>
      <c r="AZ11" s="4">
        <v>2.0176E-3</v>
      </c>
      <c r="BA11" s="4">
        <v>1.9857999999999998E-3</v>
      </c>
      <c r="BB11" s="4">
        <v>1.9548999999999999E-3</v>
      </c>
      <c r="BC11" s="4">
        <v>1.9249E-3</v>
      </c>
      <c r="BD11" s="4">
        <v>1.8955E-3</v>
      </c>
      <c r="BE11" s="4">
        <v>1.8668999999999999E-3</v>
      </c>
      <c r="BF11" s="4">
        <v>1.8389999999999999E-3</v>
      </c>
      <c r="BG11" s="4">
        <v>1.8117000000000001E-3</v>
      </c>
      <c r="BH11" s="4">
        <v>1.7849999999999999E-3</v>
      </c>
      <c r="BI11" s="4">
        <v>1.7589000000000001E-3</v>
      </c>
      <c r="BJ11" s="4">
        <v>1.7332999999999999E-3</v>
      </c>
      <c r="BK11" s="4">
        <v>1.7083000000000001E-3</v>
      </c>
      <c r="BL11" s="4">
        <v>1.6837E-3</v>
      </c>
      <c r="BM11" s="4">
        <v>1.6596E-3</v>
      </c>
      <c r="BN11" s="4">
        <v>1.6360000000000001E-3</v>
      </c>
      <c r="BO11" s="4">
        <v>1.6128E-3</v>
      </c>
      <c r="BP11" s="4">
        <v>1.5900000000000001E-3</v>
      </c>
      <c r="BQ11" s="4">
        <v>1.5675000000000001E-3</v>
      </c>
      <c r="BR11" s="4">
        <v>1.5455E-3</v>
      </c>
      <c r="BS11" s="4">
        <v>1.5238000000000001E-3</v>
      </c>
      <c r="BT11" s="4">
        <v>1.5024999999999999E-3</v>
      </c>
      <c r="BU11" s="4">
        <v>1.4815E-3</v>
      </c>
      <c r="BV11" s="4">
        <v>1.4607999999999999E-3</v>
      </c>
      <c r="BW11" s="4">
        <v>1.4404999999999999E-3</v>
      </c>
      <c r="BX11" s="4">
        <v>1.4204E-3</v>
      </c>
      <c r="BY11" s="4">
        <v>1.4006999999999999E-3</v>
      </c>
      <c r="BZ11" s="4">
        <v>1.3812E-3</v>
      </c>
      <c r="CA11" s="4">
        <v>1.3619999999999999E-3</v>
      </c>
      <c r="CB11" s="4">
        <v>1.3431000000000001E-3</v>
      </c>
      <c r="CC11" s="4">
        <v>1.3244999999999999E-3</v>
      </c>
      <c r="CD11" s="4">
        <v>1.3060999999999999E-3</v>
      </c>
      <c r="CE11" s="4">
        <v>1.2880000000000001E-3</v>
      </c>
      <c r="CF11" s="4">
        <v>1.2700999999999999E-3</v>
      </c>
      <c r="CG11" s="4">
        <v>1.2524999999999999E-3</v>
      </c>
      <c r="CH11" s="4">
        <v>1.2351E-3</v>
      </c>
      <c r="CI11" s="4">
        <v>1.2179999999999999E-3</v>
      </c>
      <c r="CJ11" s="4">
        <v>1.2011000000000001E-3</v>
      </c>
      <c r="CK11" s="4">
        <v>1.1843999999999999E-3</v>
      </c>
      <c r="CL11" s="4">
        <v>1.1678999999999999E-3</v>
      </c>
      <c r="CM11" s="4">
        <v>1.1517000000000001E-3</v>
      </c>
      <c r="CN11" s="4">
        <v>1.1356999999999999E-3</v>
      </c>
      <c r="CO11" s="4">
        <v>1.1199000000000001E-3</v>
      </c>
      <c r="CP11" s="4">
        <v>1.1042999999999999E-3</v>
      </c>
      <c r="CQ11" s="4">
        <v>1.0889000000000001E-3</v>
      </c>
      <c r="CR11" s="4">
        <v>1.0736999999999999E-3</v>
      </c>
      <c r="CS11" s="4">
        <v>1.0587999999999999E-3</v>
      </c>
      <c r="CT11" s="4">
        <v>1.044E-3</v>
      </c>
      <c r="CU11" s="4">
        <v>1.0294E-3</v>
      </c>
      <c r="CV11" s="4">
        <v>1.0150000000000001E-3</v>
      </c>
      <c r="CW11" s="4">
        <v>1.0009000000000001E-3</v>
      </c>
      <c r="CX11" s="4">
        <v>9.8689999999999997E-4</v>
      </c>
      <c r="CY11" s="4">
        <v>9.7309999999999996E-4</v>
      </c>
      <c r="CZ11" s="4">
        <v>9.5940000000000001E-4</v>
      </c>
      <c r="DA11" s="4">
        <v>9.4600000000000001E-4</v>
      </c>
      <c r="DB11" s="4">
        <v>9.3269999999999996E-4</v>
      </c>
      <c r="DC11" s="4">
        <v>9.1969999999999997E-4</v>
      </c>
      <c r="DD11" s="4">
        <v>9.0669999999999998E-4</v>
      </c>
      <c r="DE11" s="4">
        <v>8.9400000000000005E-4</v>
      </c>
      <c r="DF11" s="4">
        <v>8.8150000000000001E-4</v>
      </c>
      <c r="DG11" s="4">
        <v>8.6910000000000004E-4</v>
      </c>
      <c r="DH11" s="4">
        <v>8.5689999999999996E-4</v>
      </c>
      <c r="DI11" s="4">
        <v>8.4480000000000004E-4</v>
      </c>
      <c r="DJ11" s="4">
        <v>8.3290000000000002E-4</v>
      </c>
      <c r="DK11" s="4">
        <v>8.2120000000000001E-4</v>
      </c>
      <c r="DL11" s="4">
        <v>8.0959999999999995E-4</v>
      </c>
      <c r="DM11" s="4">
        <v>7.9819999999999999E-4</v>
      </c>
      <c r="DN11" s="4">
        <v>7.8700000000000005E-4</v>
      </c>
      <c r="DO11" s="4">
        <v>7.7590000000000005E-4</v>
      </c>
      <c r="DP11" s="4">
        <v>7.649E-4</v>
      </c>
      <c r="DQ11" s="4">
        <v>5.31352E-2</v>
      </c>
      <c r="DR11" s="4">
        <v>0</v>
      </c>
      <c r="DS11" s="4">
        <v>9.5500000000000004E-5</v>
      </c>
      <c r="DT11" s="4">
        <v>1.8780000000000001E-4</v>
      </c>
      <c r="DU11" s="4">
        <v>3.6240000000000003E-4</v>
      </c>
      <c r="DV11" s="4">
        <v>3.5290000000000001E-4</v>
      </c>
      <c r="DW11" s="4">
        <v>3.5839999999999998E-4</v>
      </c>
      <c r="DX11" s="4">
        <v>3.925E-4</v>
      </c>
      <c r="DY11" s="4">
        <v>3.5579999999999997E-4</v>
      </c>
      <c r="DZ11" s="4">
        <v>3.324E-4</v>
      </c>
      <c r="EA11" s="4">
        <v>3.0279999999999999E-4</v>
      </c>
      <c r="EB11" s="4">
        <v>2.7680000000000001E-4</v>
      </c>
      <c r="EC11" s="4">
        <v>2.5230000000000001E-4</v>
      </c>
      <c r="ED11" s="4">
        <v>2.307E-4</v>
      </c>
      <c r="EE11" s="4">
        <v>2.1130000000000001E-4</v>
      </c>
      <c r="EF11" s="4">
        <v>1.941E-4</v>
      </c>
      <c r="EG11" s="4">
        <v>1.786E-4</v>
      </c>
      <c r="EH11" s="4">
        <v>1.6469999999999999E-4</v>
      </c>
      <c r="EI11" s="4">
        <v>1.5229999999999999E-4</v>
      </c>
      <c r="EJ11" s="4">
        <v>1.4109999999999999E-4</v>
      </c>
      <c r="EK11" s="4">
        <v>1.3119999999999999E-4</v>
      </c>
      <c r="EL11" s="4">
        <v>1.2229999999999999E-4</v>
      </c>
      <c r="EM11" s="4">
        <v>1.143E-4</v>
      </c>
      <c r="EN11" s="4">
        <v>1.071E-4</v>
      </c>
      <c r="EO11" s="4">
        <v>1.0060000000000001E-4</v>
      </c>
      <c r="EP11" s="4">
        <v>9.48E-5</v>
      </c>
      <c r="EQ11" s="4">
        <v>8.9599999999999996E-5</v>
      </c>
      <c r="ER11" s="4">
        <v>8.4900000000000004E-5</v>
      </c>
      <c r="ES11" s="4">
        <v>8.0599999999999994E-5</v>
      </c>
      <c r="ET11" s="4">
        <v>7.6699999999999994E-5</v>
      </c>
      <c r="EU11" s="4">
        <v>7.3100000000000001E-5</v>
      </c>
      <c r="EV11" s="4">
        <v>6.97E-5</v>
      </c>
      <c r="EW11" s="4">
        <v>6.6699999999999995E-5</v>
      </c>
      <c r="EX11" s="4">
        <v>6.3800000000000006E-5</v>
      </c>
      <c r="EY11" s="4">
        <v>6.0999999999999999E-5</v>
      </c>
      <c r="EZ11" s="4">
        <v>5.8499999999999999E-5</v>
      </c>
      <c r="FA11" s="4">
        <v>5.5999999999999999E-5</v>
      </c>
      <c r="FB11" s="4">
        <v>5.38E-5</v>
      </c>
      <c r="FC11" s="4">
        <v>5.1600000000000001E-5</v>
      </c>
      <c r="FD11" s="4">
        <v>4.9499999999999997E-5</v>
      </c>
      <c r="FE11" s="4">
        <v>4.7599999999999998E-5</v>
      </c>
      <c r="FF11" s="4">
        <v>4.57E-5</v>
      </c>
      <c r="FG11" s="4">
        <v>4.3999999999999999E-5</v>
      </c>
      <c r="FH11" s="4">
        <v>4.2400000000000001E-5</v>
      </c>
      <c r="FI11" s="4">
        <v>4.0800000000000002E-5</v>
      </c>
      <c r="FJ11" s="4">
        <v>3.93E-5</v>
      </c>
      <c r="FK11" s="4">
        <v>3.8000000000000002E-5</v>
      </c>
      <c r="FL11" s="4">
        <v>3.6699999999999998E-5</v>
      </c>
      <c r="FM11" s="4">
        <v>3.54E-5</v>
      </c>
      <c r="FN11" s="4">
        <v>3.43E-5</v>
      </c>
      <c r="FO11" s="4">
        <v>3.3200000000000001E-5</v>
      </c>
      <c r="FP11" s="4">
        <v>3.2199999999999997E-5</v>
      </c>
      <c r="FQ11" s="4">
        <v>3.1199999999999999E-5</v>
      </c>
      <c r="FR11" s="4">
        <v>3.0300000000000001E-5</v>
      </c>
      <c r="FS11" s="4">
        <v>2.9499999999999999E-5</v>
      </c>
      <c r="FT11" s="4">
        <v>2.87E-5</v>
      </c>
      <c r="FU11" s="4">
        <v>2.8E-5</v>
      </c>
      <c r="FV11" s="4">
        <v>2.73E-5</v>
      </c>
      <c r="FW11" s="4">
        <v>2.6599999999999999E-5</v>
      </c>
      <c r="FX11" s="4">
        <v>2.5999999999999998E-5</v>
      </c>
      <c r="FY11" s="4">
        <v>2.5400000000000001E-5</v>
      </c>
      <c r="FZ11" s="4">
        <v>2.48E-5</v>
      </c>
      <c r="GA11" s="4">
        <v>2.4300000000000001E-5</v>
      </c>
      <c r="GB11" s="4">
        <v>2.3799999999999999E-5</v>
      </c>
      <c r="GC11" s="4">
        <v>2.3300000000000001E-5</v>
      </c>
      <c r="GD11" s="4">
        <v>2.2900000000000001E-5</v>
      </c>
      <c r="GE11" s="4">
        <v>2.2399999999999999E-5</v>
      </c>
      <c r="GF11" s="4">
        <v>2.1999999999999999E-5</v>
      </c>
      <c r="GG11" s="4">
        <v>2.16E-5</v>
      </c>
      <c r="GH11" s="4">
        <v>2.1299999999999999E-5</v>
      </c>
      <c r="GI11" s="4">
        <v>2.09E-5</v>
      </c>
      <c r="GJ11" s="4">
        <v>2.0599999999999999E-5</v>
      </c>
      <c r="GK11" s="4">
        <v>2.02E-5</v>
      </c>
      <c r="GL11" s="4">
        <v>1.9899999999999999E-5</v>
      </c>
      <c r="GM11" s="4">
        <v>1.9599999999999999E-5</v>
      </c>
      <c r="GN11" s="4">
        <v>1.9300000000000002E-5</v>
      </c>
      <c r="GO11" s="4">
        <v>1.9000000000000001E-5</v>
      </c>
      <c r="GP11" s="4">
        <v>1.8700000000000001E-5</v>
      </c>
      <c r="GQ11" s="4">
        <v>1.8499999999999999E-5</v>
      </c>
      <c r="GR11" s="4">
        <v>1.8199999999999999E-5</v>
      </c>
      <c r="GS11" s="4">
        <v>1.8E-5</v>
      </c>
      <c r="GT11" s="4">
        <v>1.77E-5</v>
      </c>
      <c r="GU11" s="4">
        <v>1.7499999999999998E-5</v>
      </c>
      <c r="GV11" s="4">
        <v>1.7200000000000001E-5</v>
      </c>
      <c r="GW11" s="4">
        <v>1.7E-5</v>
      </c>
      <c r="GX11" s="4">
        <v>1.6799999999999998E-5</v>
      </c>
      <c r="GY11" s="4">
        <v>1.6500000000000001E-5</v>
      </c>
      <c r="GZ11" s="4">
        <v>1.63E-5</v>
      </c>
      <c r="HA11" s="4">
        <v>1.6099999999999998E-5</v>
      </c>
      <c r="HB11" s="4">
        <v>1.59E-5</v>
      </c>
      <c r="HC11" s="4">
        <v>1.5699999999999999E-5</v>
      </c>
      <c r="HD11" s="4">
        <v>1.5500000000000001E-5</v>
      </c>
      <c r="HE11" s="4">
        <v>1.5299999999999999E-5</v>
      </c>
      <c r="HF11" s="4">
        <v>1.5099999999999999E-5</v>
      </c>
      <c r="HG11" s="4">
        <v>1.49E-5</v>
      </c>
      <c r="HH11" s="4">
        <v>1.47E-5</v>
      </c>
      <c r="HI11" s="4">
        <v>1.45E-5</v>
      </c>
      <c r="HJ11" s="4">
        <v>1.43E-5</v>
      </c>
      <c r="HK11" s="4">
        <v>1.4100000000000001E-5</v>
      </c>
      <c r="HL11" s="4">
        <v>1.3900000000000001E-5</v>
      </c>
      <c r="HM11" s="4">
        <v>1.38E-5</v>
      </c>
      <c r="HN11" s="4">
        <v>1.36E-5</v>
      </c>
      <c r="HO11" s="4">
        <v>1.34E-5</v>
      </c>
      <c r="HP11" s="4">
        <v>1.3200000000000001E-5</v>
      </c>
      <c r="HQ11" s="4">
        <v>1.31E-5</v>
      </c>
      <c r="HR11" s="4">
        <v>1.29E-5</v>
      </c>
      <c r="HS11" s="4">
        <v>1.27E-5</v>
      </c>
      <c r="HT11" s="4">
        <v>1.2500000000000001E-5</v>
      </c>
      <c r="HU11" s="4">
        <v>1.24E-5</v>
      </c>
      <c r="HV11" s="4">
        <v>1.22E-5</v>
      </c>
      <c r="HW11" s="4">
        <v>1.2099999999999999E-5</v>
      </c>
      <c r="HX11" s="4">
        <v>1.19E-5</v>
      </c>
      <c r="HY11" s="4">
        <v>1.17E-5</v>
      </c>
      <c r="HZ11" s="4">
        <v>1.1600000000000001E-5</v>
      </c>
      <c r="IA11" s="4">
        <v>1.1399999999999999E-5</v>
      </c>
      <c r="IB11" s="4">
        <v>1.13E-5</v>
      </c>
      <c r="IC11" s="4">
        <v>1.11E-5</v>
      </c>
      <c r="ID11" s="4">
        <v>1.1E-5</v>
      </c>
      <c r="IE11" s="4">
        <v>1.08E-5</v>
      </c>
      <c r="IF11" s="4">
        <v>1.0699999999999999E-5</v>
      </c>
      <c r="IG11" s="4">
        <v>7.4839999999999998E-4</v>
      </c>
      <c r="IH11" s="4"/>
      <c r="II11" s="4">
        <f t="shared" si="257"/>
        <v>0.13463146775949875</v>
      </c>
      <c r="IL11">
        <f t="shared" si="258"/>
        <v>0.35585811250000043</v>
      </c>
      <c r="IO11" s="4"/>
      <c r="IP11" s="4">
        <f t="shared" si="259"/>
        <v>1.0416299999999996E-2</v>
      </c>
      <c r="IQ11" s="4">
        <f t="shared" si="260"/>
        <v>9.1435000000000058E-3</v>
      </c>
      <c r="IR11" s="4">
        <f t="shared" si="261"/>
        <v>5.8650000000000022E-3</v>
      </c>
      <c r="IS11" s="4">
        <f t="shared" si="262"/>
        <v>3.8437999999999979E-3</v>
      </c>
      <c r="IT11" s="4">
        <f t="shared" si="263"/>
        <v>2.6592000000000022E-3</v>
      </c>
      <c r="IU11" s="4">
        <f t="shared" si="264"/>
        <v>6.3609999999999917E-3</v>
      </c>
      <c r="IV11" s="4">
        <f t="shared" si="265"/>
        <v>2.7381000000000072E-3</v>
      </c>
      <c r="IW11" s="4">
        <f t="shared" si="266"/>
        <v>1.7509000000000031E-3</v>
      </c>
      <c r="IX11" s="4">
        <f t="shared" si="267"/>
        <v>5.1318999999999809E-3</v>
      </c>
      <c r="IZ11">
        <f t="shared" si="270"/>
        <v>2008.5</v>
      </c>
      <c r="JA11">
        <f t="shared" si="268"/>
        <v>22.372454050062654</v>
      </c>
      <c r="JB11">
        <f t="shared" si="255"/>
        <v>17.545287242551659</v>
      </c>
      <c r="JC11">
        <f t="shared" si="255"/>
        <v>16.377341444539269</v>
      </c>
      <c r="JD11">
        <f t="shared" si="255"/>
        <v>15.466245722394021</v>
      </c>
      <c r="JE11">
        <f t="shared" si="255"/>
        <v>14.463805620460063</v>
      </c>
      <c r="JF11">
        <f t="shared" si="255"/>
        <v>11.992926106266239</v>
      </c>
      <c r="JG11">
        <f t="shared" si="255"/>
        <v>8.5031207879019632</v>
      </c>
      <c r="JH11">
        <f t="shared" si="255"/>
        <v>5.3734114763527279</v>
      </c>
      <c r="JI11">
        <f t="shared" si="255"/>
        <v>1.4168767978682355</v>
      </c>
    </row>
    <row r="12" spans="1:301" x14ac:dyDescent="0.35">
      <c r="A12" s="1">
        <v>4</v>
      </c>
      <c r="B12" s="4">
        <v>1.1070999999999999E-2</v>
      </c>
      <c r="C12" s="4">
        <v>1.0503200000000001E-2</v>
      </c>
      <c r="D12" s="4">
        <v>9.6675000000000007E-3</v>
      </c>
      <c r="E12" s="4">
        <v>7.9258000000000002E-3</v>
      </c>
      <c r="F12" s="4">
        <v>9.1753000000000008E-3</v>
      </c>
      <c r="G12" s="4">
        <v>8.6499999999999997E-3</v>
      </c>
      <c r="H12" s="4">
        <v>8.0026000000000003E-3</v>
      </c>
      <c r="I12" s="4">
        <v>7.4263999999999997E-3</v>
      </c>
      <c r="J12" s="4">
        <v>6.9541000000000004E-3</v>
      </c>
      <c r="K12" s="4">
        <v>6.5192999999999996E-3</v>
      </c>
      <c r="L12" s="4">
        <v>6.1437999999999996E-3</v>
      </c>
      <c r="M12" s="4">
        <v>5.8070999999999999E-3</v>
      </c>
      <c r="N12" s="4">
        <v>5.5075000000000002E-3</v>
      </c>
      <c r="O12" s="4">
        <v>5.2379999999999996E-3</v>
      </c>
      <c r="P12" s="4">
        <v>4.9952E-3</v>
      </c>
      <c r="Q12" s="4">
        <v>4.7752999999999997E-3</v>
      </c>
      <c r="R12" s="4">
        <v>4.5756E-3</v>
      </c>
      <c r="S12" s="4">
        <v>4.3934000000000004E-3</v>
      </c>
      <c r="T12" s="4">
        <v>4.2266999999999999E-3</v>
      </c>
      <c r="U12" s="4">
        <v>4.0736000000000001E-3</v>
      </c>
      <c r="V12" s="4">
        <v>3.9325999999999996E-3</v>
      </c>
      <c r="W12" s="4">
        <v>3.8023000000000002E-3</v>
      </c>
      <c r="X12" s="4">
        <v>3.6816000000000002E-3</v>
      </c>
      <c r="Y12" s="4">
        <v>3.5693000000000001E-3</v>
      </c>
      <c r="Z12" s="4">
        <v>3.4646999999999998E-3</v>
      </c>
      <c r="AA12" s="4">
        <v>3.3668999999999999E-3</v>
      </c>
      <c r="AB12" s="4">
        <v>3.2751999999999998E-3</v>
      </c>
      <c r="AC12" s="4">
        <v>3.189E-3</v>
      </c>
      <c r="AD12" s="4">
        <v>3.1078E-3</v>
      </c>
      <c r="AE12" s="4">
        <v>3.0309999999999998E-3</v>
      </c>
      <c r="AF12" s="4">
        <v>2.9583999999999999E-3</v>
      </c>
      <c r="AG12" s="4">
        <v>2.8893999999999999E-3</v>
      </c>
      <c r="AH12" s="4">
        <v>2.8238999999999998E-3</v>
      </c>
      <c r="AI12" s="4">
        <v>2.7615000000000001E-3</v>
      </c>
      <c r="AJ12" s="4">
        <v>2.702E-3</v>
      </c>
      <c r="AK12" s="4">
        <v>2.6451999999999999E-3</v>
      </c>
      <c r="AL12" s="4">
        <v>2.5909000000000001E-3</v>
      </c>
      <c r="AM12" s="4">
        <v>2.5389000000000002E-3</v>
      </c>
      <c r="AN12" s="4">
        <v>2.4891000000000002E-3</v>
      </c>
      <c r="AO12" s="4">
        <v>2.4413999999999998E-3</v>
      </c>
      <c r="AP12" s="4">
        <v>2.3955000000000001E-3</v>
      </c>
      <c r="AQ12" s="4">
        <v>2.3514E-3</v>
      </c>
      <c r="AR12" s="4">
        <v>2.3089E-3</v>
      </c>
      <c r="AS12" s="4">
        <v>2.2680000000000001E-3</v>
      </c>
      <c r="AT12" s="4">
        <v>2.2285E-3</v>
      </c>
      <c r="AU12" s="4">
        <v>2.1903000000000001E-3</v>
      </c>
      <c r="AV12" s="4">
        <v>2.1535E-3</v>
      </c>
      <c r="AW12" s="4">
        <v>2.1178E-3</v>
      </c>
      <c r="AX12" s="4">
        <v>2.0831999999999999E-3</v>
      </c>
      <c r="AY12" s="4">
        <v>2.0495999999999999E-3</v>
      </c>
      <c r="AZ12" s="4">
        <v>2.0171E-3</v>
      </c>
      <c r="BA12" s="4">
        <v>1.9854E-3</v>
      </c>
      <c r="BB12" s="4">
        <v>1.9545999999999999E-3</v>
      </c>
      <c r="BC12" s="4">
        <v>1.9246000000000001E-3</v>
      </c>
      <c r="BD12" s="4">
        <v>1.8954E-3</v>
      </c>
      <c r="BE12" s="4">
        <v>1.8668000000000001E-3</v>
      </c>
      <c r="BF12" s="4">
        <v>1.8389999999999999E-3</v>
      </c>
      <c r="BG12" s="4">
        <v>1.8117000000000001E-3</v>
      </c>
      <c r="BH12" s="4">
        <v>1.7851E-3</v>
      </c>
      <c r="BI12" s="4">
        <v>1.7591E-3</v>
      </c>
      <c r="BJ12" s="4">
        <v>1.7335E-3</v>
      </c>
      <c r="BK12" s="4">
        <v>1.7084999999999999E-3</v>
      </c>
      <c r="BL12" s="4">
        <v>1.684E-3</v>
      </c>
      <c r="BM12" s="4">
        <v>1.6599E-3</v>
      </c>
      <c r="BN12" s="4">
        <v>1.6363E-3</v>
      </c>
      <c r="BO12" s="4">
        <v>1.6130999999999999E-3</v>
      </c>
      <c r="BP12" s="4">
        <v>1.5903E-3</v>
      </c>
      <c r="BQ12" s="4">
        <v>1.5678999999999999E-3</v>
      </c>
      <c r="BR12" s="4">
        <v>1.5459E-3</v>
      </c>
      <c r="BS12" s="4">
        <v>1.5242000000000001E-3</v>
      </c>
      <c r="BT12" s="4">
        <v>1.5028999999999999E-3</v>
      </c>
      <c r="BU12" s="4">
        <v>1.4819E-3</v>
      </c>
      <c r="BV12" s="4">
        <v>1.4613E-3</v>
      </c>
      <c r="BW12" s="4">
        <v>1.4408999999999999E-3</v>
      </c>
      <c r="BX12" s="4">
        <v>1.4208999999999999E-3</v>
      </c>
      <c r="BY12" s="4">
        <v>1.4011E-3</v>
      </c>
      <c r="BZ12" s="4">
        <v>1.3817E-3</v>
      </c>
      <c r="CA12" s="4">
        <v>1.3625E-3</v>
      </c>
      <c r="CB12" s="4">
        <v>1.3435999999999999E-3</v>
      </c>
      <c r="CC12" s="4">
        <v>1.3248999999999999E-3</v>
      </c>
      <c r="CD12" s="4">
        <v>1.3064999999999999E-3</v>
      </c>
      <c r="CE12" s="4">
        <v>1.2884000000000001E-3</v>
      </c>
      <c r="CF12" s="4">
        <v>1.2704999999999999E-3</v>
      </c>
      <c r="CG12" s="4">
        <v>1.2528999999999999E-3</v>
      </c>
      <c r="CH12" s="4">
        <v>1.2355000000000001E-3</v>
      </c>
      <c r="CI12" s="4">
        <v>1.2183999999999999E-3</v>
      </c>
      <c r="CJ12" s="4">
        <v>1.2015000000000001E-3</v>
      </c>
      <c r="CK12" s="4">
        <v>1.1848E-3</v>
      </c>
      <c r="CL12" s="4">
        <v>1.1682999999999999E-3</v>
      </c>
      <c r="CM12" s="4">
        <v>1.152E-3</v>
      </c>
      <c r="CN12" s="4">
        <v>1.1360000000000001E-3</v>
      </c>
      <c r="CO12" s="4">
        <v>1.1202E-3</v>
      </c>
      <c r="CP12" s="4">
        <v>1.1046000000000001E-3</v>
      </c>
      <c r="CQ12" s="4">
        <v>1.0892E-3</v>
      </c>
      <c r="CR12" s="4">
        <v>1.0740000000000001E-3</v>
      </c>
      <c r="CS12" s="4">
        <v>1.059E-3</v>
      </c>
      <c r="CT12" s="4">
        <v>1.0443E-3</v>
      </c>
      <c r="CU12" s="4">
        <v>1.0296999999999999E-3</v>
      </c>
      <c r="CV12" s="4">
        <v>1.0153E-3</v>
      </c>
      <c r="CW12" s="4">
        <v>1.0011E-3</v>
      </c>
      <c r="CX12" s="4">
        <v>9.8710000000000009E-4</v>
      </c>
      <c r="CY12" s="4">
        <v>9.7329999999999997E-4</v>
      </c>
      <c r="CZ12" s="4">
        <v>9.5960000000000001E-4</v>
      </c>
      <c r="DA12" s="4">
        <v>9.4620000000000001E-4</v>
      </c>
      <c r="DB12" s="4">
        <v>9.3289999999999996E-4</v>
      </c>
      <c r="DC12" s="4">
        <v>9.1980000000000002E-4</v>
      </c>
      <c r="DD12" s="4">
        <v>9.0689999999999998E-4</v>
      </c>
      <c r="DE12" s="4">
        <v>8.9420000000000005E-4</v>
      </c>
      <c r="DF12" s="4">
        <v>8.8159999999999996E-4</v>
      </c>
      <c r="DG12" s="4">
        <v>8.6919999999999999E-4</v>
      </c>
      <c r="DH12" s="4">
        <v>8.5700000000000001E-4</v>
      </c>
      <c r="DI12" s="4">
        <v>8.4500000000000005E-4</v>
      </c>
      <c r="DJ12" s="4">
        <v>8.3310000000000003E-4</v>
      </c>
      <c r="DK12" s="4">
        <v>8.2129999999999996E-4</v>
      </c>
      <c r="DL12" s="4">
        <v>8.0979999999999995E-4</v>
      </c>
      <c r="DM12" s="4">
        <v>7.984E-4</v>
      </c>
      <c r="DN12" s="4">
        <v>7.871E-4</v>
      </c>
      <c r="DO12" s="4">
        <v>7.76E-4</v>
      </c>
      <c r="DP12" s="4">
        <v>7.651E-4</v>
      </c>
      <c r="DQ12" s="4">
        <v>5.3141000000000001E-2</v>
      </c>
      <c r="DR12" s="4">
        <v>0</v>
      </c>
      <c r="DS12" s="4">
        <v>1.208E-4</v>
      </c>
      <c r="DT12" s="4">
        <v>2.3599999999999999E-4</v>
      </c>
      <c r="DU12" s="4">
        <v>3.1470000000000001E-4</v>
      </c>
      <c r="DV12" s="4">
        <v>5.3180000000000002E-4</v>
      </c>
      <c r="DW12" s="4">
        <v>6.1669999999999997E-4</v>
      </c>
      <c r="DX12" s="4">
        <v>5.2590000000000004E-4</v>
      </c>
      <c r="DY12" s="4">
        <v>4.595E-4</v>
      </c>
      <c r="DZ12" s="4">
        <v>4.1189999999999998E-4</v>
      </c>
      <c r="EA12" s="4">
        <v>3.657E-4</v>
      </c>
      <c r="EB12" s="4">
        <v>3.2729999999999999E-4</v>
      </c>
      <c r="EC12" s="4">
        <v>2.9349999999999998E-4</v>
      </c>
      <c r="ED12" s="4">
        <v>2.6429999999999997E-4</v>
      </c>
      <c r="EE12" s="4">
        <v>2.388E-4</v>
      </c>
      <c r="EF12" s="4">
        <v>2.164E-4</v>
      </c>
      <c r="EG12" s="4">
        <v>1.9680000000000001E-4</v>
      </c>
      <c r="EH12" s="4">
        <v>1.796E-4</v>
      </c>
      <c r="EI12" s="4">
        <v>1.6449999999999999E-4</v>
      </c>
      <c r="EJ12" s="4">
        <v>1.5119999999999999E-4</v>
      </c>
      <c r="EK12" s="4">
        <v>1.393E-4</v>
      </c>
      <c r="EL12" s="4">
        <v>1.2879999999999999E-4</v>
      </c>
      <c r="EM12" s="4">
        <v>1.195E-4</v>
      </c>
      <c r="EN12" s="4">
        <v>1.111E-4</v>
      </c>
      <c r="EO12" s="4">
        <v>1.036E-4</v>
      </c>
      <c r="EP12" s="4">
        <v>9.6899999999999997E-5</v>
      </c>
      <c r="EQ12" s="4">
        <v>9.0799999999999998E-5</v>
      </c>
      <c r="ER12" s="4">
        <v>8.5400000000000002E-5</v>
      </c>
      <c r="ES12" s="4">
        <v>8.0500000000000005E-5</v>
      </c>
      <c r="ET12" s="4">
        <v>7.6000000000000004E-5</v>
      </c>
      <c r="EU12" s="4">
        <v>7.2000000000000002E-5</v>
      </c>
      <c r="EV12" s="4">
        <v>6.8200000000000004E-5</v>
      </c>
      <c r="EW12" s="4">
        <v>6.4800000000000003E-5</v>
      </c>
      <c r="EX12" s="4">
        <v>6.1699999999999995E-5</v>
      </c>
      <c r="EY12" s="4">
        <v>5.8799999999999999E-5</v>
      </c>
      <c r="EZ12" s="4">
        <v>5.6100000000000002E-5</v>
      </c>
      <c r="FA12" s="4">
        <v>5.3600000000000002E-5</v>
      </c>
      <c r="FB12" s="4">
        <v>5.1199999999999998E-5</v>
      </c>
      <c r="FC12" s="4">
        <v>4.8999999999999998E-5</v>
      </c>
      <c r="FD12" s="4">
        <v>4.6999999999999997E-5</v>
      </c>
      <c r="FE12" s="4">
        <v>4.5099999999999998E-5</v>
      </c>
      <c r="FF12" s="4">
        <v>4.3300000000000002E-5</v>
      </c>
      <c r="FG12" s="4">
        <v>4.1699999999999997E-5</v>
      </c>
      <c r="FH12" s="4">
        <v>4.0099999999999999E-5</v>
      </c>
      <c r="FI12" s="4">
        <v>3.8600000000000003E-5</v>
      </c>
      <c r="FJ12" s="4">
        <v>3.7299999999999999E-5</v>
      </c>
      <c r="FK12" s="4">
        <v>3.6000000000000001E-5</v>
      </c>
      <c r="FL12" s="4">
        <v>3.4799999999999999E-5</v>
      </c>
      <c r="FM12" s="4">
        <v>3.3699999999999999E-5</v>
      </c>
      <c r="FN12" s="4">
        <v>3.2700000000000002E-5</v>
      </c>
      <c r="FO12" s="4">
        <v>3.1699999999999998E-5</v>
      </c>
      <c r="FP12" s="4">
        <v>3.0800000000000003E-5</v>
      </c>
      <c r="FQ12" s="4">
        <v>3.0000000000000001E-5</v>
      </c>
      <c r="FR12" s="4">
        <v>2.9200000000000002E-5</v>
      </c>
      <c r="FS12" s="4">
        <v>2.8399999999999999E-5</v>
      </c>
      <c r="FT12" s="4">
        <v>2.7699999999999999E-5</v>
      </c>
      <c r="FU12" s="4">
        <v>2.7100000000000001E-5</v>
      </c>
      <c r="FV12" s="4">
        <v>2.6400000000000001E-5</v>
      </c>
      <c r="FW12" s="4">
        <v>2.5899999999999999E-5</v>
      </c>
      <c r="FX12" s="4">
        <v>2.5299999999999998E-5</v>
      </c>
      <c r="FY12" s="4">
        <v>2.48E-5</v>
      </c>
      <c r="FZ12" s="4">
        <v>2.4300000000000001E-5</v>
      </c>
      <c r="GA12" s="4">
        <v>2.3799999999999999E-5</v>
      </c>
      <c r="GB12" s="4">
        <v>2.34E-5</v>
      </c>
      <c r="GC12" s="4">
        <v>2.2900000000000001E-5</v>
      </c>
      <c r="GD12" s="4">
        <v>2.2500000000000001E-5</v>
      </c>
      <c r="GE12" s="4">
        <v>2.2200000000000001E-5</v>
      </c>
      <c r="GF12" s="4">
        <v>2.1800000000000001E-5</v>
      </c>
      <c r="GG12" s="4">
        <v>2.1399999999999998E-5</v>
      </c>
      <c r="GH12" s="4">
        <v>2.1100000000000001E-5</v>
      </c>
      <c r="GI12" s="4">
        <v>2.0800000000000001E-5</v>
      </c>
      <c r="GJ12" s="4">
        <v>2.05E-5</v>
      </c>
      <c r="GK12" s="4">
        <v>2.0100000000000001E-5</v>
      </c>
      <c r="GL12" s="4">
        <v>1.98E-5</v>
      </c>
      <c r="GM12" s="4">
        <v>1.9599999999999999E-5</v>
      </c>
      <c r="GN12" s="4">
        <v>1.9300000000000002E-5</v>
      </c>
      <c r="GO12" s="4">
        <v>1.9000000000000001E-5</v>
      </c>
      <c r="GP12" s="4">
        <v>1.8700000000000001E-5</v>
      </c>
      <c r="GQ12" s="4">
        <v>1.8499999999999999E-5</v>
      </c>
      <c r="GR12" s="4">
        <v>1.8199999999999999E-5</v>
      </c>
      <c r="GS12" s="4">
        <v>1.8E-5</v>
      </c>
      <c r="GT12" s="4">
        <v>1.7799999999999999E-5</v>
      </c>
      <c r="GU12" s="4">
        <v>1.7499999999999998E-5</v>
      </c>
      <c r="GV12" s="4">
        <v>1.73E-5</v>
      </c>
      <c r="GW12" s="4">
        <v>1.7099999999999999E-5</v>
      </c>
      <c r="GX12" s="4">
        <v>1.6799999999999998E-5</v>
      </c>
      <c r="GY12" s="4">
        <v>1.66E-5</v>
      </c>
      <c r="GZ12" s="4">
        <v>1.6399999999999999E-5</v>
      </c>
      <c r="HA12" s="4">
        <v>1.6200000000000001E-5</v>
      </c>
      <c r="HB12" s="4">
        <v>1.5999999999999999E-5</v>
      </c>
      <c r="HC12" s="4">
        <v>1.5800000000000001E-5</v>
      </c>
      <c r="HD12" s="4">
        <v>1.56E-5</v>
      </c>
      <c r="HE12" s="4">
        <v>1.5400000000000002E-5</v>
      </c>
      <c r="HF12" s="4">
        <v>1.52E-5</v>
      </c>
      <c r="HG12" s="4">
        <v>1.5E-5</v>
      </c>
      <c r="HH12" s="4">
        <v>1.4800000000000001E-5</v>
      </c>
      <c r="HI12" s="4">
        <v>1.4600000000000001E-5</v>
      </c>
      <c r="HJ12" s="4">
        <v>1.4399999999999999E-5</v>
      </c>
      <c r="HK12" s="4">
        <v>1.42E-5</v>
      </c>
      <c r="HL12" s="4">
        <v>1.4E-5</v>
      </c>
      <c r="HM12" s="4">
        <v>1.38E-5</v>
      </c>
      <c r="HN12" s="4">
        <v>1.36E-5</v>
      </c>
      <c r="HO12" s="4">
        <v>1.3499999999999999E-5</v>
      </c>
      <c r="HP12" s="4">
        <v>1.33E-5</v>
      </c>
      <c r="HQ12" s="4">
        <v>1.31E-5</v>
      </c>
      <c r="HR12" s="4">
        <v>1.29E-5</v>
      </c>
      <c r="HS12" s="4">
        <v>1.2799999999999999E-5</v>
      </c>
      <c r="HT12" s="4">
        <v>1.26E-5</v>
      </c>
      <c r="HU12" s="4">
        <v>1.24E-5</v>
      </c>
      <c r="HV12" s="4">
        <v>1.2300000000000001E-5</v>
      </c>
      <c r="HW12" s="4">
        <v>1.2099999999999999E-5</v>
      </c>
      <c r="HX12" s="4">
        <v>1.19E-5</v>
      </c>
      <c r="HY12" s="4">
        <v>1.1800000000000001E-5</v>
      </c>
      <c r="HZ12" s="4">
        <v>1.1600000000000001E-5</v>
      </c>
      <c r="IA12" s="4">
        <v>1.15E-5</v>
      </c>
      <c r="IB12" s="4">
        <v>1.13E-5</v>
      </c>
      <c r="IC12" s="4">
        <v>1.1199999999999999E-5</v>
      </c>
      <c r="ID12" s="4">
        <v>1.1E-5</v>
      </c>
      <c r="IE12" s="4">
        <v>1.0900000000000001E-5</v>
      </c>
      <c r="IF12" s="4">
        <v>1.0699999999999999E-5</v>
      </c>
      <c r="IG12" s="4">
        <v>7.4949999999999995E-4</v>
      </c>
      <c r="IH12" s="4"/>
      <c r="II12" s="4">
        <f t="shared" si="257"/>
        <v>0.13445546119678575</v>
      </c>
      <c r="IL12">
        <f t="shared" si="258"/>
        <v>0.35470853750000031</v>
      </c>
      <c r="IO12" s="4"/>
      <c r="IP12" s="4">
        <f t="shared" si="259"/>
        <v>1.0328899999999995E-2</v>
      </c>
      <c r="IQ12" s="4">
        <f t="shared" si="260"/>
        <v>9.0954000000000035E-3</v>
      </c>
      <c r="IR12" s="4">
        <f t="shared" si="261"/>
        <v>5.8494000000000046E-3</v>
      </c>
      <c r="IS12" s="4">
        <f t="shared" si="262"/>
        <v>3.8354999999999986E-3</v>
      </c>
      <c r="IT12" s="4">
        <f t="shared" si="263"/>
        <v>2.6542000000000007E-3</v>
      </c>
      <c r="IU12" s="4">
        <f t="shared" si="264"/>
        <v>6.3456999999999958E-3</v>
      </c>
      <c r="IV12" s="4">
        <f t="shared" si="265"/>
        <v>2.7223000000000039E-3</v>
      </c>
      <c r="IW12" s="4">
        <f t="shared" si="266"/>
        <v>1.7408000000000007E-3</v>
      </c>
      <c r="IX12" s="4">
        <f t="shared" si="267"/>
        <v>5.1202999999999943E-3</v>
      </c>
      <c r="IZ12">
        <f t="shared" si="270"/>
        <v>2008.75</v>
      </c>
      <c r="JA12">
        <f t="shared" si="268"/>
        <v>21.529844510416073</v>
      </c>
      <c r="JB12">
        <f t="shared" si="255"/>
        <v>17.017841930485631</v>
      </c>
      <c r="JC12">
        <f t="shared" si="255"/>
        <v>16.111002422109795</v>
      </c>
      <c r="JD12">
        <f t="shared" si="255"/>
        <v>15.250080102298714</v>
      </c>
      <c r="JE12">
        <f t="shared" si="255"/>
        <v>14.275602154662002</v>
      </c>
      <c r="JF12">
        <f t="shared" si="255"/>
        <v>11.752108153624905</v>
      </c>
      <c r="JG12">
        <f t="shared" si="255"/>
        <v>7.9244069905091923</v>
      </c>
      <c r="JH12">
        <f t="shared" si="255"/>
        <v>4.7948950992878219</v>
      </c>
      <c r="JI12">
        <f t="shared" si="255"/>
        <v>1.190583808068137</v>
      </c>
    </row>
    <row r="13" spans="1:301" x14ac:dyDescent="0.35">
      <c r="A13" s="1">
        <v>5</v>
      </c>
      <c r="B13" s="4">
        <v>1.10854E-2</v>
      </c>
      <c r="C13" s="4">
        <v>1.1070999999999999E-2</v>
      </c>
      <c r="D13" s="4">
        <v>1.03824E-2</v>
      </c>
      <c r="E13" s="4">
        <v>9.4313999999999995E-3</v>
      </c>
      <c r="F13" s="4">
        <v>7.6111E-3</v>
      </c>
      <c r="G13" s="4">
        <v>8.6435999999999995E-3</v>
      </c>
      <c r="H13" s="4">
        <v>8.0333000000000002E-3</v>
      </c>
      <c r="I13" s="4">
        <v>7.4767000000000002E-3</v>
      </c>
      <c r="J13" s="4">
        <v>6.9668999999999998E-3</v>
      </c>
      <c r="K13" s="4">
        <v>6.5421999999999998E-3</v>
      </c>
      <c r="L13" s="4">
        <v>6.1535000000000001E-3</v>
      </c>
      <c r="M13" s="4">
        <v>5.8164999999999996E-3</v>
      </c>
      <c r="N13" s="4">
        <v>5.5135999999999996E-3</v>
      </c>
      <c r="O13" s="4">
        <v>5.2431999999999999E-3</v>
      </c>
      <c r="P13" s="4">
        <v>4.9991999999999997E-3</v>
      </c>
      <c r="Q13" s="4">
        <v>4.7787999999999997E-3</v>
      </c>
      <c r="R13" s="4">
        <v>4.5785000000000001E-3</v>
      </c>
      <c r="S13" s="4">
        <v>4.3959000000000003E-3</v>
      </c>
      <c r="T13" s="4">
        <v>4.2288999999999998E-3</v>
      </c>
      <c r="U13" s="4">
        <v>4.0755000000000001E-3</v>
      </c>
      <c r="V13" s="4">
        <v>3.9342999999999999E-3</v>
      </c>
      <c r="W13" s="4">
        <v>3.8038E-3</v>
      </c>
      <c r="X13" s="4">
        <v>3.6828999999999998E-3</v>
      </c>
      <c r="Y13" s="4">
        <v>3.5704999999999999E-3</v>
      </c>
      <c r="Z13" s="4">
        <v>3.4656999999999999E-3</v>
      </c>
      <c r="AA13" s="4">
        <v>3.3677999999999998E-3</v>
      </c>
      <c r="AB13" s="4">
        <v>3.2761000000000001E-3</v>
      </c>
      <c r="AC13" s="4">
        <v>3.1898E-3</v>
      </c>
      <c r="AD13" s="4">
        <v>3.1085000000000002E-3</v>
      </c>
      <c r="AE13" s="4">
        <v>3.0317999999999999E-3</v>
      </c>
      <c r="AF13" s="4">
        <v>2.9591000000000001E-3</v>
      </c>
      <c r="AG13" s="4">
        <v>2.8901E-3</v>
      </c>
      <c r="AH13" s="4">
        <v>2.8246E-3</v>
      </c>
      <c r="AI13" s="4">
        <v>2.7621999999999998E-3</v>
      </c>
      <c r="AJ13" s="4">
        <v>2.7027000000000002E-3</v>
      </c>
      <c r="AK13" s="4">
        <v>2.6459000000000001E-3</v>
      </c>
      <c r="AL13" s="4">
        <v>2.5915999999999999E-3</v>
      </c>
      <c r="AM13" s="4">
        <v>2.5397000000000002E-3</v>
      </c>
      <c r="AN13" s="4">
        <v>2.4899000000000002E-3</v>
      </c>
      <c r="AO13" s="4">
        <v>2.4421E-3</v>
      </c>
      <c r="AP13" s="4">
        <v>2.3963000000000001E-3</v>
      </c>
      <c r="AQ13" s="4">
        <v>2.3522E-3</v>
      </c>
      <c r="AR13" s="4">
        <v>2.3097E-3</v>
      </c>
      <c r="AS13" s="4">
        <v>2.2688000000000001E-3</v>
      </c>
      <c r="AT13" s="4">
        <v>2.2293E-3</v>
      </c>
      <c r="AU13" s="4">
        <v>2.1911999999999999E-3</v>
      </c>
      <c r="AV13" s="4">
        <v>2.1543000000000001E-3</v>
      </c>
      <c r="AW13" s="4">
        <v>2.1186E-3</v>
      </c>
      <c r="AX13" s="4">
        <v>2.0839999999999999E-3</v>
      </c>
      <c r="AY13" s="4">
        <v>2.0504999999999998E-3</v>
      </c>
      <c r="AZ13" s="4">
        <v>2.0179E-3</v>
      </c>
      <c r="BA13" s="4">
        <v>1.9862999999999999E-3</v>
      </c>
      <c r="BB13" s="4">
        <v>1.9553999999999999E-3</v>
      </c>
      <c r="BC13" s="4">
        <v>1.9254000000000001E-3</v>
      </c>
      <c r="BD13" s="4">
        <v>1.8962E-3</v>
      </c>
      <c r="BE13" s="4">
        <v>1.8676000000000001E-3</v>
      </c>
      <c r="BF13" s="4">
        <v>1.8397999999999999E-3</v>
      </c>
      <c r="BG13" s="4">
        <v>1.8125000000000001E-3</v>
      </c>
      <c r="BH13" s="4">
        <v>1.7859E-3</v>
      </c>
      <c r="BI13" s="4">
        <v>1.7597999999999999E-3</v>
      </c>
      <c r="BJ13" s="4">
        <v>1.7343E-3</v>
      </c>
      <c r="BK13" s="4">
        <v>1.7091999999999999E-3</v>
      </c>
      <c r="BL13" s="4">
        <v>1.6846999999999999E-3</v>
      </c>
      <c r="BM13" s="4">
        <v>1.6605999999999999E-3</v>
      </c>
      <c r="BN13" s="4">
        <v>1.637E-3</v>
      </c>
      <c r="BO13" s="4">
        <v>1.6138000000000001E-3</v>
      </c>
      <c r="BP13" s="4">
        <v>1.591E-3</v>
      </c>
      <c r="BQ13" s="4">
        <v>1.5686000000000001E-3</v>
      </c>
      <c r="BR13" s="4">
        <v>1.5464999999999999E-3</v>
      </c>
      <c r="BS13" s="4">
        <v>1.5248E-3</v>
      </c>
      <c r="BT13" s="4">
        <v>1.5035000000000001E-3</v>
      </c>
      <c r="BU13" s="4">
        <v>1.4825000000000001E-3</v>
      </c>
      <c r="BV13" s="4">
        <v>1.4618000000000001E-3</v>
      </c>
      <c r="BW13" s="4">
        <v>1.4414E-3</v>
      </c>
      <c r="BX13" s="4">
        <v>1.4214E-3</v>
      </c>
      <c r="BY13" s="4">
        <v>1.4016E-3</v>
      </c>
      <c r="BZ13" s="4">
        <v>1.3821E-3</v>
      </c>
      <c r="CA13" s="4">
        <v>1.3629E-3</v>
      </c>
      <c r="CB13" s="4">
        <v>1.3439999999999999E-3</v>
      </c>
      <c r="CC13" s="4">
        <v>1.3253E-3</v>
      </c>
      <c r="CD13" s="4">
        <v>1.3068999999999999E-3</v>
      </c>
      <c r="CE13" s="4">
        <v>1.2888000000000001E-3</v>
      </c>
      <c r="CF13" s="4">
        <v>1.2708999999999999E-3</v>
      </c>
      <c r="CG13" s="4">
        <v>1.2532999999999999E-3</v>
      </c>
      <c r="CH13" s="4">
        <v>1.2359000000000001E-3</v>
      </c>
      <c r="CI13" s="4">
        <v>1.2187000000000001E-3</v>
      </c>
      <c r="CJ13" s="4">
        <v>1.2018E-3</v>
      </c>
      <c r="CK13" s="4">
        <v>1.1850999999999999E-3</v>
      </c>
      <c r="CL13" s="4">
        <v>1.1686000000000001E-3</v>
      </c>
      <c r="CM13" s="4">
        <v>1.1523E-3</v>
      </c>
      <c r="CN13" s="4">
        <v>1.1363E-3</v>
      </c>
      <c r="CO13" s="4">
        <v>1.1205E-3</v>
      </c>
      <c r="CP13" s="4">
        <v>1.1048E-3</v>
      </c>
      <c r="CQ13" s="4">
        <v>1.0893999999999999E-3</v>
      </c>
      <c r="CR13" s="4">
        <v>1.0743E-3</v>
      </c>
      <c r="CS13" s="4">
        <v>1.0593E-3</v>
      </c>
      <c r="CT13" s="4">
        <v>1.0445000000000001E-3</v>
      </c>
      <c r="CU13" s="4">
        <v>1.0299E-3</v>
      </c>
      <c r="CV13" s="4">
        <v>1.0154999999999999E-3</v>
      </c>
      <c r="CW13" s="4">
        <v>1.0013000000000001E-3</v>
      </c>
      <c r="CX13" s="4">
        <v>9.8729999999999998E-4</v>
      </c>
      <c r="CY13" s="4">
        <v>9.7340000000000002E-4</v>
      </c>
      <c r="CZ13" s="4">
        <v>9.5980000000000002E-4</v>
      </c>
      <c r="DA13" s="4">
        <v>9.4640000000000002E-4</v>
      </c>
      <c r="DB13" s="4">
        <v>9.3309999999999997E-4</v>
      </c>
      <c r="DC13" s="4">
        <v>9.2000000000000003E-4</v>
      </c>
      <c r="DD13" s="4">
        <v>9.0709999999999999E-4</v>
      </c>
      <c r="DE13" s="4">
        <v>8.943E-4</v>
      </c>
      <c r="DF13" s="4">
        <v>8.8179999999999997E-4</v>
      </c>
      <c r="DG13" s="4">
        <v>8.6939999999999999E-4</v>
      </c>
      <c r="DH13" s="4">
        <v>8.5709999999999996E-4</v>
      </c>
      <c r="DI13" s="4">
        <v>8.451E-4</v>
      </c>
      <c r="DJ13" s="4">
        <v>8.3319999999999998E-4</v>
      </c>
      <c r="DK13" s="4">
        <v>8.2149999999999996E-4</v>
      </c>
      <c r="DL13" s="4">
        <v>8.0990000000000001E-4</v>
      </c>
      <c r="DM13" s="4">
        <v>7.9849999999999995E-4</v>
      </c>
      <c r="DN13" s="4">
        <v>7.8720000000000005E-4</v>
      </c>
      <c r="DO13" s="4">
        <v>7.7610000000000005E-4</v>
      </c>
      <c r="DP13" s="4">
        <v>7.6519999999999995E-4</v>
      </c>
      <c r="DQ13" s="4">
        <v>5.3145900000000003E-2</v>
      </c>
      <c r="DR13" s="4">
        <v>0</v>
      </c>
      <c r="DS13" s="4">
        <v>6.0600000000000003E-5</v>
      </c>
      <c r="DT13" s="4">
        <v>1.5239999999999999E-4</v>
      </c>
      <c r="DU13" s="4">
        <v>4.4230000000000002E-4</v>
      </c>
      <c r="DV13" s="4">
        <v>4.1409999999999998E-4</v>
      </c>
      <c r="DW13" s="4">
        <v>6.2710000000000001E-4</v>
      </c>
      <c r="DX13" s="4">
        <v>5.7249999999999998E-4</v>
      </c>
      <c r="DY13" s="4">
        <v>5.0440000000000001E-4</v>
      </c>
      <c r="DZ13" s="4">
        <v>4.4460000000000002E-4</v>
      </c>
      <c r="EA13" s="4">
        <v>3.992E-4</v>
      </c>
      <c r="EB13" s="4">
        <v>3.5359999999999998E-4</v>
      </c>
      <c r="EC13" s="4">
        <v>3.1629999999999999E-4</v>
      </c>
      <c r="ED13" s="4">
        <v>2.832E-4</v>
      </c>
      <c r="EE13" s="4">
        <v>2.5490000000000002E-4</v>
      </c>
      <c r="EF13" s="4">
        <v>2.3020000000000001E-4</v>
      </c>
      <c r="EG13" s="4">
        <v>2.087E-4</v>
      </c>
      <c r="EH13" s="4">
        <v>1.8990000000000001E-4</v>
      </c>
      <c r="EI13" s="4">
        <v>1.7359999999999999E-4</v>
      </c>
      <c r="EJ13" s="4">
        <v>1.5919999999999999E-4</v>
      </c>
      <c r="EK13" s="4">
        <v>1.4650000000000001E-4</v>
      </c>
      <c r="EL13" s="4">
        <v>1.3520000000000001E-4</v>
      </c>
      <c r="EM13" s="4">
        <v>1.2520000000000001E-4</v>
      </c>
      <c r="EN13" s="4">
        <v>1.1620000000000001E-4</v>
      </c>
      <c r="EO13" s="4">
        <v>1.082E-4</v>
      </c>
      <c r="EP13" s="4">
        <v>1.011E-4</v>
      </c>
      <c r="EQ13" s="4">
        <v>9.4699999999999998E-5</v>
      </c>
      <c r="ER13" s="4">
        <v>8.8900000000000006E-5</v>
      </c>
      <c r="ES13" s="4">
        <v>8.3700000000000002E-5</v>
      </c>
      <c r="ET13" s="4">
        <v>7.8899999999999993E-5</v>
      </c>
      <c r="EU13" s="4">
        <v>7.47E-5</v>
      </c>
      <c r="EV13" s="4">
        <v>7.0699999999999997E-5</v>
      </c>
      <c r="EW13" s="4">
        <v>6.7100000000000005E-5</v>
      </c>
      <c r="EX13" s="4">
        <v>6.3800000000000006E-5</v>
      </c>
      <c r="EY13" s="4">
        <v>6.0800000000000001E-5</v>
      </c>
      <c r="EZ13" s="4">
        <v>5.7899999999999998E-5</v>
      </c>
      <c r="FA13" s="4">
        <v>5.5300000000000002E-5</v>
      </c>
      <c r="FB13" s="4">
        <v>5.2800000000000003E-5</v>
      </c>
      <c r="FC13" s="4">
        <v>5.0599999999999997E-5</v>
      </c>
      <c r="FD13" s="4">
        <v>4.8399999999999997E-5</v>
      </c>
      <c r="FE13" s="4">
        <v>4.6400000000000003E-5</v>
      </c>
      <c r="FF13" s="4">
        <v>4.46E-5</v>
      </c>
      <c r="FG13" s="4">
        <v>4.2899999999999999E-5</v>
      </c>
      <c r="FH13" s="4">
        <v>4.1199999999999999E-5</v>
      </c>
      <c r="FI13" s="4">
        <v>3.9700000000000003E-5</v>
      </c>
      <c r="FJ13" s="4">
        <v>3.8300000000000003E-5</v>
      </c>
      <c r="FK13" s="4">
        <v>3.6999999999999998E-5</v>
      </c>
      <c r="FL13" s="4">
        <v>3.5800000000000003E-5</v>
      </c>
      <c r="FM13" s="4">
        <v>3.4600000000000001E-5</v>
      </c>
      <c r="FN13" s="4">
        <v>3.3500000000000001E-5</v>
      </c>
      <c r="FO13" s="4">
        <v>3.2499999999999997E-5</v>
      </c>
      <c r="FP13" s="4">
        <v>3.1600000000000002E-5</v>
      </c>
      <c r="FQ13" s="4">
        <v>3.0700000000000001E-5</v>
      </c>
      <c r="FR13" s="4">
        <v>2.9899999999999998E-5</v>
      </c>
      <c r="FS13" s="4">
        <v>2.9099999999999999E-5</v>
      </c>
      <c r="FT13" s="4">
        <v>2.8399999999999999E-5</v>
      </c>
      <c r="FU13" s="4">
        <v>2.7699999999999999E-5</v>
      </c>
      <c r="FV13" s="4">
        <v>2.6999999999999999E-5</v>
      </c>
      <c r="FW13" s="4">
        <v>2.6400000000000001E-5</v>
      </c>
      <c r="FX13" s="4">
        <v>2.5899999999999999E-5</v>
      </c>
      <c r="FY13" s="4">
        <v>2.5299999999999998E-5</v>
      </c>
      <c r="FZ13" s="4">
        <v>2.48E-5</v>
      </c>
      <c r="GA13" s="4">
        <v>2.4300000000000001E-5</v>
      </c>
      <c r="GB13" s="4">
        <v>2.3799999999999999E-5</v>
      </c>
      <c r="GC13" s="4">
        <v>2.34E-5</v>
      </c>
      <c r="GD13" s="4">
        <v>2.3E-5</v>
      </c>
      <c r="GE13" s="4">
        <v>2.26E-5</v>
      </c>
      <c r="GF13" s="4">
        <v>2.2200000000000001E-5</v>
      </c>
      <c r="GG13" s="4">
        <v>2.1800000000000001E-5</v>
      </c>
      <c r="GH13" s="4">
        <v>2.1500000000000001E-5</v>
      </c>
      <c r="GI13" s="4">
        <v>2.1100000000000001E-5</v>
      </c>
      <c r="GJ13" s="4">
        <v>2.0800000000000001E-5</v>
      </c>
      <c r="GK13" s="4">
        <v>2.05E-5</v>
      </c>
      <c r="GL13" s="4">
        <v>2.0100000000000001E-5</v>
      </c>
      <c r="GM13" s="4">
        <v>1.98E-5</v>
      </c>
      <c r="GN13" s="4">
        <v>1.9599999999999999E-5</v>
      </c>
      <c r="GO13" s="4">
        <v>1.9300000000000002E-5</v>
      </c>
      <c r="GP13" s="4">
        <v>1.9000000000000001E-5</v>
      </c>
      <c r="GQ13" s="4">
        <v>1.8700000000000001E-5</v>
      </c>
      <c r="GR13" s="4">
        <v>1.8499999999999999E-5</v>
      </c>
      <c r="GS13" s="4">
        <v>1.8199999999999999E-5</v>
      </c>
      <c r="GT13" s="4">
        <v>1.8E-5</v>
      </c>
      <c r="GU13" s="4">
        <v>1.77E-5</v>
      </c>
      <c r="GV13" s="4">
        <v>1.7499999999999998E-5</v>
      </c>
      <c r="GW13" s="4">
        <v>1.7200000000000001E-5</v>
      </c>
      <c r="GX13" s="4">
        <v>1.7E-5</v>
      </c>
      <c r="GY13" s="4">
        <v>1.6799999999999998E-5</v>
      </c>
      <c r="GZ13" s="4">
        <v>1.66E-5</v>
      </c>
      <c r="HA13" s="4">
        <v>1.63E-5</v>
      </c>
      <c r="HB13" s="4">
        <v>1.6099999999999998E-5</v>
      </c>
      <c r="HC13" s="4">
        <v>1.59E-5</v>
      </c>
      <c r="HD13" s="4">
        <v>1.5699999999999999E-5</v>
      </c>
      <c r="HE13" s="4">
        <v>1.5500000000000001E-5</v>
      </c>
      <c r="HF13" s="4">
        <v>1.5299999999999999E-5</v>
      </c>
      <c r="HG13" s="4">
        <v>1.5099999999999999E-5</v>
      </c>
      <c r="HH13" s="4">
        <v>1.49E-5</v>
      </c>
      <c r="HI13" s="4">
        <v>1.47E-5</v>
      </c>
      <c r="HJ13" s="4">
        <v>1.45E-5</v>
      </c>
      <c r="HK13" s="4">
        <v>1.43E-5</v>
      </c>
      <c r="HL13" s="4">
        <v>1.4100000000000001E-5</v>
      </c>
      <c r="HM13" s="4">
        <v>1.3900000000000001E-5</v>
      </c>
      <c r="HN13" s="4">
        <v>1.3699999999999999E-5</v>
      </c>
      <c r="HO13" s="4">
        <v>1.3499999999999999E-5</v>
      </c>
      <c r="HP13" s="4">
        <v>1.34E-5</v>
      </c>
      <c r="HQ13" s="4">
        <v>1.3200000000000001E-5</v>
      </c>
      <c r="HR13" s="4">
        <v>1.2999999999999999E-5</v>
      </c>
      <c r="HS13" s="4">
        <v>1.2799999999999999E-5</v>
      </c>
      <c r="HT13" s="4">
        <v>1.27E-5</v>
      </c>
      <c r="HU13" s="4">
        <v>1.2500000000000001E-5</v>
      </c>
      <c r="HV13" s="4">
        <v>1.2300000000000001E-5</v>
      </c>
      <c r="HW13" s="4">
        <v>1.22E-5</v>
      </c>
      <c r="HX13" s="4">
        <v>1.2E-5</v>
      </c>
      <c r="HY13" s="4">
        <v>1.1800000000000001E-5</v>
      </c>
      <c r="HZ13" s="4">
        <v>1.17E-5</v>
      </c>
      <c r="IA13" s="4">
        <v>1.15E-5</v>
      </c>
      <c r="IB13" s="4">
        <v>1.13E-5</v>
      </c>
      <c r="IC13" s="4">
        <v>1.1199999999999999E-5</v>
      </c>
      <c r="ID13" s="4">
        <v>1.1E-5</v>
      </c>
      <c r="IE13" s="4">
        <v>1.0900000000000001E-5</v>
      </c>
      <c r="IF13" s="4">
        <v>1.0699999999999999E-5</v>
      </c>
      <c r="IG13" s="4">
        <v>7.5069999999999998E-4</v>
      </c>
      <c r="IH13" s="4"/>
      <c r="II13" s="4">
        <f t="shared" si="257"/>
        <v>0.10034027416868593</v>
      </c>
      <c r="IL13">
        <f t="shared" si="258"/>
        <v>0.35370742499999969</v>
      </c>
      <c r="IP13" s="4">
        <f t="shared" ref="IP13:IP17" si="271">SUM(C10:F10)-SUM(G14:J14)</f>
        <v>7.2724000000000018E-3</v>
      </c>
      <c r="IQ13" s="4">
        <f t="shared" ref="IQ13:IQ17" si="272">SUM(G10:J10)-SUM(K14:N14)</f>
        <v>6.0347999999999999E-3</v>
      </c>
      <c r="IR13" s="4">
        <f t="shared" si="261"/>
        <v>3.882E-3</v>
      </c>
      <c r="IS13" s="4">
        <f t="shared" si="262"/>
        <v>2.6183000000000005E-3</v>
      </c>
      <c r="IT13" s="4">
        <f t="shared" si="263"/>
        <v>1.8668999999999995E-3</v>
      </c>
      <c r="IU13" s="4">
        <f t="shared" si="264"/>
        <v>4.9160999999999858E-3</v>
      </c>
      <c r="IV13" s="4">
        <f t="shared" si="265"/>
        <v>2.3722999999999939E-3</v>
      </c>
      <c r="IW13" s="4">
        <f t="shared" si="266"/>
        <v>1.581500000000003E-3</v>
      </c>
      <c r="IX13" s="4">
        <f t="shared" si="267"/>
        <v>4.9468000000000012E-3</v>
      </c>
      <c r="IZ13">
        <f t="shared" si="270"/>
        <v>2009</v>
      </c>
      <c r="JA13">
        <f t="shared" si="268"/>
        <v>-13.556098553115845</v>
      </c>
      <c r="JB13">
        <f t="shared" si="255"/>
        <v>-24.00476579232523</v>
      </c>
      <c r="JC13">
        <f t="shared" si="255"/>
        <v>-24.887858291322804</v>
      </c>
      <c r="JD13">
        <f t="shared" si="255"/>
        <v>-22.927375118053664</v>
      </c>
      <c r="JE13">
        <f t="shared" si="255"/>
        <v>-20.910796821324759</v>
      </c>
      <c r="JF13">
        <f t="shared" si="255"/>
        <v>-13.774080339585529</v>
      </c>
      <c r="JG13">
        <f t="shared" si="255"/>
        <v>-5.8373092643607958</v>
      </c>
      <c r="JH13">
        <f t="shared" si="255"/>
        <v>-4.8022062923040094</v>
      </c>
      <c r="JI13">
        <f t="shared" si="255"/>
        <v>-2.2566290118422097</v>
      </c>
    </row>
    <row r="14" spans="1:301" x14ac:dyDescent="0.35">
      <c r="A14" s="1">
        <v>6</v>
      </c>
      <c r="B14" s="4">
        <v>1.10925E-2</v>
      </c>
      <c r="C14" s="4">
        <v>1.10854E-2</v>
      </c>
      <c r="D14" s="4">
        <v>1.1010499999999999E-2</v>
      </c>
      <c r="E14" s="4">
        <v>1.023E-2</v>
      </c>
      <c r="F14" s="4">
        <v>8.9891999999999993E-3</v>
      </c>
      <c r="G14" s="4">
        <v>7.1969E-3</v>
      </c>
      <c r="H14" s="4">
        <v>8.0164999999999993E-3</v>
      </c>
      <c r="I14" s="4">
        <v>7.4608000000000001E-3</v>
      </c>
      <c r="J14" s="4">
        <v>6.9724000000000001E-3</v>
      </c>
      <c r="K14" s="4">
        <v>6.5221999999999997E-3</v>
      </c>
      <c r="L14" s="4">
        <v>6.143E-3</v>
      </c>
      <c r="M14" s="4">
        <v>5.7999999999999996E-3</v>
      </c>
      <c r="N14" s="4">
        <v>5.5002000000000002E-3</v>
      </c>
      <c r="O14" s="4">
        <v>5.2303999999999996E-3</v>
      </c>
      <c r="P14" s="4">
        <v>4.9883000000000002E-3</v>
      </c>
      <c r="Q14" s="4">
        <v>4.7691000000000001E-3</v>
      </c>
      <c r="R14" s="4">
        <v>4.5700999999999997E-3</v>
      </c>
      <c r="S14" s="4">
        <v>4.3885E-3</v>
      </c>
      <c r="T14" s="4">
        <v>4.2224000000000003E-3</v>
      </c>
      <c r="U14" s="4">
        <v>4.0696999999999999E-3</v>
      </c>
      <c r="V14" s="4">
        <v>3.9290999999999996E-3</v>
      </c>
      <c r="W14" s="4">
        <v>3.7991000000000001E-3</v>
      </c>
      <c r="X14" s="4">
        <v>3.6786000000000002E-3</v>
      </c>
      <c r="Y14" s="4">
        <v>3.5666000000000001E-3</v>
      </c>
      <c r="Z14" s="4">
        <v>3.4621999999999999E-3</v>
      </c>
      <c r="AA14" s="4">
        <v>3.3646000000000001E-3</v>
      </c>
      <c r="AB14" s="4">
        <v>3.2732E-3</v>
      </c>
      <c r="AC14" s="4">
        <v>3.1871999999999998E-3</v>
      </c>
      <c r="AD14" s="4">
        <v>3.1061999999999999E-3</v>
      </c>
      <c r="AE14" s="4">
        <v>3.0295999999999999E-3</v>
      </c>
      <c r="AF14" s="4">
        <v>2.9570999999999998E-3</v>
      </c>
      <c r="AG14" s="4">
        <v>2.8882999999999999E-3</v>
      </c>
      <c r="AH14" s="4">
        <v>2.823E-3</v>
      </c>
      <c r="AI14" s="4">
        <v>2.7607E-3</v>
      </c>
      <c r="AJ14" s="4">
        <v>2.7014000000000001E-3</v>
      </c>
      <c r="AK14" s="4">
        <v>2.6448000000000001E-3</v>
      </c>
      <c r="AL14" s="4">
        <v>2.5906000000000002E-3</v>
      </c>
      <c r="AM14" s="4">
        <v>2.5387999999999999E-3</v>
      </c>
      <c r="AN14" s="4">
        <v>2.4891000000000002E-3</v>
      </c>
      <c r="AO14" s="4">
        <v>2.4415000000000001E-3</v>
      </c>
      <c r="AP14" s="4">
        <v>2.3957000000000002E-3</v>
      </c>
      <c r="AQ14" s="4">
        <v>2.3517E-3</v>
      </c>
      <c r="AR14" s="4">
        <v>2.3092999999999998E-3</v>
      </c>
      <c r="AS14" s="4">
        <v>2.2685000000000001E-3</v>
      </c>
      <c r="AT14" s="4">
        <v>2.2290999999999999E-3</v>
      </c>
      <c r="AU14" s="4">
        <v>2.1909999999999998E-3</v>
      </c>
      <c r="AV14" s="4">
        <v>2.1542000000000002E-3</v>
      </c>
      <c r="AW14" s="4">
        <v>2.1186E-3</v>
      </c>
      <c r="AX14" s="4">
        <v>2.0839999999999999E-3</v>
      </c>
      <c r="AY14" s="4">
        <v>2.0504999999999998E-3</v>
      </c>
      <c r="AZ14" s="4">
        <v>2.0179999999999998E-3</v>
      </c>
      <c r="BA14" s="4">
        <v>1.9862999999999999E-3</v>
      </c>
      <c r="BB14" s="4">
        <v>1.9556E-3</v>
      </c>
      <c r="BC14" s="4">
        <v>1.9256E-3</v>
      </c>
      <c r="BD14" s="4">
        <v>1.8963000000000001E-3</v>
      </c>
      <c r="BE14" s="4">
        <v>1.8678E-3</v>
      </c>
      <c r="BF14" s="4">
        <v>1.8400000000000001E-3</v>
      </c>
      <c r="BG14" s="4">
        <v>1.8127E-3</v>
      </c>
      <c r="BH14" s="4">
        <v>1.7861000000000001E-3</v>
      </c>
      <c r="BI14" s="4">
        <v>1.7600000000000001E-3</v>
      </c>
      <c r="BJ14" s="4">
        <v>1.7344999999999999E-3</v>
      </c>
      <c r="BK14" s="4">
        <v>1.7095000000000001E-3</v>
      </c>
      <c r="BL14" s="4">
        <v>1.6849E-3</v>
      </c>
      <c r="BM14" s="4">
        <v>1.6609000000000001E-3</v>
      </c>
      <c r="BN14" s="4">
        <v>1.6371999999999999E-3</v>
      </c>
      <c r="BO14" s="4">
        <v>1.614E-3</v>
      </c>
      <c r="BP14" s="4">
        <v>1.5912000000000001E-3</v>
      </c>
      <c r="BQ14" s="4">
        <v>1.5688E-3</v>
      </c>
      <c r="BR14" s="4">
        <v>1.5467E-3</v>
      </c>
      <c r="BS14" s="4">
        <v>1.5250999999999999E-3</v>
      </c>
      <c r="BT14" s="4">
        <v>1.5037E-3</v>
      </c>
      <c r="BU14" s="4">
        <v>1.4827E-3</v>
      </c>
      <c r="BV14" s="4">
        <v>1.462E-3</v>
      </c>
      <c r="BW14" s="4">
        <v>1.4415999999999999E-3</v>
      </c>
      <c r="BX14" s="4">
        <v>1.4216000000000001E-3</v>
      </c>
      <c r="BY14" s="4">
        <v>1.4017999999999999E-3</v>
      </c>
      <c r="BZ14" s="4">
        <v>1.3822999999999999E-3</v>
      </c>
      <c r="CA14" s="4">
        <v>1.3630999999999999E-3</v>
      </c>
      <c r="CB14" s="4">
        <v>1.3442E-3</v>
      </c>
      <c r="CC14" s="4">
        <v>1.3255000000000001E-3</v>
      </c>
      <c r="CD14" s="4">
        <v>1.3071000000000001E-3</v>
      </c>
      <c r="CE14" s="4">
        <v>1.289E-3</v>
      </c>
      <c r="CF14" s="4">
        <v>1.2711000000000001E-3</v>
      </c>
      <c r="CG14" s="4">
        <v>1.2534E-3</v>
      </c>
      <c r="CH14" s="4">
        <v>1.2359999999999999E-3</v>
      </c>
      <c r="CI14" s="4">
        <v>1.2189E-3</v>
      </c>
      <c r="CJ14" s="4">
        <v>1.2019000000000001E-3</v>
      </c>
      <c r="CK14" s="4">
        <v>1.1852E-3</v>
      </c>
      <c r="CL14" s="4">
        <v>1.1686999999999999E-3</v>
      </c>
      <c r="CM14" s="4">
        <v>1.1525000000000001E-3</v>
      </c>
      <c r="CN14" s="4">
        <v>1.1364000000000001E-3</v>
      </c>
      <c r="CO14" s="4">
        <v>1.1206E-3</v>
      </c>
      <c r="CP14" s="4">
        <v>1.1050000000000001E-3</v>
      </c>
      <c r="CQ14" s="4">
        <v>1.0896E-3</v>
      </c>
      <c r="CR14" s="4">
        <v>1.0744000000000001E-3</v>
      </c>
      <c r="CS14" s="4">
        <v>1.0594000000000001E-3</v>
      </c>
      <c r="CT14" s="4">
        <v>1.0445999999999999E-3</v>
      </c>
      <c r="CU14" s="4">
        <v>1.0300000000000001E-3</v>
      </c>
      <c r="CV14" s="4">
        <v>1.0156E-3</v>
      </c>
      <c r="CW14" s="4">
        <v>1.0013999999999999E-3</v>
      </c>
      <c r="CX14" s="4">
        <v>9.8740000000000004E-4</v>
      </c>
      <c r="CY14" s="4">
        <v>9.7349999999999997E-4</v>
      </c>
      <c r="CZ14" s="4">
        <v>9.5989999999999997E-4</v>
      </c>
      <c r="DA14" s="4">
        <v>9.4649999999999997E-4</v>
      </c>
      <c r="DB14" s="4">
        <v>9.3320000000000002E-4</v>
      </c>
      <c r="DC14" s="4">
        <v>9.2009999999999998E-4</v>
      </c>
      <c r="DD14" s="4">
        <v>9.0720000000000004E-4</v>
      </c>
      <c r="DE14" s="4">
        <v>8.9439999999999995E-4</v>
      </c>
      <c r="DF14" s="4">
        <v>8.8190000000000002E-4</v>
      </c>
      <c r="DG14" s="4">
        <v>8.6950000000000005E-4</v>
      </c>
      <c r="DH14" s="4">
        <v>8.5720000000000002E-4</v>
      </c>
      <c r="DI14" s="4">
        <v>8.4520000000000005E-4</v>
      </c>
      <c r="DJ14" s="4">
        <v>8.3330000000000003E-4</v>
      </c>
      <c r="DK14" s="4">
        <v>8.2149999999999996E-4</v>
      </c>
      <c r="DL14" s="4">
        <v>8.0999999999999996E-4</v>
      </c>
      <c r="DM14" s="4">
        <v>7.9849999999999995E-4</v>
      </c>
      <c r="DN14" s="4">
        <v>7.873E-4</v>
      </c>
      <c r="DO14" s="4">
        <v>7.762E-4</v>
      </c>
      <c r="DP14" s="4">
        <v>7.6519999999999995E-4</v>
      </c>
      <c r="DQ14" s="4">
        <v>5.3149700000000001E-2</v>
      </c>
      <c r="DR14" s="4">
        <v>0</v>
      </c>
      <c r="DS14" s="4">
        <v>6.0000000000000002E-5</v>
      </c>
      <c r="DT14" s="4">
        <v>2.0129999999999999E-4</v>
      </c>
      <c r="DU14" s="4">
        <v>5.9719999999999999E-4</v>
      </c>
      <c r="DV14" s="4">
        <v>5.4819999999999999E-4</v>
      </c>
      <c r="DW14" s="4">
        <v>4.5580000000000002E-4</v>
      </c>
      <c r="DX14" s="4">
        <v>5.8830000000000004E-4</v>
      </c>
      <c r="DY14" s="4">
        <v>5.3010000000000004E-4</v>
      </c>
      <c r="DZ14" s="4">
        <v>4.7150000000000002E-4</v>
      </c>
      <c r="EA14" s="4">
        <v>4.1360000000000002E-4</v>
      </c>
      <c r="EB14" s="4">
        <v>3.6759999999999999E-4</v>
      </c>
      <c r="EC14" s="4">
        <v>3.2610000000000001E-4</v>
      </c>
      <c r="ED14" s="4">
        <v>2.9149999999999998E-4</v>
      </c>
      <c r="EE14" s="4">
        <v>2.6150000000000001E-4</v>
      </c>
      <c r="EF14" s="4">
        <v>2.3570000000000001E-4</v>
      </c>
      <c r="EG14" s="4">
        <v>2.1320000000000001E-4</v>
      </c>
      <c r="EH14" s="4">
        <v>1.9369999999999999E-4</v>
      </c>
      <c r="EI14" s="4">
        <v>1.7660000000000001E-4</v>
      </c>
      <c r="EJ14" s="4">
        <v>1.616E-4</v>
      </c>
      <c r="EK14" s="4">
        <v>1.484E-4</v>
      </c>
      <c r="EL14" s="4">
        <v>1.3669999999999999E-4</v>
      </c>
      <c r="EM14" s="4">
        <v>1.2630000000000001E-4</v>
      </c>
      <c r="EN14" s="4">
        <v>1.171E-4</v>
      </c>
      <c r="EO14" s="4">
        <v>1.088E-4</v>
      </c>
      <c r="EP14" s="4">
        <v>1.015E-4</v>
      </c>
      <c r="EQ14" s="4">
        <v>9.5000000000000005E-5</v>
      </c>
      <c r="ER14" s="4">
        <v>8.9099999999999997E-5</v>
      </c>
      <c r="ES14" s="4">
        <v>8.3800000000000004E-5</v>
      </c>
      <c r="ET14" s="4">
        <v>7.8999999999999996E-5</v>
      </c>
      <c r="EU14" s="4">
        <v>7.47E-5</v>
      </c>
      <c r="EV14" s="4">
        <v>7.0699999999999997E-5</v>
      </c>
      <c r="EW14" s="4">
        <v>6.7100000000000005E-5</v>
      </c>
      <c r="EX14" s="4">
        <v>6.3800000000000006E-5</v>
      </c>
      <c r="EY14" s="4">
        <v>6.0800000000000001E-5</v>
      </c>
      <c r="EZ14" s="4">
        <v>5.7899999999999998E-5</v>
      </c>
      <c r="FA14" s="4">
        <v>5.5300000000000002E-5</v>
      </c>
      <c r="FB14" s="4">
        <v>5.2899999999999998E-5</v>
      </c>
      <c r="FC14" s="4">
        <v>5.0599999999999997E-5</v>
      </c>
      <c r="FD14" s="4">
        <v>4.85E-5</v>
      </c>
      <c r="FE14" s="4">
        <v>4.6499999999999999E-5</v>
      </c>
      <c r="FF14" s="4">
        <v>4.4700000000000002E-5</v>
      </c>
      <c r="FG14" s="4">
        <v>4.3000000000000002E-5</v>
      </c>
      <c r="FH14" s="4">
        <v>4.1399999999999997E-5</v>
      </c>
      <c r="FI14" s="4">
        <v>3.9900000000000001E-5</v>
      </c>
      <c r="FJ14" s="4">
        <v>3.8500000000000001E-5</v>
      </c>
      <c r="FK14" s="4">
        <v>3.7200000000000003E-5</v>
      </c>
      <c r="FL14" s="4">
        <v>3.5899999999999998E-5</v>
      </c>
      <c r="FM14" s="4">
        <v>3.4799999999999999E-5</v>
      </c>
      <c r="FN14" s="4">
        <v>3.3699999999999999E-5</v>
      </c>
      <c r="FO14" s="4">
        <v>3.2700000000000002E-5</v>
      </c>
      <c r="FP14" s="4">
        <v>3.18E-5</v>
      </c>
      <c r="FQ14" s="4">
        <v>3.0899999999999999E-5</v>
      </c>
      <c r="FR14" s="4">
        <v>3.01E-5</v>
      </c>
      <c r="FS14" s="4">
        <v>2.9300000000000001E-5</v>
      </c>
      <c r="FT14" s="4">
        <v>2.8600000000000001E-5</v>
      </c>
      <c r="FU14" s="4">
        <v>2.7900000000000001E-5</v>
      </c>
      <c r="FV14" s="4">
        <v>2.72E-5</v>
      </c>
      <c r="FW14" s="4">
        <v>2.6599999999999999E-5</v>
      </c>
      <c r="FX14" s="4">
        <v>2.6100000000000001E-5</v>
      </c>
      <c r="FY14" s="4">
        <v>2.55E-5</v>
      </c>
      <c r="FZ14" s="4">
        <v>2.5000000000000001E-5</v>
      </c>
      <c r="GA14" s="4">
        <v>2.4499999999999999E-5</v>
      </c>
      <c r="GB14" s="4">
        <v>2.4000000000000001E-5</v>
      </c>
      <c r="GC14" s="4">
        <v>2.3600000000000001E-5</v>
      </c>
      <c r="GD14" s="4">
        <v>2.3099999999999999E-5</v>
      </c>
      <c r="GE14" s="4">
        <v>2.27E-5</v>
      </c>
      <c r="GF14" s="4">
        <v>2.23E-5</v>
      </c>
      <c r="GG14" s="4">
        <v>2.1999999999999999E-5</v>
      </c>
      <c r="GH14" s="4">
        <v>2.16E-5</v>
      </c>
      <c r="GI14" s="4">
        <v>2.1299999999999999E-5</v>
      </c>
      <c r="GJ14" s="4">
        <v>2.09E-5</v>
      </c>
      <c r="GK14" s="4">
        <v>2.0599999999999999E-5</v>
      </c>
      <c r="GL14" s="4">
        <v>2.0299999999999999E-5</v>
      </c>
      <c r="GM14" s="4">
        <v>2.0000000000000002E-5</v>
      </c>
      <c r="GN14" s="4">
        <v>1.9700000000000001E-5</v>
      </c>
      <c r="GO14" s="4">
        <v>1.9400000000000001E-5</v>
      </c>
      <c r="GP14" s="4">
        <v>1.91E-5</v>
      </c>
      <c r="GQ14" s="4">
        <v>1.88E-5</v>
      </c>
      <c r="GR14" s="4">
        <v>1.8600000000000001E-5</v>
      </c>
      <c r="GS14" s="4">
        <v>1.8300000000000001E-5</v>
      </c>
      <c r="GT14" s="4">
        <v>1.8099999999999999E-5</v>
      </c>
      <c r="GU14" s="4">
        <v>1.7799999999999999E-5</v>
      </c>
      <c r="GV14" s="4">
        <v>1.7600000000000001E-5</v>
      </c>
      <c r="GW14" s="4">
        <v>1.73E-5</v>
      </c>
      <c r="GX14" s="4">
        <v>1.7099999999999999E-5</v>
      </c>
      <c r="GY14" s="4">
        <v>1.6900000000000001E-5</v>
      </c>
      <c r="GZ14" s="4">
        <v>1.66E-5</v>
      </c>
      <c r="HA14" s="4">
        <v>1.6399999999999999E-5</v>
      </c>
      <c r="HB14" s="4">
        <v>1.6200000000000001E-5</v>
      </c>
      <c r="HC14" s="4">
        <v>1.5999999999999999E-5</v>
      </c>
      <c r="HD14" s="4">
        <v>1.5800000000000001E-5</v>
      </c>
      <c r="HE14" s="4">
        <v>1.5500000000000001E-5</v>
      </c>
      <c r="HF14" s="4">
        <v>1.5299999999999999E-5</v>
      </c>
      <c r="HG14" s="4">
        <v>1.5099999999999999E-5</v>
      </c>
      <c r="HH14" s="4">
        <v>1.49E-5</v>
      </c>
      <c r="HI14" s="4">
        <v>1.47E-5</v>
      </c>
      <c r="HJ14" s="4">
        <v>1.45E-5</v>
      </c>
      <c r="HK14" s="4">
        <v>1.43E-5</v>
      </c>
      <c r="HL14" s="4">
        <v>1.4100000000000001E-5</v>
      </c>
      <c r="HM14" s="4">
        <v>1.4E-5</v>
      </c>
      <c r="HN14" s="4">
        <v>1.38E-5</v>
      </c>
      <c r="HO14" s="4">
        <v>1.36E-5</v>
      </c>
      <c r="HP14" s="4">
        <v>1.34E-5</v>
      </c>
      <c r="HQ14" s="4">
        <v>1.3200000000000001E-5</v>
      </c>
      <c r="HR14" s="4">
        <v>1.2999999999999999E-5</v>
      </c>
      <c r="HS14" s="4">
        <v>1.29E-5</v>
      </c>
      <c r="HT14" s="4">
        <v>1.27E-5</v>
      </c>
      <c r="HU14" s="4">
        <v>1.2500000000000001E-5</v>
      </c>
      <c r="HV14" s="4">
        <v>1.2300000000000001E-5</v>
      </c>
      <c r="HW14" s="4">
        <v>1.22E-5</v>
      </c>
      <c r="HX14" s="4">
        <v>1.2E-5</v>
      </c>
      <c r="HY14" s="4">
        <v>1.19E-5</v>
      </c>
      <c r="HZ14" s="4">
        <v>1.17E-5</v>
      </c>
      <c r="IA14" s="4">
        <v>1.15E-5</v>
      </c>
      <c r="IB14" s="4">
        <v>1.1399999999999999E-5</v>
      </c>
      <c r="IC14" s="4">
        <v>1.1199999999999999E-5</v>
      </c>
      <c r="ID14" s="4">
        <v>1.11E-5</v>
      </c>
      <c r="IE14" s="4">
        <v>1.0900000000000001E-5</v>
      </c>
      <c r="IF14" s="4">
        <v>1.08E-5</v>
      </c>
      <c r="IG14" s="4">
        <v>7.517E-4</v>
      </c>
      <c r="IH14" s="4"/>
      <c r="II14" s="4">
        <f t="shared" si="257"/>
        <v>0.10526164375747875</v>
      </c>
      <c r="IL14">
        <f t="shared" si="258"/>
        <v>0.35281512499999945</v>
      </c>
      <c r="IP14" s="4">
        <f t="shared" si="271"/>
        <v>6.8762999999999949E-3</v>
      </c>
      <c r="IQ14" s="4">
        <f t="shared" si="272"/>
        <v>6.4828000000000004E-3</v>
      </c>
      <c r="IR14" s="4">
        <f t="shared" si="261"/>
        <v>4.2727999999999967E-3</v>
      </c>
      <c r="IS14" s="4">
        <f t="shared" si="262"/>
        <v>2.9177000000000022E-3</v>
      </c>
      <c r="IT14" s="4">
        <f t="shared" si="263"/>
        <v>2.097700000000001E-3</v>
      </c>
      <c r="IU14" s="4">
        <f t="shared" si="264"/>
        <v>5.4014999999999966E-3</v>
      </c>
      <c r="IV14" s="4">
        <f t="shared" si="265"/>
        <v>2.4627000000000052E-3</v>
      </c>
      <c r="IW14" s="4">
        <f t="shared" si="266"/>
        <v>1.6176999999999962E-3</v>
      </c>
      <c r="IX14" s="4">
        <f t="shared" si="267"/>
        <v>5.0087000000000048E-3</v>
      </c>
      <c r="IZ14">
        <f t="shared" si="270"/>
        <v>2009.25</v>
      </c>
      <c r="JA14">
        <f t="shared" si="268"/>
        <v>-19.156662980784677</v>
      </c>
      <c r="JB14">
        <f t="shared" si="255"/>
        <v>-16.843785610520712</v>
      </c>
      <c r="JC14">
        <f t="shared" si="255"/>
        <v>-15.295971761662386</v>
      </c>
      <c r="JD14">
        <f t="shared" si="255"/>
        <v>-12.100336872289107</v>
      </c>
      <c r="JE14">
        <f t="shared" si="255"/>
        <v>-9.2545763051784835</v>
      </c>
      <c r="JF14">
        <f t="shared" si="255"/>
        <v>-4.3579643859101447</v>
      </c>
      <c r="JG14">
        <f t="shared" si="255"/>
        <v>-2.0974732289592075</v>
      </c>
      <c r="JH14">
        <f t="shared" si="255"/>
        <v>-2.5390439333099581</v>
      </c>
      <c r="JI14">
        <f t="shared" si="255"/>
        <v>-1.0130792616366349</v>
      </c>
    </row>
    <row r="15" spans="1:301" x14ac:dyDescent="0.35">
      <c r="A15" s="1">
        <v>7</v>
      </c>
      <c r="B15" s="4">
        <v>1.1096099999999999E-2</v>
      </c>
      <c r="C15" s="4">
        <v>1.10925E-2</v>
      </c>
      <c r="D15" s="4">
        <v>1.1025399999999999E-2</v>
      </c>
      <c r="E15" s="4">
        <v>1.08092E-2</v>
      </c>
      <c r="F15" s="4">
        <v>9.6326999999999992E-3</v>
      </c>
      <c r="G15" s="4">
        <v>8.4408999999999994E-3</v>
      </c>
      <c r="H15" s="4">
        <v>6.7410999999999999E-3</v>
      </c>
      <c r="I15" s="4">
        <v>7.4282000000000003E-3</v>
      </c>
      <c r="J15" s="4">
        <v>6.9306999999999997E-3</v>
      </c>
      <c r="K15" s="4">
        <v>6.5009000000000004E-3</v>
      </c>
      <c r="L15" s="4">
        <v>6.1085999999999996E-3</v>
      </c>
      <c r="M15" s="4">
        <v>5.7752999999999997E-3</v>
      </c>
      <c r="N15" s="4">
        <v>5.4739000000000003E-3</v>
      </c>
      <c r="O15" s="4">
        <v>5.2087000000000001E-3</v>
      </c>
      <c r="P15" s="4">
        <v>4.9690000000000003E-3</v>
      </c>
      <c r="Q15" s="4">
        <v>4.7526000000000001E-3</v>
      </c>
      <c r="R15" s="4">
        <v>4.5558999999999999E-3</v>
      </c>
      <c r="S15" s="4">
        <v>4.3763999999999999E-3</v>
      </c>
      <c r="T15" s="4">
        <v>4.2119999999999996E-3</v>
      </c>
      <c r="U15" s="4">
        <v>4.0607999999999998E-3</v>
      </c>
      <c r="V15" s="4">
        <v>3.9214000000000002E-3</v>
      </c>
      <c r="W15" s="4">
        <v>3.7924E-3</v>
      </c>
      <c r="X15" s="4">
        <v>3.6727999999999999E-3</v>
      </c>
      <c r="Y15" s="4">
        <v>3.5615E-3</v>
      </c>
      <c r="Z15" s="4">
        <v>3.4578E-3</v>
      </c>
      <c r="AA15" s="4">
        <v>3.3606999999999999E-3</v>
      </c>
      <c r="AB15" s="4">
        <v>3.2697E-3</v>
      </c>
      <c r="AC15" s="4">
        <v>3.1841E-3</v>
      </c>
      <c r="AD15" s="4">
        <v>3.1034000000000001E-3</v>
      </c>
      <c r="AE15" s="4">
        <v>3.0271E-3</v>
      </c>
      <c r="AF15" s="4">
        <v>2.9548999999999999E-3</v>
      </c>
      <c r="AG15" s="4">
        <v>2.8863999999999999E-3</v>
      </c>
      <c r="AH15" s="4">
        <v>2.8211999999999998E-3</v>
      </c>
      <c r="AI15" s="4">
        <v>2.7591E-3</v>
      </c>
      <c r="AJ15" s="4">
        <v>2.7000000000000001E-3</v>
      </c>
      <c r="AK15" s="4">
        <v>2.6435E-3</v>
      </c>
      <c r="AL15" s="4">
        <v>2.5893999999999999E-3</v>
      </c>
      <c r="AM15" s="4">
        <v>2.5376999999999999E-3</v>
      </c>
      <c r="AN15" s="4">
        <v>2.4881999999999999E-3</v>
      </c>
      <c r="AO15" s="4">
        <v>2.4405999999999998E-3</v>
      </c>
      <c r="AP15" s="4">
        <v>2.3949000000000002E-3</v>
      </c>
      <c r="AQ15" s="4">
        <v>2.3509999999999998E-3</v>
      </c>
      <c r="AR15" s="4">
        <v>2.3086999999999999E-3</v>
      </c>
      <c r="AS15" s="4">
        <v>2.2679000000000002E-3</v>
      </c>
      <c r="AT15" s="4">
        <v>2.2285999999999999E-3</v>
      </c>
      <c r="AU15" s="4">
        <v>2.1906E-3</v>
      </c>
      <c r="AV15" s="4">
        <v>2.1538E-3</v>
      </c>
      <c r="AW15" s="4">
        <v>2.1182000000000002E-3</v>
      </c>
      <c r="AX15" s="4">
        <v>2.0837999999999998E-3</v>
      </c>
      <c r="AY15" s="4">
        <v>2.0503000000000001E-3</v>
      </c>
      <c r="AZ15" s="4">
        <v>2.0178000000000001E-3</v>
      </c>
      <c r="BA15" s="4">
        <v>1.9862E-3</v>
      </c>
      <c r="BB15" s="4">
        <v>1.9553999999999999E-3</v>
      </c>
      <c r="BC15" s="4">
        <v>1.9254999999999999E-3</v>
      </c>
      <c r="BD15" s="4">
        <v>1.8963000000000001E-3</v>
      </c>
      <c r="BE15" s="4">
        <v>1.8678E-3</v>
      </c>
      <c r="BF15" s="4">
        <v>1.8399E-3</v>
      </c>
      <c r="BG15" s="4">
        <v>1.8127E-3</v>
      </c>
      <c r="BH15" s="4">
        <v>1.7861000000000001E-3</v>
      </c>
      <c r="BI15" s="4">
        <v>1.7600000000000001E-3</v>
      </c>
      <c r="BJ15" s="4">
        <v>1.7344999999999999E-3</v>
      </c>
      <c r="BK15" s="4">
        <v>1.7095000000000001E-3</v>
      </c>
      <c r="BL15" s="4">
        <v>1.6850000000000001E-3</v>
      </c>
      <c r="BM15" s="4">
        <v>1.6609000000000001E-3</v>
      </c>
      <c r="BN15" s="4">
        <v>1.6373E-3</v>
      </c>
      <c r="BO15" s="4">
        <v>1.6141E-3</v>
      </c>
      <c r="BP15" s="4">
        <v>1.5912999999999999E-3</v>
      </c>
      <c r="BQ15" s="4">
        <v>1.5689E-3</v>
      </c>
      <c r="BR15" s="4">
        <v>1.5468000000000001E-3</v>
      </c>
      <c r="BS15" s="4">
        <v>1.5250999999999999E-3</v>
      </c>
      <c r="BT15" s="4">
        <v>1.5038E-3</v>
      </c>
      <c r="BU15" s="4">
        <v>1.4828E-3</v>
      </c>
      <c r="BV15" s="4">
        <v>1.4621E-3</v>
      </c>
      <c r="BW15" s="4">
        <v>1.4417E-3</v>
      </c>
      <c r="BX15" s="4">
        <v>1.4216999999999999E-3</v>
      </c>
      <c r="BY15" s="4">
        <v>1.4019E-3</v>
      </c>
      <c r="BZ15" s="4">
        <v>1.3824E-3</v>
      </c>
      <c r="CA15" s="4">
        <v>1.3632E-3</v>
      </c>
      <c r="CB15" s="4">
        <v>1.3443000000000001E-3</v>
      </c>
      <c r="CC15" s="4">
        <v>1.3255999999999999E-3</v>
      </c>
      <c r="CD15" s="4">
        <v>1.3071999999999999E-3</v>
      </c>
      <c r="CE15" s="4">
        <v>1.2891000000000001E-3</v>
      </c>
      <c r="CF15" s="4">
        <v>1.2712000000000001E-3</v>
      </c>
      <c r="CG15" s="4">
        <v>1.2535000000000001E-3</v>
      </c>
      <c r="CH15" s="4">
        <v>1.2361E-3</v>
      </c>
      <c r="CI15" s="4">
        <v>1.2189E-3</v>
      </c>
      <c r="CJ15" s="4">
        <v>1.2019999999999999E-3</v>
      </c>
      <c r="CK15" s="4">
        <v>1.1853E-3</v>
      </c>
      <c r="CL15" s="4">
        <v>1.1688E-3</v>
      </c>
      <c r="CM15" s="4">
        <v>1.1525000000000001E-3</v>
      </c>
      <c r="CN15" s="4">
        <v>1.1364999999999999E-3</v>
      </c>
      <c r="CO15" s="4">
        <v>1.1207000000000001E-3</v>
      </c>
      <c r="CP15" s="4">
        <v>1.1050999999999999E-3</v>
      </c>
      <c r="CQ15" s="4">
        <v>1.0896E-3</v>
      </c>
      <c r="CR15" s="4">
        <v>1.0744000000000001E-3</v>
      </c>
      <c r="CS15" s="4">
        <v>1.0594999999999999E-3</v>
      </c>
      <c r="CT15" s="4">
        <v>1.0447E-3</v>
      </c>
      <c r="CU15" s="4">
        <v>1.0300999999999999E-3</v>
      </c>
      <c r="CV15" s="4">
        <v>1.0157E-3</v>
      </c>
      <c r="CW15" s="4">
        <v>1.0015E-3</v>
      </c>
      <c r="CX15" s="4">
        <v>9.8740000000000004E-4</v>
      </c>
      <c r="CY15" s="4">
        <v>9.7360000000000003E-4</v>
      </c>
      <c r="CZ15" s="4">
        <v>9.6000000000000002E-4</v>
      </c>
      <c r="DA15" s="4">
        <v>9.4649999999999997E-4</v>
      </c>
      <c r="DB15" s="4">
        <v>9.3320000000000002E-4</v>
      </c>
      <c r="DC15" s="4">
        <v>9.2009999999999998E-4</v>
      </c>
      <c r="DD15" s="4">
        <v>9.0720000000000004E-4</v>
      </c>
      <c r="DE15" s="4">
        <v>8.945E-4</v>
      </c>
      <c r="DF15" s="4">
        <v>8.8190000000000002E-4</v>
      </c>
      <c r="DG15" s="4">
        <v>8.6950000000000005E-4</v>
      </c>
      <c r="DH15" s="4">
        <v>8.5729999999999997E-4</v>
      </c>
      <c r="DI15" s="4">
        <v>8.4520000000000005E-4</v>
      </c>
      <c r="DJ15" s="4">
        <v>8.3330000000000003E-4</v>
      </c>
      <c r="DK15" s="4">
        <v>8.2160000000000002E-4</v>
      </c>
      <c r="DL15" s="4">
        <v>8.0999999999999996E-4</v>
      </c>
      <c r="DM15" s="4">
        <v>7.986E-4</v>
      </c>
      <c r="DN15" s="4">
        <v>7.873E-4</v>
      </c>
      <c r="DO15" s="4">
        <v>7.762E-4</v>
      </c>
      <c r="DP15" s="4">
        <v>7.6530000000000001E-4</v>
      </c>
      <c r="DQ15" s="4">
        <v>5.3152400000000002E-2</v>
      </c>
      <c r="DR15" s="4">
        <v>0</v>
      </c>
      <c r="DS15" s="4">
        <v>5.9700000000000001E-5</v>
      </c>
      <c r="DT15" s="4">
        <v>1.9560000000000001E-4</v>
      </c>
      <c r="DU15" s="4">
        <v>7.046E-4</v>
      </c>
      <c r="DV15" s="4">
        <v>6.0559999999999998E-4</v>
      </c>
      <c r="DW15" s="4">
        <v>5.4960000000000002E-4</v>
      </c>
      <c r="DX15" s="4">
        <v>4.5150000000000002E-4</v>
      </c>
      <c r="DY15" s="4">
        <v>5.2970000000000003E-4</v>
      </c>
      <c r="DZ15" s="4">
        <v>4.7189999999999998E-4</v>
      </c>
      <c r="EA15" s="4">
        <v>4.1810000000000003E-4</v>
      </c>
      <c r="EB15" s="4">
        <v>3.6900000000000002E-4</v>
      </c>
      <c r="EC15" s="4">
        <v>3.2850000000000002E-4</v>
      </c>
      <c r="ED15" s="4">
        <v>2.9250000000000001E-4</v>
      </c>
      <c r="EE15" s="4">
        <v>2.6249999999999998E-4</v>
      </c>
      <c r="EF15" s="4">
        <v>2.364E-4</v>
      </c>
      <c r="EG15" s="4">
        <v>2.141E-4</v>
      </c>
      <c r="EH15" s="4">
        <v>1.9459999999999999E-4</v>
      </c>
      <c r="EI15" s="4">
        <v>1.7770000000000001E-4</v>
      </c>
      <c r="EJ15" s="4">
        <v>1.628E-4</v>
      </c>
      <c r="EK15" s="4">
        <v>1.4970000000000001E-4</v>
      </c>
      <c r="EL15" s="4">
        <v>1.381E-4</v>
      </c>
      <c r="EM15" s="4">
        <v>1.2769999999999999E-4</v>
      </c>
      <c r="EN15" s="4">
        <v>1.1849999999999999E-4</v>
      </c>
      <c r="EO15" s="4">
        <v>1.103E-4</v>
      </c>
      <c r="EP15" s="4">
        <v>1.0289999999999999E-4</v>
      </c>
      <c r="EQ15" s="4">
        <v>9.6299999999999996E-5</v>
      </c>
      <c r="ER15" s="4">
        <v>9.0400000000000002E-5</v>
      </c>
      <c r="ES15" s="4">
        <v>8.5000000000000006E-5</v>
      </c>
      <c r="ET15" s="4">
        <v>8.0199999999999998E-5</v>
      </c>
      <c r="EU15" s="4">
        <v>7.5799999999999999E-5</v>
      </c>
      <c r="EV15" s="4">
        <v>7.1799999999999997E-5</v>
      </c>
      <c r="EW15" s="4">
        <v>6.8100000000000002E-5</v>
      </c>
      <c r="EX15" s="4">
        <v>6.4700000000000001E-5</v>
      </c>
      <c r="EY15" s="4">
        <v>6.1600000000000007E-5</v>
      </c>
      <c r="EZ15" s="4">
        <v>5.8699999999999997E-5</v>
      </c>
      <c r="FA15" s="4">
        <v>5.5999999999999999E-5</v>
      </c>
      <c r="FB15" s="4">
        <v>5.3600000000000002E-5</v>
      </c>
      <c r="FC15" s="4">
        <v>5.1199999999999998E-5</v>
      </c>
      <c r="FD15" s="4">
        <v>4.9100000000000001E-5</v>
      </c>
      <c r="FE15" s="4">
        <v>4.71E-5</v>
      </c>
      <c r="FF15" s="4">
        <v>4.5200000000000001E-5</v>
      </c>
      <c r="FG15" s="4">
        <v>4.3399999999999998E-5</v>
      </c>
      <c r="FH15" s="4">
        <v>4.18E-5</v>
      </c>
      <c r="FI15" s="4">
        <v>4.0299999999999997E-5</v>
      </c>
      <c r="FJ15" s="4">
        <v>3.8899999999999997E-5</v>
      </c>
      <c r="FK15" s="4">
        <v>3.7499999999999997E-5</v>
      </c>
      <c r="FL15" s="4">
        <v>3.6300000000000001E-5</v>
      </c>
      <c r="FM15" s="4">
        <v>3.5099999999999999E-5</v>
      </c>
      <c r="FN15" s="4">
        <v>3.4100000000000002E-5</v>
      </c>
      <c r="FO15" s="4">
        <v>3.3000000000000003E-5</v>
      </c>
      <c r="FP15" s="4">
        <v>3.2100000000000001E-5</v>
      </c>
      <c r="FQ15" s="4">
        <v>3.1199999999999999E-5</v>
      </c>
      <c r="FR15" s="4">
        <v>3.04E-5</v>
      </c>
      <c r="FS15" s="4">
        <v>2.9600000000000001E-5</v>
      </c>
      <c r="FT15" s="4">
        <v>2.8799999999999999E-5</v>
      </c>
      <c r="FU15" s="4">
        <v>2.8099999999999999E-5</v>
      </c>
      <c r="FV15" s="4">
        <v>2.7500000000000001E-5</v>
      </c>
      <c r="FW15" s="4">
        <v>2.69E-5</v>
      </c>
      <c r="FX15" s="4">
        <v>2.6299999999999999E-5</v>
      </c>
      <c r="FY15" s="4">
        <v>2.5700000000000001E-5</v>
      </c>
      <c r="FZ15" s="4">
        <v>2.5199999999999999E-5</v>
      </c>
      <c r="GA15" s="4">
        <v>2.4700000000000001E-5</v>
      </c>
      <c r="GB15" s="4">
        <v>2.4199999999999999E-5</v>
      </c>
      <c r="GC15" s="4">
        <v>2.3799999999999999E-5</v>
      </c>
      <c r="GD15" s="4">
        <v>2.3300000000000001E-5</v>
      </c>
      <c r="GE15" s="4">
        <v>2.2900000000000001E-5</v>
      </c>
      <c r="GF15" s="4">
        <v>2.2500000000000001E-5</v>
      </c>
      <c r="GG15" s="4">
        <v>2.2099999999999998E-5</v>
      </c>
      <c r="GH15" s="4">
        <v>2.1800000000000001E-5</v>
      </c>
      <c r="GI15" s="4">
        <v>2.1399999999999998E-5</v>
      </c>
      <c r="GJ15" s="4">
        <v>2.1100000000000001E-5</v>
      </c>
      <c r="GK15" s="4">
        <v>2.0699999999999998E-5</v>
      </c>
      <c r="GL15" s="4">
        <v>2.0400000000000001E-5</v>
      </c>
      <c r="GM15" s="4">
        <v>2.0100000000000001E-5</v>
      </c>
      <c r="GN15" s="4">
        <v>1.98E-5</v>
      </c>
      <c r="GO15" s="4">
        <v>1.95E-5</v>
      </c>
      <c r="GP15" s="4">
        <v>1.9199999999999999E-5</v>
      </c>
      <c r="GQ15" s="4">
        <v>1.9000000000000001E-5</v>
      </c>
      <c r="GR15" s="4">
        <v>1.8700000000000001E-5</v>
      </c>
      <c r="GS15" s="4">
        <v>1.84E-5</v>
      </c>
      <c r="GT15" s="4">
        <v>1.8199999999999999E-5</v>
      </c>
      <c r="GU15" s="4">
        <v>1.7900000000000001E-5</v>
      </c>
      <c r="GV15" s="4">
        <v>1.77E-5</v>
      </c>
      <c r="GW15" s="4">
        <v>1.7399999999999999E-5</v>
      </c>
      <c r="GX15" s="4">
        <v>1.7200000000000001E-5</v>
      </c>
      <c r="GY15" s="4">
        <v>1.6900000000000001E-5</v>
      </c>
      <c r="GZ15" s="4">
        <v>1.6699999999999999E-5</v>
      </c>
      <c r="HA15" s="4">
        <v>1.6500000000000001E-5</v>
      </c>
      <c r="HB15" s="4">
        <v>1.63E-5</v>
      </c>
      <c r="HC15" s="4">
        <v>1.5999999999999999E-5</v>
      </c>
      <c r="HD15" s="4">
        <v>1.5800000000000001E-5</v>
      </c>
      <c r="HE15" s="4">
        <v>1.56E-5</v>
      </c>
      <c r="HF15" s="4">
        <v>1.5400000000000002E-5</v>
      </c>
      <c r="HG15" s="4">
        <v>1.52E-5</v>
      </c>
      <c r="HH15" s="4">
        <v>1.5E-5</v>
      </c>
      <c r="HI15" s="4">
        <v>1.4800000000000001E-5</v>
      </c>
      <c r="HJ15" s="4">
        <v>1.4600000000000001E-5</v>
      </c>
      <c r="HK15" s="4">
        <v>1.4399999999999999E-5</v>
      </c>
      <c r="HL15" s="4">
        <v>1.42E-5</v>
      </c>
      <c r="HM15" s="4">
        <v>1.4E-5</v>
      </c>
      <c r="HN15" s="4">
        <v>1.38E-5</v>
      </c>
      <c r="HO15" s="4">
        <v>1.36E-5</v>
      </c>
      <c r="HP15" s="4">
        <v>1.34E-5</v>
      </c>
      <c r="HQ15" s="4">
        <v>1.33E-5</v>
      </c>
      <c r="HR15" s="4">
        <v>1.31E-5</v>
      </c>
      <c r="HS15" s="4">
        <v>1.29E-5</v>
      </c>
      <c r="HT15" s="4">
        <v>1.27E-5</v>
      </c>
      <c r="HU15" s="4">
        <v>1.2500000000000001E-5</v>
      </c>
      <c r="HV15" s="4">
        <v>1.24E-5</v>
      </c>
      <c r="HW15" s="4">
        <v>1.22E-5</v>
      </c>
      <c r="HX15" s="4">
        <v>1.2E-5</v>
      </c>
      <c r="HY15" s="4">
        <v>1.19E-5</v>
      </c>
      <c r="HZ15" s="4">
        <v>1.17E-5</v>
      </c>
      <c r="IA15" s="4">
        <v>1.1600000000000001E-5</v>
      </c>
      <c r="IB15" s="4">
        <v>1.1399999999999999E-5</v>
      </c>
      <c r="IC15" s="4">
        <v>1.1199999999999999E-5</v>
      </c>
      <c r="ID15" s="4">
        <v>1.11E-5</v>
      </c>
      <c r="IE15" s="4">
        <v>1.0900000000000001E-5</v>
      </c>
      <c r="IF15" s="4">
        <v>1.08E-5</v>
      </c>
      <c r="IG15" s="4">
        <v>7.5250000000000002E-4</v>
      </c>
      <c r="IH15" s="4"/>
      <c r="II15" s="4">
        <f t="shared" si="257"/>
        <v>0.11037907215950959</v>
      </c>
      <c r="IL15">
        <f t="shared" si="258"/>
        <v>0.35201147499999902</v>
      </c>
      <c r="IP15" s="4">
        <f t="shared" si="271"/>
        <v>7.1652000000000035E-3</v>
      </c>
      <c r="IQ15" s="4">
        <f t="shared" si="272"/>
        <v>7.304999999999999E-3</v>
      </c>
      <c r="IR15" s="4">
        <f t="shared" si="261"/>
        <v>4.5789999999999963E-3</v>
      </c>
      <c r="IS15" s="4">
        <f t="shared" si="262"/>
        <v>3.0636999999999991E-3</v>
      </c>
      <c r="IT15" s="4">
        <f t="shared" si="263"/>
        <v>2.1726999999999996E-3</v>
      </c>
      <c r="IU15" s="4">
        <f t="shared" si="264"/>
        <v>5.4608999999999908E-3</v>
      </c>
      <c r="IV15" s="4">
        <f t="shared" si="265"/>
        <v>2.4602000000000027E-3</v>
      </c>
      <c r="IW15" s="4">
        <f t="shared" si="266"/>
        <v>1.6264999999999925E-3</v>
      </c>
      <c r="IX15" s="4">
        <f t="shared" si="267"/>
        <v>5.0214999999999982E-3</v>
      </c>
      <c r="IZ15">
        <f t="shared" si="270"/>
        <v>2009.5</v>
      </c>
      <c r="JA15">
        <f t="shared" si="268"/>
        <v>-15.04113720353288</v>
      </c>
      <c r="JB15">
        <f t="shared" si="255"/>
        <v>-4.9031326704372038</v>
      </c>
      <c r="JC15">
        <f t="shared" si="255"/>
        <v>-8.3748433985088973</v>
      </c>
      <c r="JD15">
        <f t="shared" si="255"/>
        <v>-7.2175667536652997</v>
      </c>
      <c r="JE15">
        <f t="shared" si="255"/>
        <v>-5.7416635715333921</v>
      </c>
      <c r="JF15">
        <f t="shared" si="255"/>
        <v>-3.2642725296179327</v>
      </c>
      <c r="JG15">
        <f t="shared" si="255"/>
        <v>-2.199039387723865</v>
      </c>
      <c r="JH15">
        <f t="shared" si="255"/>
        <v>-1.9965359755344068</v>
      </c>
      <c r="JI15">
        <f t="shared" si="255"/>
        <v>-0.75784991529309842</v>
      </c>
    </row>
    <row r="16" spans="1:301" x14ac:dyDescent="0.35">
      <c r="A16" s="1">
        <v>8</v>
      </c>
      <c r="B16" s="4">
        <v>1.1097900000000001E-2</v>
      </c>
      <c r="C16" s="4">
        <v>1.1096099999999999E-2</v>
      </c>
      <c r="D16" s="4">
        <v>1.10329E-2</v>
      </c>
      <c r="E16" s="4">
        <v>1.0829800000000001E-2</v>
      </c>
      <c r="F16" s="4">
        <v>1.01046E-2</v>
      </c>
      <c r="G16" s="4">
        <v>9.0270999999999997E-3</v>
      </c>
      <c r="H16" s="4">
        <v>7.8913999999999998E-3</v>
      </c>
      <c r="I16" s="4">
        <v>6.2896000000000002E-3</v>
      </c>
      <c r="J16" s="4">
        <v>6.8985000000000001E-3</v>
      </c>
      <c r="K16" s="4">
        <v>6.4587999999999998E-3</v>
      </c>
      <c r="L16" s="4">
        <v>6.0828000000000002E-3</v>
      </c>
      <c r="M16" s="4">
        <v>5.7396000000000001E-3</v>
      </c>
      <c r="N16" s="4">
        <v>5.4469000000000002E-3</v>
      </c>
      <c r="O16" s="4">
        <v>5.1814000000000001E-3</v>
      </c>
      <c r="P16" s="4">
        <v>4.9462000000000004E-3</v>
      </c>
      <c r="Q16" s="4">
        <v>4.7324999999999997E-3</v>
      </c>
      <c r="R16" s="4">
        <v>4.5386000000000003E-3</v>
      </c>
      <c r="S16" s="4">
        <v>4.3613000000000002E-3</v>
      </c>
      <c r="T16" s="4">
        <v>4.1987999999999999E-3</v>
      </c>
      <c r="U16" s="4">
        <v>4.0492000000000002E-3</v>
      </c>
      <c r="V16" s="4">
        <v>3.9110999999999998E-3</v>
      </c>
      <c r="W16" s="4">
        <v>3.7832999999999999E-3</v>
      </c>
      <c r="X16" s="4">
        <v>3.6646999999999999E-3</v>
      </c>
      <c r="Y16" s="4">
        <v>3.5542999999999998E-3</v>
      </c>
      <c r="Z16" s="4">
        <v>3.4513E-3</v>
      </c>
      <c r="AA16" s="4">
        <v>3.3549000000000001E-3</v>
      </c>
      <c r="AB16" s="4">
        <v>3.2644000000000002E-3</v>
      </c>
      <c r="AC16" s="4">
        <v>3.1792999999999999E-3</v>
      </c>
      <c r="AD16" s="4">
        <v>3.0991E-3</v>
      </c>
      <c r="AE16" s="4">
        <v>3.0232000000000002E-3</v>
      </c>
      <c r="AF16" s="4">
        <v>2.9513E-3</v>
      </c>
      <c r="AG16" s="4">
        <v>2.8831E-3</v>
      </c>
      <c r="AH16" s="4">
        <v>2.8183000000000001E-3</v>
      </c>
      <c r="AI16" s="4">
        <v>2.7564999999999998E-3</v>
      </c>
      <c r="AJ16" s="4">
        <v>2.6974999999999998E-3</v>
      </c>
      <c r="AK16" s="4">
        <v>2.6413000000000001E-3</v>
      </c>
      <c r="AL16" s="4">
        <v>2.5874000000000001E-3</v>
      </c>
      <c r="AM16" s="4">
        <v>2.5358999999999998E-3</v>
      </c>
      <c r="AN16" s="4">
        <v>2.4865E-3</v>
      </c>
      <c r="AO16" s="4">
        <v>2.4391E-3</v>
      </c>
      <c r="AP16" s="4">
        <v>2.3934999999999998E-3</v>
      </c>
      <c r="AQ16" s="4">
        <v>2.3497000000000001E-3</v>
      </c>
      <c r="AR16" s="4">
        <v>2.3075999999999999E-3</v>
      </c>
      <c r="AS16" s="4">
        <v>2.2669000000000001E-3</v>
      </c>
      <c r="AT16" s="4">
        <v>2.2276000000000002E-3</v>
      </c>
      <c r="AU16" s="4">
        <v>2.1897000000000002E-3</v>
      </c>
      <c r="AV16" s="4">
        <v>2.153E-3</v>
      </c>
      <c r="AW16" s="4">
        <v>2.1175E-3</v>
      </c>
      <c r="AX16" s="4">
        <v>2.0831000000000001E-3</v>
      </c>
      <c r="AY16" s="4">
        <v>2.0496999999999998E-3</v>
      </c>
      <c r="AZ16" s="4">
        <v>2.0171999999999998E-3</v>
      </c>
      <c r="BA16" s="4">
        <v>1.9857E-3</v>
      </c>
      <c r="BB16" s="4">
        <v>1.9550000000000001E-3</v>
      </c>
      <c r="BC16" s="4">
        <v>1.9250999999999999E-3</v>
      </c>
      <c r="BD16" s="4">
        <v>1.8959000000000001E-3</v>
      </c>
      <c r="BE16" s="4">
        <v>1.8674E-3</v>
      </c>
      <c r="BF16" s="4">
        <v>1.8396E-3</v>
      </c>
      <c r="BG16" s="4">
        <v>1.8124E-3</v>
      </c>
      <c r="BH16" s="4">
        <v>1.7857999999999999E-3</v>
      </c>
      <c r="BI16" s="4">
        <v>1.7597999999999999E-3</v>
      </c>
      <c r="BJ16" s="4">
        <v>1.7343E-3</v>
      </c>
      <c r="BK16" s="4">
        <v>1.7093E-3</v>
      </c>
      <c r="BL16" s="4">
        <v>1.6848E-3</v>
      </c>
      <c r="BM16" s="4">
        <v>1.6608E-3</v>
      </c>
      <c r="BN16" s="4">
        <v>1.6371999999999999E-3</v>
      </c>
      <c r="BO16" s="4">
        <v>1.614E-3</v>
      </c>
      <c r="BP16" s="4">
        <v>1.5912000000000001E-3</v>
      </c>
      <c r="BQ16" s="4">
        <v>1.5688E-3</v>
      </c>
      <c r="BR16" s="4">
        <v>1.5467E-3</v>
      </c>
      <c r="BS16" s="4">
        <v>1.5250999999999999E-3</v>
      </c>
      <c r="BT16" s="4">
        <v>1.5037E-3</v>
      </c>
      <c r="BU16" s="4">
        <v>1.4827E-3</v>
      </c>
      <c r="BV16" s="4">
        <v>1.462E-3</v>
      </c>
      <c r="BW16" s="4">
        <v>1.4417E-3</v>
      </c>
      <c r="BX16" s="4">
        <v>1.4216000000000001E-3</v>
      </c>
      <c r="BY16" s="4">
        <v>1.4019E-3</v>
      </c>
      <c r="BZ16" s="4">
        <v>1.3824E-3</v>
      </c>
      <c r="CA16" s="4">
        <v>1.3632E-3</v>
      </c>
      <c r="CB16" s="4">
        <v>1.3442E-3</v>
      </c>
      <c r="CC16" s="4">
        <v>1.3255999999999999E-3</v>
      </c>
      <c r="CD16" s="4">
        <v>1.3071999999999999E-3</v>
      </c>
      <c r="CE16" s="4">
        <v>1.289E-3</v>
      </c>
      <c r="CF16" s="4">
        <v>1.2712000000000001E-3</v>
      </c>
      <c r="CG16" s="4">
        <v>1.2535000000000001E-3</v>
      </c>
      <c r="CH16" s="4">
        <v>1.2361E-3</v>
      </c>
      <c r="CI16" s="4">
        <v>1.2189E-3</v>
      </c>
      <c r="CJ16" s="4">
        <v>1.2019999999999999E-3</v>
      </c>
      <c r="CK16" s="4">
        <v>1.1853E-3</v>
      </c>
      <c r="CL16" s="4">
        <v>1.1688E-3</v>
      </c>
      <c r="CM16" s="4">
        <v>1.1525000000000001E-3</v>
      </c>
      <c r="CN16" s="4">
        <v>1.1364999999999999E-3</v>
      </c>
      <c r="CO16" s="4">
        <v>1.1207000000000001E-3</v>
      </c>
      <c r="CP16" s="4">
        <v>1.1050999999999999E-3</v>
      </c>
      <c r="CQ16" s="4">
        <v>1.0897000000000001E-3</v>
      </c>
      <c r="CR16" s="4">
        <v>1.0744999999999999E-3</v>
      </c>
      <c r="CS16" s="4">
        <v>1.0594999999999999E-3</v>
      </c>
      <c r="CT16" s="4">
        <v>1.0447E-3</v>
      </c>
      <c r="CU16" s="4">
        <v>1.0300999999999999E-3</v>
      </c>
      <c r="CV16" s="4">
        <v>1.0157E-3</v>
      </c>
      <c r="CW16" s="4">
        <v>1.0015E-3</v>
      </c>
      <c r="CX16" s="4">
        <v>9.875000000000001E-4</v>
      </c>
      <c r="CY16" s="4">
        <v>9.7360000000000003E-4</v>
      </c>
      <c r="CZ16" s="4">
        <v>9.6000000000000002E-4</v>
      </c>
      <c r="DA16" s="4">
        <v>9.4649999999999997E-4</v>
      </c>
      <c r="DB16" s="4">
        <v>9.3329999999999997E-4</v>
      </c>
      <c r="DC16" s="4">
        <v>9.2020000000000003E-4</v>
      </c>
      <c r="DD16" s="4">
        <v>9.0720000000000004E-4</v>
      </c>
      <c r="DE16" s="4">
        <v>8.945E-4</v>
      </c>
      <c r="DF16" s="4">
        <v>8.8190000000000002E-4</v>
      </c>
      <c r="DG16" s="4">
        <v>8.6950000000000005E-4</v>
      </c>
      <c r="DH16" s="4">
        <v>8.5729999999999997E-4</v>
      </c>
      <c r="DI16" s="4">
        <v>8.4520000000000005E-4</v>
      </c>
      <c r="DJ16" s="4">
        <v>8.3330000000000003E-4</v>
      </c>
      <c r="DK16" s="4">
        <v>8.2160000000000002E-4</v>
      </c>
      <c r="DL16" s="4">
        <v>8.0999999999999996E-4</v>
      </c>
      <c r="DM16" s="4">
        <v>7.986E-4</v>
      </c>
      <c r="DN16" s="4">
        <v>7.873E-4</v>
      </c>
      <c r="DO16" s="4">
        <v>7.762E-4</v>
      </c>
      <c r="DP16" s="4">
        <v>7.6530000000000001E-4</v>
      </c>
      <c r="DQ16" s="4">
        <v>5.3154300000000002E-2</v>
      </c>
      <c r="DR16" s="4">
        <v>0</v>
      </c>
      <c r="DS16" s="4">
        <v>5.9500000000000003E-5</v>
      </c>
      <c r="DT16" s="4">
        <v>1.929E-4</v>
      </c>
      <c r="DU16" s="4">
        <v>6.3159999999999996E-4</v>
      </c>
      <c r="DV16" s="4">
        <v>5.9860000000000002E-4</v>
      </c>
      <c r="DW16" s="4">
        <v>5.5829999999999996E-4</v>
      </c>
      <c r="DX16" s="4">
        <v>5.2280000000000002E-4</v>
      </c>
      <c r="DY16" s="4">
        <v>3.9580000000000003E-4</v>
      </c>
      <c r="DZ16" s="4">
        <v>4.6040000000000002E-4</v>
      </c>
      <c r="EA16" s="4">
        <v>4.0789999999999999E-4</v>
      </c>
      <c r="EB16" s="4">
        <v>3.6289999999999998E-4</v>
      </c>
      <c r="EC16" s="4">
        <v>3.213E-4</v>
      </c>
      <c r="ED16" s="4">
        <v>2.876E-4</v>
      </c>
      <c r="EE16" s="4">
        <v>2.5779999999999998E-4</v>
      </c>
      <c r="EF16" s="4">
        <v>2.3269999999999999E-4</v>
      </c>
      <c r="EG16" s="4">
        <v>2.109E-4</v>
      </c>
      <c r="EH16" s="4">
        <v>1.92E-4</v>
      </c>
      <c r="EI16" s="4">
        <v>1.7550000000000001E-4</v>
      </c>
      <c r="EJ16" s="4">
        <v>1.6100000000000001E-4</v>
      </c>
      <c r="EK16" s="4">
        <v>1.482E-4</v>
      </c>
      <c r="EL16" s="4">
        <v>1.3679999999999999E-4</v>
      </c>
      <c r="EM16" s="4">
        <v>1.2669999999999999E-4</v>
      </c>
      <c r="EN16" s="4">
        <v>1.176E-4</v>
      </c>
      <c r="EO16" s="4">
        <v>1.0950000000000001E-4</v>
      </c>
      <c r="EP16" s="4">
        <v>1.0230000000000001E-4</v>
      </c>
      <c r="EQ16" s="4">
        <v>9.5799999999999998E-5</v>
      </c>
      <c r="ER16" s="4">
        <v>8.9900000000000003E-5</v>
      </c>
      <c r="ES16" s="4">
        <v>8.4599999999999996E-5</v>
      </c>
      <c r="ET16" s="4">
        <v>7.9800000000000002E-5</v>
      </c>
      <c r="EU16" s="4">
        <v>7.5500000000000006E-5</v>
      </c>
      <c r="EV16" s="4">
        <v>7.1500000000000003E-5</v>
      </c>
      <c r="EW16" s="4">
        <v>6.7899999999999997E-5</v>
      </c>
      <c r="EX16" s="4">
        <v>6.4499999999999996E-5</v>
      </c>
      <c r="EY16" s="4">
        <v>6.1500000000000004E-5</v>
      </c>
      <c r="EZ16" s="4">
        <v>5.8600000000000001E-5</v>
      </c>
      <c r="FA16" s="4">
        <v>5.5899999999999997E-5</v>
      </c>
      <c r="FB16" s="4">
        <v>5.3499999999999999E-5</v>
      </c>
      <c r="FC16" s="4">
        <v>5.1199999999999998E-5</v>
      </c>
      <c r="FD16" s="4">
        <v>4.9100000000000001E-5</v>
      </c>
      <c r="FE16" s="4">
        <v>4.71E-5</v>
      </c>
      <c r="FF16" s="4">
        <v>4.5200000000000001E-5</v>
      </c>
      <c r="FG16" s="4">
        <v>4.35E-5</v>
      </c>
      <c r="FH16" s="4">
        <v>4.1900000000000002E-5</v>
      </c>
      <c r="FI16" s="4">
        <v>4.0299999999999997E-5</v>
      </c>
      <c r="FJ16" s="4">
        <v>3.8899999999999997E-5</v>
      </c>
      <c r="FK16" s="4">
        <v>3.7599999999999999E-5</v>
      </c>
      <c r="FL16" s="4">
        <v>3.6399999999999997E-5</v>
      </c>
      <c r="FM16" s="4">
        <v>3.5200000000000002E-5</v>
      </c>
      <c r="FN16" s="4">
        <v>3.4100000000000002E-5</v>
      </c>
      <c r="FO16" s="4">
        <v>3.3099999999999998E-5</v>
      </c>
      <c r="FP16" s="4">
        <v>3.2199999999999997E-5</v>
      </c>
      <c r="FQ16" s="4">
        <v>3.1300000000000002E-5</v>
      </c>
      <c r="FR16" s="4">
        <v>3.0499999999999999E-5</v>
      </c>
      <c r="FS16" s="4">
        <v>2.97E-5</v>
      </c>
      <c r="FT16" s="4">
        <v>2.8900000000000001E-5</v>
      </c>
      <c r="FU16" s="4">
        <v>2.8200000000000001E-5</v>
      </c>
      <c r="FV16" s="4">
        <v>2.76E-5</v>
      </c>
      <c r="FW16" s="4">
        <v>2.6999999999999999E-5</v>
      </c>
      <c r="FX16" s="4">
        <v>2.6400000000000001E-5</v>
      </c>
      <c r="FY16" s="4">
        <v>2.58E-5</v>
      </c>
      <c r="FZ16" s="4">
        <v>2.5299999999999998E-5</v>
      </c>
      <c r="GA16" s="4">
        <v>2.48E-5</v>
      </c>
      <c r="GB16" s="4">
        <v>2.4300000000000001E-5</v>
      </c>
      <c r="GC16" s="4">
        <v>2.3900000000000002E-5</v>
      </c>
      <c r="GD16" s="4">
        <v>2.34E-5</v>
      </c>
      <c r="GE16" s="4">
        <v>2.3E-5</v>
      </c>
      <c r="GF16" s="4">
        <v>2.26E-5</v>
      </c>
      <c r="GG16" s="4">
        <v>2.2200000000000001E-5</v>
      </c>
      <c r="GH16" s="4">
        <v>2.1800000000000001E-5</v>
      </c>
      <c r="GI16" s="4">
        <v>2.1500000000000001E-5</v>
      </c>
      <c r="GJ16" s="4">
        <v>2.1100000000000001E-5</v>
      </c>
      <c r="GK16" s="4">
        <v>2.0800000000000001E-5</v>
      </c>
      <c r="GL16" s="4">
        <v>2.05E-5</v>
      </c>
      <c r="GM16" s="4">
        <v>2.02E-5</v>
      </c>
      <c r="GN16" s="4">
        <v>1.9899999999999999E-5</v>
      </c>
      <c r="GO16" s="4">
        <v>1.9599999999999999E-5</v>
      </c>
      <c r="GP16" s="4">
        <v>1.9300000000000002E-5</v>
      </c>
      <c r="GQ16" s="4">
        <v>1.9000000000000001E-5</v>
      </c>
      <c r="GR16" s="4">
        <v>1.8700000000000001E-5</v>
      </c>
      <c r="GS16" s="4">
        <v>1.8499999999999999E-5</v>
      </c>
      <c r="GT16" s="4">
        <v>1.8199999999999999E-5</v>
      </c>
      <c r="GU16" s="4">
        <v>1.8E-5</v>
      </c>
      <c r="GV16" s="4">
        <v>1.77E-5</v>
      </c>
      <c r="GW16" s="4">
        <v>1.7499999999999998E-5</v>
      </c>
      <c r="GX16" s="4">
        <v>1.7200000000000001E-5</v>
      </c>
      <c r="GY16" s="4">
        <v>1.7E-5</v>
      </c>
      <c r="GZ16" s="4">
        <v>1.6699999999999999E-5</v>
      </c>
      <c r="HA16" s="4">
        <v>1.6500000000000001E-5</v>
      </c>
      <c r="HB16" s="4">
        <v>1.63E-5</v>
      </c>
      <c r="HC16" s="4">
        <v>1.6099999999999998E-5</v>
      </c>
      <c r="HD16" s="4">
        <v>1.59E-5</v>
      </c>
      <c r="HE16" s="4">
        <v>1.56E-5</v>
      </c>
      <c r="HF16" s="4">
        <v>1.5400000000000002E-5</v>
      </c>
      <c r="HG16" s="4">
        <v>1.52E-5</v>
      </c>
      <c r="HH16" s="4">
        <v>1.5E-5</v>
      </c>
      <c r="HI16" s="4">
        <v>1.4800000000000001E-5</v>
      </c>
      <c r="HJ16" s="4">
        <v>1.4600000000000001E-5</v>
      </c>
      <c r="HK16" s="4">
        <v>1.4399999999999999E-5</v>
      </c>
      <c r="HL16" s="4">
        <v>1.42E-5</v>
      </c>
      <c r="HM16" s="4">
        <v>1.4E-5</v>
      </c>
      <c r="HN16" s="4">
        <v>1.38E-5</v>
      </c>
      <c r="HO16" s="4">
        <v>1.36E-5</v>
      </c>
      <c r="HP16" s="4">
        <v>1.3499999999999999E-5</v>
      </c>
      <c r="HQ16" s="4">
        <v>1.33E-5</v>
      </c>
      <c r="HR16" s="4">
        <v>1.31E-5</v>
      </c>
      <c r="HS16" s="4">
        <v>1.29E-5</v>
      </c>
      <c r="HT16" s="4">
        <v>1.27E-5</v>
      </c>
      <c r="HU16" s="4">
        <v>1.26E-5</v>
      </c>
      <c r="HV16" s="4">
        <v>1.24E-5</v>
      </c>
      <c r="HW16" s="4">
        <v>1.22E-5</v>
      </c>
      <c r="HX16" s="4">
        <v>1.2099999999999999E-5</v>
      </c>
      <c r="HY16" s="4">
        <v>1.19E-5</v>
      </c>
      <c r="HZ16" s="4">
        <v>1.17E-5</v>
      </c>
      <c r="IA16" s="4">
        <v>1.1600000000000001E-5</v>
      </c>
      <c r="IB16" s="4">
        <v>1.1399999999999999E-5</v>
      </c>
      <c r="IC16" s="4">
        <v>1.13E-5</v>
      </c>
      <c r="ID16" s="4">
        <v>1.11E-5</v>
      </c>
      <c r="IE16" s="4">
        <v>1.0900000000000001E-5</v>
      </c>
      <c r="IF16" s="4">
        <v>1.08E-5</v>
      </c>
      <c r="IG16" s="4">
        <v>7.5319999999999998E-4</v>
      </c>
      <c r="IH16" s="4"/>
      <c r="II16" s="4">
        <f t="shared" si="257"/>
        <v>0.11241923131319337</v>
      </c>
      <c r="IL16">
        <f t="shared" si="258"/>
        <v>0.35132156249999941</v>
      </c>
      <c r="IP16" s="4">
        <f t="shared" si="271"/>
        <v>7.2588000000000028E-3</v>
      </c>
      <c r="IQ16" s="4">
        <f t="shared" si="272"/>
        <v>7.4934000000000008E-3</v>
      </c>
      <c r="IR16" s="4">
        <f t="shared" si="261"/>
        <v>4.707900000000001E-3</v>
      </c>
      <c r="IS16" s="4">
        <f t="shared" si="262"/>
        <v>3.1285999999999987E-3</v>
      </c>
      <c r="IT16" s="4">
        <f t="shared" si="263"/>
        <v>2.2117999999999999E-3</v>
      </c>
      <c r="IU16" s="4">
        <f t="shared" si="264"/>
        <v>5.5342000000000099E-3</v>
      </c>
      <c r="IV16" s="4">
        <f t="shared" si="265"/>
        <v>2.4868000000000043E-3</v>
      </c>
      <c r="IW16" s="4">
        <f t="shared" si="266"/>
        <v>1.640000000000006E-3</v>
      </c>
      <c r="IX16" s="4">
        <f t="shared" si="267"/>
        <v>5.0338000000000188E-3</v>
      </c>
      <c r="IZ16">
        <f t="shared" si="270"/>
        <v>2009.75</v>
      </c>
      <c r="JA16">
        <f t="shared" si="268"/>
        <v>-13.743282047540712</v>
      </c>
      <c r="JB16">
        <f t="shared" si="255"/>
        <v>-2.3567738792077133</v>
      </c>
      <c r="JC16">
        <f t="shared" si="255"/>
        <v>-5.598711892939864</v>
      </c>
      <c r="JD16">
        <f t="shared" si="255"/>
        <v>-5.1213383248693933</v>
      </c>
      <c r="JE16">
        <f t="shared" si="255"/>
        <v>-3.9580605815269627</v>
      </c>
      <c r="JF16">
        <f t="shared" si="255"/>
        <v>-1.9309315698240206</v>
      </c>
      <c r="JG16">
        <f t="shared" si="255"/>
        <v>-1.1236297916740192</v>
      </c>
      <c r="JH16">
        <f t="shared" si="255"/>
        <v>-1.1699584850497848</v>
      </c>
      <c r="JI16">
        <f t="shared" si="255"/>
        <v>-0.51320269174179256</v>
      </c>
    </row>
    <row r="17" spans="1:269" x14ac:dyDescent="0.35">
      <c r="A17" s="1">
        <v>9</v>
      </c>
      <c r="B17" s="4">
        <v>1.1098800000000001E-2</v>
      </c>
      <c r="C17" s="4">
        <v>1.1097900000000001E-2</v>
      </c>
      <c r="D17" s="4">
        <v>1.1036600000000001E-2</v>
      </c>
      <c r="E17" s="4">
        <v>1.08399E-2</v>
      </c>
      <c r="F17" s="4">
        <v>1.0198199999999999E-2</v>
      </c>
      <c r="G17" s="4">
        <v>9.5060000000000006E-3</v>
      </c>
      <c r="H17" s="4">
        <v>8.4688000000000003E-3</v>
      </c>
      <c r="I17" s="4">
        <v>7.3686000000000003E-3</v>
      </c>
      <c r="J17" s="4">
        <v>5.8937E-3</v>
      </c>
      <c r="K17" s="4">
        <v>6.4381000000000004E-3</v>
      </c>
      <c r="L17" s="4">
        <v>6.0508000000000003E-3</v>
      </c>
      <c r="M17" s="4">
        <v>5.7199E-3</v>
      </c>
      <c r="N17" s="4">
        <v>5.4183E-3</v>
      </c>
      <c r="O17" s="4">
        <v>5.1592000000000001E-3</v>
      </c>
      <c r="P17" s="4">
        <v>4.9236000000000002E-3</v>
      </c>
      <c r="Q17" s="4">
        <v>4.7134999999999998E-3</v>
      </c>
      <c r="R17" s="4">
        <v>4.5215999999999998E-3</v>
      </c>
      <c r="S17" s="4">
        <v>4.3465999999999999E-3</v>
      </c>
      <c r="T17" s="4">
        <v>4.1857999999999999E-3</v>
      </c>
      <c r="U17" s="4">
        <v>4.0377E-3</v>
      </c>
      <c r="V17" s="4">
        <v>3.901E-3</v>
      </c>
      <c r="W17" s="4">
        <v>3.7743E-3</v>
      </c>
      <c r="X17" s="4">
        <v>3.6565999999999999E-3</v>
      </c>
      <c r="Y17" s="4">
        <v>3.5471000000000001E-3</v>
      </c>
      <c r="Z17" s="4">
        <v>3.4448E-3</v>
      </c>
      <c r="AA17" s="4">
        <v>3.349E-3</v>
      </c>
      <c r="AB17" s="4">
        <v>3.2591E-3</v>
      </c>
      <c r="AC17" s="4">
        <v>3.1744999999999998E-3</v>
      </c>
      <c r="AD17" s="4">
        <v>3.0947000000000001E-3</v>
      </c>
      <c r="AE17" s="4">
        <v>3.0192000000000001E-3</v>
      </c>
      <c r="AF17" s="4">
        <v>2.9477000000000001E-3</v>
      </c>
      <c r="AG17" s="4">
        <v>2.8798000000000001E-3</v>
      </c>
      <c r="AH17" s="4">
        <v>2.8151999999999999E-3</v>
      </c>
      <c r="AI17" s="4">
        <v>2.7537E-3</v>
      </c>
      <c r="AJ17" s="4">
        <v>2.6949999999999999E-3</v>
      </c>
      <c r="AK17" s="4">
        <v>2.6389E-3</v>
      </c>
      <c r="AL17" s="4">
        <v>2.5853E-3</v>
      </c>
      <c r="AM17" s="4">
        <v>2.5339E-3</v>
      </c>
      <c r="AN17" s="4">
        <v>2.4846999999999998E-3</v>
      </c>
      <c r="AO17" s="4">
        <v>2.4374000000000002E-3</v>
      </c>
      <c r="AP17" s="4">
        <v>2.392E-3</v>
      </c>
      <c r="AQ17" s="4">
        <v>2.3483000000000002E-3</v>
      </c>
      <c r="AR17" s="4">
        <v>2.3062999999999998E-3</v>
      </c>
      <c r="AS17" s="4">
        <v>2.2656999999999998E-3</v>
      </c>
      <c r="AT17" s="4">
        <v>2.2265000000000002E-3</v>
      </c>
      <c r="AU17" s="4">
        <v>2.1887E-3</v>
      </c>
      <c r="AV17" s="4">
        <v>2.1521000000000001E-3</v>
      </c>
      <c r="AW17" s="4">
        <v>2.1167E-3</v>
      </c>
      <c r="AX17" s="4">
        <v>2.0823E-3</v>
      </c>
      <c r="AY17" s="4">
        <v>2.049E-3</v>
      </c>
      <c r="AZ17" s="4">
        <v>2.0165999999999999E-3</v>
      </c>
      <c r="BA17" s="4">
        <v>1.9851000000000001E-3</v>
      </c>
      <c r="BB17" s="4">
        <v>1.9543999999999998E-3</v>
      </c>
      <c r="BC17" s="4">
        <v>1.9245E-3</v>
      </c>
      <c r="BD17" s="4">
        <v>1.8954E-3</v>
      </c>
      <c r="BE17" s="4">
        <v>1.867E-3</v>
      </c>
      <c r="BF17" s="4">
        <v>1.8392E-3</v>
      </c>
      <c r="BG17" s="4">
        <v>1.812E-3</v>
      </c>
      <c r="BH17" s="4">
        <v>1.7855E-3</v>
      </c>
      <c r="BI17" s="4">
        <v>1.7595E-3</v>
      </c>
      <c r="BJ17" s="4">
        <v>1.7340000000000001E-3</v>
      </c>
      <c r="BK17" s="4">
        <v>1.709E-3</v>
      </c>
      <c r="BL17" s="4">
        <v>1.6845E-3</v>
      </c>
      <c r="BM17" s="4">
        <v>1.6605000000000001E-3</v>
      </c>
      <c r="BN17" s="4">
        <v>1.6368999999999999E-3</v>
      </c>
      <c r="BO17" s="4">
        <v>1.6137E-3</v>
      </c>
      <c r="BP17" s="4">
        <v>1.591E-3</v>
      </c>
      <c r="BQ17" s="4">
        <v>1.5686000000000001E-3</v>
      </c>
      <c r="BR17" s="4">
        <v>1.5466E-3</v>
      </c>
      <c r="BS17" s="4">
        <v>1.5249E-3</v>
      </c>
      <c r="BT17" s="4">
        <v>1.5035999999999999E-3</v>
      </c>
      <c r="BU17" s="4">
        <v>1.4825999999999999E-3</v>
      </c>
      <c r="BV17" s="4">
        <v>1.4618999999999999E-3</v>
      </c>
      <c r="BW17" s="4">
        <v>1.4415999999999999E-3</v>
      </c>
      <c r="BX17" s="4">
        <v>1.4215E-3</v>
      </c>
      <c r="BY17" s="4">
        <v>1.4017000000000001E-3</v>
      </c>
      <c r="BZ17" s="4">
        <v>1.3822999999999999E-3</v>
      </c>
      <c r="CA17" s="4">
        <v>1.3630999999999999E-3</v>
      </c>
      <c r="CB17" s="4">
        <v>1.3442E-3</v>
      </c>
      <c r="CC17" s="4">
        <v>1.3255000000000001E-3</v>
      </c>
      <c r="CD17" s="4">
        <v>1.3071000000000001E-3</v>
      </c>
      <c r="CE17" s="4">
        <v>1.289E-3</v>
      </c>
      <c r="CF17" s="4">
        <v>1.2711000000000001E-3</v>
      </c>
      <c r="CG17" s="4">
        <v>1.2535000000000001E-3</v>
      </c>
      <c r="CH17" s="4">
        <v>1.2361E-3</v>
      </c>
      <c r="CI17" s="4">
        <v>1.2189E-3</v>
      </c>
      <c r="CJ17" s="4">
        <v>1.2019999999999999E-3</v>
      </c>
      <c r="CK17" s="4">
        <v>1.1853E-3</v>
      </c>
      <c r="CL17" s="4">
        <v>1.1688E-3</v>
      </c>
      <c r="CM17" s="4">
        <v>1.1525000000000001E-3</v>
      </c>
      <c r="CN17" s="4">
        <v>1.1364999999999999E-3</v>
      </c>
      <c r="CO17" s="4">
        <v>1.1207000000000001E-3</v>
      </c>
      <c r="CP17" s="4">
        <v>1.1050000000000001E-3</v>
      </c>
      <c r="CQ17" s="4">
        <v>1.0896E-3</v>
      </c>
      <c r="CR17" s="4">
        <v>1.0744000000000001E-3</v>
      </c>
      <c r="CS17" s="4">
        <v>1.0594999999999999E-3</v>
      </c>
      <c r="CT17" s="4">
        <v>1.0447E-3</v>
      </c>
      <c r="CU17" s="4">
        <v>1.0300999999999999E-3</v>
      </c>
      <c r="CV17" s="4">
        <v>1.0157E-3</v>
      </c>
      <c r="CW17" s="4">
        <v>1.0015E-3</v>
      </c>
      <c r="CX17" s="4">
        <v>9.8740000000000004E-4</v>
      </c>
      <c r="CY17" s="4">
        <v>9.7360000000000003E-4</v>
      </c>
      <c r="CZ17" s="4">
        <v>9.6000000000000002E-4</v>
      </c>
      <c r="DA17" s="4">
        <v>9.4649999999999997E-4</v>
      </c>
      <c r="DB17" s="4">
        <v>9.3329999999999997E-4</v>
      </c>
      <c r="DC17" s="4">
        <v>9.2020000000000003E-4</v>
      </c>
      <c r="DD17" s="4">
        <v>9.0720000000000004E-4</v>
      </c>
      <c r="DE17" s="4">
        <v>8.945E-4</v>
      </c>
      <c r="DF17" s="4">
        <v>8.8190000000000002E-4</v>
      </c>
      <c r="DG17" s="4">
        <v>8.6950000000000005E-4</v>
      </c>
      <c r="DH17" s="4">
        <v>8.5729999999999997E-4</v>
      </c>
      <c r="DI17" s="4">
        <v>8.4520000000000005E-4</v>
      </c>
      <c r="DJ17" s="4">
        <v>8.3330000000000003E-4</v>
      </c>
      <c r="DK17" s="4">
        <v>8.2160000000000002E-4</v>
      </c>
      <c r="DL17" s="4">
        <v>8.0999999999999996E-4</v>
      </c>
      <c r="DM17" s="4">
        <v>7.986E-4</v>
      </c>
      <c r="DN17" s="4">
        <v>7.873E-4</v>
      </c>
      <c r="DO17" s="4">
        <v>7.762E-4</v>
      </c>
      <c r="DP17" s="4">
        <v>7.6530000000000001E-4</v>
      </c>
      <c r="DQ17" s="4">
        <v>5.3155599999999997E-2</v>
      </c>
      <c r="DR17" s="4">
        <v>0</v>
      </c>
      <c r="DS17" s="4">
        <v>5.9500000000000003E-5</v>
      </c>
      <c r="DT17" s="4">
        <v>1.92E-4</v>
      </c>
      <c r="DU17" s="4">
        <v>6.2850000000000004E-4</v>
      </c>
      <c r="DV17" s="4">
        <v>6.3730000000000004E-4</v>
      </c>
      <c r="DW17" s="4">
        <v>6.3299999999999999E-4</v>
      </c>
      <c r="DX17" s="4">
        <v>5.798E-4</v>
      </c>
      <c r="DY17" s="4">
        <v>4.8460000000000002E-4</v>
      </c>
      <c r="DZ17" s="4">
        <v>3.6989999999999999E-4</v>
      </c>
      <c r="EA17" s="4">
        <v>4.1659999999999999E-4</v>
      </c>
      <c r="EB17" s="4">
        <v>3.6910000000000003E-4</v>
      </c>
      <c r="EC17" s="4">
        <v>3.2810000000000001E-4</v>
      </c>
      <c r="ED17" s="4">
        <v>2.9159999999999999E-4</v>
      </c>
      <c r="EE17" s="4">
        <v>2.6180000000000002E-4</v>
      </c>
      <c r="EF17" s="4">
        <v>2.3570000000000001E-4</v>
      </c>
      <c r="EG17" s="4">
        <v>2.1359999999999999E-4</v>
      </c>
      <c r="EH17" s="4">
        <v>1.942E-4</v>
      </c>
      <c r="EI17" s="4">
        <v>1.774E-4</v>
      </c>
      <c r="EJ17" s="4">
        <v>1.6259999999999999E-4</v>
      </c>
      <c r="EK17" s="4">
        <v>1.495E-4</v>
      </c>
      <c r="EL17" s="4">
        <v>1.3789999999999999E-4</v>
      </c>
      <c r="EM17" s="4">
        <v>1.2760000000000001E-4</v>
      </c>
      <c r="EN17" s="4">
        <v>1.184E-4</v>
      </c>
      <c r="EO17" s="4">
        <v>1.1010000000000001E-4</v>
      </c>
      <c r="EP17" s="4">
        <v>1.0280000000000001E-4</v>
      </c>
      <c r="EQ17" s="4">
        <v>9.6100000000000005E-5</v>
      </c>
      <c r="ER17" s="4">
        <v>9.0199999999999997E-5</v>
      </c>
      <c r="ES17" s="4">
        <v>8.4900000000000004E-5</v>
      </c>
      <c r="ET17" s="4">
        <v>8.0000000000000007E-5</v>
      </c>
      <c r="EU17" s="4">
        <v>7.5599999999999994E-5</v>
      </c>
      <c r="EV17" s="4">
        <v>7.1600000000000006E-5</v>
      </c>
      <c r="EW17" s="4">
        <v>6.7999999999999999E-5</v>
      </c>
      <c r="EX17" s="4">
        <v>6.4599999999999998E-5</v>
      </c>
      <c r="EY17" s="4">
        <v>6.1500000000000004E-5</v>
      </c>
      <c r="EZ17" s="4">
        <v>5.8600000000000001E-5</v>
      </c>
      <c r="FA17" s="4">
        <v>5.5999999999999999E-5</v>
      </c>
      <c r="FB17" s="4">
        <v>5.3499999999999999E-5</v>
      </c>
      <c r="FC17" s="4">
        <v>5.1199999999999998E-5</v>
      </c>
      <c r="FD17" s="4">
        <v>4.9100000000000001E-5</v>
      </c>
      <c r="FE17" s="4">
        <v>4.71E-5</v>
      </c>
      <c r="FF17" s="4">
        <v>4.5200000000000001E-5</v>
      </c>
      <c r="FG17" s="4">
        <v>4.35E-5</v>
      </c>
      <c r="FH17" s="4">
        <v>4.1900000000000002E-5</v>
      </c>
      <c r="FI17" s="4">
        <v>4.0299999999999997E-5</v>
      </c>
      <c r="FJ17" s="4">
        <v>3.8899999999999997E-5</v>
      </c>
      <c r="FK17" s="4">
        <v>3.7599999999999999E-5</v>
      </c>
      <c r="FL17" s="4">
        <v>3.6399999999999997E-5</v>
      </c>
      <c r="FM17" s="4">
        <v>3.5200000000000002E-5</v>
      </c>
      <c r="FN17" s="4">
        <v>3.4100000000000002E-5</v>
      </c>
      <c r="FO17" s="4">
        <v>3.3099999999999998E-5</v>
      </c>
      <c r="FP17" s="4">
        <v>3.2199999999999997E-5</v>
      </c>
      <c r="FQ17" s="4">
        <v>3.1300000000000002E-5</v>
      </c>
      <c r="FR17" s="4">
        <v>3.0499999999999999E-5</v>
      </c>
      <c r="FS17" s="4">
        <v>2.97E-5</v>
      </c>
      <c r="FT17" s="4">
        <v>2.8900000000000001E-5</v>
      </c>
      <c r="FU17" s="4">
        <v>2.8200000000000001E-5</v>
      </c>
      <c r="FV17" s="4">
        <v>2.76E-5</v>
      </c>
      <c r="FW17" s="4">
        <v>2.6999999999999999E-5</v>
      </c>
      <c r="FX17" s="4">
        <v>2.6400000000000001E-5</v>
      </c>
      <c r="FY17" s="4">
        <v>2.58E-5</v>
      </c>
      <c r="FZ17" s="4">
        <v>2.5299999999999998E-5</v>
      </c>
      <c r="GA17" s="4">
        <v>2.48E-5</v>
      </c>
      <c r="GB17" s="4">
        <v>2.4300000000000001E-5</v>
      </c>
      <c r="GC17" s="4">
        <v>2.3900000000000002E-5</v>
      </c>
      <c r="GD17" s="4">
        <v>2.34E-5</v>
      </c>
      <c r="GE17" s="4">
        <v>2.3E-5</v>
      </c>
      <c r="GF17" s="4">
        <v>2.26E-5</v>
      </c>
      <c r="GG17" s="4">
        <v>2.2200000000000001E-5</v>
      </c>
      <c r="GH17" s="4">
        <v>2.19E-5</v>
      </c>
      <c r="GI17" s="4">
        <v>2.1500000000000001E-5</v>
      </c>
      <c r="GJ17" s="4">
        <v>2.12E-5</v>
      </c>
      <c r="GK17" s="4">
        <v>2.0800000000000001E-5</v>
      </c>
      <c r="GL17" s="4">
        <v>2.05E-5</v>
      </c>
      <c r="GM17" s="4">
        <v>2.02E-5</v>
      </c>
      <c r="GN17" s="4">
        <v>1.9899999999999999E-5</v>
      </c>
      <c r="GO17" s="4">
        <v>1.9599999999999999E-5</v>
      </c>
      <c r="GP17" s="4">
        <v>1.9300000000000002E-5</v>
      </c>
      <c r="GQ17" s="4">
        <v>1.9000000000000001E-5</v>
      </c>
      <c r="GR17" s="4">
        <v>1.8700000000000001E-5</v>
      </c>
      <c r="GS17" s="4">
        <v>1.8499999999999999E-5</v>
      </c>
      <c r="GT17" s="4">
        <v>1.8199999999999999E-5</v>
      </c>
      <c r="GU17" s="4">
        <v>1.8E-5</v>
      </c>
      <c r="GV17" s="4">
        <v>1.77E-5</v>
      </c>
      <c r="GW17" s="4">
        <v>1.7499999999999998E-5</v>
      </c>
      <c r="GX17" s="4">
        <v>1.7200000000000001E-5</v>
      </c>
      <c r="GY17" s="4">
        <v>1.7E-5</v>
      </c>
      <c r="GZ17" s="4">
        <v>1.6799999999999998E-5</v>
      </c>
      <c r="HA17" s="4">
        <v>1.6500000000000001E-5</v>
      </c>
      <c r="HB17" s="4">
        <v>1.63E-5</v>
      </c>
      <c r="HC17" s="4">
        <v>1.6099999999999998E-5</v>
      </c>
      <c r="HD17" s="4">
        <v>1.59E-5</v>
      </c>
      <c r="HE17" s="4">
        <v>1.56E-5</v>
      </c>
      <c r="HF17" s="4">
        <v>1.5400000000000002E-5</v>
      </c>
      <c r="HG17" s="4">
        <v>1.52E-5</v>
      </c>
      <c r="HH17" s="4">
        <v>1.5E-5</v>
      </c>
      <c r="HI17" s="4">
        <v>1.4800000000000001E-5</v>
      </c>
      <c r="HJ17" s="4">
        <v>1.4600000000000001E-5</v>
      </c>
      <c r="HK17" s="4">
        <v>1.4399999999999999E-5</v>
      </c>
      <c r="HL17" s="4">
        <v>1.42E-5</v>
      </c>
      <c r="HM17" s="4">
        <v>1.4E-5</v>
      </c>
      <c r="HN17" s="4">
        <v>1.38E-5</v>
      </c>
      <c r="HO17" s="4">
        <v>1.3699999999999999E-5</v>
      </c>
      <c r="HP17" s="4">
        <v>1.3499999999999999E-5</v>
      </c>
      <c r="HQ17" s="4">
        <v>1.33E-5</v>
      </c>
      <c r="HR17" s="4">
        <v>1.31E-5</v>
      </c>
      <c r="HS17" s="4">
        <v>1.29E-5</v>
      </c>
      <c r="HT17" s="4">
        <v>1.27E-5</v>
      </c>
      <c r="HU17" s="4">
        <v>1.26E-5</v>
      </c>
      <c r="HV17" s="4">
        <v>1.24E-5</v>
      </c>
      <c r="HW17" s="4">
        <v>1.22E-5</v>
      </c>
      <c r="HX17" s="4">
        <v>1.2099999999999999E-5</v>
      </c>
      <c r="HY17" s="4">
        <v>1.19E-5</v>
      </c>
      <c r="HZ17" s="4">
        <v>1.17E-5</v>
      </c>
      <c r="IA17" s="4">
        <v>1.1600000000000001E-5</v>
      </c>
      <c r="IB17" s="4">
        <v>1.1399999999999999E-5</v>
      </c>
      <c r="IC17" s="4">
        <v>1.13E-5</v>
      </c>
      <c r="ID17" s="4">
        <v>1.11E-5</v>
      </c>
      <c r="IE17" s="4">
        <v>1.0900000000000001E-5</v>
      </c>
      <c r="IF17" s="4">
        <v>1.08E-5</v>
      </c>
      <c r="IG17" s="4">
        <v>7.5359999999999999E-4</v>
      </c>
      <c r="IH17" s="4"/>
      <c r="II17" s="4">
        <f t="shared" si="257"/>
        <v>0.11350923897027854</v>
      </c>
      <c r="IL17">
        <f t="shared" si="258"/>
        <v>0.35244796249999999</v>
      </c>
      <c r="IP17" s="4">
        <f t="shared" si="271"/>
        <v>8.1082000000000029E-3</v>
      </c>
      <c r="IQ17" s="4">
        <f t="shared" si="272"/>
        <v>7.0276999999999944E-3</v>
      </c>
      <c r="IR17" s="4">
        <f t="shared" si="261"/>
        <v>4.7535000000000008E-3</v>
      </c>
      <c r="IS17" s="4">
        <f t="shared" si="262"/>
        <v>3.1498999999999971E-3</v>
      </c>
      <c r="IT17" s="4">
        <f t="shared" si="263"/>
        <v>2.2246999999999979E-3</v>
      </c>
      <c r="IU17" s="4">
        <f t="shared" si="264"/>
        <v>5.5545999999999998E-3</v>
      </c>
      <c r="IV17" s="4">
        <f t="shared" si="265"/>
        <v>2.4984000000000048E-3</v>
      </c>
      <c r="IW17" s="4">
        <f t="shared" si="266"/>
        <v>1.6471999999999945E-3</v>
      </c>
      <c r="IX17" s="4">
        <f t="shared" si="267"/>
        <v>5.0419000000000019E-3</v>
      </c>
      <c r="IZ17">
        <f t="shared" si="270"/>
        <v>2010</v>
      </c>
      <c r="JA17">
        <f t="shared" si="268"/>
        <v>-2.6771451113050833</v>
      </c>
      <c r="JB17">
        <f t="shared" si="255"/>
        <v>-8.7730888890542982</v>
      </c>
      <c r="JC17">
        <f t="shared" si="255"/>
        <v>-4.6347878843098282</v>
      </c>
      <c r="JD17">
        <f t="shared" si="255"/>
        <v>-4.4428297092347568</v>
      </c>
      <c r="JE17">
        <f t="shared" si="255"/>
        <v>-3.3765194407442278</v>
      </c>
      <c r="JF17">
        <f t="shared" si="255"/>
        <v>-1.5629923335773197</v>
      </c>
      <c r="JG17">
        <f t="shared" si="255"/>
        <v>-0.65825143430535671</v>
      </c>
      <c r="JH17">
        <f t="shared" si="255"/>
        <v>-0.73189499551692383</v>
      </c>
      <c r="JI17">
        <f t="shared" si="255"/>
        <v>-0.35241978345879549</v>
      </c>
    </row>
    <row r="18" spans="1:269" x14ac:dyDescent="0.35">
      <c r="A18" s="1">
        <v>10</v>
      </c>
      <c r="B18" s="4">
        <v>1.1099299999999999E-2</v>
      </c>
      <c r="C18" s="4">
        <v>1.1098800000000001E-2</v>
      </c>
      <c r="D18" s="4">
        <v>1.10384E-2</v>
      </c>
      <c r="E18" s="4">
        <v>1.0844599999999999E-2</v>
      </c>
      <c r="F18" s="4">
        <v>1.02115E-2</v>
      </c>
      <c r="G18" s="4">
        <v>9.5609000000000006E-3</v>
      </c>
      <c r="H18" s="4">
        <v>8.8730000000000007E-3</v>
      </c>
      <c r="I18" s="4">
        <v>7.8890000000000002E-3</v>
      </c>
      <c r="J18" s="4">
        <v>6.8840000000000004E-3</v>
      </c>
      <c r="K18" s="4">
        <v>5.5237999999999997E-3</v>
      </c>
      <c r="L18" s="4">
        <v>6.0216000000000002E-3</v>
      </c>
      <c r="M18" s="4">
        <v>5.6816999999999996E-3</v>
      </c>
      <c r="N18" s="4">
        <v>5.3918000000000004E-3</v>
      </c>
      <c r="O18" s="4">
        <v>5.1266999999999997E-3</v>
      </c>
      <c r="P18" s="4">
        <v>4.8973999999999997E-3</v>
      </c>
      <c r="Q18" s="4">
        <v>4.6879000000000001E-3</v>
      </c>
      <c r="R18" s="4">
        <v>4.4999000000000003E-3</v>
      </c>
      <c r="S18" s="4">
        <v>4.3274000000000003E-3</v>
      </c>
      <c r="T18" s="4">
        <v>4.1691999999999996E-3</v>
      </c>
      <c r="U18" s="4">
        <v>4.0232000000000002E-3</v>
      </c>
      <c r="V18" s="4">
        <v>3.8882000000000001E-3</v>
      </c>
      <c r="W18" s="4">
        <v>3.7631000000000001E-3</v>
      </c>
      <c r="X18" s="4">
        <v>3.6467000000000001E-3</v>
      </c>
      <c r="Y18" s="4">
        <v>3.5382999999999999E-3</v>
      </c>
      <c r="Z18" s="4">
        <v>3.4369000000000001E-3</v>
      </c>
      <c r="AA18" s="4">
        <v>3.3419999999999999E-3</v>
      </c>
      <c r="AB18" s="4">
        <v>3.2528000000000001E-3</v>
      </c>
      <c r="AC18" s="4">
        <v>3.1689000000000001E-3</v>
      </c>
      <c r="AD18" s="4">
        <v>3.0896000000000001E-3</v>
      </c>
      <c r="AE18" s="4">
        <v>3.0146999999999999E-3</v>
      </c>
      <c r="AF18" s="4">
        <v>2.9436000000000002E-3</v>
      </c>
      <c r="AG18" s="4">
        <v>2.8760999999999999E-3</v>
      </c>
      <c r="AH18" s="4">
        <v>2.8118000000000001E-3</v>
      </c>
      <c r="AI18" s="4">
        <v>2.7506000000000002E-3</v>
      </c>
      <c r="AJ18" s="4">
        <v>2.6922000000000001E-3</v>
      </c>
      <c r="AK18" s="4">
        <v>2.6364000000000001E-3</v>
      </c>
      <c r="AL18" s="4">
        <v>2.5829999999999998E-3</v>
      </c>
      <c r="AM18" s="4">
        <v>2.5317999999999998E-3</v>
      </c>
      <c r="AN18" s="4">
        <v>2.4827E-3</v>
      </c>
      <c r="AO18" s="4">
        <v>2.4356E-3</v>
      </c>
      <c r="AP18" s="4">
        <v>2.3904E-3</v>
      </c>
      <c r="AQ18" s="4">
        <v>2.3468E-3</v>
      </c>
      <c r="AR18" s="4">
        <v>2.3048999999999999E-3</v>
      </c>
      <c r="AS18" s="4">
        <v>2.2644000000000002E-3</v>
      </c>
      <c r="AT18" s="4">
        <v>2.2254000000000002E-3</v>
      </c>
      <c r="AU18" s="4">
        <v>2.1876E-3</v>
      </c>
      <c r="AV18" s="4">
        <v>2.1511E-3</v>
      </c>
      <c r="AW18" s="4">
        <v>2.1156999999999999E-3</v>
      </c>
      <c r="AX18" s="4">
        <v>2.0815E-3</v>
      </c>
      <c r="AY18" s="4">
        <v>2.0482E-3</v>
      </c>
      <c r="AZ18" s="4">
        <v>2.0157999999999999E-3</v>
      </c>
      <c r="BA18" s="4">
        <v>1.9843999999999999E-3</v>
      </c>
      <c r="BB18" s="4">
        <v>1.9537999999999999E-3</v>
      </c>
      <c r="BC18" s="4">
        <v>1.9239000000000001E-3</v>
      </c>
      <c r="BD18" s="4">
        <v>1.8948999999999999E-3</v>
      </c>
      <c r="BE18" s="4">
        <v>1.8665000000000001E-3</v>
      </c>
      <c r="BF18" s="4">
        <v>1.8387E-3</v>
      </c>
      <c r="BG18" s="4">
        <v>1.8116E-3</v>
      </c>
      <c r="BH18" s="4">
        <v>1.7851E-3</v>
      </c>
      <c r="BI18" s="4">
        <v>1.7591E-3</v>
      </c>
      <c r="BJ18" s="4">
        <v>1.7336999999999999E-3</v>
      </c>
      <c r="BK18" s="4">
        <v>1.7087000000000001E-3</v>
      </c>
      <c r="BL18" s="4">
        <v>1.6842000000000001E-3</v>
      </c>
      <c r="BM18" s="4">
        <v>1.6601999999999999E-3</v>
      </c>
      <c r="BN18" s="4">
        <v>1.6367E-3</v>
      </c>
      <c r="BO18" s="4">
        <v>1.6134999999999999E-3</v>
      </c>
      <c r="BP18" s="4">
        <v>1.5907E-3</v>
      </c>
      <c r="BQ18" s="4">
        <v>1.5684E-3</v>
      </c>
      <c r="BR18" s="4">
        <v>1.5464000000000001E-3</v>
      </c>
      <c r="BS18" s="4">
        <v>1.5246999999999999E-3</v>
      </c>
      <c r="BT18" s="4">
        <v>1.5034E-3</v>
      </c>
      <c r="BU18" s="4">
        <v>1.4824E-3</v>
      </c>
      <c r="BV18" s="4">
        <v>1.4618000000000001E-3</v>
      </c>
      <c r="BW18" s="4">
        <v>1.4414E-3</v>
      </c>
      <c r="BX18" s="4">
        <v>1.4214E-3</v>
      </c>
      <c r="BY18" s="4">
        <v>1.4016E-3</v>
      </c>
      <c r="BZ18" s="4">
        <v>1.3822000000000001E-3</v>
      </c>
      <c r="CA18" s="4">
        <v>1.3630000000000001E-3</v>
      </c>
      <c r="CB18" s="4">
        <v>1.3441E-3</v>
      </c>
      <c r="CC18" s="4">
        <v>1.3254E-3</v>
      </c>
      <c r="CD18" s="4">
        <v>1.307E-3</v>
      </c>
      <c r="CE18" s="4">
        <v>1.2888999999999999E-3</v>
      </c>
      <c r="CF18" s="4">
        <v>1.271E-3</v>
      </c>
      <c r="CG18" s="4">
        <v>1.2534E-3</v>
      </c>
      <c r="CH18" s="4">
        <v>1.2359999999999999E-3</v>
      </c>
      <c r="CI18" s="4">
        <v>1.2187999999999999E-3</v>
      </c>
      <c r="CJ18" s="4">
        <v>1.2019000000000001E-3</v>
      </c>
      <c r="CK18" s="4">
        <v>1.1852E-3</v>
      </c>
      <c r="CL18" s="4">
        <v>1.1686999999999999E-3</v>
      </c>
      <c r="CM18" s="4">
        <v>1.1525000000000001E-3</v>
      </c>
      <c r="CN18" s="4">
        <v>1.1364000000000001E-3</v>
      </c>
      <c r="CO18" s="4">
        <v>1.1206E-3</v>
      </c>
      <c r="CP18" s="4">
        <v>1.1050000000000001E-3</v>
      </c>
      <c r="CQ18" s="4">
        <v>1.0896E-3</v>
      </c>
      <c r="CR18" s="4">
        <v>1.0744000000000001E-3</v>
      </c>
      <c r="CS18" s="4">
        <v>1.0594000000000001E-3</v>
      </c>
      <c r="CT18" s="4">
        <v>1.0445999999999999E-3</v>
      </c>
      <c r="CU18" s="4">
        <v>1.0300000000000001E-3</v>
      </c>
      <c r="CV18" s="4">
        <v>1.0156E-3</v>
      </c>
      <c r="CW18" s="4">
        <v>1.0013999999999999E-3</v>
      </c>
      <c r="CX18" s="4">
        <v>9.8740000000000004E-4</v>
      </c>
      <c r="CY18" s="4">
        <v>9.7360000000000003E-4</v>
      </c>
      <c r="CZ18" s="4">
        <v>9.6000000000000002E-4</v>
      </c>
      <c r="DA18" s="4">
        <v>9.4649999999999997E-4</v>
      </c>
      <c r="DB18" s="4">
        <v>9.3320000000000002E-4</v>
      </c>
      <c r="DC18" s="4">
        <v>9.2009999999999998E-4</v>
      </c>
      <c r="DD18" s="4">
        <v>9.0720000000000004E-4</v>
      </c>
      <c r="DE18" s="4">
        <v>8.945E-4</v>
      </c>
      <c r="DF18" s="4">
        <v>8.8190000000000002E-4</v>
      </c>
      <c r="DG18" s="4">
        <v>8.6950000000000005E-4</v>
      </c>
      <c r="DH18" s="4">
        <v>8.5729999999999997E-4</v>
      </c>
      <c r="DI18" s="4">
        <v>8.4520000000000005E-4</v>
      </c>
      <c r="DJ18" s="4">
        <v>8.3330000000000003E-4</v>
      </c>
      <c r="DK18" s="4">
        <v>8.2160000000000002E-4</v>
      </c>
      <c r="DL18" s="4">
        <v>8.0999999999999996E-4</v>
      </c>
      <c r="DM18" s="4">
        <v>7.986E-4</v>
      </c>
      <c r="DN18" s="4">
        <v>7.8739999999999995E-4</v>
      </c>
      <c r="DO18" s="4">
        <v>7.762E-4</v>
      </c>
      <c r="DP18" s="4">
        <v>7.6530000000000001E-4</v>
      </c>
      <c r="DQ18" s="4">
        <v>5.3156599999999998E-2</v>
      </c>
      <c r="DR18" s="4">
        <v>0</v>
      </c>
      <c r="DS18" s="4">
        <v>5.94E-5</v>
      </c>
      <c r="DT18" s="4">
        <v>1.916E-4</v>
      </c>
      <c r="DU18" s="4">
        <v>6.2770000000000002E-4</v>
      </c>
      <c r="DV18" s="4">
        <v>6.7659999999999997E-4</v>
      </c>
      <c r="DW18" s="4">
        <v>6.5990000000000005E-4</v>
      </c>
      <c r="DX18" s="4">
        <v>6.3650000000000002E-4</v>
      </c>
      <c r="DY18" s="4">
        <v>5.3350000000000001E-4</v>
      </c>
      <c r="DZ18" s="4">
        <v>4.4890000000000002E-4</v>
      </c>
      <c r="EA18" s="4">
        <v>3.3839999999999999E-4</v>
      </c>
      <c r="EB18" s="4">
        <v>3.7570000000000002E-4</v>
      </c>
      <c r="EC18" s="4">
        <v>3.3409999999999999E-4</v>
      </c>
      <c r="ED18" s="4">
        <v>2.987E-4</v>
      </c>
      <c r="EE18" s="4">
        <v>2.676E-4</v>
      </c>
      <c r="EF18" s="4">
        <v>2.419E-4</v>
      </c>
      <c r="EG18" s="4">
        <v>2.1910000000000001E-4</v>
      </c>
      <c r="EH18" s="4">
        <v>1.996E-4</v>
      </c>
      <c r="EI18" s="4">
        <v>1.8230000000000001E-4</v>
      </c>
      <c r="EJ18" s="4">
        <v>1.671E-4</v>
      </c>
      <c r="EK18" s="4">
        <v>1.5349999999999999E-4</v>
      </c>
      <c r="EL18" s="4">
        <v>1.415E-4</v>
      </c>
      <c r="EM18" s="4">
        <v>1.3080000000000001E-4</v>
      </c>
      <c r="EN18" s="4">
        <v>1.2120000000000001E-4</v>
      </c>
      <c r="EO18" s="4">
        <v>1.126E-4</v>
      </c>
      <c r="EP18" s="4">
        <v>1.049E-4</v>
      </c>
      <c r="EQ18" s="4">
        <v>9.8099999999999999E-5</v>
      </c>
      <c r="ER18" s="4">
        <v>9.1899999999999998E-5</v>
      </c>
      <c r="ES18" s="4">
        <v>8.6299999999999997E-5</v>
      </c>
      <c r="ET18" s="4">
        <v>8.1299999999999997E-5</v>
      </c>
      <c r="EU18" s="4">
        <v>7.6699999999999994E-5</v>
      </c>
      <c r="EV18" s="4">
        <v>7.2600000000000003E-5</v>
      </c>
      <c r="EW18" s="4">
        <v>6.8800000000000005E-5</v>
      </c>
      <c r="EX18" s="4">
        <v>6.5300000000000002E-5</v>
      </c>
      <c r="EY18" s="4">
        <v>6.2100000000000005E-5</v>
      </c>
      <c r="EZ18" s="4">
        <v>5.9200000000000002E-5</v>
      </c>
      <c r="FA18" s="4">
        <v>5.6400000000000002E-5</v>
      </c>
      <c r="FB18" s="4">
        <v>5.3900000000000002E-5</v>
      </c>
      <c r="FC18" s="4">
        <v>5.1600000000000001E-5</v>
      </c>
      <c r="FD18" s="4">
        <v>4.9400000000000001E-5</v>
      </c>
      <c r="FE18" s="4">
        <v>4.7299999999999998E-5</v>
      </c>
      <c r="FF18" s="4">
        <v>4.5399999999999999E-5</v>
      </c>
      <c r="FG18" s="4">
        <v>4.3699999999999998E-5</v>
      </c>
      <c r="FH18" s="4">
        <v>4.1999999999999998E-5</v>
      </c>
      <c r="FI18" s="4">
        <v>4.0500000000000002E-5</v>
      </c>
      <c r="FJ18" s="4">
        <v>3.9100000000000002E-5</v>
      </c>
      <c r="FK18" s="4">
        <v>3.7700000000000002E-5</v>
      </c>
      <c r="FL18" s="4">
        <v>3.65E-5</v>
      </c>
      <c r="FM18" s="4">
        <v>3.5299999999999997E-5</v>
      </c>
      <c r="FN18" s="4">
        <v>3.4199999999999998E-5</v>
      </c>
      <c r="FO18" s="4">
        <v>3.3200000000000001E-5</v>
      </c>
      <c r="FP18" s="4">
        <v>3.2199999999999997E-5</v>
      </c>
      <c r="FQ18" s="4">
        <v>3.1300000000000002E-5</v>
      </c>
      <c r="FR18" s="4">
        <v>3.0499999999999999E-5</v>
      </c>
      <c r="FS18" s="4">
        <v>2.97E-5</v>
      </c>
      <c r="FT18" s="4">
        <v>2.9E-5</v>
      </c>
      <c r="FU18" s="4">
        <v>2.83E-5</v>
      </c>
      <c r="FV18" s="4">
        <v>2.76E-5</v>
      </c>
      <c r="FW18" s="4">
        <v>2.6999999999999999E-5</v>
      </c>
      <c r="FX18" s="4">
        <v>2.6400000000000001E-5</v>
      </c>
      <c r="FY18" s="4">
        <v>2.58E-5</v>
      </c>
      <c r="FZ18" s="4">
        <v>2.5299999999999998E-5</v>
      </c>
      <c r="GA18" s="4">
        <v>2.48E-5</v>
      </c>
      <c r="GB18" s="4">
        <v>2.4300000000000001E-5</v>
      </c>
      <c r="GC18" s="4">
        <v>2.3900000000000002E-5</v>
      </c>
      <c r="GD18" s="4">
        <v>2.34E-5</v>
      </c>
      <c r="GE18" s="4">
        <v>2.3E-5</v>
      </c>
      <c r="GF18" s="4">
        <v>2.26E-5</v>
      </c>
      <c r="GG18" s="4">
        <v>2.2200000000000001E-5</v>
      </c>
      <c r="GH18" s="4">
        <v>2.19E-5</v>
      </c>
      <c r="GI18" s="4">
        <v>2.1500000000000001E-5</v>
      </c>
      <c r="GJ18" s="4">
        <v>2.12E-5</v>
      </c>
      <c r="GK18" s="4">
        <v>2.0800000000000001E-5</v>
      </c>
      <c r="GL18" s="4">
        <v>2.05E-5</v>
      </c>
      <c r="GM18" s="4">
        <v>2.02E-5</v>
      </c>
      <c r="GN18" s="4">
        <v>1.9899999999999999E-5</v>
      </c>
      <c r="GO18" s="4">
        <v>1.9599999999999999E-5</v>
      </c>
      <c r="GP18" s="4">
        <v>1.9300000000000002E-5</v>
      </c>
      <c r="GQ18" s="4">
        <v>1.9000000000000001E-5</v>
      </c>
      <c r="GR18" s="4">
        <v>1.88E-5</v>
      </c>
      <c r="GS18" s="4">
        <v>1.8499999999999999E-5</v>
      </c>
      <c r="GT18" s="4">
        <v>1.8199999999999999E-5</v>
      </c>
      <c r="GU18" s="4">
        <v>1.8E-5</v>
      </c>
      <c r="GV18" s="4">
        <v>1.77E-5</v>
      </c>
      <c r="GW18" s="4">
        <v>1.7499999999999998E-5</v>
      </c>
      <c r="GX18" s="4">
        <v>1.7200000000000001E-5</v>
      </c>
      <c r="GY18" s="4">
        <v>1.7E-5</v>
      </c>
      <c r="GZ18" s="4">
        <v>1.6799999999999998E-5</v>
      </c>
      <c r="HA18" s="4">
        <v>1.6500000000000001E-5</v>
      </c>
      <c r="HB18" s="4">
        <v>1.63E-5</v>
      </c>
      <c r="HC18" s="4">
        <v>1.6099999999999998E-5</v>
      </c>
      <c r="HD18" s="4">
        <v>1.59E-5</v>
      </c>
      <c r="HE18" s="4">
        <v>1.56E-5</v>
      </c>
      <c r="HF18" s="4">
        <v>1.5400000000000002E-5</v>
      </c>
      <c r="HG18" s="4">
        <v>1.52E-5</v>
      </c>
      <c r="HH18" s="4">
        <v>1.5E-5</v>
      </c>
      <c r="HI18" s="4">
        <v>1.4800000000000001E-5</v>
      </c>
      <c r="HJ18" s="4">
        <v>1.4600000000000001E-5</v>
      </c>
      <c r="HK18" s="4">
        <v>1.4399999999999999E-5</v>
      </c>
      <c r="HL18" s="4">
        <v>1.42E-5</v>
      </c>
      <c r="HM18" s="4">
        <v>1.4E-5</v>
      </c>
      <c r="HN18" s="4">
        <v>1.38E-5</v>
      </c>
      <c r="HO18" s="4">
        <v>1.3699999999999999E-5</v>
      </c>
      <c r="HP18" s="4">
        <v>1.3499999999999999E-5</v>
      </c>
      <c r="HQ18" s="4">
        <v>1.33E-5</v>
      </c>
      <c r="HR18" s="4">
        <v>1.31E-5</v>
      </c>
      <c r="HS18" s="4">
        <v>1.29E-5</v>
      </c>
      <c r="HT18" s="4">
        <v>1.2799999999999999E-5</v>
      </c>
      <c r="HU18" s="4">
        <v>1.26E-5</v>
      </c>
      <c r="HV18" s="4">
        <v>1.24E-5</v>
      </c>
      <c r="HW18" s="4">
        <v>1.22E-5</v>
      </c>
      <c r="HX18" s="4">
        <v>1.2099999999999999E-5</v>
      </c>
      <c r="HY18" s="4">
        <v>1.19E-5</v>
      </c>
      <c r="HZ18" s="4">
        <v>1.17E-5</v>
      </c>
      <c r="IA18" s="4">
        <v>1.1600000000000001E-5</v>
      </c>
      <c r="IB18" s="4">
        <v>1.1399999999999999E-5</v>
      </c>
      <c r="IC18" s="4">
        <v>1.13E-5</v>
      </c>
      <c r="ID18" s="4">
        <v>1.11E-5</v>
      </c>
      <c r="IE18" s="4">
        <v>1.1E-5</v>
      </c>
      <c r="IF18" s="4">
        <v>1.08E-5</v>
      </c>
      <c r="IG18" s="4">
        <v>7.5389999999999995E-4</v>
      </c>
      <c r="IH18" s="4"/>
      <c r="II18" s="4">
        <f t="shared" si="257"/>
        <v>0.11442145002578893</v>
      </c>
      <c r="IL18">
        <f t="shared" si="258"/>
        <v>0.35347043749999996</v>
      </c>
      <c r="IP18" s="4">
        <f t="shared" ref="IP18:IP47" si="273">SUM(C15:F15)-SUM(G19:J19)</f>
        <v>8.5320000000000049E-3</v>
      </c>
      <c r="IQ18" s="4">
        <f t="shared" ref="IQ18:IQ47" si="274">SUM(G15:J15)-SUM(K19:N19)</f>
        <v>6.9270000000000026E-3</v>
      </c>
      <c r="IR18" s="4">
        <f t="shared" si="261"/>
        <v>4.7824000000000026E-3</v>
      </c>
      <c r="IS18" s="4">
        <f t="shared" si="262"/>
        <v>3.1690000000000051E-3</v>
      </c>
      <c r="IT18" s="4">
        <f t="shared" si="263"/>
        <v>2.2403999999999966E-3</v>
      </c>
      <c r="IU18" s="4">
        <f t="shared" si="264"/>
        <v>5.5876999999999871E-3</v>
      </c>
      <c r="IV18" s="4">
        <f t="shared" si="265"/>
        <v>2.507299999999997E-3</v>
      </c>
      <c r="IW18" s="4">
        <f t="shared" si="266"/>
        <v>1.6521999999999995E-3</v>
      </c>
      <c r="IX18" s="4">
        <f t="shared" si="267"/>
        <v>5.0465999999999983E-3</v>
      </c>
      <c r="IZ18">
        <f t="shared" si="270"/>
        <v>2010.25</v>
      </c>
      <c r="JA18">
        <f t="shared" si="268"/>
        <v>2.4176454214965459</v>
      </c>
      <c r="JB18">
        <f t="shared" si="255"/>
        <v>-10.216355286656627</v>
      </c>
      <c r="JC18">
        <f t="shared" si="255"/>
        <v>-4.0286555112509674</v>
      </c>
      <c r="JD18">
        <f t="shared" si="255"/>
        <v>-3.8382922685441065</v>
      </c>
      <c r="JE18">
        <f t="shared" si="255"/>
        <v>-2.6732848120853485</v>
      </c>
      <c r="JF18">
        <f t="shared" si="255"/>
        <v>-0.96885831514698617</v>
      </c>
      <c r="JG18">
        <f t="shared" si="255"/>
        <v>-0.30265643747366022</v>
      </c>
      <c r="JH18">
        <f t="shared" si="255"/>
        <v>-0.42880935403409315</v>
      </c>
      <c r="JI18">
        <f t="shared" si="255"/>
        <v>-0.25924437898780356</v>
      </c>
    </row>
    <row r="19" spans="1:269" x14ac:dyDescent="0.35">
      <c r="A19" s="1">
        <v>11</v>
      </c>
      <c r="B19" s="4">
        <v>1.10995E-2</v>
      </c>
      <c r="C19" s="4">
        <v>1.1099299999999999E-2</v>
      </c>
      <c r="D19" s="4">
        <v>1.10394E-2</v>
      </c>
      <c r="E19" s="4">
        <v>1.08469E-2</v>
      </c>
      <c r="F19" s="4">
        <v>1.0216899999999999E-2</v>
      </c>
      <c r="G19" s="4">
        <v>9.5349000000000007E-3</v>
      </c>
      <c r="H19" s="4">
        <v>8.9009999999999992E-3</v>
      </c>
      <c r="I19" s="4">
        <v>8.2363999999999996E-3</v>
      </c>
      <c r="J19" s="4">
        <v>7.3555000000000001E-3</v>
      </c>
      <c r="K19" s="4">
        <v>6.4349999999999997E-3</v>
      </c>
      <c r="L19" s="4">
        <v>5.1853999999999997E-3</v>
      </c>
      <c r="M19" s="4">
        <v>5.6458999999999997E-3</v>
      </c>
      <c r="N19" s="4">
        <v>5.3476000000000001E-3</v>
      </c>
      <c r="O19" s="4">
        <v>5.0930999999999997E-3</v>
      </c>
      <c r="P19" s="4">
        <v>4.8589999999999996E-3</v>
      </c>
      <c r="Q19" s="4">
        <v>4.6554999999999999E-3</v>
      </c>
      <c r="R19" s="4">
        <v>4.4686999999999999E-3</v>
      </c>
      <c r="S19" s="4">
        <v>4.3003E-3</v>
      </c>
      <c r="T19" s="4">
        <v>4.1450999999999997E-3</v>
      </c>
      <c r="U19" s="4">
        <v>4.0020999999999998E-3</v>
      </c>
      <c r="V19" s="4">
        <v>3.8696999999999998E-3</v>
      </c>
      <c r="W19" s="4">
        <v>3.7466999999999999E-3</v>
      </c>
      <c r="X19" s="4">
        <v>3.6323000000000002E-3</v>
      </c>
      <c r="Y19" s="4">
        <v>3.5255E-3</v>
      </c>
      <c r="Z19" s="4">
        <v>3.4256999999999998E-3</v>
      </c>
      <c r="AA19" s="4">
        <v>3.3319999999999999E-3</v>
      </c>
      <c r="AB19" s="4">
        <v>3.2439999999999999E-3</v>
      </c>
      <c r="AC19" s="4">
        <v>3.1610000000000002E-3</v>
      </c>
      <c r="AD19" s="4">
        <v>3.0826E-3</v>
      </c>
      <c r="AE19" s="4">
        <v>3.0084E-3</v>
      </c>
      <c r="AF19" s="4">
        <v>2.9378999999999998E-3</v>
      </c>
      <c r="AG19" s="4">
        <v>2.8709999999999999E-3</v>
      </c>
      <c r="AH19" s="4">
        <v>2.8073E-3</v>
      </c>
      <c r="AI19" s="4">
        <v>2.7464999999999998E-3</v>
      </c>
      <c r="AJ19" s="4">
        <v>2.6884999999999999E-3</v>
      </c>
      <c r="AK19" s="4">
        <v>2.6329999999999999E-3</v>
      </c>
      <c r="AL19" s="4">
        <v>2.5799E-3</v>
      </c>
      <c r="AM19" s="4">
        <v>2.529E-3</v>
      </c>
      <c r="AN19" s="4">
        <v>2.4802000000000001E-3</v>
      </c>
      <c r="AO19" s="4">
        <v>2.4334000000000001E-3</v>
      </c>
      <c r="AP19" s="4">
        <v>2.3882999999999999E-3</v>
      </c>
      <c r="AQ19" s="4">
        <v>2.3449E-3</v>
      </c>
      <c r="AR19" s="4">
        <v>2.3031000000000002E-3</v>
      </c>
      <c r="AS19" s="4">
        <v>2.2628000000000001E-3</v>
      </c>
      <c r="AT19" s="4">
        <v>2.2239E-3</v>
      </c>
      <c r="AU19" s="4">
        <v>2.1863E-3</v>
      </c>
      <c r="AV19" s="4">
        <v>2.1499000000000002E-3</v>
      </c>
      <c r="AW19" s="4">
        <v>2.1145999999999999E-3</v>
      </c>
      <c r="AX19" s="4">
        <v>2.0804E-3</v>
      </c>
      <c r="AY19" s="4">
        <v>2.0471999999999999E-3</v>
      </c>
      <c r="AZ19" s="4">
        <v>2.0149999999999999E-3</v>
      </c>
      <c r="BA19" s="4">
        <v>1.9835999999999999E-3</v>
      </c>
      <c r="BB19" s="4">
        <v>1.9530000000000001E-3</v>
      </c>
      <c r="BC19" s="4">
        <v>1.9233E-3</v>
      </c>
      <c r="BD19" s="4">
        <v>1.8942E-3</v>
      </c>
      <c r="BE19" s="4">
        <v>1.8659E-3</v>
      </c>
      <c r="BF19" s="4">
        <v>1.8381999999999999E-3</v>
      </c>
      <c r="BG19" s="4">
        <v>1.8110999999999999E-3</v>
      </c>
      <c r="BH19" s="4">
        <v>1.7845999999999999E-3</v>
      </c>
      <c r="BI19" s="4">
        <v>1.7587E-3</v>
      </c>
      <c r="BJ19" s="4">
        <v>1.7332999999999999E-3</v>
      </c>
      <c r="BK19" s="4">
        <v>1.7083000000000001E-3</v>
      </c>
      <c r="BL19" s="4">
        <v>1.6838999999999999E-3</v>
      </c>
      <c r="BM19" s="4">
        <v>1.6599E-3</v>
      </c>
      <c r="BN19" s="4">
        <v>1.6364000000000001E-3</v>
      </c>
      <c r="BO19" s="4">
        <v>1.6132E-3</v>
      </c>
      <c r="BP19" s="4">
        <v>1.5904999999999999E-3</v>
      </c>
      <c r="BQ19" s="4">
        <v>1.5681E-3</v>
      </c>
      <c r="BR19" s="4">
        <v>1.5460999999999999E-3</v>
      </c>
      <c r="BS19" s="4">
        <v>1.5245E-3</v>
      </c>
      <c r="BT19" s="4">
        <v>1.5031999999999999E-3</v>
      </c>
      <c r="BU19" s="4">
        <v>1.4821999999999999E-3</v>
      </c>
      <c r="BV19" s="4">
        <v>1.4616E-3</v>
      </c>
      <c r="BW19" s="4">
        <v>1.4413E-3</v>
      </c>
      <c r="BX19" s="4">
        <v>1.4212000000000001E-3</v>
      </c>
      <c r="BY19" s="4">
        <v>1.4015E-3</v>
      </c>
      <c r="BZ19" s="4">
        <v>1.382E-3</v>
      </c>
      <c r="CA19" s="4">
        <v>1.3629E-3</v>
      </c>
      <c r="CB19" s="4">
        <v>1.3439999999999999E-3</v>
      </c>
      <c r="CC19" s="4">
        <v>1.3253E-3</v>
      </c>
      <c r="CD19" s="4">
        <v>1.3068999999999999E-3</v>
      </c>
      <c r="CE19" s="4">
        <v>1.2888000000000001E-3</v>
      </c>
      <c r="CF19" s="4">
        <v>1.2708999999999999E-3</v>
      </c>
      <c r="CG19" s="4">
        <v>1.2532999999999999E-3</v>
      </c>
      <c r="CH19" s="4">
        <v>1.2359000000000001E-3</v>
      </c>
      <c r="CI19" s="4">
        <v>1.2187999999999999E-3</v>
      </c>
      <c r="CJ19" s="4">
        <v>1.2018E-3</v>
      </c>
      <c r="CK19" s="4">
        <v>1.1850999999999999E-3</v>
      </c>
      <c r="CL19" s="4">
        <v>1.1686999999999999E-3</v>
      </c>
      <c r="CM19" s="4">
        <v>1.1524E-3</v>
      </c>
      <c r="CN19" s="4">
        <v>1.1364000000000001E-3</v>
      </c>
      <c r="CO19" s="4">
        <v>1.1206E-3</v>
      </c>
      <c r="CP19" s="4">
        <v>1.1050000000000001E-3</v>
      </c>
      <c r="CQ19" s="4">
        <v>1.0896E-3</v>
      </c>
      <c r="CR19" s="4">
        <v>1.0744000000000001E-3</v>
      </c>
      <c r="CS19" s="4">
        <v>1.0594000000000001E-3</v>
      </c>
      <c r="CT19" s="4">
        <v>1.0445999999999999E-3</v>
      </c>
      <c r="CU19" s="4">
        <v>1.0300000000000001E-3</v>
      </c>
      <c r="CV19" s="4">
        <v>1.0156E-3</v>
      </c>
      <c r="CW19" s="4">
        <v>1.0013999999999999E-3</v>
      </c>
      <c r="CX19" s="4">
        <v>9.8740000000000004E-4</v>
      </c>
      <c r="CY19" s="4">
        <v>9.7360000000000003E-4</v>
      </c>
      <c r="CZ19" s="4">
        <v>9.6000000000000002E-4</v>
      </c>
      <c r="DA19" s="4">
        <v>9.4649999999999997E-4</v>
      </c>
      <c r="DB19" s="4">
        <v>9.3320000000000002E-4</v>
      </c>
      <c r="DC19" s="4">
        <v>9.2009999999999998E-4</v>
      </c>
      <c r="DD19" s="4">
        <v>9.0720000000000004E-4</v>
      </c>
      <c r="DE19" s="4">
        <v>8.945E-4</v>
      </c>
      <c r="DF19" s="4">
        <v>8.8190000000000002E-4</v>
      </c>
      <c r="DG19" s="4">
        <v>8.6950000000000005E-4</v>
      </c>
      <c r="DH19" s="4">
        <v>8.5729999999999997E-4</v>
      </c>
      <c r="DI19" s="4">
        <v>8.4520000000000005E-4</v>
      </c>
      <c r="DJ19" s="4">
        <v>8.3330000000000003E-4</v>
      </c>
      <c r="DK19" s="4">
        <v>8.2160000000000002E-4</v>
      </c>
      <c r="DL19" s="4">
        <v>8.0999999999999996E-4</v>
      </c>
      <c r="DM19" s="4">
        <v>7.986E-4</v>
      </c>
      <c r="DN19" s="4">
        <v>7.873E-4</v>
      </c>
      <c r="DO19" s="4">
        <v>7.762E-4</v>
      </c>
      <c r="DP19" s="4">
        <v>7.6530000000000001E-4</v>
      </c>
      <c r="DQ19" s="4">
        <v>5.3157200000000002E-2</v>
      </c>
      <c r="DR19" s="4">
        <v>0</v>
      </c>
      <c r="DS19" s="4">
        <v>5.94E-5</v>
      </c>
      <c r="DT19" s="4">
        <v>1.916E-4</v>
      </c>
      <c r="DU19" s="4">
        <v>6.2750000000000002E-4</v>
      </c>
      <c r="DV19" s="4">
        <v>6.7579999999999995E-4</v>
      </c>
      <c r="DW19" s="4">
        <v>6.1649999999999997E-4</v>
      </c>
      <c r="DX19" s="4">
        <v>6.2100000000000002E-4</v>
      </c>
      <c r="DY19" s="4">
        <v>5.4600000000000004E-4</v>
      </c>
      <c r="DZ19" s="4">
        <v>4.7229999999999999E-4</v>
      </c>
      <c r="EA19" s="4">
        <v>3.8910000000000003E-4</v>
      </c>
      <c r="EB19" s="4">
        <v>2.9609999999999999E-4</v>
      </c>
      <c r="EC19" s="4">
        <v>3.256E-4</v>
      </c>
      <c r="ED19" s="4">
        <v>2.9090000000000002E-4</v>
      </c>
      <c r="EE19" s="4">
        <v>2.6150000000000001E-4</v>
      </c>
      <c r="EF19" s="4">
        <v>2.3560000000000001E-4</v>
      </c>
      <c r="EG19" s="4">
        <v>2.1379999999999999E-4</v>
      </c>
      <c r="EH19" s="4">
        <v>1.9459999999999999E-4</v>
      </c>
      <c r="EI19" s="4">
        <v>1.7809999999999999E-4</v>
      </c>
      <c r="EJ19" s="4">
        <v>1.6339999999999999E-4</v>
      </c>
      <c r="EK19" s="4">
        <v>1.504E-4</v>
      </c>
      <c r="EL19" s="4">
        <v>1.3880000000000001E-4</v>
      </c>
      <c r="EM19" s="4">
        <v>1.284E-4</v>
      </c>
      <c r="EN19" s="4">
        <v>1.192E-4</v>
      </c>
      <c r="EO19" s="4">
        <v>1.109E-4</v>
      </c>
      <c r="EP19" s="4">
        <v>1.0340000000000001E-4</v>
      </c>
      <c r="EQ19" s="4">
        <v>9.6700000000000006E-5</v>
      </c>
      <c r="ER19" s="4">
        <v>9.0699999999999996E-5</v>
      </c>
      <c r="ES19" s="4">
        <v>8.53E-5</v>
      </c>
      <c r="ET19" s="4">
        <v>8.0400000000000003E-5</v>
      </c>
      <c r="EU19" s="4">
        <v>7.6000000000000004E-5</v>
      </c>
      <c r="EV19" s="4">
        <v>7.2000000000000002E-5</v>
      </c>
      <c r="EW19" s="4">
        <v>6.8300000000000007E-5</v>
      </c>
      <c r="EX19" s="4">
        <v>6.4900000000000005E-5</v>
      </c>
      <c r="EY19" s="4">
        <v>6.1699999999999995E-5</v>
      </c>
      <c r="EZ19" s="4">
        <v>5.8799999999999999E-5</v>
      </c>
      <c r="FA19" s="4">
        <v>5.6100000000000002E-5</v>
      </c>
      <c r="FB19" s="4">
        <v>5.3600000000000002E-5</v>
      </c>
      <c r="FC19" s="4">
        <v>5.13E-5</v>
      </c>
      <c r="FD19" s="4">
        <v>4.9200000000000003E-5</v>
      </c>
      <c r="FE19" s="4">
        <v>4.7200000000000002E-5</v>
      </c>
      <c r="FF19" s="4">
        <v>4.5300000000000003E-5</v>
      </c>
      <c r="FG19" s="4">
        <v>4.35E-5</v>
      </c>
      <c r="FH19" s="4">
        <v>4.1900000000000002E-5</v>
      </c>
      <c r="FI19" s="4">
        <v>4.0399999999999999E-5</v>
      </c>
      <c r="FJ19" s="4">
        <v>3.8999999999999999E-5</v>
      </c>
      <c r="FK19" s="4">
        <v>3.7700000000000002E-5</v>
      </c>
      <c r="FL19" s="4">
        <v>3.6399999999999997E-5</v>
      </c>
      <c r="FM19" s="4">
        <v>3.5299999999999997E-5</v>
      </c>
      <c r="FN19" s="4">
        <v>3.4199999999999998E-5</v>
      </c>
      <c r="FO19" s="4">
        <v>3.3200000000000001E-5</v>
      </c>
      <c r="FP19" s="4">
        <v>3.2199999999999997E-5</v>
      </c>
      <c r="FQ19" s="4">
        <v>3.1300000000000002E-5</v>
      </c>
      <c r="FR19" s="4">
        <v>3.0499999999999999E-5</v>
      </c>
      <c r="FS19" s="4">
        <v>2.97E-5</v>
      </c>
      <c r="FT19" s="4">
        <v>2.9E-5</v>
      </c>
      <c r="FU19" s="4">
        <v>2.83E-5</v>
      </c>
      <c r="FV19" s="4">
        <v>2.76E-5</v>
      </c>
      <c r="FW19" s="4">
        <v>2.6999999999999999E-5</v>
      </c>
      <c r="FX19" s="4">
        <v>2.6400000000000001E-5</v>
      </c>
      <c r="FY19" s="4">
        <v>2.5899999999999999E-5</v>
      </c>
      <c r="FZ19" s="4">
        <v>2.5299999999999998E-5</v>
      </c>
      <c r="GA19" s="4">
        <v>2.48E-5</v>
      </c>
      <c r="GB19" s="4">
        <v>2.4300000000000001E-5</v>
      </c>
      <c r="GC19" s="4">
        <v>2.3900000000000002E-5</v>
      </c>
      <c r="GD19" s="4">
        <v>2.3499999999999999E-5</v>
      </c>
      <c r="GE19" s="4">
        <v>2.3E-5</v>
      </c>
      <c r="GF19" s="4">
        <v>2.26E-5</v>
      </c>
      <c r="GG19" s="4">
        <v>2.2200000000000001E-5</v>
      </c>
      <c r="GH19" s="4">
        <v>2.19E-5</v>
      </c>
      <c r="GI19" s="4">
        <v>2.1500000000000001E-5</v>
      </c>
      <c r="GJ19" s="4">
        <v>2.12E-5</v>
      </c>
      <c r="GK19" s="4">
        <v>2.0800000000000001E-5</v>
      </c>
      <c r="GL19" s="4">
        <v>2.05E-5</v>
      </c>
      <c r="GM19" s="4">
        <v>2.02E-5</v>
      </c>
      <c r="GN19" s="4">
        <v>1.9899999999999999E-5</v>
      </c>
      <c r="GO19" s="4">
        <v>1.9599999999999999E-5</v>
      </c>
      <c r="GP19" s="4">
        <v>1.9300000000000002E-5</v>
      </c>
      <c r="GQ19" s="4">
        <v>1.9000000000000001E-5</v>
      </c>
      <c r="GR19" s="4">
        <v>1.88E-5</v>
      </c>
      <c r="GS19" s="4">
        <v>1.8499999999999999E-5</v>
      </c>
      <c r="GT19" s="4">
        <v>1.8199999999999999E-5</v>
      </c>
      <c r="GU19" s="4">
        <v>1.8E-5</v>
      </c>
      <c r="GV19" s="4">
        <v>1.77E-5</v>
      </c>
      <c r="GW19" s="4">
        <v>1.7499999999999998E-5</v>
      </c>
      <c r="GX19" s="4">
        <v>1.7200000000000001E-5</v>
      </c>
      <c r="GY19" s="4">
        <v>1.7E-5</v>
      </c>
      <c r="GZ19" s="4">
        <v>1.6799999999999998E-5</v>
      </c>
      <c r="HA19" s="4">
        <v>1.6500000000000001E-5</v>
      </c>
      <c r="HB19" s="4">
        <v>1.63E-5</v>
      </c>
      <c r="HC19" s="4">
        <v>1.6099999999999998E-5</v>
      </c>
      <c r="HD19" s="4">
        <v>1.59E-5</v>
      </c>
      <c r="HE19" s="4">
        <v>1.5699999999999999E-5</v>
      </c>
      <c r="HF19" s="4">
        <v>1.5400000000000002E-5</v>
      </c>
      <c r="HG19" s="4">
        <v>1.52E-5</v>
      </c>
      <c r="HH19" s="4">
        <v>1.5E-5</v>
      </c>
      <c r="HI19" s="4">
        <v>1.4800000000000001E-5</v>
      </c>
      <c r="HJ19" s="4">
        <v>1.4600000000000001E-5</v>
      </c>
      <c r="HK19" s="4">
        <v>1.4399999999999999E-5</v>
      </c>
      <c r="HL19" s="4">
        <v>1.42E-5</v>
      </c>
      <c r="HM19" s="4">
        <v>1.4E-5</v>
      </c>
      <c r="HN19" s="4">
        <v>1.3900000000000001E-5</v>
      </c>
      <c r="HO19" s="4">
        <v>1.3699999999999999E-5</v>
      </c>
      <c r="HP19" s="4">
        <v>1.3499999999999999E-5</v>
      </c>
      <c r="HQ19" s="4">
        <v>1.33E-5</v>
      </c>
      <c r="HR19" s="4">
        <v>1.31E-5</v>
      </c>
      <c r="HS19" s="4">
        <v>1.29E-5</v>
      </c>
      <c r="HT19" s="4">
        <v>1.2799999999999999E-5</v>
      </c>
      <c r="HU19" s="4">
        <v>1.26E-5</v>
      </c>
      <c r="HV19" s="4">
        <v>1.24E-5</v>
      </c>
      <c r="HW19" s="4">
        <v>1.22E-5</v>
      </c>
      <c r="HX19" s="4">
        <v>1.2099999999999999E-5</v>
      </c>
      <c r="HY19" s="4">
        <v>1.19E-5</v>
      </c>
      <c r="HZ19" s="4">
        <v>1.17E-5</v>
      </c>
      <c r="IA19" s="4">
        <v>1.1600000000000001E-5</v>
      </c>
      <c r="IB19" s="4">
        <v>1.1399999999999999E-5</v>
      </c>
      <c r="IC19" s="4">
        <v>1.13E-5</v>
      </c>
      <c r="ID19" s="4">
        <v>1.11E-5</v>
      </c>
      <c r="IE19" s="4">
        <v>1.1E-5</v>
      </c>
      <c r="IF19" s="4">
        <v>1.08E-5</v>
      </c>
      <c r="IG19" s="4">
        <v>7.5409999999999995E-4</v>
      </c>
      <c r="IH19" s="4"/>
      <c r="II19" s="4">
        <f t="shared" si="257"/>
        <v>0.1145660395037693</v>
      </c>
      <c r="IL19">
        <f t="shared" si="258"/>
        <v>0.35432314999999975</v>
      </c>
      <c r="IP19" s="4">
        <f t="shared" si="273"/>
        <v>8.6333999999999925E-3</v>
      </c>
      <c r="IQ19" s="4">
        <f t="shared" si="274"/>
        <v>6.9678999999999991E-3</v>
      </c>
      <c r="IR19" s="4">
        <f t="shared" si="261"/>
        <v>4.7746000000000038E-3</v>
      </c>
      <c r="IS19" s="4">
        <f t="shared" si="262"/>
        <v>3.1688000000000029E-3</v>
      </c>
      <c r="IT19" s="4">
        <f t="shared" si="263"/>
        <v>2.2433000000000002E-3</v>
      </c>
      <c r="IU19" s="4">
        <f t="shared" si="264"/>
        <v>5.5924000000000113E-3</v>
      </c>
      <c r="IV19" s="4">
        <f t="shared" si="265"/>
        <v>2.509299999999999E-3</v>
      </c>
      <c r="IW19" s="4">
        <f t="shared" si="266"/>
        <v>1.6543000000000009E-3</v>
      </c>
      <c r="IX19" s="4">
        <f t="shared" si="267"/>
        <v>5.0493999999999956E-3</v>
      </c>
      <c r="IZ19">
        <f t="shared" si="270"/>
        <v>2010.5</v>
      </c>
      <c r="JA19">
        <f t="shared" si="268"/>
        <v>3.5991055621149632</v>
      </c>
      <c r="JB19">
        <f t="shared" si="255"/>
        <v>-9.6276483780135766</v>
      </c>
      <c r="JC19">
        <f t="shared" si="255"/>
        <v>-4.1918866869731755</v>
      </c>
      <c r="JD19">
        <f t="shared" si="255"/>
        <v>-3.8446036068655647</v>
      </c>
      <c r="JE19">
        <f t="shared" si="255"/>
        <v>-2.5439273437269425</v>
      </c>
      <c r="JF19">
        <f t="shared" si="255"/>
        <v>-0.88478035024689172</v>
      </c>
      <c r="JG19">
        <f t="shared" si="255"/>
        <v>-0.22292115437498639</v>
      </c>
      <c r="JH19">
        <f t="shared" si="255"/>
        <v>-0.3017868055774785</v>
      </c>
      <c r="JI19">
        <f t="shared" si="255"/>
        <v>-0.20377686567985193</v>
      </c>
    </row>
    <row r="20" spans="1:269" x14ac:dyDescent="0.35">
      <c r="A20" s="1">
        <v>12</v>
      </c>
      <c r="B20" s="4">
        <v>1.1099599999999999E-2</v>
      </c>
      <c r="C20" s="4">
        <v>1.10995E-2</v>
      </c>
      <c r="D20" s="4">
        <v>1.1039800000000001E-2</v>
      </c>
      <c r="E20" s="4">
        <v>1.0847799999999999E-2</v>
      </c>
      <c r="F20" s="4">
        <v>1.0219300000000001E-2</v>
      </c>
      <c r="G20" s="4">
        <v>9.5411000000000003E-3</v>
      </c>
      <c r="H20" s="4">
        <v>8.9184999999999993E-3</v>
      </c>
      <c r="I20" s="4">
        <v>8.2799999999999992E-3</v>
      </c>
      <c r="J20" s="4">
        <v>7.6904E-3</v>
      </c>
      <c r="K20" s="4">
        <v>6.8831999999999999E-3</v>
      </c>
      <c r="L20" s="4">
        <v>6.0458999999999999E-3</v>
      </c>
      <c r="M20" s="4">
        <v>4.8893000000000001E-3</v>
      </c>
      <c r="N20" s="4">
        <v>5.3203E-3</v>
      </c>
      <c r="O20" s="4">
        <v>5.0566999999999999E-3</v>
      </c>
      <c r="P20" s="4">
        <v>4.8316000000000001E-3</v>
      </c>
      <c r="Q20" s="4">
        <v>4.6235E-3</v>
      </c>
      <c r="R20" s="4">
        <v>4.4416999999999998E-3</v>
      </c>
      <c r="S20" s="4">
        <v>4.2741000000000003E-3</v>
      </c>
      <c r="T20" s="4">
        <v>4.1222999999999997E-3</v>
      </c>
      <c r="U20" s="4">
        <v>3.9817000000000003E-3</v>
      </c>
      <c r="V20" s="4">
        <v>3.8517999999999998E-3</v>
      </c>
      <c r="W20" s="4">
        <v>3.7309000000000001E-3</v>
      </c>
      <c r="X20" s="4">
        <v>3.6183000000000001E-3</v>
      </c>
      <c r="Y20" s="4">
        <v>3.5132000000000002E-3</v>
      </c>
      <c r="Z20" s="4">
        <v>3.4147000000000001E-3</v>
      </c>
      <c r="AA20" s="4">
        <v>3.3222E-3</v>
      </c>
      <c r="AB20" s="4">
        <v>3.2353E-3</v>
      </c>
      <c r="AC20" s="4">
        <v>3.1532000000000001E-3</v>
      </c>
      <c r="AD20" s="4">
        <v>3.0755999999999999E-3</v>
      </c>
      <c r="AE20" s="4">
        <v>3.0021000000000002E-3</v>
      </c>
      <c r="AF20" s="4">
        <v>2.9323000000000001E-3</v>
      </c>
      <c r="AG20" s="4">
        <v>2.8660000000000001E-3</v>
      </c>
      <c r="AH20" s="4">
        <v>2.8027E-3</v>
      </c>
      <c r="AI20" s="4">
        <v>2.7423999999999999E-3</v>
      </c>
      <c r="AJ20" s="4">
        <v>2.6848000000000002E-3</v>
      </c>
      <c r="AK20" s="4">
        <v>2.6297E-3</v>
      </c>
      <c r="AL20" s="4">
        <v>2.5769E-3</v>
      </c>
      <c r="AM20" s="4">
        <v>2.5263E-3</v>
      </c>
      <c r="AN20" s="4">
        <v>2.4777000000000002E-3</v>
      </c>
      <c r="AO20" s="4">
        <v>2.4310999999999998E-3</v>
      </c>
      <c r="AP20" s="4">
        <v>2.3862000000000002E-3</v>
      </c>
      <c r="AQ20" s="4">
        <v>2.343E-3</v>
      </c>
      <c r="AR20" s="4">
        <v>2.3013999999999999E-3</v>
      </c>
      <c r="AS20" s="4">
        <v>2.2612000000000001E-3</v>
      </c>
      <c r="AT20" s="4">
        <v>2.2223999999999998E-3</v>
      </c>
      <c r="AU20" s="4">
        <v>2.1849E-3</v>
      </c>
      <c r="AV20" s="4">
        <v>2.1486000000000001E-3</v>
      </c>
      <c r="AW20" s="4">
        <v>2.1134999999999999E-3</v>
      </c>
      <c r="AX20" s="4">
        <v>2.0793999999999999E-3</v>
      </c>
      <c r="AY20" s="4">
        <v>2.0463E-3</v>
      </c>
      <c r="AZ20" s="4">
        <v>2.0141E-3</v>
      </c>
      <c r="BA20" s="4">
        <v>1.9827999999999998E-3</v>
      </c>
      <c r="BB20" s="4">
        <v>1.9522999999999999E-3</v>
      </c>
      <c r="BC20" s="4">
        <v>1.9226E-3</v>
      </c>
      <c r="BD20" s="4">
        <v>1.8936000000000001E-3</v>
      </c>
      <c r="BE20" s="4">
        <v>1.8653000000000001E-3</v>
      </c>
      <c r="BF20" s="4">
        <v>1.8376E-3</v>
      </c>
      <c r="BG20" s="4">
        <v>1.8106000000000001E-3</v>
      </c>
      <c r="BH20" s="4">
        <v>1.7841000000000001E-3</v>
      </c>
      <c r="BI20" s="4">
        <v>1.7581999999999999E-3</v>
      </c>
      <c r="BJ20" s="4">
        <v>1.7328000000000001E-3</v>
      </c>
      <c r="BK20" s="4">
        <v>1.7079E-3</v>
      </c>
      <c r="BL20" s="4">
        <v>1.6835000000000001E-3</v>
      </c>
      <c r="BM20" s="4">
        <v>1.6596E-3</v>
      </c>
      <c r="BN20" s="4">
        <v>1.6360000000000001E-3</v>
      </c>
      <c r="BO20" s="4">
        <v>1.6129E-3</v>
      </c>
      <c r="BP20" s="4">
        <v>1.5901999999999999E-3</v>
      </c>
      <c r="BQ20" s="4">
        <v>1.5678000000000001E-3</v>
      </c>
      <c r="BR20" s="4">
        <v>1.5459E-3</v>
      </c>
      <c r="BS20" s="4">
        <v>1.5242999999999999E-3</v>
      </c>
      <c r="BT20" s="4">
        <v>1.503E-3</v>
      </c>
      <c r="BU20" s="4">
        <v>1.482E-3</v>
      </c>
      <c r="BV20" s="4">
        <v>1.4614000000000001E-3</v>
      </c>
      <c r="BW20" s="4">
        <v>1.4411000000000001E-3</v>
      </c>
      <c r="BX20" s="4">
        <v>1.421E-3</v>
      </c>
      <c r="BY20" s="4">
        <v>1.4013000000000001E-3</v>
      </c>
      <c r="BZ20" s="4">
        <v>1.3818999999999999E-3</v>
      </c>
      <c r="CA20" s="4">
        <v>1.3626999999999999E-3</v>
      </c>
      <c r="CB20" s="4">
        <v>1.3438E-3</v>
      </c>
      <c r="CC20" s="4">
        <v>1.3251999999999999E-3</v>
      </c>
      <c r="CD20" s="4">
        <v>1.3068000000000001E-3</v>
      </c>
      <c r="CE20" s="4">
        <v>1.2887E-3</v>
      </c>
      <c r="CF20" s="4">
        <v>1.2708000000000001E-3</v>
      </c>
      <c r="CG20" s="4">
        <v>1.2532000000000001E-3</v>
      </c>
      <c r="CH20" s="4">
        <v>1.2358E-3</v>
      </c>
      <c r="CI20" s="4">
        <v>1.2187000000000001E-3</v>
      </c>
      <c r="CJ20" s="4">
        <v>1.2018E-3</v>
      </c>
      <c r="CK20" s="4">
        <v>1.1850999999999999E-3</v>
      </c>
      <c r="CL20" s="4">
        <v>1.1686000000000001E-3</v>
      </c>
      <c r="CM20" s="4">
        <v>1.1524E-3</v>
      </c>
      <c r="CN20" s="4">
        <v>1.1363E-3</v>
      </c>
      <c r="CO20" s="4">
        <v>1.1205E-3</v>
      </c>
      <c r="CP20" s="4">
        <v>1.1049E-3</v>
      </c>
      <c r="CQ20" s="4">
        <v>1.0895E-3</v>
      </c>
      <c r="CR20" s="4">
        <v>1.0743E-3</v>
      </c>
      <c r="CS20" s="4">
        <v>1.0593E-3</v>
      </c>
      <c r="CT20" s="4">
        <v>1.0445999999999999E-3</v>
      </c>
      <c r="CU20" s="4">
        <v>1.0300000000000001E-3</v>
      </c>
      <c r="CV20" s="4">
        <v>1.0156E-3</v>
      </c>
      <c r="CW20" s="4">
        <v>1.0013999999999999E-3</v>
      </c>
      <c r="CX20" s="4">
        <v>9.8740000000000004E-4</v>
      </c>
      <c r="CY20" s="4">
        <v>9.7360000000000003E-4</v>
      </c>
      <c r="CZ20" s="4">
        <v>9.5989999999999997E-4</v>
      </c>
      <c r="DA20" s="4">
        <v>9.4649999999999997E-4</v>
      </c>
      <c r="DB20" s="4">
        <v>9.3320000000000002E-4</v>
      </c>
      <c r="DC20" s="4">
        <v>9.2009999999999998E-4</v>
      </c>
      <c r="DD20" s="4">
        <v>9.0720000000000004E-4</v>
      </c>
      <c r="DE20" s="4">
        <v>8.945E-4</v>
      </c>
      <c r="DF20" s="4">
        <v>8.8190000000000002E-4</v>
      </c>
      <c r="DG20" s="4">
        <v>8.6950000000000005E-4</v>
      </c>
      <c r="DH20" s="4">
        <v>8.5729999999999997E-4</v>
      </c>
      <c r="DI20" s="4">
        <v>8.4520000000000005E-4</v>
      </c>
      <c r="DJ20" s="4">
        <v>8.3330000000000003E-4</v>
      </c>
      <c r="DK20" s="4">
        <v>8.2160000000000002E-4</v>
      </c>
      <c r="DL20" s="4">
        <v>8.0999999999999996E-4</v>
      </c>
      <c r="DM20" s="4">
        <v>7.986E-4</v>
      </c>
      <c r="DN20" s="4">
        <v>7.873E-4</v>
      </c>
      <c r="DO20" s="4">
        <v>7.762E-4</v>
      </c>
      <c r="DP20" s="4">
        <v>7.6530000000000001E-4</v>
      </c>
      <c r="DQ20" s="4">
        <v>5.3157599999999999E-2</v>
      </c>
      <c r="DR20" s="4">
        <v>0</v>
      </c>
      <c r="DS20" s="4">
        <v>5.94E-5</v>
      </c>
      <c r="DT20" s="4">
        <v>1.917E-4</v>
      </c>
      <c r="DU20" s="4">
        <v>6.2770000000000002E-4</v>
      </c>
      <c r="DV20" s="4">
        <v>6.7599999999999995E-4</v>
      </c>
      <c r="DW20" s="4">
        <v>6.1899999999999998E-4</v>
      </c>
      <c r="DX20" s="4">
        <v>6.2189999999999999E-4</v>
      </c>
      <c r="DY20" s="4">
        <v>5.4779999999999998E-4</v>
      </c>
      <c r="DZ20" s="4">
        <v>4.9779999999999996E-4</v>
      </c>
      <c r="EA20" s="4">
        <v>4.1819999999999997E-4</v>
      </c>
      <c r="EB20" s="4">
        <v>3.4870000000000002E-4</v>
      </c>
      <c r="EC20" s="4">
        <v>2.6499999999999999E-4</v>
      </c>
      <c r="ED20" s="4">
        <v>2.899E-4</v>
      </c>
      <c r="EE20" s="4">
        <v>2.5960000000000002E-4</v>
      </c>
      <c r="EF20" s="4">
        <v>2.342E-4</v>
      </c>
      <c r="EG20" s="4">
        <v>2.117E-4</v>
      </c>
      <c r="EH20" s="4">
        <v>1.9269999999999999E-4</v>
      </c>
      <c r="EI20" s="4">
        <v>1.7589999999999999E-4</v>
      </c>
      <c r="EJ20" s="4">
        <v>1.6139999999999999E-4</v>
      </c>
      <c r="EK20" s="4">
        <v>1.485E-4</v>
      </c>
      <c r="EL20" s="4">
        <v>1.371E-4</v>
      </c>
      <c r="EM20" s="4">
        <v>1.2689999999999999E-4</v>
      </c>
      <c r="EN20" s="4">
        <v>1.178E-4</v>
      </c>
      <c r="EO20" s="4">
        <v>1.097E-4</v>
      </c>
      <c r="EP20" s="4">
        <v>1.024E-4</v>
      </c>
      <c r="EQ20" s="4">
        <v>9.5799999999999998E-5</v>
      </c>
      <c r="ER20" s="4">
        <v>8.9900000000000003E-5</v>
      </c>
      <c r="ES20" s="4">
        <v>8.4599999999999996E-5</v>
      </c>
      <c r="ET20" s="4">
        <v>7.9800000000000002E-5</v>
      </c>
      <c r="EU20" s="4">
        <v>7.5500000000000006E-5</v>
      </c>
      <c r="EV20" s="4">
        <v>7.1500000000000003E-5</v>
      </c>
      <c r="EW20" s="4">
        <v>6.7799999999999995E-5</v>
      </c>
      <c r="EX20" s="4">
        <v>6.4499999999999996E-5</v>
      </c>
      <c r="EY20" s="4">
        <v>6.1400000000000002E-5</v>
      </c>
      <c r="EZ20" s="4">
        <v>5.8499999999999999E-5</v>
      </c>
      <c r="FA20" s="4">
        <v>5.5899999999999997E-5</v>
      </c>
      <c r="FB20" s="4">
        <v>5.3399999999999997E-5</v>
      </c>
      <c r="FC20" s="4">
        <v>5.1100000000000002E-5</v>
      </c>
      <c r="FD20" s="4">
        <v>4.8999999999999998E-5</v>
      </c>
      <c r="FE20" s="4">
        <v>4.6999999999999997E-5</v>
      </c>
      <c r="FF20" s="4">
        <v>4.5200000000000001E-5</v>
      </c>
      <c r="FG20" s="4">
        <v>4.3399999999999998E-5</v>
      </c>
      <c r="FH20" s="4">
        <v>4.18E-5</v>
      </c>
      <c r="FI20" s="4">
        <v>4.0299999999999997E-5</v>
      </c>
      <c r="FJ20" s="4">
        <v>3.8899999999999997E-5</v>
      </c>
      <c r="FK20" s="4">
        <v>3.7599999999999999E-5</v>
      </c>
      <c r="FL20" s="4">
        <v>3.6399999999999997E-5</v>
      </c>
      <c r="FM20" s="4">
        <v>3.5200000000000002E-5</v>
      </c>
      <c r="FN20" s="4">
        <v>3.4199999999999998E-5</v>
      </c>
      <c r="FO20" s="4">
        <v>3.3200000000000001E-5</v>
      </c>
      <c r="FP20" s="4">
        <v>3.2199999999999997E-5</v>
      </c>
      <c r="FQ20" s="4">
        <v>3.1300000000000002E-5</v>
      </c>
      <c r="FR20" s="4">
        <v>3.0499999999999999E-5</v>
      </c>
      <c r="FS20" s="4">
        <v>2.97E-5</v>
      </c>
      <c r="FT20" s="4">
        <v>2.9E-5</v>
      </c>
      <c r="FU20" s="4">
        <v>2.83E-5</v>
      </c>
      <c r="FV20" s="4">
        <v>2.76E-5</v>
      </c>
      <c r="FW20" s="4">
        <v>2.6999999999999999E-5</v>
      </c>
      <c r="FX20" s="4">
        <v>2.6400000000000001E-5</v>
      </c>
      <c r="FY20" s="4">
        <v>2.5899999999999999E-5</v>
      </c>
      <c r="FZ20" s="4">
        <v>2.5299999999999998E-5</v>
      </c>
      <c r="GA20" s="4">
        <v>2.48E-5</v>
      </c>
      <c r="GB20" s="4">
        <v>2.44E-5</v>
      </c>
      <c r="GC20" s="4">
        <v>2.3900000000000002E-5</v>
      </c>
      <c r="GD20" s="4">
        <v>2.3499999999999999E-5</v>
      </c>
      <c r="GE20" s="4">
        <v>2.3099999999999999E-5</v>
      </c>
      <c r="GF20" s="4">
        <v>2.27E-5</v>
      </c>
      <c r="GG20" s="4">
        <v>2.23E-5</v>
      </c>
      <c r="GH20" s="4">
        <v>2.19E-5</v>
      </c>
      <c r="GI20" s="4">
        <v>2.1500000000000001E-5</v>
      </c>
      <c r="GJ20" s="4">
        <v>2.12E-5</v>
      </c>
      <c r="GK20" s="4">
        <v>2.09E-5</v>
      </c>
      <c r="GL20" s="4">
        <v>2.05E-5</v>
      </c>
      <c r="GM20" s="4">
        <v>2.02E-5</v>
      </c>
      <c r="GN20" s="4">
        <v>1.9899999999999999E-5</v>
      </c>
      <c r="GO20" s="4">
        <v>1.9599999999999999E-5</v>
      </c>
      <c r="GP20" s="4">
        <v>1.9300000000000002E-5</v>
      </c>
      <c r="GQ20" s="4">
        <v>1.91E-5</v>
      </c>
      <c r="GR20" s="4">
        <v>1.88E-5</v>
      </c>
      <c r="GS20" s="4">
        <v>1.8499999999999999E-5</v>
      </c>
      <c r="GT20" s="4">
        <v>1.8300000000000001E-5</v>
      </c>
      <c r="GU20" s="4">
        <v>1.8E-5</v>
      </c>
      <c r="GV20" s="4">
        <v>1.77E-5</v>
      </c>
      <c r="GW20" s="4">
        <v>1.7499999999999998E-5</v>
      </c>
      <c r="GX20" s="4">
        <v>1.73E-5</v>
      </c>
      <c r="GY20" s="4">
        <v>1.7E-5</v>
      </c>
      <c r="GZ20" s="4">
        <v>1.6799999999999998E-5</v>
      </c>
      <c r="HA20" s="4">
        <v>1.66E-5</v>
      </c>
      <c r="HB20" s="4">
        <v>1.63E-5</v>
      </c>
      <c r="HC20" s="4">
        <v>1.6099999999999998E-5</v>
      </c>
      <c r="HD20" s="4">
        <v>1.59E-5</v>
      </c>
      <c r="HE20" s="4">
        <v>1.5699999999999999E-5</v>
      </c>
      <c r="HF20" s="4">
        <v>1.5500000000000001E-5</v>
      </c>
      <c r="HG20" s="4">
        <v>1.52E-5</v>
      </c>
      <c r="HH20" s="4">
        <v>1.5E-5</v>
      </c>
      <c r="HI20" s="4">
        <v>1.4800000000000001E-5</v>
      </c>
      <c r="HJ20" s="4">
        <v>1.4600000000000001E-5</v>
      </c>
      <c r="HK20" s="4">
        <v>1.4399999999999999E-5</v>
      </c>
      <c r="HL20" s="4">
        <v>1.42E-5</v>
      </c>
      <c r="HM20" s="4">
        <v>1.4E-5</v>
      </c>
      <c r="HN20" s="4">
        <v>1.3900000000000001E-5</v>
      </c>
      <c r="HO20" s="4">
        <v>1.3699999999999999E-5</v>
      </c>
      <c r="HP20" s="4">
        <v>1.3499999999999999E-5</v>
      </c>
      <c r="HQ20" s="4">
        <v>1.33E-5</v>
      </c>
      <c r="HR20" s="4">
        <v>1.31E-5</v>
      </c>
      <c r="HS20" s="4">
        <v>1.29E-5</v>
      </c>
      <c r="HT20" s="4">
        <v>1.2799999999999999E-5</v>
      </c>
      <c r="HU20" s="4">
        <v>1.26E-5</v>
      </c>
      <c r="HV20" s="4">
        <v>1.24E-5</v>
      </c>
      <c r="HW20" s="4">
        <v>1.22E-5</v>
      </c>
      <c r="HX20" s="4">
        <v>1.2099999999999999E-5</v>
      </c>
      <c r="HY20" s="4">
        <v>1.19E-5</v>
      </c>
      <c r="HZ20" s="4">
        <v>1.1800000000000001E-5</v>
      </c>
      <c r="IA20" s="4">
        <v>1.1600000000000001E-5</v>
      </c>
      <c r="IB20" s="4">
        <v>1.1399999999999999E-5</v>
      </c>
      <c r="IC20" s="4">
        <v>1.13E-5</v>
      </c>
      <c r="ID20" s="4">
        <v>1.11E-5</v>
      </c>
      <c r="IE20" s="4">
        <v>1.1E-5</v>
      </c>
      <c r="IF20" s="4">
        <v>1.08E-5</v>
      </c>
      <c r="IG20" s="4">
        <v>7.5429999999999996E-4</v>
      </c>
      <c r="IH20" s="4"/>
      <c r="II20" s="4">
        <f t="shared" si="257"/>
        <v>0.11537726295212006</v>
      </c>
      <c r="IL20">
        <f t="shared" si="258"/>
        <v>0.35506302499999998</v>
      </c>
      <c r="IP20" s="4">
        <f t="shared" si="273"/>
        <v>8.6783999999999958E-3</v>
      </c>
      <c r="IQ20" s="4">
        <f t="shared" si="274"/>
        <v>7.2579999999999936E-3</v>
      </c>
      <c r="IR20" s="4">
        <f t="shared" si="261"/>
        <v>4.7904000000000037E-3</v>
      </c>
      <c r="IS20" s="4">
        <f t="shared" si="262"/>
        <v>3.1764999999999988E-3</v>
      </c>
      <c r="IT20" s="4">
        <f t="shared" si="263"/>
        <v>2.2485999999999982E-3</v>
      </c>
      <c r="IU20" s="4">
        <f t="shared" si="264"/>
        <v>5.5971000000000007E-3</v>
      </c>
      <c r="IV20" s="4">
        <f t="shared" si="265"/>
        <v>2.5105999999999948E-3</v>
      </c>
      <c r="IW20" s="4">
        <f t="shared" si="266"/>
        <v>1.6549999999999968E-3</v>
      </c>
      <c r="IX20" s="4">
        <f t="shared" si="267"/>
        <v>5.0516000000000033E-3</v>
      </c>
      <c r="IZ20">
        <f t="shared" si="270"/>
        <v>2010.75</v>
      </c>
      <c r="JA20">
        <f t="shared" si="268"/>
        <v>4.1189833489690253</v>
      </c>
      <c r="JB20">
        <f t="shared" si="255"/>
        <v>-5.5486063116156989</v>
      </c>
      <c r="JC20">
        <f t="shared" si="255"/>
        <v>-3.8615152416873544</v>
      </c>
      <c r="JD20">
        <f t="shared" si="255"/>
        <v>-3.6019041669775889</v>
      </c>
      <c r="JE20">
        <f t="shared" si="255"/>
        <v>-2.307946914087077</v>
      </c>
      <c r="JF20">
        <f t="shared" si="255"/>
        <v>-0.80077301700773595</v>
      </c>
      <c r="JG20">
        <f t="shared" si="255"/>
        <v>-0.17112729278183875</v>
      </c>
      <c r="JH20">
        <f t="shared" si="255"/>
        <v>-0.25948178575843056</v>
      </c>
      <c r="JI20">
        <f t="shared" si="255"/>
        <v>-0.16021682143086091</v>
      </c>
    </row>
    <row r="21" spans="1:269" x14ac:dyDescent="0.35">
      <c r="A21" s="1">
        <v>13</v>
      </c>
      <c r="B21" s="4">
        <v>1.1099599999999999E-2</v>
      </c>
      <c r="C21" s="4">
        <v>1.1099599999999999E-2</v>
      </c>
      <c r="D21" s="4">
        <v>1.1040100000000001E-2</v>
      </c>
      <c r="E21" s="4">
        <v>1.0848099999999999E-2</v>
      </c>
      <c r="F21" s="4">
        <v>1.0220099999999999E-2</v>
      </c>
      <c r="G21" s="4">
        <v>9.5432999999999994E-3</v>
      </c>
      <c r="H21" s="4">
        <v>8.9221000000000005E-3</v>
      </c>
      <c r="I21" s="4">
        <v>8.2965999999999995E-3</v>
      </c>
      <c r="J21" s="4">
        <v>7.7321999999999998E-3</v>
      </c>
      <c r="K21" s="4">
        <v>7.1926000000000004E-3</v>
      </c>
      <c r="L21" s="4">
        <v>6.4650000000000003E-3</v>
      </c>
      <c r="M21" s="4">
        <v>5.6972000000000004E-3</v>
      </c>
      <c r="N21" s="4">
        <v>4.6242999999999996E-3</v>
      </c>
      <c r="O21" s="4">
        <v>5.0304E-3</v>
      </c>
      <c r="P21" s="4">
        <v>4.7971000000000003E-3</v>
      </c>
      <c r="Q21" s="4">
        <v>4.5973999999999998E-3</v>
      </c>
      <c r="R21" s="4">
        <v>4.4117999999999996E-3</v>
      </c>
      <c r="S21" s="4">
        <v>4.2490999999999996E-3</v>
      </c>
      <c r="T21" s="4">
        <v>4.0981999999999998E-3</v>
      </c>
      <c r="U21" s="4">
        <v>3.9608999999999998E-3</v>
      </c>
      <c r="V21" s="4">
        <v>3.8332000000000001E-3</v>
      </c>
      <c r="W21" s="4">
        <v>3.7146000000000002E-3</v>
      </c>
      <c r="X21" s="4">
        <v>3.6039000000000002E-3</v>
      </c>
      <c r="Y21" s="4">
        <v>3.5005000000000001E-3</v>
      </c>
      <c r="Z21" s="4">
        <v>3.4034999999999998E-3</v>
      </c>
      <c r="AA21" s="4">
        <v>3.3122999999999998E-3</v>
      </c>
      <c r="AB21" s="4">
        <v>3.2263999999999999E-3</v>
      </c>
      <c r="AC21" s="4">
        <v>3.1453000000000002E-3</v>
      </c>
      <c r="AD21" s="4">
        <v>3.0685999999999999E-3</v>
      </c>
      <c r="AE21" s="4">
        <v>2.9957999999999999E-3</v>
      </c>
      <c r="AF21" s="4">
        <v>2.9267E-3</v>
      </c>
      <c r="AG21" s="4">
        <v>2.8609E-3</v>
      </c>
      <c r="AH21" s="4">
        <v>2.7981E-3</v>
      </c>
      <c r="AI21" s="4">
        <v>2.7382999999999999E-3</v>
      </c>
      <c r="AJ21" s="4">
        <v>2.6809999999999998E-3</v>
      </c>
      <c r="AK21" s="4">
        <v>2.6262999999999998E-3</v>
      </c>
      <c r="AL21" s="4">
        <v>2.5737999999999998E-3</v>
      </c>
      <c r="AM21" s="4">
        <v>2.5235000000000001E-3</v>
      </c>
      <c r="AN21" s="4">
        <v>2.4751E-3</v>
      </c>
      <c r="AO21" s="4">
        <v>2.4287000000000002E-3</v>
      </c>
      <c r="AP21" s="4">
        <v>2.3839999999999998E-3</v>
      </c>
      <c r="AQ21" s="4">
        <v>2.3410000000000002E-3</v>
      </c>
      <c r="AR21" s="4">
        <v>2.2996000000000002E-3</v>
      </c>
      <c r="AS21" s="4">
        <v>2.2594999999999998E-3</v>
      </c>
      <c r="AT21" s="4">
        <v>2.2209E-3</v>
      </c>
      <c r="AU21" s="4">
        <v>2.1835000000000001E-3</v>
      </c>
      <c r="AV21" s="4">
        <v>2.1473E-3</v>
      </c>
      <c r="AW21" s="4">
        <v>2.1123000000000001E-3</v>
      </c>
      <c r="AX21" s="4">
        <v>2.0782000000000001E-3</v>
      </c>
      <c r="AY21" s="4">
        <v>2.0452000000000001E-3</v>
      </c>
      <c r="AZ21" s="4">
        <v>2.0130999999999999E-3</v>
      </c>
      <c r="BA21" s="4">
        <v>1.9819E-3</v>
      </c>
      <c r="BB21" s="4">
        <v>1.9514000000000001E-3</v>
      </c>
      <c r="BC21" s="4">
        <v>1.9218E-3</v>
      </c>
      <c r="BD21" s="4">
        <v>1.8928E-3</v>
      </c>
      <c r="BE21" s="4">
        <v>1.8645999999999999E-3</v>
      </c>
      <c r="BF21" s="4">
        <v>1.8370000000000001E-3</v>
      </c>
      <c r="BG21" s="4">
        <v>1.81E-3</v>
      </c>
      <c r="BH21" s="4">
        <v>1.7836E-3</v>
      </c>
      <c r="BI21" s="4">
        <v>1.7577000000000001E-3</v>
      </c>
      <c r="BJ21" s="4">
        <v>1.7323E-3</v>
      </c>
      <c r="BK21" s="4">
        <v>1.7075E-3</v>
      </c>
      <c r="BL21" s="4">
        <v>1.6831000000000001E-3</v>
      </c>
      <c r="BM21" s="4">
        <v>1.6592E-3</v>
      </c>
      <c r="BN21" s="4">
        <v>1.6356999999999999E-3</v>
      </c>
      <c r="BO21" s="4">
        <v>1.6126000000000001E-3</v>
      </c>
      <c r="BP21" s="4">
        <v>1.5899E-3</v>
      </c>
      <c r="BQ21" s="4">
        <v>1.5675000000000001E-3</v>
      </c>
      <c r="BR21" s="4">
        <v>1.5456000000000001E-3</v>
      </c>
      <c r="BS21" s="4">
        <v>1.524E-3</v>
      </c>
      <c r="BT21" s="4">
        <v>1.5027E-3</v>
      </c>
      <c r="BU21" s="4">
        <v>1.4817999999999999E-3</v>
      </c>
      <c r="BV21" s="4">
        <v>1.4612E-3</v>
      </c>
      <c r="BW21" s="4">
        <v>1.4408999999999999E-3</v>
      </c>
      <c r="BX21" s="4">
        <v>1.4208000000000001E-3</v>
      </c>
      <c r="BY21" s="4">
        <v>1.4011E-3</v>
      </c>
      <c r="BZ21" s="4">
        <v>1.3817E-3</v>
      </c>
      <c r="CA21" s="4">
        <v>1.3625E-3</v>
      </c>
      <c r="CB21" s="4">
        <v>1.3437E-3</v>
      </c>
      <c r="CC21" s="4">
        <v>1.325E-3</v>
      </c>
      <c r="CD21" s="4">
        <v>1.3067E-3</v>
      </c>
      <c r="CE21" s="4">
        <v>1.2886E-3</v>
      </c>
      <c r="CF21" s="4">
        <v>1.2707E-3</v>
      </c>
      <c r="CG21" s="4">
        <v>1.2531E-3</v>
      </c>
      <c r="CH21" s="4">
        <v>1.2356999999999999E-3</v>
      </c>
      <c r="CI21" s="4">
        <v>1.2186E-3</v>
      </c>
      <c r="CJ21" s="4">
        <v>1.2017E-3</v>
      </c>
      <c r="CK21" s="4">
        <v>1.1850000000000001E-3</v>
      </c>
      <c r="CL21" s="4">
        <v>1.1685000000000001E-3</v>
      </c>
      <c r="CM21" s="4">
        <v>1.1523E-3</v>
      </c>
      <c r="CN21" s="4">
        <v>1.1362E-3</v>
      </c>
      <c r="CO21" s="4">
        <v>1.1203999999999999E-3</v>
      </c>
      <c r="CP21" s="4">
        <v>1.1048E-3</v>
      </c>
      <c r="CQ21" s="4">
        <v>1.0895E-3</v>
      </c>
      <c r="CR21" s="4">
        <v>1.0743E-3</v>
      </c>
      <c r="CS21" s="4">
        <v>1.0593E-3</v>
      </c>
      <c r="CT21" s="4">
        <v>1.0445000000000001E-3</v>
      </c>
      <c r="CU21" s="4">
        <v>1.0299E-3</v>
      </c>
      <c r="CV21" s="4">
        <v>1.0154999999999999E-3</v>
      </c>
      <c r="CW21" s="4">
        <v>1.0013000000000001E-3</v>
      </c>
      <c r="CX21" s="4">
        <v>9.8729999999999998E-4</v>
      </c>
      <c r="CY21" s="4">
        <v>9.7349999999999997E-4</v>
      </c>
      <c r="CZ21" s="4">
        <v>9.5989999999999997E-4</v>
      </c>
      <c r="DA21" s="4">
        <v>9.4640000000000002E-4</v>
      </c>
      <c r="DB21" s="4">
        <v>9.3320000000000002E-4</v>
      </c>
      <c r="DC21" s="4">
        <v>9.2009999999999998E-4</v>
      </c>
      <c r="DD21" s="4">
        <v>9.0720000000000004E-4</v>
      </c>
      <c r="DE21" s="4">
        <v>8.9439999999999995E-4</v>
      </c>
      <c r="DF21" s="4">
        <v>8.8190000000000002E-4</v>
      </c>
      <c r="DG21" s="4">
        <v>8.6950000000000005E-4</v>
      </c>
      <c r="DH21" s="4">
        <v>8.5729999999999997E-4</v>
      </c>
      <c r="DI21" s="4">
        <v>8.4520000000000005E-4</v>
      </c>
      <c r="DJ21" s="4">
        <v>8.3330000000000003E-4</v>
      </c>
      <c r="DK21" s="4">
        <v>8.2160000000000002E-4</v>
      </c>
      <c r="DL21" s="4">
        <v>8.0999999999999996E-4</v>
      </c>
      <c r="DM21" s="4">
        <v>7.986E-4</v>
      </c>
      <c r="DN21" s="4">
        <v>7.873E-4</v>
      </c>
      <c r="DO21" s="4">
        <v>7.762E-4</v>
      </c>
      <c r="DP21" s="4">
        <v>7.6530000000000001E-4</v>
      </c>
      <c r="DQ21" s="4">
        <v>5.3157799999999998E-2</v>
      </c>
      <c r="DR21" s="4">
        <v>0</v>
      </c>
      <c r="DS21" s="4">
        <v>5.94E-5</v>
      </c>
      <c r="DT21" s="4">
        <v>1.92E-4</v>
      </c>
      <c r="DU21" s="4">
        <v>6.9450000000000002E-4</v>
      </c>
      <c r="DV21" s="4">
        <v>6.9729999999999998E-4</v>
      </c>
      <c r="DW21" s="4">
        <v>6.313E-4</v>
      </c>
      <c r="DX21" s="4">
        <v>6.3060000000000004E-4</v>
      </c>
      <c r="DY21" s="4">
        <v>5.5309999999999995E-4</v>
      </c>
      <c r="DZ21" s="4">
        <v>5.0319999999999998E-4</v>
      </c>
      <c r="EA21" s="4">
        <v>4.437E-4</v>
      </c>
      <c r="EB21" s="4">
        <v>3.7639999999999999E-4</v>
      </c>
      <c r="EC21" s="4">
        <v>3.1260000000000001E-4</v>
      </c>
      <c r="ED21" s="4">
        <v>2.388E-4</v>
      </c>
      <c r="EE21" s="4">
        <v>2.5980000000000003E-4</v>
      </c>
      <c r="EF21" s="4">
        <v>2.3360000000000001E-4</v>
      </c>
      <c r="EG21" s="4">
        <v>2.1159999999999999E-4</v>
      </c>
      <c r="EH21" s="4">
        <v>1.92E-4</v>
      </c>
      <c r="EI21" s="4">
        <v>1.7550000000000001E-4</v>
      </c>
      <c r="EJ21" s="4">
        <v>1.6080000000000001E-4</v>
      </c>
      <c r="EK21" s="4">
        <v>1.4809999999999999E-4</v>
      </c>
      <c r="EL21" s="4">
        <v>1.3669999999999999E-4</v>
      </c>
      <c r="EM21" s="4">
        <v>1.2659999999999999E-4</v>
      </c>
      <c r="EN21" s="4">
        <v>1.176E-4</v>
      </c>
      <c r="EO21" s="4">
        <v>1.0950000000000001E-4</v>
      </c>
      <c r="EP21" s="4">
        <v>1.022E-4</v>
      </c>
      <c r="EQ21" s="4">
        <v>9.5699999999999995E-5</v>
      </c>
      <c r="ER21" s="4">
        <v>8.9900000000000003E-5</v>
      </c>
      <c r="ES21" s="4">
        <v>8.4599999999999996E-5</v>
      </c>
      <c r="ET21" s="4">
        <v>7.9900000000000004E-5</v>
      </c>
      <c r="EU21" s="4">
        <v>7.5500000000000006E-5</v>
      </c>
      <c r="EV21" s="4">
        <v>7.1600000000000006E-5</v>
      </c>
      <c r="EW21" s="4">
        <v>6.7899999999999997E-5</v>
      </c>
      <c r="EX21" s="4">
        <v>6.4599999999999998E-5</v>
      </c>
      <c r="EY21" s="4">
        <v>6.1500000000000004E-5</v>
      </c>
      <c r="EZ21" s="4">
        <v>5.8699999999999997E-5</v>
      </c>
      <c r="FA21" s="4">
        <v>5.6100000000000002E-5</v>
      </c>
      <c r="FB21" s="4">
        <v>5.3600000000000002E-5</v>
      </c>
      <c r="FC21" s="4">
        <v>5.13E-5</v>
      </c>
      <c r="FD21" s="4">
        <v>4.9200000000000003E-5</v>
      </c>
      <c r="FE21" s="4">
        <v>4.7200000000000002E-5</v>
      </c>
      <c r="FF21" s="4">
        <v>4.5399999999999999E-5</v>
      </c>
      <c r="FG21" s="4">
        <v>4.3600000000000003E-5</v>
      </c>
      <c r="FH21" s="4">
        <v>4.1999999999999998E-5</v>
      </c>
      <c r="FI21" s="4">
        <v>4.0500000000000002E-5</v>
      </c>
      <c r="FJ21" s="4">
        <v>3.9100000000000002E-5</v>
      </c>
      <c r="FK21" s="4">
        <v>3.7799999999999997E-5</v>
      </c>
      <c r="FL21" s="4">
        <v>3.65E-5</v>
      </c>
      <c r="FM21" s="4">
        <v>3.54E-5</v>
      </c>
      <c r="FN21" s="4">
        <v>3.43E-5</v>
      </c>
      <c r="FO21" s="4">
        <v>3.3300000000000003E-5</v>
      </c>
      <c r="FP21" s="4">
        <v>3.2299999999999999E-5</v>
      </c>
      <c r="FQ21" s="4">
        <v>3.15E-5</v>
      </c>
      <c r="FR21" s="4">
        <v>3.0599999999999998E-5</v>
      </c>
      <c r="FS21" s="4">
        <v>2.9799999999999999E-5</v>
      </c>
      <c r="FT21" s="4">
        <v>2.9099999999999999E-5</v>
      </c>
      <c r="FU21" s="4">
        <v>2.8399999999999999E-5</v>
      </c>
      <c r="FV21" s="4">
        <v>2.7699999999999999E-5</v>
      </c>
      <c r="FW21" s="4">
        <v>2.7100000000000001E-5</v>
      </c>
      <c r="FX21" s="4">
        <v>2.65E-5</v>
      </c>
      <c r="FY21" s="4">
        <v>2.5999999999999998E-5</v>
      </c>
      <c r="FZ21" s="4">
        <v>2.5400000000000001E-5</v>
      </c>
      <c r="GA21" s="4">
        <v>2.4899999999999999E-5</v>
      </c>
      <c r="GB21" s="4">
        <v>2.44E-5</v>
      </c>
      <c r="GC21" s="4">
        <v>2.4000000000000001E-5</v>
      </c>
      <c r="GD21" s="4">
        <v>2.3499999999999999E-5</v>
      </c>
      <c r="GE21" s="4">
        <v>2.3099999999999999E-5</v>
      </c>
      <c r="GF21" s="4">
        <v>2.27E-5</v>
      </c>
      <c r="GG21" s="4">
        <v>2.23E-5</v>
      </c>
      <c r="GH21" s="4">
        <v>2.19E-5</v>
      </c>
      <c r="GI21" s="4">
        <v>2.16E-5</v>
      </c>
      <c r="GJ21" s="4">
        <v>2.12E-5</v>
      </c>
      <c r="GK21" s="4">
        <v>2.09E-5</v>
      </c>
      <c r="GL21" s="4">
        <v>2.0599999999999999E-5</v>
      </c>
      <c r="GM21" s="4">
        <v>2.0299999999999999E-5</v>
      </c>
      <c r="GN21" s="4">
        <v>2.0000000000000002E-5</v>
      </c>
      <c r="GO21" s="4">
        <v>1.9700000000000001E-5</v>
      </c>
      <c r="GP21" s="4">
        <v>1.9400000000000001E-5</v>
      </c>
      <c r="GQ21" s="4">
        <v>1.91E-5</v>
      </c>
      <c r="GR21" s="4">
        <v>1.88E-5</v>
      </c>
      <c r="GS21" s="4">
        <v>1.8499999999999999E-5</v>
      </c>
      <c r="GT21" s="4">
        <v>1.8300000000000001E-5</v>
      </c>
      <c r="GU21" s="4">
        <v>1.8E-5</v>
      </c>
      <c r="GV21" s="4">
        <v>1.7799999999999999E-5</v>
      </c>
      <c r="GW21" s="4">
        <v>1.7499999999999998E-5</v>
      </c>
      <c r="GX21" s="4">
        <v>1.73E-5</v>
      </c>
      <c r="GY21" s="4">
        <v>1.7E-5</v>
      </c>
      <c r="GZ21" s="4">
        <v>1.6799999999999998E-5</v>
      </c>
      <c r="HA21" s="4">
        <v>1.66E-5</v>
      </c>
      <c r="HB21" s="4">
        <v>1.63E-5</v>
      </c>
      <c r="HC21" s="4">
        <v>1.6099999999999998E-5</v>
      </c>
      <c r="HD21" s="4">
        <v>1.59E-5</v>
      </c>
      <c r="HE21" s="4">
        <v>1.5699999999999999E-5</v>
      </c>
      <c r="HF21" s="4">
        <v>1.5500000000000001E-5</v>
      </c>
      <c r="HG21" s="4">
        <v>1.5299999999999999E-5</v>
      </c>
      <c r="HH21" s="4">
        <v>1.5099999999999999E-5</v>
      </c>
      <c r="HI21" s="4">
        <v>1.4800000000000001E-5</v>
      </c>
      <c r="HJ21" s="4">
        <v>1.4600000000000001E-5</v>
      </c>
      <c r="HK21" s="4">
        <v>1.4399999999999999E-5</v>
      </c>
      <c r="HL21" s="4">
        <v>1.43E-5</v>
      </c>
      <c r="HM21" s="4">
        <v>1.4100000000000001E-5</v>
      </c>
      <c r="HN21" s="4">
        <v>1.3900000000000001E-5</v>
      </c>
      <c r="HO21" s="4">
        <v>1.3699999999999999E-5</v>
      </c>
      <c r="HP21" s="4">
        <v>1.3499999999999999E-5</v>
      </c>
      <c r="HQ21" s="4">
        <v>1.33E-5</v>
      </c>
      <c r="HR21" s="4">
        <v>1.31E-5</v>
      </c>
      <c r="HS21" s="4">
        <v>1.29E-5</v>
      </c>
      <c r="HT21" s="4">
        <v>1.2799999999999999E-5</v>
      </c>
      <c r="HU21" s="4">
        <v>1.26E-5</v>
      </c>
      <c r="HV21" s="4">
        <v>1.24E-5</v>
      </c>
      <c r="HW21" s="4">
        <v>1.2300000000000001E-5</v>
      </c>
      <c r="HX21" s="4">
        <v>1.2099999999999999E-5</v>
      </c>
      <c r="HY21" s="4">
        <v>1.19E-5</v>
      </c>
      <c r="HZ21" s="4">
        <v>1.1800000000000001E-5</v>
      </c>
      <c r="IA21" s="4">
        <v>1.1600000000000001E-5</v>
      </c>
      <c r="IB21" s="4">
        <v>1.1399999999999999E-5</v>
      </c>
      <c r="IC21" s="4">
        <v>1.13E-5</v>
      </c>
      <c r="ID21" s="4">
        <v>1.11E-5</v>
      </c>
      <c r="IE21" s="4">
        <v>1.1E-5</v>
      </c>
      <c r="IF21" s="4">
        <v>1.08E-5</v>
      </c>
      <c r="IG21" s="4">
        <v>7.5440000000000001E-4</v>
      </c>
      <c r="IH21" s="4"/>
      <c r="II21" s="4">
        <f t="shared" si="257"/>
        <v>0.11591501959567911</v>
      </c>
      <c r="IL21">
        <f t="shared" si="258"/>
        <v>0.35570023750000024</v>
      </c>
      <c r="IP21" s="4">
        <f t="shared" si="273"/>
        <v>8.723600000000005E-3</v>
      </c>
      <c r="IQ21" s="4">
        <f t="shared" si="274"/>
        <v>7.7558000000000037E-3</v>
      </c>
      <c r="IR21" s="4">
        <f t="shared" si="261"/>
        <v>4.5133000000000048E-3</v>
      </c>
      <c r="IS21" s="4">
        <f t="shared" si="262"/>
        <v>3.1683000000000024E-3</v>
      </c>
      <c r="IT21" s="4">
        <f t="shared" si="263"/>
        <v>2.2461000000000026E-3</v>
      </c>
      <c r="IU21" s="4">
        <f t="shared" si="264"/>
        <v>5.6001999999999996E-3</v>
      </c>
      <c r="IV21" s="4">
        <f t="shared" si="265"/>
        <v>2.5137999999999966E-3</v>
      </c>
      <c r="IW21" s="4">
        <f t="shared" si="266"/>
        <v>1.6568999999999993E-3</v>
      </c>
      <c r="IX21" s="4">
        <f t="shared" si="267"/>
        <v>5.0530000000000019E-3</v>
      </c>
      <c r="IZ21">
        <f t="shared" si="270"/>
        <v>2011</v>
      </c>
      <c r="JA21">
        <f t="shared" si="268"/>
        <v>4.6384650366795324</v>
      </c>
      <c r="JB21">
        <f t="shared" si="255"/>
        <v>1.0850578653013543</v>
      </c>
      <c r="JC21">
        <f t="shared" si="255"/>
        <v>-9.8200474395671566</v>
      </c>
      <c r="JD21">
        <f t="shared" si="255"/>
        <v>-3.8603836955824233</v>
      </c>
      <c r="JE21">
        <f t="shared" si="255"/>
        <v>-2.4191890551778767</v>
      </c>
      <c r="JF21">
        <f t="shared" si="255"/>
        <v>-0.74540252449255495</v>
      </c>
      <c r="JG21">
        <f t="shared" si="255"/>
        <v>-4.3748882118860445E-2</v>
      </c>
      <c r="JH21">
        <f t="shared" si="255"/>
        <v>-0.14474400934944598</v>
      </c>
      <c r="JI21">
        <f t="shared" si="255"/>
        <v>-0.13250666944153916</v>
      </c>
    </row>
    <row r="22" spans="1:269" x14ac:dyDescent="0.35">
      <c r="A22" s="1">
        <v>14</v>
      </c>
      <c r="B22" s="4">
        <v>1.1099700000000001E-2</v>
      </c>
      <c r="C22" s="4">
        <v>1.1099599999999999E-2</v>
      </c>
      <c r="D22" s="4">
        <v>1.10402E-2</v>
      </c>
      <c r="E22" s="4">
        <v>1.0848099999999999E-2</v>
      </c>
      <c r="F22" s="4">
        <v>1.01536E-2</v>
      </c>
      <c r="G22" s="4">
        <v>9.5227999999999997E-3</v>
      </c>
      <c r="H22" s="4">
        <v>8.9119999999999998E-3</v>
      </c>
      <c r="I22" s="4">
        <v>8.2915000000000003E-3</v>
      </c>
      <c r="J22" s="4">
        <v>7.7434000000000001E-3</v>
      </c>
      <c r="K22" s="4">
        <v>7.2290000000000002E-3</v>
      </c>
      <c r="L22" s="4">
        <v>6.7489000000000004E-3</v>
      </c>
      <c r="M22" s="4">
        <v>6.0885999999999996E-3</v>
      </c>
      <c r="N22" s="4">
        <v>5.3845999999999998E-3</v>
      </c>
      <c r="O22" s="4">
        <v>4.3855999999999999E-3</v>
      </c>
      <c r="P22" s="4">
        <v>4.7705999999999998E-3</v>
      </c>
      <c r="Q22" s="4">
        <v>4.5634999999999998E-3</v>
      </c>
      <c r="R22" s="4">
        <v>4.3858999999999999E-3</v>
      </c>
      <c r="S22" s="4">
        <v>4.2198000000000001E-3</v>
      </c>
      <c r="T22" s="4">
        <v>4.0736000000000001E-3</v>
      </c>
      <c r="U22" s="4">
        <v>3.9373999999999998E-3</v>
      </c>
      <c r="V22" s="4">
        <v>3.8127999999999999E-3</v>
      </c>
      <c r="W22" s="4">
        <v>3.6965000000000001E-3</v>
      </c>
      <c r="X22" s="4">
        <v>3.588E-3</v>
      </c>
      <c r="Y22" s="4">
        <v>3.4864000000000002E-3</v>
      </c>
      <c r="Z22" s="4">
        <v>3.3909999999999999E-3</v>
      </c>
      <c r="AA22" s="4">
        <v>3.3011999999999998E-3</v>
      </c>
      <c r="AB22" s="4">
        <v>3.2166E-3</v>
      </c>
      <c r="AC22" s="4">
        <v>3.1365E-3</v>
      </c>
      <c r="AD22" s="4">
        <v>3.0607E-3</v>
      </c>
      <c r="AE22" s="4">
        <v>2.9887E-3</v>
      </c>
      <c r="AF22" s="4">
        <v>2.9202999999999998E-3</v>
      </c>
      <c r="AG22" s="4">
        <v>2.8551000000000002E-3</v>
      </c>
      <c r="AH22" s="4">
        <v>2.7929000000000001E-3</v>
      </c>
      <c r="AI22" s="4">
        <v>2.7334999999999998E-3</v>
      </c>
      <c r="AJ22" s="4">
        <v>2.6767000000000002E-3</v>
      </c>
      <c r="AK22" s="4">
        <v>2.6223000000000002E-3</v>
      </c>
      <c r="AL22" s="4">
        <v>2.5701999999999999E-3</v>
      </c>
      <c r="AM22" s="4">
        <v>2.5201999999999998E-3</v>
      </c>
      <c r="AN22" s="4">
        <v>2.4721000000000001E-3</v>
      </c>
      <c r="AO22" s="4">
        <v>2.4258999999999999E-3</v>
      </c>
      <c r="AP22" s="4">
        <v>2.3814999999999999E-3</v>
      </c>
      <c r="AQ22" s="4">
        <v>2.3387E-3</v>
      </c>
      <c r="AR22" s="4">
        <v>2.2973999999999998E-3</v>
      </c>
      <c r="AS22" s="4">
        <v>2.2575E-3</v>
      </c>
      <c r="AT22" s="4">
        <v>2.2190000000000001E-3</v>
      </c>
      <c r="AU22" s="4">
        <v>2.1817999999999998E-3</v>
      </c>
      <c r="AV22" s="4">
        <v>2.1457E-3</v>
      </c>
      <c r="AW22" s="4">
        <v>2.1107999999999999E-3</v>
      </c>
      <c r="AX22" s="4">
        <v>2.0769E-3</v>
      </c>
      <c r="AY22" s="4">
        <v>2.0439E-3</v>
      </c>
      <c r="AZ22" s="4">
        <v>2.0119000000000001E-3</v>
      </c>
      <c r="BA22" s="4">
        <v>1.9808E-3</v>
      </c>
      <c r="BB22" s="4">
        <v>1.9503999999999999E-3</v>
      </c>
      <c r="BC22" s="4">
        <v>1.9208000000000001E-3</v>
      </c>
      <c r="BD22" s="4">
        <v>1.8919E-3</v>
      </c>
      <c r="BE22" s="4">
        <v>1.8638000000000001E-3</v>
      </c>
      <c r="BF22" s="4">
        <v>1.8362000000000001E-3</v>
      </c>
      <c r="BG22" s="4">
        <v>1.8093E-3</v>
      </c>
      <c r="BH22" s="4">
        <v>1.7829E-3</v>
      </c>
      <c r="BI22" s="4">
        <v>1.7570999999999999E-3</v>
      </c>
      <c r="BJ22" s="4">
        <v>1.7317000000000001E-3</v>
      </c>
      <c r="BK22" s="4">
        <v>1.7068999999999999E-3</v>
      </c>
      <c r="BL22" s="4">
        <v>1.6826E-3</v>
      </c>
      <c r="BM22" s="4">
        <v>1.6586999999999999E-3</v>
      </c>
      <c r="BN22" s="4">
        <v>1.6352000000000001E-3</v>
      </c>
      <c r="BO22" s="4">
        <v>1.6121E-3</v>
      </c>
      <c r="BP22" s="4">
        <v>1.5893999999999999E-3</v>
      </c>
      <c r="BQ22" s="4">
        <v>1.5671000000000001E-3</v>
      </c>
      <c r="BR22" s="4">
        <v>1.5452E-3</v>
      </c>
      <c r="BS22" s="4">
        <v>1.5236E-3</v>
      </c>
      <c r="BT22" s="4">
        <v>1.5024000000000001E-3</v>
      </c>
      <c r="BU22" s="4">
        <v>1.4815E-3</v>
      </c>
      <c r="BV22" s="4">
        <v>1.4609E-3</v>
      </c>
      <c r="BW22" s="4">
        <v>1.4406E-3</v>
      </c>
      <c r="BX22" s="4">
        <v>1.4205999999999999E-3</v>
      </c>
      <c r="BY22" s="4">
        <v>1.4009000000000001E-3</v>
      </c>
      <c r="BZ22" s="4">
        <v>1.3814999999999999E-3</v>
      </c>
      <c r="CA22" s="4">
        <v>1.3623000000000001E-3</v>
      </c>
      <c r="CB22" s="4">
        <v>1.3435000000000001E-3</v>
      </c>
      <c r="CC22" s="4">
        <v>1.3247999999999999E-3</v>
      </c>
      <c r="CD22" s="4">
        <v>1.3064999999999999E-3</v>
      </c>
      <c r="CE22" s="4">
        <v>1.2884000000000001E-3</v>
      </c>
      <c r="CF22" s="4">
        <v>1.2704999999999999E-3</v>
      </c>
      <c r="CG22" s="4">
        <v>1.2528999999999999E-3</v>
      </c>
      <c r="CH22" s="4">
        <v>1.2355999999999999E-3</v>
      </c>
      <c r="CI22" s="4">
        <v>1.2183999999999999E-3</v>
      </c>
      <c r="CJ22" s="4">
        <v>1.2015000000000001E-3</v>
      </c>
      <c r="CK22" s="4">
        <v>1.1849E-3</v>
      </c>
      <c r="CL22" s="4">
        <v>1.1684E-3</v>
      </c>
      <c r="CM22" s="4">
        <v>1.1521999999999999E-3</v>
      </c>
      <c r="CN22" s="4">
        <v>1.1362E-3</v>
      </c>
      <c r="CO22" s="4">
        <v>1.1203000000000001E-3</v>
      </c>
      <c r="CP22" s="4">
        <v>1.1048E-3</v>
      </c>
      <c r="CQ22" s="4">
        <v>1.0893999999999999E-3</v>
      </c>
      <c r="CR22" s="4">
        <v>1.0742E-3</v>
      </c>
      <c r="CS22" s="4">
        <v>1.0591999999999999E-3</v>
      </c>
      <c r="CT22" s="4">
        <v>1.0444E-3</v>
      </c>
      <c r="CU22" s="4">
        <v>1.0299E-3</v>
      </c>
      <c r="CV22" s="4">
        <v>1.0154999999999999E-3</v>
      </c>
      <c r="CW22" s="4">
        <v>1.0013000000000001E-3</v>
      </c>
      <c r="CX22" s="4">
        <v>9.8729999999999998E-4</v>
      </c>
      <c r="CY22" s="4">
        <v>9.7349999999999997E-4</v>
      </c>
      <c r="CZ22" s="4">
        <v>9.5980000000000002E-4</v>
      </c>
      <c r="DA22" s="4">
        <v>9.4640000000000002E-4</v>
      </c>
      <c r="DB22" s="4">
        <v>9.3309999999999997E-4</v>
      </c>
      <c r="DC22" s="4">
        <v>9.2000000000000003E-4</v>
      </c>
      <c r="DD22" s="4">
        <v>9.0709999999999999E-4</v>
      </c>
      <c r="DE22" s="4">
        <v>8.9439999999999995E-4</v>
      </c>
      <c r="DF22" s="4">
        <v>8.8179999999999997E-4</v>
      </c>
      <c r="DG22" s="4">
        <v>8.6939999999999999E-4</v>
      </c>
      <c r="DH22" s="4">
        <v>8.5720000000000002E-4</v>
      </c>
      <c r="DI22" s="4">
        <v>8.4520000000000005E-4</v>
      </c>
      <c r="DJ22" s="4">
        <v>8.3330000000000003E-4</v>
      </c>
      <c r="DK22" s="4">
        <v>8.2149999999999996E-4</v>
      </c>
      <c r="DL22" s="4">
        <v>8.0999999999999996E-4</v>
      </c>
      <c r="DM22" s="4">
        <v>7.986E-4</v>
      </c>
      <c r="DN22" s="4">
        <v>7.873E-4</v>
      </c>
      <c r="DO22" s="4">
        <v>7.762E-4</v>
      </c>
      <c r="DP22" s="4">
        <v>7.6530000000000001E-4</v>
      </c>
      <c r="DQ22" s="4">
        <v>5.3157799999999998E-2</v>
      </c>
      <c r="DR22" s="4">
        <v>0</v>
      </c>
      <c r="DS22" s="4">
        <v>5.94E-5</v>
      </c>
      <c r="DT22" s="4">
        <v>1.9230000000000001E-4</v>
      </c>
      <c r="DU22" s="4">
        <v>7.4180000000000003E-4</v>
      </c>
      <c r="DV22" s="4">
        <v>6.4829999999999998E-4</v>
      </c>
      <c r="DW22" s="4">
        <v>6.2140000000000003E-4</v>
      </c>
      <c r="DX22" s="4">
        <v>6.2759999999999997E-4</v>
      </c>
      <c r="DY22" s="4">
        <v>5.5150000000000002E-4</v>
      </c>
      <c r="DZ22" s="4">
        <v>5.0290000000000003E-4</v>
      </c>
      <c r="EA22" s="4">
        <v>4.4450000000000002E-4</v>
      </c>
      <c r="EB22" s="4">
        <v>3.9540000000000002E-4</v>
      </c>
      <c r="EC22" s="4">
        <v>3.3510000000000001E-4</v>
      </c>
      <c r="ED22" s="4">
        <v>2.7999999999999998E-4</v>
      </c>
      <c r="EE22" s="4">
        <v>2.1460000000000001E-4</v>
      </c>
      <c r="EF22" s="4">
        <v>2.3279999999999999E-4</v>
      </c>
      <c r="EG22" s="4">
        <v>2.1029999999999999E-4</v>
      </c>
      <c r="EH22" s="4">
        <v>1.9129999999999999E-4</v>
      </c>
      <c r="EI22" s="4">
        <v>1.7430000000000001E-4</v>
      </c>
      <c r="EJ22" s="4">
        <v>1.5990000000000001E-4</v>
      </c>
      <c r="EK22" s="4">
        <v>1.471E-4</v>
      </c>
      <c r="EL22" s="4">
        <v>1.359E-4</v>
      </c>
      <c r="EM22" s="4">
        <v>1.259E-4</v>
      </c>
      <c r="EN22" s="4">
        <v>1.169E-4</v>
      </c>
      <c r="EO22" s="4">
        <v>1.089E-4</v>
      </c>
      <c r="EP22" s="4">
        <v>1.0170000000000001E-4</v>
      </c>
      <c r="EQ22" s="4">
        <v>9.5299999999999999E-5</v>
      </c>
      <c r="ER22" s="4">
        <v>8.9499999999999994E-5</v>
      </c>
      <c r="ES22" s="4">
        <v>8.42E-5</v>
      </c>
      <c r="ET22" s="4">
        <v>7.9499999999999994E-5</v>
      </c>
      <c r="EU22" s="4">
        <v>7.5199999999999998E-5</v>
      </c>
      <c r="EV22" s="4">
        <v>7.1299999999999998E-5</v>
      </c>
      <c r="EW22" s="4">
        <v>6.7700000000000006E-5</v>
      </c>
      <c r="EX22" s="4">
        <v>6.4300000000000004E-5</v>
      </c>
      <c r="EY22" s="4">
        <v>6.1299999999999999E-5</v>
      </c>
      <c r="EZ22" s="4">
        <v>5.8499999999999999E-5</v>
      </c>
      <c r="FA22" s="4">
        <v>5.5800000000000001E-5</v>
      </c>
      <c r="FB22" s="4">
        <v>5.3399999999999997E-5</v>
      </c>
      <c r="FC22" s="4">
        <v>5.1100000000000002E-5</v>
      </c>
      <c r="FD22" s="4">
        <v>4.8999999999999998E-5</v>
      </c>
      <c r="FE22" s="4">
        <v>4.6999999999999997E-5</v>
      </c>
      <c r="FF22" s="4">
        <v>4.5200000000000001E-5</v>
      </c>
      <c r="FG22" s="4">
        <v>4.35E-5</v>
      </c>
      <c r="FH22" s="4">
        <v>4.1900000000000002E-5</v>
      </c>
      <c r="FI22" s="4">
        <v>4.0399999999999999E-5</v>
      </c>
      <c r="FJ22" s="4">
        <v>3.8899999999999997E-5</v>
      </c>
      <c r="FK22" s="4">
        <v>3.7599999999999999E-5</v>
      </c>
      <c r="FL22" s="4">
        <v>3.6399999999999997E-5</v>
      </c>
      <c r="FM22" s="4">
        <v>3.5299999999999997E-5</v>
      </c>
      <c r="FN22" s="4">
        <v>3.4199999999999998E-5</v>
      </c>
      <c r="FO22" s="4">
        <v>3.3200000000000001E-5</v>
      </c>
      <c r="FP22" s="4">
        <v>3.2199999999999997E-5</v>
      </c>
      <c r="FQ22" s="4">
        <v>3.1399999999999998E-5</v>
      </c>
      <c r="FR22" s="4">
        <v>3.0499999999999999E-5</v>
      </c>
      <c r="FS22" s="4">
        <v>2.97E-5</v>
      </c>
      <c r="FT22" s="4">
        <v>2.9E-5</v>
      </c>
      <c r="FU22" s="4">
        <v>2.83E-5</v>
      </c>
      <c r="FV22" s="4">
        <v>2.76E-5</v>
      </c>
      <c r="FW22" s="4">
        <v>2.6999999999999999E-5</v>
      </c>
      <c r="FX22" s="4">
        <v>2.6400000000000001E-5</v>
      </c>
      <c r="FY22" s="4">
        <v>2.5899999999999999E-5</v>
      </c>
      <c r="FZ22" s="4">
        <v>2.5400000000000001E-5</v>
      </c>
      <c r="GA22" s="4">
        <v>2.4899999999999999E-5</v>
      </c>
      <c r="GB22" s="4">
        <v>2.44E-5</v>
      </c>
      <c r="GC22" s="4">
        <v>2.3900000000000002E-5</v>
      </c>
      <c r="GD22" s="4">
        <v>2.3499999999999999E-5</v>
      </c>
      <c r="GE22" s="4">
        <v>2.3099999999999999E-5</v>
      </c>
      <c r="GF22" s="4">
        <v>2.27E-5</v>
      </c>
      <c r="GG22" s="4">
        <v>2.23E-5</v>
      </c>
      <c r="GH22" s="4">
        <v>2.19E-5</v>
      </c>
      <c r="GI22" s="4">
        <v>2.16E-5</v>
      </c>
      <c r="GJ22" s="4">
        <v>2.12E-5</v>
      </c>
      <c r="GK22" s="4">
        <v>2.09E-5</v>
      </c>
      <c r="GL22" s="4">
        <v>2.05E-5</v>
      </c>
      <c r="GM22" s="4">
        <v>2.02E-5</v>
      </c>
      <c r="GN22" s="4">
        <v>1.9899999999999999E-5</v>
      </c>
      <c r="GO22" s="4">
        <v>1.9599999999999999E-5</v>
      </c>
      <c r="GP22" s="4">
        <v>1.9300000000000002E-5</v>
      </c>
      <c r="GQ22" s="4">
        <v>1.91E-5</v>
      </c>
      <c r="GR22" s="4">
        <v>1.88E-5</v>
      </c>
      <c r="GS22" s="4">
        <v>1.8499999999999999E-5</v>
      </c>
      <c r="GT22" s="4">
        <v>1.8300000000000001E-5</v>
      </c>
      <c r="GU22" s="4">
        <v>1.8E-5</v>
      </c>
      <c r="GV22" s="4">
        <v>1.77E-5</v>
      </c>
      <c r="GW22" s="4">
        <v>1.7499999999999998E-5</v>
      </c>
      <c r="GX22" s="4">
        <v>1.73E-5</v>
      </c>
      <c r="GY22" s="4">
        <v>1.7E-5</v>
      </c>
      <c r="GZ22" s="4">
        <v>1.6799999999999998E-5</v>
      </c>
      <c r="HA22" s="4">
        <v>1.66E-5</v>
      </c>
      <c r="HB22" s="4">
        <v>1.63E-5</v>
      </c>
      <c r="HC22" s="4">
        <v>1.6099999999999998E-5</v>
      </c>
      <c r="HD22" s="4">
        <v>1.59E-5</v>
      </c>
      <c r="HE22" s="4">
        <v>1.5699999999999999E-5</v>
      </c>
      <c r="HF22" s="4">
        <v>1.5500000000000001E-5</v>
      </c>
      <c r="HG22" s="4">
        <v>1.5299999999999999E-5</v>
      </c>
      <c r="HH22" s="4">
        <v>1.5E-5</v>
      </c>
      <c r="HI22" s="4">
        <v>1.4800000000000001E-5</v>
      </c>
      <c r="HJ22" s="4">
        <v>1.4600000000000001E-5</v>
      </c>
      <c r="HK22" s="4">
        <v>1.4399999999999999E-5</v>
      </c>
      <c r="HL22" s="4">
        <v>1.42E-5</v>
      </c>
      <c r="HM22" s="4">
        <v>1.4100000000000001E-5</v>
      </c>
      <c r="HN22" s="4">
        <v>1.3900000000000001E-5</v>
      </c>
      <c r="HO22" s="4">
        <v>1.3699999999999999E-5</v>
      </c>
      <c r="HP22" s="4">
        <v>1.3499999999999999E-5</v>
      </c>
      <c r="HQ22" s="4">
        <v>1.33E-5</v>
      </c>
      <c r="HR22" s="4">
        <v>1.31E-5</v>
      </c>
      <c r="HS22" s="4">
        <v>1.29E-5</v>
      </c>
      <c r="HT22" s="4">
        <v>1.2799999999999999E-5</v>
      </c>
      <c r="HU22" s="4">
        <v>1.26E-5</v>
      </c>
      <c r="HV22" s="4">
        <v>1.24E-5</v>
      </c>
      <c r="HW22" s="4">
        <v>1.2300000000000001E-5</v>
      </c>
      <c r="HX22" s="4">
        <v>1.2099999999999999E-5</v>
      </c>
      <c r="HY22" s="4">
        <v>1.19E-5</v>
      </c>
      <c r="HZ22" s="4">
        <v>1.1800000000000001E-5</v>
      </c>
      <c r="IA22" s="4">
        <v>1.1600000000000001E-5</v>
      </c>
      <c r="IB22" s="4">
        <v>1.1399999999999999E-5</v>
      </c>
      <c r="IC22" s="4">
        <v>1.13E-5</v>
      </c>
      <c r="ID22" s="4">
        <v>1.11E-5</v>
      </c>
      <c r="IE22" s="4">
        <v>1.1E-5</v>
      </c>
      <c r="IF22" s="4">
        <v>1.08E-5</v>
      </c>
      <c r="IG22" s="4">
        <v>7.5449999999999996E-4</v>
      </c>
      <c r="IH22" s="4"/>
      <c r="II22" s="4">
        <f t="shared" si="257"/>
        <v>0.11581763763138588</v>
      </c>
      <c r="IL22">
        <f t="shared" si="258"/>
        <v>0.35627388750000016</v>
      </c>
      <c r="IP22" s="4">
        <f t="shared" si="273"/>
        <v>8.7713999999999986E-3</v>
      </c>
      <c r="IQ22" s="4">
        <f t="shared" si="274"/>
        <v>7.8957999999999945E-3</v>
      </c>
      <c r="IR22" s="4">
        <f t="shared" si="261"/>
        <v>4.4473000000000013E-3</v>
      </c>
      <c r="IS22" s="4">
        <f t="shared" si="262"/>
        <v>3.1322999999999976E-3</v>
      </c>
      <c r="IT22" s="4">
        <f t="shared" si="263"/>
        <v>2.2210999999999967E-3</v>
      </c>
      <c r="IU22" s="4">
        <f t="shared" si="264"/>
        <v>5.5696999999999969E-3</v>
      </c>
      <c r="IV22" s="4">
        <f t="shared" si="265"/>
        <v>2.5129999999999944E-3</v>
      </c>
      <c r="IW22" s="4">
        <f t="shared" si="266"/>
        <v>1.6575000000000027E-3</v>
      </c>
      <c r="IX22" s="4">
        <f t="shared" si="267"/>
        <v>5.0546999999999953E-3</v>
      </c>
      <c r="IZ22">
        <f t="shared" si="270"/>
        <v>2011.25</v>
      </c>
      <c r="JA22">
        <f t="shared" si="268"/>
        <v>5.1849082369348567</v>
      </c>
      <c r="JB22">
        <f t="shared" si="255"/>
        <v>2.8740600622705044</v>
      </c>
      <c r="JC22">
        <f t="shared" si="255"/>
        <v>-11.293189719708758</v>
      </c>
      <c r="JD22">
        <f t="shared" si="255"/>
        <v>-5.0031444412189918</v>
      </c>
      <c r="JE22">
        <f t="shared" si="255"/>
        <v>-3.5384700812067496</v>
      </c>
      <c r="JF22">
        <f t="shared" si="255"/>
        <v>-1.2915144109404637</v>
      </c>
      <c r="JG22">
        <f t="shared" si="255"/>
        <v>-7.5578276833440525E-2</v>
      </c>
      <c r="JH22">
        <f t="shared" si="255"/>
        <v>-0.10853836087264156</v>
      </c>
      <c r="JI22">
        <f t="shared" si="255"/>
        <v>-9.886894738760002E-2</v>
      </c>
    </row>
    <row r="23" spans="1:269" x14ac:dyDescent="0.35">
      <c r="A23" s="1">
        <v>15</v>
      </c>
      <c r="B23" s="4">
        <v>1.1099700000000001E-2</v>
      </c>
      <c r="C23" s="4">
        <v>1.1099700000000001E-2</v>
      </c>
      <c r="D23" s="4">
        <v>1.10402E-2</v>
      </c>
      <c r="E23" s="4">
        <v>1.0847900000000001E-2</v>
      </c>
      <c r="F23" s="4">
        <v>1.01063E-2</v>
      </c>
      <c r="G23" s="4">
        <v>9.5052999999999995E-3</v>
      </c>
      <c r="H23" s="4">
        <v>8.9014000000000003E-3</v>
      </c>
      <c r="I23" s="4">
        <v>8.2844000000000008E-3</v>
      </c>
      <c r="J23" s="4">
        <v>7.7400000000000004E-3</v>
      </c>
      <c r="K23" s="4">
        <v>7.2405000000000004E-3</v>
      </c>
      <c r="L23" s="4">
        <v>6.7844999999999997E-3</v>
      </c>
      <c r="M23" s="4">
        <v>6.3534999999999998E-3</v>
      </c>
      <c r="N23" s="4">
        <v>5.7534999999999999E-3</v>
      </c>
      <c r="O23" s="4">
        <v>5.1045999999999999E-3</v>
      </c>
      <c r="P23" s="4">
        <v>4.1710000000000002E-3</v>
      </c>
      <c r="Q23" s="4">
        <v>4.5377999999999998E-3</v>
      </c>
      <c r="R23" s="4">
        <v>4.3531999999999998E-3</v>
      </c>
      <c r="S23" s="4">
        <v>4.1945999999999997E-3</v>
      </c>
      <c r="T23" s="4">
        <v>4.0454000000000002E-3</v>
      </c>
      <c r="U23" s="4">
        <v>3.9137E-3</v>
      </c>
      <c r="V23" s="4">
        <v>3.7902999999999999E-3</v>
      </c>
      <c r="W23" s="4">
        <v>3.6768999999999999E-3</v>
      </c>
      <c r="X23" s="4">
        <v>3.5706000000000002E-3</v>
      </c>
      <c r="Y23" s="4">
        <v>3.4711E-3</v>
      </c>
      <c r="Z23" s="4">
        <v>3.3774999999999999E-3</v>
      </c>
      <c r="AA23" s="4">
        <v>3.2893000000000002E-3</v>
      </c>
      <c r="AB23" s="4">
        <v>3.2060000000000001E-3</v>
      </c>
      <c r="AC23" s="4">
        <v>3.1270999999999998E-3</v>
      </c>
      <c r="AD23" s="4">
        <v>3.0523E-3</v>
      </c>
      <c r="AE23" s="4">
        <v>2.9811999999999998E-3</v>
      </c>
      <c r="AF23" s="4">
        <v>2.9134999999999999E-3</v>
      </c>
      <c r="AG23" s="4">
        <v>2.849E-3</v>
      </c>
      <c r="AH23" s="4">
        <v>2.7875E-3</v>
      </c>
      <c r="AI23" s="4">
        <v>2.7285999999999999E-3</v>
      </c>
      <c r="AJ23" s="4">
        <v>2.6722E-3</v>
      </c>
      <c r="AK23" s="4">
        <v>2.6183000000000001E-3</v>
      </c>
      <c r="AL23" s="4">
        <v>2.5665000000000002E-3</v>
      </c>
      <c r="AM23" s="4">
        <v>2.5168E-3</v>
      </c>
      <c r="AN23" s="4">
        <v>2.4689999999999998E-3</v>
      </c>
      <c r="AO23" s="4">
        <v>2.4231000000000001E-3</v>
      </c>
      <c r="AP23" s="4">
        <v>2.3789000000000002E-3</v>
      </c>
      <c r="AQ23" s="4">
        <v>2.3362999999999999E-3</v>
      </c>
      <c r="AR23" s="4">
        <v>2.2951999999999998E-3</v>
      </c>
      <c r="AS23" s="4">
        <v>2.2555000000000001E-3</v>
      </c>
      <c r="AT23" s="4">
        <v>2.2171999999999999E-3</v>
      </c>
      <c r="AU23" s="4">
        <v>2.1800999999999999E-3</v>
      </c>
      <c r="AV23" s="4">
        <v>2.1442000000000002E-3</v>
      </c>
      <c r="AW23" s="4">
        <v>2.1093000000000002E-3</v>
      </c>
      <c r="AX23" s="4">
        <v>2.0755000000000001E-3</v>
      </c>
      <c r="AY23" s="4">
        <v>2.0427000000000002E-3</v>
      </c>
      <c r="AZ23" s="4">
        <v>2.0108000000000001E-3</v>
      </c>
      <c r="BA23" s="4">
        <v>1.9797E-3</v>
      </c>
      <c r="BB23" s="4">
        <v>1.9494E-3</v>
      </c>
      <c r="BC23" s="4">
        <v>1.9199E-3</v>
      </c>
      <c r="BD23" s="4">
        <v>1.8910999999999999E-3</v>
      </c>
      <c r="BE23" s="4">
        <v>1.8630000000000001E-3</v>
      </c>
      <c r="BF23" s="4">
        <v>1.8354999999999999E-3</v>
      </c>
      <c r="BG23" s="4">
        <v>1.8086000000000001E-3</v>
      </c>
      <c r="BH23" s="4">
        <v>1.7822000000000001E-3</v>
      </c>
      <c r="BI23" s="4">
        <v>1.7564E-3</v>
      </c>
      <c r="BJ23" s="4">
        <v>1.7312E-3</v>
      </c>
      <c r="BK23" s="4">
        <v>1.7064000000000001E-3</v>
      </c>
      <c r="BL23" s="4">
        <v>1.6821E-3</v>
      </c>
      <c r="BM23" s="4">
        <v>1.6582000000000001E-3</v>
      </c>
      <c r="BN23" s="4">
        <v>1.6347E-3</v>
      </c>
      <c r="BO23" s="4">
        <v>1.6117E-3</v>
      </c>
      <c r="BP23" s="4">
        <v>1.5891E-3</v>
      </c>
      <c r="BQ23" s="4">
        <v>1.5667999999999999E-3</v>
      </c>
      <c r="BR23" s="4">
        <v>1.5449000000000001E-3</v>
      </c>
      <c r="BS23" s="4">
        <v>1.5233E-3</v>
      </c>
      <c r="BT23" s="4">
        <v>1.5020999999999999E-3</v>
      </c>
      <c r="BU23" s="4">
        <v>1.4812E-3</v>
      </c>
      <c r="BV23" s="4">
        <v>1.4606E-3</v>
      </c>
      <c r="BW23" s="4">
        <v>1.4403E-3</v>
      </c>
      <c r="BX23" s="4">
        <v>1.4203E-3</v>
      </c>
      <c r="BY23" s="4">
        <v>1.4006999999999999E-3</v>
      </c>
      <c r="BZ23" s="4">
        <v>1.3813E-3</v>
      </c>
      <c r="CA23" s="4">
        <v>1.3621E-3</v>
      </c>
      <c r="CB23" s="4">
        <v>1.3433E-3</v>
      </c>
      <c r="CC23" s="4">
        <v>1.3247000000000001E-3</v>
      </c>
      <c r="CD23" s="4">
        <v>1.3063E-3</v>
      </c>
      <c r="CE23" s="4">
        <v>1.2882E-3</v>
      </c>
      <c r="CF23" s="4">
        <v>1.2704000000000001E-3</v>
      </c>
      <c r="CG23" s="4">
        <v>1.2528000000000001E-3</v>
      </c>
      <c r="CH23" s="4">
        <v>1.2354E-3</v>
      </c>
      <c r="CI23" s="4">
        <v>1.2183000000000001E-3</v>
      </c>
      <c r="CJ23" s="4">
        <v>1.2014E-3</v>
      </c>
      <c r="CK23" s="4">
        <v>1.1846999999999999E-3</v>
      </c>
      <c r="CL23" s="4">
        <v>1.1682999999999999E-3</v>
      </c>
      <c r="CM23" s="4">
        <v>1.1521000000000001E-3</v>
      </c>
      <c r="CN23" s="4">
        <v>1.1360999999999999E-3</v>
      </c>
      <c r="CO23" s="4">
        <v>1.1203000000000001E-3</v>
      </c>
      <c r="CP23" s="4">
        <v>1.1046999999999999E-3</v>
      </c>
      <c r="CQ23" s="4">
        <v>1.0893000000000001E-3</v>
      </c>
      <c r="CR23" s="4">
        <v>1.0740999999999999E-3</v>
      </c>
      <c r="CS23" s="4">
        <v>1.0591000000000001E-3</v>
      </c>
      <c r="CT23" s="4">
        <v>1.0444E-3</v>
      </c>
      <c r="CU23" s="4">
        <v>1.0298E-3</v>
      </c>
      <c r="CV23" s="4">
        <v>1.0154000000000001E-3</v>
      </c>
      <c r="CW23" s="4">
        <v>1.0012E-3</v>
      </c>
      <c r="CX23" s="4">
        <v>9.8719999999999993E-4</v>
      </c>
      <c r="CY23" s="4">
        <v>9.7340000000000002E-4</v>
      </c>
      <c r="CZ23" s="4">
        <v>9.5980000000000002E-4</v>
      </c>
      <c r="DA23" s="4">
        <v>9.4640000000000002E-4</v>
      </c>
      <c r="DB23" s="4">
        <v>9.3309999999999997E-4</v>
      </c>
      <c r="DC23" s="4">
        <v>9.2000000000000003E-4</v>
      </c>
      <c r="DD23" s="4">
        <v>9.0709999999999999E-4</v>
      </c>
      <c r="DE23" s="4">
        <v>8.9439999999999995E-4</v>
      </c>
      <c r="DF23" s="4">
        <v>8.8179999999999997E-4</v>
      </c>
      <c r="DG23" s="4">
        <v>8.6939999999999999E-4</v>
      </c>
      <c r="DH23" s="4">
        <v>8.5720000000000002E-4</v>
      </c>
      <c r="DI23" s="4">
        <v>8.451E-4</v>
      </c>
      <c r="DJ23" s="4">
        <v>8.3330000000000003E-4</v>
      </c>
      <c r="DK23" s="4">
        <v>8.2149999999999996E-4</v>
      </c>
      <c r="DL23" s="4">
        <v>8.0999999999999996E-4</v>
      </c>
      <c r="DM23" s="4">
        <v>7.9849999999999995E-4</v>
      </c>
      <c r="DN23" s="4">
        <v>7.873E-4</v>
      </c>
      <c r="DO23" s="4">
        <v>7.762E-4</v>
      </c>
      <c r="DP23" s="4">
        <v>7.6519999999999995E-4</v>
      </c>
      <c r="DQ23" s="4">
        <v>5.3157799999999998E-2</v>
      </c>
      <c r="DR23" s="4">
        <v>0</v>
      </c>
      <c r="DS23" s="4">
        <v>5.94E-5</v>
      </c>
      <c r="DT23" s="4">
        <v>1.9220000000000001E-4</v>
      </c>
      <c r="DU23" s="4">
        <v>7.4229999999999999E-4</v>
      </c>
      <c r="DV23" s="4">
        <v>6.2980000000000002E-4</v>
      </c>
      <c r="DW23" s="4">
        <v>6.1229999999999998E-4</v>
      </c>
      <c r="DX23" s="4">
        <v>6.2359999999999998E-4</v>
      </c>
      <c r="DY23" s="4">
        <v>5.4819999999999999E-4</v>
      </c>
      <c r="DZ23" s="4">
        <v>5.0089999999999998E-4</v>
      </c>
      <c r="EA23" s="4">
        <v>4.4289999999999998E-4</v>
      </c>
      <c r="EB23" s="4">
        <v>3.9510000000000001E-4</v>
      </c>
      <c r="EC23" s="4">
        <v>3.5070000000000001E-4</v>
      </c>
      <c r="ED23" s="4">
        <v>2.99E-4</v>
      </c>
      <c r="EE23" s="4">
        <v>2.5050000000000002E-4</v>
      </c>
      <c r="EF23" s="4">
        <v>1.928E-4</v>
      </c>
      <c r="EG23" s="4">
        <v>2.0880000000000001E-4</v>
      </c>
      <c r="EH23" s="4">
        <v>1.895E-4</v>
      </c>
      <c r="EI23" s="4">
        <v>1.7320000000000001E-4</v>
      </c>
      <c r="EJ23" s="4">
        <v>1.5860000000000001E-4</v>
      </c>
      <c r="EK23" s="4">
        <v>1.461E-4</v>
      </c>
      <c r="EL23" s="4">
        <v>1.349E-4</v>
      </c>
      <c r="EM23" s="4">
        <v>1.25E-4</v>
      </c>
      <c r="EN23" s="4">
        <v>1.1620000000000001E-4</v>
      </c>
      <c r="EO23" s="4">
        <v>1.083E-4</v>
      </c>
      <c r="EP23" s="4">
        <v>1.0119999999999999E-4</v>
      </c>
      <c r="EQ23" s="4">
        <v>9.48E-5</v>
      </c>
      <c r="ER23" s="4">
        <v>8.8999999999999995E-5</v>
      </c>
      <c r="ES23" s="4">
        <v>8.3900000000000006E-5</v>
      </c>
      <c r="ET23" s="4">
        <v>7.9200000000000001E-5</v>
      </c>
      <c r="EU23" s="4">
        <v>7.4900000000000005E-5</v>
      </c>
      <c r="EV23" s="4">
        <v>7.1000000000000005E-5</v>
      </c>
      <c r="EW23" s="4">
        <v>6.7399999999999998E-5</v>
      </c>
      <c r="EX23" s="4">
        <v>6.41E-5</v>
      </c>
      <c r="EY23" s="4">
        <v>6.1099999999999994E-5</v>
      </c>
      <c r="EZ23" s="4">
        <v>5.8300000000000001E-5</v>
      </c>
      <c r="FA23" s="4">
        <v>5.5699999999999999E-5</v>
      </c>
      <c r="FB23" s="4">
        <v>5.3300000000000001E-5</v>
      </c>
      <c r="FC23" s="4">
        <v>5.1E-5</v>
      </c>
      <c r="FD23" s="4">
        <v>4.8900000000000003E-5</v>
      </c>
      <c r="FE23" s="4">
        <v>4.6900000000000002E-5</v>
      </c>
      <c r="FF23" s="4">
        <v>4.5099999999999998E-5</v>
      </c>
      <c r="FG23" s="4">
        <v>4.3399999999999998E-5</v>
      </c>
      <c r="FH23" s="4">
        <v>4.18E-5</v>
      </c>
      <c r="FI23" s="4">
        <v>4.0299999999999997E-5</v>
      </c>
      <c r="FJ23" s="4">
        <v>3.8899999999999997E-5</v>
      </c>
      <c r="FK23" s="4">
        <v>3.7599999999999999E-5</v>
      </c>
      <c r="FL23" s="4">
        <v>3.6399999999999997E-5</v>
      </c>
      <c r="FM23" s="4">
        <v>3.5200000000000002E-5</v>
      </c>
      <c r="FN23" s="4">
        <v>3.4100000000000002E-5</v>
      </c>
      <c r="FO23" s="4">
        <v>3.3099999999999998E-5</v>
      </c>
      <c r="FP23" s="4">
        <v>3.2199999999999997E-5</v>
      </c>
      <c r="FQ23" s="4">
        <v>3.1300000000000002E-5</v>
      </c>
      <c r="FR23" s="4">
        <v>3.0499999999999999E-5</v>
      </c>
      <c r="FS23" s="4">
        <v>2.97E-5</v>
      </c>
      <c r="FT23" s="4">
        <v>2.9E-5</v>
      </c>
      <c r="FU23" s="4">
        <v>2.83E-5</v>
      </c>
      <c r="FV23" s="4">
        <v>2.76E-5</v>
      </c>
      <c r="FW23" s="4">
        <v>2.6999999999999999E-5</v>
      </c>
      <c r="FX23" s="4">
        <v>2.6400000000000001E-5</v>
      </c>
      <c r="FY23" s="4">
        <v>2.5899999999999999E-5</v>
      </c>
      <c r="FZ23" s="4">
        <v>2.5299999999999998E-5</v>
      </c>
      <c r="GA23" s="4">
        <v>2.48E-5</v>
      </c>
      <c r="GB23" s="4">
        <v>2.44E-5</v>
      </c>
      <c r="GC23" s="4">
        <v>2.3900000000000002E-5</v>
      </c>
      <c r="GD23" s="4">
        <v>2.3499999999999999E-5</v>
      </c>
      <c r="GE23" s="4">
        <v>2.3099999999999999E-5</v>
      </c>
      <c r="GF23" s="4">
        <v>2.27E-5</v>
      </c>
      <c r="GG23" s="4">
        <v>2.23E-5</v>
      </c>
      <c r="GH23" s="4">
        <v>2.19E-5</v>
      </c>
      <c r="GI23" s="4">
        <v>2.1500000000000001E-5</v>
      </c>
      <c r="GJ23" s="4">
        <v>2.12E-5</v>
      </c>
      <c r="GK23" s="4">
        <v>2.09E-5</v>
      </c>
      <c r="GL23" s="4">
        <v>2.05E-5</v>
      </c>
      <c r="GM23" s="4">
        <v>2.02E-5</v>
      </c>
      <c r="GN23" s="4">
        <v>1.9899999999999999E-5</v>
      </c>
      <c r="GO23" s="4">
        <v>1.9599999999999999E-5</v>
      </c>
      <c r="GP23" s="4">
        <v>1.9300000000000002E-5</v>
      </c>
      <c r="GQ23" s="4">
        <v>1.91E-5</v>
      </c>
      <c r="GR23" s="4">
        <v>1.88E-5</v>
      </c>
      <c r="GS23" s="4">
        <v>1.8499999999999999E-5</v>
      </c>
      <c r="GT23" s="4">
        <v>1.8300000000000001E-5</v>
      </c>
      <c r="GU23" s="4">
        <v>1.8E-5</v>
      </c>
      <c r="GV23" s="4">
        <v>1.77E-5</v>
      </c>
      <c r="GW23" s="4">
        <v>1.7499999999999998E-5</v>
      </c>
      <c r="GX23" s="4">
        <v>1.73E-5</v>
      </c>
      <c r="GY23" s="4">
        <v>1.7E-5</v>
      </c>
      <c r="GZ23" s="4">
        <v>1.6799999999999998E-5</v>
      </c>
      <c r="HA23" s="4">
        <v>1.66E-5</v>
      </c>
      <c r="HB23" s="4">
        <v>1.63E-5</v>
      </c>
      <c r="HC23" s="4">
        <v>1.6099999999999998E-5</v>
      </c>
      <c r="HD23" s="4">
        <v>1.59E-5</v>
      </c>
      <c r="HE23" s="4">
        <v>1.5699999999999999E-5</v>
      </c>
      <c r="HF23" s="4">
        <v>1.5500000000000001E-5</v>
      </c>
      <c r="HG23" s="4">
        <v>1.5299999999999999E-5</v>
      </c>
      <c r="HH23" s="4">
        <v>1.5E-5</v>
      </c>
      <c r="HI23" s="4">
        <v>1.4800000000000001E-5</v>
      </c>
      <c r="HJ23" s="4">
        <v>1.4600000000000001E-5</v>
      </c>
      <c r="HK23" s="4">
        <v>1.4399999999999999E-5</v>
      </c>
      <c r="HL23" s="4">
        <v>1.42E-5</v>
      </c>
      <c r="HM23" s="4">
        <v>1.4100000000000001E-5</v>
      </c>
      <c r="HN23" s="4">
        <v>1.3900000000000001E-5</v>
      </c>
      <c r="HO23" s="4">
        <v>1.3699999999999999E-5</v>
      </c>
      <c r="HP23" s="4">
        <v>1.3499999999999999E-5</v>
      </c>
      <c r="HQ23" s="4">
        <v>1.33E-5</v>
      </c>
      <c r="HR23" s="4">
        <v>1.31E-5</v>
      </c>
      <c r="HS23" s="4">
        <v>1.29E-5</v>
      </c>
      <c r="HT23" s="4">
        <v>1.2799999999999999E-5</v>
      </c>
      <c r="HU23" s="4">
        <v>1.26E-5</v>
      </c>
      <c r="HV23" s="4">
        <v>1.24E-5</v>
      </c>
      <c r="HW23" s="4">
        <v>1.2300000000000001E-5</v>
      </c>
      <c r="HX23" s="4">
        <v>1.2099999999999999E-5</v>
      </c>
      <c r="HY23" s="4">
        <v>1.19E-5</v>
      </c>
      <c r="HZ23" s="4">
        <v>1.1800000000000001E-5</v>
      </c>
      <c r="IA23" s="4">
        <v>1.1600000000000001E-5</v>
      </c>
      <c r="IB23" s="4">
        <v>1.1399999999999999E-5</v>
      </c>
      <c r="IC23" s="4">
        <v>1.13E-5</v>
      </c>
      <c r="ID23" s="4">
        <v>1.11E-5</v>
      </c>
      <c r="IE23" s="4">
        <v>1.1E-5</v>
      </c>
      <c r="IF23" s="4">
        <v>1.08E-5</v>
      </c>
      <c r="IG23" s="4">
        <v>7.5449999999999996E-4</v>
      </c>
      <c r="IH23" s="4"/>
      <c r="II23" s="4">
        <f t="shared" si="257"/>
        <v>0.1161465523480867</v>
      </c>
      <c r="IL23">
        <f t="shared" si="258"/>
        <v>0.35680697500000058</v>
      </c>
      <c r="IP23" s="4">
        <f t="shared" si="273"/>
        <v>8.8227999999999987E-3</v>
      </c>
      <c r="IQ23" s="4">
        <f t="shared" si="274"/>
        <v>8.0010000000000046E-3</v>
      </c>
      <c r="IR23" s="4">
        <f t="shared" si="261"/>
        <v>4.522799999999997E-3</v>
      </c>
      <c r="IS23" s="4">
        <f t="shared" si="262"/>
        <v>3.1140999999999981E-3</v>
      </c>
      <c r="IT23" s="4">
        <f t="shared" si="263"/>
        <v>2.2053000000000003E-3</v>
      </c>
      <c r="IU23" s="4">
        <f t="shared" si="264"/>
        <v>5.5489000000000024E-3</v>
      </c>
      <c r="IV23" s="4">
        <f t="shared" si="265"/>
        <v>2.5131999999999932E-3</v>
      </c>
      <c r="IW23" s="4">
        <f t="shared" si="266"/>
        <v>1.6581000000000026E-3</v>
      </c>
      <c r="IX23" s="4">
        <f t="shared" si="267"/>
        <v>5.0556999999999686E-3</v>
      </c>
      <c r="IZ23">
        <f t="shared" si="270"/>
        <v>2011.5</v>
      </c>
      <c r="JA23">
        <f t="shared" si="268"/>
        <v>5.7691933562156263</v>
      </c>
      <c r="JB23">
        <f t="shared" si="255"/>
        <v>4.1976161960952707</v>
      </c>
      <c r="JC23">
        <f t="shared" si="255"/>
        <v>-9.6097796581094155</v>
      </c>
      <c r="JD23">
        <f t="shared" si="255"/>
        <v>-5.5858817460139587</v>
      </c>
      <c r="JE23">
        <f t="shared" si="255"/>
        <v>-4.2523715408377409</v>
      </c>
      <c r="JF23">
        <f t="shared" si="255"/>
        <v>-1.6656626717716572</v>
      </c>
      <c r="JG23">
        <f t="shared" si="255"/>
        <v>-6.7619978313502263E-2</v>
      </c>
      <c r="JH23">
        <f t="shared" si="255"/>
        <v>-7.2345816141700381E-2</v>
      </c>
      <c r="JI23">
        <f t="shared" si="255"/>
        <v>-7.9087336309220685E-2</v>
      </c>
    </row>
    <row r="24" spans="1:269" x14ac:dyDescent="0.35">
      <c r="A24" s="1">
        <v>16</v>
      </c>
      <c r="B24" s="4">
        <v>1.1099700000000001E-2</v>
      </c>
      <c r="C24" s="4">
        <v>1.1099700000000001E-2</v>
      </c>
      <c r="D24" s="4">
        <v>1.1040299999999999E-2</v>
      </c>
      <c r="E24" s="4">
        <v>1.0848E-2</v>
      </c>
      <c r="F24" s="4">
        <v>1.0105599999999999E-2</v>
      </c>
      <c r="G24" s="4">
        <v>9.4766E-3</v>
      </c>
      <c r="H24" s="4">
        <v>8.8929999999999999E-3</v>
      </c>
      <c r="I24" s="4">
        <v>8.2778000000000001E-3</v>
      </c>
      <c r="J24" s="4">
        <v>7.7362000000000004E-3</v>
      </c>
      <c r="K24" s="4">
        <v>7.2392000000000003E-3</v>
      </c>
      <c r="L24" s="4">
        <v>6.7976E-3</v>
      </c>
      <c r="M24" s="4">
        <v>6.3893999999999999E-3</v>
      </c>
      <c r="N24" s="4">
        <v>6.0028E-3</v>
      </c>
      <c r="O24" s="4">
        <v>5.4546000000000004E-3</v>
      </c>
      <c r="P24" s="4">
        <v>4.8541000000000001E-3</v>
      </c>
      <c r="Q24" s="4">
        <v>3.9782000000000003E-3</v>
      </c>
      <c r="R24" s="4">
        <v>4.3290000000000004E-3</v>
      </c>
      <c r="S24" s="4">
        <v>4.1635999999999999E-3</v>
      </c>
      <c r="T24" s="4">
        <v>4.0213999999999996E-3</v>
      </c>
      <c r="U24" s="4">
        <v>3.8868000000000002E-3</v>
      </c>
      <c r="V24" s="4">
        <v>3.7675999999999999E-3</v>
      </c>
      <c r="W24" s="4">
        <v>3.6554000000000001E-3</v>
      </c>
      <c r="X24" s="4">
        <v>3.5519000000000002E-3</v>
      </c>
      <c r="Y24" s="4">
        <v>3.4545000000000001E-3</v>
      </c>
      <c r="Z24" s="4">
        <v>3.3628E-3</v>
      </c>
      <c r="AA24" s="4">
        <v>3.2762999999999998E-3</v>
      </c>
      <c r="AB24" s="4">
        <v>3.1944999999999999E-3</v>
      </c>
      <c r="AC24" s="4">
        <v>3.1169000000000001E-3</v>
      </c>
      <c r="AD24" s="4">
        <v>3.0433000000000001E-3</v>
      </c>
      <c r="AE24" s="4">
        <v>2.9730999999999998E-3</v>
      </c>
      <c r="AF24" s="4">
        <v>2.9063000000000001E-3</v>
      </c>
      <c r="AG24" s="4">
        <v>2.8425999999999998E-3</v>
      </c>
      <c r="AH24" s="4">
        <v>2.7816E-3</v>
      </c>
      <c r="AI24" s="4">
        <v>2.7233000000000001E-3</v>
      </c>
      <c r="AJ24" s="4">
        <v>2.6675000000000002E-3</v>
      </c>
      <c r="AK24" s="4">
        <v>2.6139000000000002E-3</v>
      </c>
      <c r="AL24" s="4">
        <v>2.5625999999999999E-3</v>
      </c>
      <c r="AM24" s="4">
        <v>2.5132000000000002E-3</v>
      </c>
      <c r="AN24" s="4">
        <v>2.4658000000000002E-3</v>
      </c>
      <c r="AO24" s="4">
        <v>2.4202E-3</v>
      </c>
      <c r="AP24" s="4">
        <v>2.3762000000000002E-3</v>
      </c>
      <c r="AQ24" s="4">
        <v>2.3338E-3</v>
      </c>
      <c r="AR24" s="4">
        <v>2.2929000000000001E-3</v>
      </c>
      <c r="AS24" s="4">
        <v>2.2534E-3</v>
      </c>
      <c r="AT24" s="4">
        <v>2.2152999999999999E-3</v>
      </c>
      <c r="AU24" s="4">
        <v>2.1783000000000002E-3</v>
      </c>
      <c r="AV24" s="4">
        <v>2.1424999999999999E-3</v>
      </c>
      <c r="AW24" s="4">
        <v>2.1078E-3</v>
      </c>
      <c r="AX24" s="4">
        <v>2.0741000000000002E-3</v>
      </c>
      <c r="AY24" s="4">
        <v>2.0414000000000001E-3</v>
      </c>
      <c r="AZ24" s="4">
        <v>2.0095E-3</v>
      </c>
      <c r="BA24" s="4">
        <v>1.9786000000000001E-3</v>
      </c>
      <c r="BB24" s="4">
        <v>1.9484000000000001E-3</v>
      </c>
      <c r="BC24" s="4">
        <v>1.9189000000000001E-3</v>
      </c>
      <c r="BD24" s="4">
        <v>1.8902000000000001E-3</v>
      </c>
      <c r="BE24" s="4">
        <v>1.8621E-3</v>
      </c>
      <c r="BF24" s="4">
        <v>1.8347000000000001E-3</v>
      </c>
      <c r="BG24" s="4">
        <v>1.8078E-3</v>
      </c>
      <c r="BH24" s="4">
        <v>1.7815000000000001E-3</v>
      </c>
      <c r="BI24" s="4">
        <v>1.7558000000000001E-3</v>
      </c>
      <c r="BJ24" s="4">
        <v>1.7306000000000001E-3</v>
      </c>
      <c r="BK24" s="4">
        <v>1.7057999999999999E-3</v>
      </c>
      <c r="BL24" s="4">
        <v>1.6815000000000001E-3</v>
      </c>
      <c r="BM24" s="4">
        <v>1.6577E-3</v>
      </c>
      <c r="BN24" s="4">
        <v>1.6343E-3</v>
      </c>
      <c r="BO24" s="4">
        <v>1.6113E-3</v>
      </c>
      <c r="BP24" s="4">
        <v>1.5885999999999999E-3</v>
      </c>
      <c r="BQ24" s="4">
        <v>1.5663999999999999E-3</v>
      </c>
      <c r="BR24" s="4">
        <v>1.5445000000000001E-3</v>
      </c>
      <c r="BS24" s="4">
        <v>1.523E-3</v>
      </c>
      <c r="BT24" s="4">
        <v>1.5018E-3</v>
      </c>
      <c r="BU24" s="4">
        <v>1.4809000000000001E-3</v>
      </c>
      <c r="BV24" s="4">
        <v>1.4603000000000001E-3</v>
      </c>
      <c r="BW24" s="4">
        <v>1.4400999999999999E-3</v>
      </c>
      <c r="BX24" s="4">
        <v>1.4201000000000001E-3</v>
      </c>
      <c r="BY24" s="4">
        <v>1.4004E-3</v>
      </c>
      <c r="BZ24" s="4">
        <v>1.3810000000000001E-3</v>
      </c>
      <c r="CA24" s="4">
        <v>1.3619000000000001E-3</v>
      </c>
      <c r="CB24" s="4">
        <v>1.3431000000000001E-3</v>
      </c>
      <c r="CC24" s="4">
        <v>1.3244999999999999E-3</v>
      </c>
      <c r="CD24" s="4">
        <v>1.3060999999999999E-3</v>
      </c>
      <c r="CE24" s="4">
        <v>1.2880999999999999E-3</v>
      </c>
      <c r="CF24" s="4">
        <v>1.2702E-3</v>
      </c>
      <c r="CG24" s="4">
        <v>1.2526E-3</v>
      </c>
      <c r="CH24" s="4">
        <v>1.2352999999999999E-3</v>
      </c>
      <c r="CI24" s="4">
        <v>1.2182E-3</v>
      </c>
      <c r="CJ24" s="4">
        <v>1.2013E-3</v>
      </c>
      <c r="CK24" s="4">
        <v>1.1846000000000001E-3</v>
      </c>
      <c r="CL24" s="4">
        <v>1.1682000000000001E-3</v>
      </c>
      <c r="CM24" s="4">
        <v>1.152E-3</v>
      </c>
      <c r="CN24" s="4">
        <v>1.1360000000000001E-3</v>
      </c>
      <c r="CO24" s="4">
        <v>1.1202E-3</v>
      </c>
      <c r="CP24" s="4">
        <v>1.1046000000000001E-3</v>
      </c>
      <c r="CQ24" s="4">
        <v>1.0892E-3</v>
      </c>
      <c r="CR24" s="4">
        <v>1.0740000000000001E-3</v>
      </c>
      <c r="CS24" s="4">
        <v>1.0591000000000001E-3</v>
      </c>
      <c r="CT24" s="4">
        <v>1.0443E-3</v>
      </c>
      <c r="CU24" s="4">
        <v>1.0296999999999999E-3</v>
      </c>
      <c r="CV24" s="4">
        <v>1.0154000000000001E-3</v>
      </c>
      <c r="CW24" s="4">
        <v>1.0012E-3</v>
      </c>
      <c r="CX24" s="4">
        <v>9.8719999999999993E-4</v>
      </c>
      <c r="CY24" s="4">
        <v>9.7340000000000002E-4</v>
      </c>
      <c r="CZ24" s="4">
        <v>9.5969999999999996E-4</v>
      </c>
      <c r="DA24" s="4">
        <v>9.4629999999999996E-4</v>
      </c>
      <c r="DB24" s="4">
        <v>9.3300000000000002E-4</v>
      </c>
      <c r="DC24" s="4">
        <v>9.2000000000000003E-4</v>
      </c>
      <c r="DD24" s="4">
        <v>9.0709999999999999E-4</v>
      </c>
      <c r="DE24" s="4">
        <v>8.943E-4</v>
      </c>
      <c r="DF24" s="4">
        <v>8.8179999999999997E-4</v>
      </c>
      <c r="DG24" s="4">
        <v>8.6939999999999999E-4</v>
      </c>
      <c r="DH24" s="4">
        <v>8.5720000000000002E-4</v>
      </c>
      <c r="DI24" s="4">
        <v>8.451E-4</v>
      </c>
      <c r="DJ24" s="4">
        <v>8.3319999999999998E-4</v>
      </c>
      <c r="DK24" s="4">
        <v>8.2149999999999996E-4</v>
      </c>
      <c r="DL24" s="4">
        <v>8.0990000000000001E-4</v>
      </c>
      <c r="DM24" s="4">
        <v>7.9849999999999995E-4</v>
      </c>
      <c r="DN24" s="4">
        <v>7.873E-4</v>
      </c>
      <c r="DO24" s="4">
        <v>7.762E-4</v>
      </c>
      <c r="DP24" s="4">
        <v>7.6519999999999995E-4</v>
      </c>
      <c r="DQ24" s="4">
        <v>5.3157700000000002E-2</v>
      </c>
      <c r="DR24" s="4">
        <v>0</v>
      </c>
      <c r="DS24" s="4">
        <v>5.94E-5</v>
      </c>
      <c r="DT24" s="4">
        <v>1.9249999999999999E-4</v>
      </c>
      <c r="DU24" s="4">
        <v>7.4319999999999996E-4</v>
      </c>
      <c r="DV24" s="4">
        <v>6.3040000000000004E-4</v>
      </c>
      <c r="DW24" s="4">
        <v>6.0559999999999998E-4</v>
      </c>
      <c r="DX24" s="4">
        <v>6.2569999999999998E-4</v>
      </c>
      <c r="DY24" s="4">
        <v>5.486E-4</v>
      </c>
      <c r="DZ24" s="4">
        <v>5.0100000000000003E-4</v>
      </c>
      <c r="EA24" s="4">
        <v>4.4289999999999998E-4</v>
      </c>
      <c r="EB24" s="4">
        <v>3.9540000000000002E-4</v>
      </c>
      <c r="EC24" s="4">
        <v>3.5189999999999999E-4</v>
      </c>
      <c r="ED24" s="4">
        <v>3.1369999999999998E-4</v>
      </c>
      <c r="EE24" s="4">
        <v>2.6830000000000002E-4</v>
      </c>
      <c r="EF24" s="4">
        <v>2.2580000000000001E-4</v>
      </c>
      <c r="EG24" s="4">
        <v>1.7450000000000001E-4</v>
      </c>
      <c r="EH24" s="4">
        <v>1.8870000000000001E-4</v>
      </c>
      <c r="EI24" s="4">
        <v>1.7210000000000001E-4</v>
      </c>
      <c r="EJ24" s="4">
        <v>1.5789999999999999E-4</v>
      </c>
      <c r="EK24" s="4">
        <v>1.451E-4</v>
      </c>
      <c r="EL24" s="4">
        <v>1.3410000000000001E-4</v>
      </c>
      <c r="EM24" s="4">
        <v>1.2430000000000001E-4</v>
      </c>
      <c r="EN24" s="4">
        <v>1.155E-4</v>
      </c>
      <c r="EO24" s="4">
        <v>1.077E-4</v>
      </c>
      <c r="EP24" s="4">
        <v>1.0069999999999999E-4</v>
      </c>
      <c r="EQ24" s="4">
        <v>9.4400000000000004E-5</v>
      </c>
      <c r="ER24" s="4">
        <v>8.8700000000000001E-5</v>
      </c>
      <c r="ES24" s="4">
        <v>8.3499999999999997E-5</v>
      </c>
      <c r="ET24" s="4">
        <v>7.8899999999999993E-5</v>
      </c>
      <c r="EU24" s="4">
        <v>7.4599999999999997E-5</v>
      </c>
      <c r="EV24" s="4">
        <v>7.08E-5</v>
      </c>
      <c r="EW24" s="4">
        <v>6.7199999999999994E-5</v>
      </c>
      <c r="EX24" s="4">
        <v>6.3999999999999997E-5</v>
      </c>
      <c r="EY24" s="4">
        <v>6.0900000000000003E-5</v>
      </c>
      <c r="EZ24" s="4">
        <v>5.8100000000000003E-5</v>
      </c>
      <c r="FA24" s="4">
        <v>5.5500000000000001E-5</v>
      </c>
      <c r="FB24" s="4">
        <v>5.3100000000000003E-5</v>
      </c>
      <c r="FC24" s="4">
        <v>5.0899999999999997E-5</v>
      </c>
      <c r="FD24" s="4">
        <v>4.88E-5</v>
      </c>
      <c r="FE24" s="4">
        <v>4.6799999999999999E-5</v>
      </c>
      <c r="FF24" s="4">
        <v>4.5000000000000003E-5</v>
      </c>
      <c r="FG24" s="4">
        <v>4.3300000000000002E-5</v>
      </c>
      <c r="FH24" s="4">
        <v>4.1699999999999997E-5</v>
      </c>
      <c r="FI24" s="4">
        <v>4.0200000000000001E-5</v>
      </c>
      <c r="FJ24" s="4">
        <v>3.8800000000000001E-5</v>
      </c>
      <c r="FK24" s="4">
        <v>3.7499999999999997E-5</v>
      </c>
      <c r="FL24" s="4">
        <v>3.6300000000000001E-5</v>
      </c>
      <c r="FM24" s="4">
        <v>3.5200000000000002E-5</v>
      </c>
      <c r="FN24" s="4">
        <v>3.4100000000000002E-5</v>
      </c>
      <c r="FO24" s="4">
        <v>3.3099999999999998E-5</v>
      </c>
      <c r="FP24" s="4">
        <v>3.2199999999999997E-5</v>
      </c>
      <c r="FQ24" s="4">
        <v>3.1300000000000002E-5</v>
      </c>
      <c r="FR24" s="4">
        <v>3.0499999999999999E-5</v>
      </c>
      <c r="FS24" s="4">
        <v>2.97E-5</v>
      </c>
      <c r="FT24" s="4">
        <v>2.8900000000000001E-5</v>
      </c>
      <c r="FU24" s="4">
        <v>2.83E-5</v>
      </c>
      <c r="FV24" s="4">
        <v>2.76E-5</v>
      </c>
      <c r="FW24" s="4">
        <v>2.6999999999999999E-5</v>
      </c>
      <c r="FX24" s="4">
        <v>2.6400000000000001E-5</v>
      </c>
      <c r="FY24" s="4">
        <v>2.58E-5</v>
      </c>
      <c r="FZ24" s="4">
        <v>2.5299999999999998E-5</v>
      </c>
      <c r="GA24" s="4">
        <v>2.48E-5</v>
      </c>
      <c r="GB24" s="4">
        <v>2.4300000000000001E-5</v>
      </c>
      <c r="GC24" s="4">
        <v>2.3900000000000002E-5</v>
      </c>
      <c r="GD24" s="4">
        <v>2.3499999999999999E-5</v>
      </c>
      <c r="GE24" s="4">
        <v>2.3E-5</v>
      </c>
      <c r="GF24" s="4">
        <v>2.26E-5</v>
      </c>
      <c r="GG24" s="4">
        <v>2.23E-5</v>
      </c>
      <c r="GH24" s="4">
        <v>2.19E-5</v>
      </c>
      <c r="GI24" s="4">
        <v>2.1500000000000001E-5</v>
      </c>
      <c r="GJ24" s="4">
        <v>2.12E-5</v>
      </c>
      <c r="GK24" s="4">
        <v>2.09E-5</v>
      </c>
      <c r="GL24" s="4">
        <v>2.05E-5</v>
      </c>
      <c r="GM24" s="4">
        <v>2.02E-5</v>
      </c>
      <c r="GN24" s="4">
        <v>1.9899999999999999E-5</v>
      </c>
      <c r="GO24" s="4">
        <v>1.9599999999999999E-5</v>
      </c>
      <c r="GP24" s="4">
        <v>1.9300000000000002E-5</v>
      </c>
      <c r="GQ24" s="4">
        <v>1.91E-5</v>
      </c>
      <c r="GR24" s="4">
        <v>1.88E-5</v>
      </c>
      <c r="GS24" s="4">
        <v>1.8499999999999999E-5</v>
      </c>
      <c r="GT24" s="4">
        <v>1.8199999999999999E-5</v>
      </c>
      <c r="GU24" s="4">
        <v>1.8E-5</v>
      </c>
      <c r="GV24" s="4">
        <v>1.77E-5</v>
      </c>
      <c r="GW24" s="4">
        <v>1.7499999999999998E-5</v>
      </c>
      <c r="GX24" s="4">
        <v>1.73E-5</v>
      </c>
      <c r="GY24" s="4">
        <v>1.7E-5</v>
      </c>
      <c r="GZ24" s="4">
        <v>1.6799999999999998E-5</v>
      </c>
      <c r="HA24" s="4">
        <v>1.66E-5</v>
      </c>
      <c r="HB24" s="4">
        <v>1.63E-5</v>
      </c>
      <c r="HC24" s="4">
        <v>1.6099999999999998E-5</v>
      </c>
      <c r="HD24" s="4">
        <v>1.59E-5</v>
      </c>
      <c r="HE24" s="4">
        <v>1.5699999999999999E-5</v>
      </c>
      <c r="HF24" s="4">
        <v>1.5500000000000001E-5</v>
      </c>
      <c r="HG24" s="4">
        <v>1.52E-5</v>
      </c>
      <c r="HH24" s="4">
        <v>1.5E-5</v>
      </c>
      <c r="HI24" s="4">
        <v>1.4800000000000001E-5</v>
      </c>
      <c r="HJ24" s="4">
        <v>1.4600000000000001E-5</v>
      </c>
      <c r="HK24" s="4">
        <v>1.4399999999999999E-5</v>
      </c>
      <c r="HL24" s="4">
        <v>1.42E-5</v>
      </c>
      <c r="HM24" s="4">
        <v>1.4100000000000001E-5</v>
      </c>
      <c r="HN24" s="4">
        <v>1.3900000000000001E-5</v>
      </c>
      <c r="HO24" s="4">
        <v>1.3699999999999999E-5</v>
      </c>
      <c r="HP24" s="4">
        <v>1.3499999999999999E-5</v>
      </c>
      <c r="HQ24" s="4">
        <v>1.33E-5</v>
      </c>
      <c r="HR24" s="4">
        <v>1.31E-5</v>
      </c>
      <c r="HS24" s="4">
        <v>1.29E-5</v>
      </c>
      <c r="HT24" s="4">
        <v>1.2799999999999999E-5</v>
      </c>
      <c r="HU24" s="4">
        <v>1.26E-5</v>
      </c>
      <c r="HV24" s="4">
        <v>1.24E-5</v>
      </c>
      <c r="HW24" s="4">
        <v>1.2300000000000001E-5</v>
      </c>
      <c r="HX24" s="4">
        <v>1.2099999999999999E-5</v>
      </c>
      <c r="HY24" s="4">
        <v>1.19E-5</v>
      </c>
      <c r="HZ24" s="4">
        <v>1.1800000000000001E-5</v>
      </c>
      <c r="IA24" s="4">
        <v>1.1600000000000001E-5</v>
      </c>
      <c r="IB24" s="4">
        <v>1.1399999999999999E-5</v>
      </c>
      <c r="IC24" s="4">
        <v>1.13E-5</v>
      </c>
      <c r="ID24" s="4">
        <v>1.11E-5</v>
      </c>
      <c r="IE24" s="4">
        <v>1.1E-5</v>
      </c>
      <c r="IF24" s="4">
        <v>1.08E-5</v>
      </c>
      <c r="IG24" s="4">
        <v>7.5449999999999996E-4</v>
      </c>
      <c r="IH24" s="4"/>
      <c r="II24" s="4">
        <f t="shared" si="257"/>
        <v>0.11647821370813542</v>
      </c>
      <c r="IL24">
        <f t="shared" si="258"/>
        <v>0.35727196250000043</v>
      </c>
      <c r="IP24" s="4">
        <f t="shared" si="273"/>
        <v>8.8651999999999967E-3</v>
      </c>
      <c r="IQ24" s="4">
        <f t="shared" si="274"/>
        <v>8.0231000000000018E-3</v>
      </c>
      <c r="IR24" s="4">
        <f t="shared" si="261"/>
        <v>4.6717000000000009E-3</v>
      </c>
      <c r="IS24" s="4">
        <f t="shared" si="262"/>
        <v>3.0996999999999969E-3</v>
      </c>
      <c r="IT24" s="4">
        <f t="shared" si="263"/>
        <v>2.1936000000000004E-3</v>
      </c>
      <c r="IU24" s="4">
        <f t="shared" si="264"/>
        <v>5.5341999999999822E-3</v>
      </c>
      <c r="IV24" s="4">
        <f t="shared" si="265"/>
        <v>2.512300000000002E-3</v>
      </c>
      <c r="IW24" s="4">
        <f t="shared" si="266"/>
        <v>1.658399999999987E-3</v>
      </c>
      <c r="IX24" s="4">
        <f t="shared" si="267"/>
        <v>5.0561999999999829E-3</v>
      </c>
      <c r="IZ24">
        <f t="shared" si="270"/>
        <v>2011.75</v>
      </c>
      <c r="JA24">
        <f t="shared" si="268"/>
        <v>6.2486153509242</v>
      </c>
      <c r="JB24">
        <f t="shared" si="268"/>
        <v>4.4734508952331558</v>
      </c>
      <c r="JC24">
        <f t="shared" si="268"/>
        <v>-6.3706036524587395</v>
      </c>
      <c r="JD24">
        <f t="shared" si="268"/>
        <v>-6.0493670779599693</v>
      </c>
      <c r="JE24">
        <f t="shared" si="268"/>
        <v>-4.7843239648479106</v>
      </c>
      <c r="JF24">
        <f t="shared" si="268"/>
        <v>-1.93093156982453</v>
      </c>
      <c r="JG24">
        <f t="shared" si="268"/>
        <v>-0.10343731030485956</v>
      </c>
      <c r="JH24">
        <f t="shared" si="268"/>
        <v>-5.4254454718356077E-2</v>
      </c>
      <c r="JI24">
        <f t="shared" si="268"/>
        <v>-6.9197997996506555E-2</v>
      </c>
    </row>
    <row r="25" spans="1:269" x14ac:dyDescent="0.35">
      <c r="A25" s="1">
        <v>17</v>
      </c>
      <c r="B25" s="4">
        <v>1.1099700000000001E-2</v>
      </c>
      <c r="C25" s="4">
        <v>1.1099700000000001E-2</v>
      </c>
      <c r="D25" s="4">
        <v>1.1040299999999999E-2</v>
      </c>
      <c r="E25" s="4">
        <v>1.0847799999999999E-2</v>
      </c>
      <c r="F25" s="4">
        <v>1.0104800000000001E-2</v>
      </c>
      <c r="G25" s="4">
        <v>9.4751999999999996E-3</v>
      </c>
      <c r="H25" s="4">
        <v>8.8710000000000004E-3</v>
      </c>
      <c r="I25" s="4">
        <v>8.2673E-3</v>
      </c>
      <c r="J25" s="4">
        <v>7.7292000000000003E-3</v>
      </c>
      <c r="K25" s="4">
        <v>7.2351000000000004E-3</v>
      </c>
      <c r="L25" s="4">
        <v>6.7962999999999999E-3</v>
      </c>
      <c r="M25" s="4">
        <v>6.4022000000000003E-3</v>
      </c>
      <c r="N25" s="4">
        <v>6.0375000000000003E-3</v>
      </c>
      <c r="O25" s="4">
        <v>5.6890999999999999E-3</v>
      </c>
      <c r="P25" s="4">
        <v>5.1862999999999996E-3</v>
      </c>
      <c r="Q25" s="4">
        <v>4.6283000000000001E-3</v>
      </c>
      <c r="R25" s="4">
        <v>3.8037000000000001E-3</v>
      </c>
      <c r="S25" s="4">
        <v>4.1402000000000001E-3</v>
      </c>
      <c r="T25" s="4">
        <v>3.9915999999999997E-3</v>
      </c>
      <c r="U25" s="4">
        <v>3.8635000000000002E-3</v>
      </c>
      <c r="V25" s="4">
        <v>3.7417000000000001E-3</v>
      </c>
      <c r="W25" s="4">
        <v>3.6335E-3</v>
      </c>
      <c r="X25" s="4">
        <v>3.5312E-3</v>
      </c>
      <c r="Y25" s="4">
        <v>3.4364E-3</v>
      </c>
      <c r="Z25" s="4">
        <v>3.3467000000000002E-3</v>
      </c>
      <c r="AA25" s="4">
        <v>3.2621999999999998E-3</v>
      </c>
      <c r="AB25" s="4">
        <v>3.1819999999999999E-3</v>
      </c>
      <c r="AC25" s="4">
        <v>3.1058000000000001E-3</v>
      </c>
      <c r="AD25" s="4">
        <v>3.0333999999999999E-3</v>
      </c>
      <c r="AE25" s="4">
        <v>2.9643999999999998E-3</v>
      </c>
      <c r="AF25" s="4">
        <v>2.8985E-3</v>
      </c>
      <c r="AG25" s="4">
        <v>2.8356000000000002E-3</v>
      </c>
      <c r="AH25" s="4">
        <v>2.7753000000000001E-3</v>
      </c>
      <c r="AI25" s="4">
        <v>2.7177E-3</v>
      </c>
      <c r="AJ25" s="4">
        <v>2.6624000000000001E-3</v>
      </c>
      <c r="AK25" s="4">
        <v>2.6093000000000002E-3</v>
      </c>
      <c r="AL25" s="4">
        <v>2.5584000000000002E-3</v>
      </c>
      <c r="AM25" s="4">
        <v>2.5094000000000002E-3</v>
      </c>
      <c r="AN25" s="4">
        <v>2.4623000000000002E-3</v>
      </c>
      <c r="AO25" s="4">
        <v>2.4169999999999999E-3</v>
      </c>
      <c r="AP25" s="4">
        <v>2.3733000000000001E-3</v>
      </c>
      <c r="AQ25" s="4">
        <v>2.3311999999999999E-3</v>
      </c>
      <c r="AR25" s="4">
        <v>2.2905E-3</v>
      </c>
      <c r="AS25" s="4">
        <v>2.2512000000000001E-3</v>
      </c>
      <c r="AT25" s="4">
        <v>2.2131999999999998E-3</v>
      </c>
      <c r="AU25" s="4">
        <v>2.1764000000000002E-3</v>
      </c>
      <c r="AV25" s="4">
        <v>2.1408E-3</v>
      </c>
      <c r="AW25" s="4">
        <v>2.1061999999999999E-3</v>
      </c>
      <c r="AX25" s="4">
        <v>2.0726E-3</v>
      </c>
      <c r="AY25" s="4">
        <v>2.0400000000000001E-3</v>
      </c>
      <c r="AZ25" s="4">
        <v>2.0083000000000002E-3</v>
      </c>
      <c r="BA25" s="4">
        <v>1.9773999999999998E-3</v>
      </c>
      <c r="BB25" s="4">
        <v>1.9472999999999999E-3</v>
      </c>
      <c r="BC25" s="4">
        <v>1.9178999999999999E-3</v>
      </c>
      <c r="BD25" s="4">
        <v>1.8892E-3</v>
      </c>
      <c r="BE25" s="4">
        <v>1.8611999999999999E-3</v>
      </c>
      <c r="BF25" s="4">
        <v>1.8339000000000001E-3</v>
      </c>
      <c r="BG25" s="4">
        <v>1.8071000000000001E-3</v>
      </c>
      <c r="BH25" s="4">
        <v>1.7807999999999999E-3</v>
      </c>
      <c r="BI25" s="4">
        <v>1.7551000000000001E-3</v>
      </c>
      <c r="BJ25" s="4">
        <v>1.73E-3</v>
      </c>
      <c r="BK25" s="4">
        <v>1.7052E-3</v>
      </c>
      <c r="BL25" s="4">
        <v>1.681E-3</v>
      </c>
      <c r="BM25" s="4">
        <v>1.6571999999999999E-3</v>
      </c>
      <c r="BN25" s="4">
        <v>1.6337999999999999E-3</v>
      </c>
      <c r="BO25" s="4">
        <v>1.6107999999999999E-3</v>
      </c>
      <c r="BP25" s="4">
        <v>1.5881999999999999E-3</v>
      </c>
      <c r="BQ25" s="4">
        <v>1.5659999999999999E-3</v>
      </c>
      <c r="BR25" s="4">
        <v>1.5441000000000001E-3</v>
      </c>
      <c r="BS25" s="4">
        <v>1.5226E-3</v>
      </c>
      <c r="BT25" s="4">
        <v>1.5014E-3</v>
      </c>
      <c r="BU25" s="4">
        <v>1.4806000000000001E-3</v>
      </c>
      <c r="BV25" s="4">
        <v>1.4599999999999999E-3</v>
      </c>
      <c r="BW25" s="4">
        <v>1.4398E-3</v>
      </c>
      <c r="BX25" s="4">
        <v>1.4197999999999999E-3</v>
      </c>
      <c r="BY25" s="4">
        <v>1.4002000000000001E-3</v>
      </c>
      <c r="BZ25" s="4">
        <v>1.3808E-3</v>
      </c>
      <c r="CA25" s="4">
        <v>1.3617E-3</v>
      </c>
      <c r="CB25" s="4">
        <v>1.3429E-3</v>
      </c>
      <c r="CC25" s="4">
        <v>1.3243E-3</v>
      </c>
      <c r="CD25" s="4">
        <v>1.3060000000000001E-3</v>
      </c>
      <c r="CE25" s="4">
        <v>1.2879E-3</v>
      </c>
      <c r="CF25" s="4">
        <v>1.2700999999999999E-3</v>
      </c>
      <c r="CG25" s="4">
        <v>1.2524999999999999E-3</v>
      </c>
      <c r="CH25" s="4">
        <v>1.2351E-3</v>
      </c>
      <c r="CI25" s="4">
        <v>1.2179999999999999E-3</v>
      </c>
      <c r="CJ25" s="4">
        <v>1.2011999999999999E-3</v>
      </c>
      <c r="CK25" s="4">
        <v>1.1845E-3</v>
      </c>
      <c r="CL25" s="4">
        <v>1.1681E-3</v>
      </c>
      <c r="CM25" s="4">
        <v>1.1519E-3</v>
      </c>
      <c r="CN25" s="4">
        <v>1.1359E-3</v>
      </c>
      <c r="CO25" s="4">
        <v>1.1201E-3</v>
      </c>
      <c r="CP25" s="4">
        <v>1.1045E-3</v>
      </c>
      <c r="CQ25" s="4">
        <v>1.0891E-3</v>
      </c>
      <c r="CR25" s="4">
        <v>1.0740000000000001E-3</v>
      </c>
      <c r="CS25" s="4">
        <v>1.059E-3</v>
      </c>
      <c r="CT25" s="4">
        <v>1.0441999999999999E-3</v>
      </c>
      <c r="CU25" s="4">
        <v>1.0296999999999999E-3</v>
      </c>
      <c r="CV25" s="4">
        <v>1.0153E-3</v>
      </c>
      <c r="CW25" s="4">
        <v>1.0011E-3</v>
      </c>
      <c r="CX25" s="4">
        <v>9.8710000000000009E-4</v>
      </c>
      <c r="CY25" s="4">
        <v>9.7329999999999997E-4</v>
      </c>
      <c r="CZ25" s="4">
        <v>9.5969999999999996E-4</v>
      </c>
      <c r="DA25" s="4">
        <v>9.4629999999999996E-4</v>
      </c>
      <c r="DB25" s="4">
        <v>9.3300000000000002E-4</v>
      </c>
      <c r="DC25" s="4">
        <v>9.1989999999999997E-4</v>
      </c>
      <c r="DD25" s="4">
        <v>9.0700000000000004E-4</v>
      </c>
      <c r="DE25" s="4">
        <v>8.943E-4</v>
      </c>
      <c r="DF25" s="4">
        <v>8.8170000000000002E-4</v>
      </c>
      <c r="DG25" s="4">
        <v>8.6939999999999999E-4</v>
      </c>
      <c r="DH25" s="4">
        <v>8.5709999999999996E-4</v>
      </c>
      <c r="DI25" s="4">
        <v>8.451E-4</v>
      </c>
      <c r="DJ25" s="4">
        <v>8.3319999999999998E-4</v>
      </c>
      <c r="DK25" s="4">
        <v>8.2149999999999996E-4</v>
      </c>
      <c r="DL25" s="4">
        <v>8.0990000000000001E-4</v>
      </c>
      <c r="DM25" s="4">
        <v>7.9849999999999995E-4</v>
      </c>
      <c r="DN25" s="4">
        <v>7.8720000000000005E-4</v>
      </c>
      <c r="DO25" s="4">
        <v>7.762E-4</v>
      </c>
      <c r="DP25" s="4">
        <v>7.6519999999999995E-4</v>
      </c>
      <c r="DQ25" s="4">
        <v>5.3157500000000003E-2</v>
      </c>
      <c r="DR25" s="4">
        <v>0</v>
      </c>
      <c r="DS25" s="4">
        <v>5.94E-5</v>
      </c>
      <c r="DT25" s="4">
        <v>1.9269999999999999E-4</v>
      </c>
      <c r="DU25" s="4">
        <v>7.4379999999999997E-4</v>
      </c>
      <c r="DV25" s="4">
        <v>6.3089999999999999E-4</v>
      </c>
      <c r="DW25" s="4">
        <v>6.0639999999999999E-4</v>
      </c>
      <c r="DX25" s="4">
        <v>6.2100000000000002E-4</v>
      </c>
      <c r="DY25" s="4">
        <v>5.4580000000000004E-4</v>
      </c>
      <c r="DZ25" s="4">
        <v>4.9969999999999995E-4</v>
      </c>
      <c r="EA25" s="4">
        <v>4.4190000000000001E-4</v>
      </c>
      <c r="EB25" s="4">
        <v>3.948E-4</v>
      </c>
      <c r="EC25" s="4">
        <v>3.5179999999999999E-4</v>
      </c>
      <c r="ED25" s="4">
        <v>3.145E-4</v>
      </c>
      <c r="EE25" s="4">
        <v>2.81E-4</v>
      </c>
      <c r="EF25" s="4">
        <v>2.4159999999999999E-4</v>
      </c>
      <c r="EG25" s="4">
        <v>2.041E-4</v>
      </c>
      <c r="EH25" s="4">
        <v>1.584E-4</v>
      </c>
      <c r="EI25" s="4">
        <v>1.7119999999999999E-4</v>
      </c>
      <c r="EJ25" s="4">
        <v>1.5669999999999999E-4</v>
      </c>
      <c r="EK25" s="4">
        <v>1.4440000000000001E-4</v>
      </c>
      <c r="EL25" s="4">
        <v>1.3320000000000001E-4</v>
      </c>
      <c r="EM25" s="4">
        <v>1.2349999999999999E-4</v>
      </c>
      <c r="EN25" s="4">
        <v>1.148E-4</v>
      </c>
      <c r="EO25" s="4">
        <v>1.071E-4</v>
      </c>
      <c r="EP25" s="4">
        <v>1.002E-4</v>
      </c>
      <c r="EQ25" s="4">
        <v>9.3900000000000006E-5</v>
      </c>
      <c r="ER25" s="4">
        <v>8.8300000000000005E-5</v>
      </c>
      <c r="ES25" s="4">
        <v>8.3200000000000003E-5</v>
      </c>
      <c r="ET25" s="4">
        <v>7.86E-5</v>
      </c>
      <c r="EU25" s="4">
        <v>7.4400000000000006E-5</v>
      </c>
      <c r="EV25" s="4">
        <v>7.0599999999999995E-5</v>
      </c>
      <c r="EW25" s="4">
        <v>6.7000000000000002E-5</v>
      </c>
      <c r="EX25" s="4">
        <v>6.3800000000000006E-5</v>
      </c>
      <c r="EY25" s="4">
        <v>6.0800000000000001E-5</v>
      </c>
      <c r="EZ25" s="4">
        <v>5.8E-5</v>
      </c>
      <c r="FA25" s="4">
        <v>5.5500000000000001E-5</v>
      </c>
      <c r="FB25" s="4">
        <v>5.3100000000000003E-5</v>
      </c>
      <c r="FC25" s="4">
        <v>5.0800000000000002E-5</v>
      </c>
      <c r="FD25" s="4">
        <v>4.8699999999999998E-5</v>
      </c>
      <c r="FE25" s="4">
        <v>4.6799999999999999E-5</v>
      </c>
      <c r="FF25" s="4">
        <v>4.5000000000000003E-5</v>
      </c>
      <c r="FG25" s="4">
        <v>4.3300000000000002E-5</v>
      </c>
      <c r="FH25" s="4">
        <v>4.1699999999999997E-5</v>
      </c>
      <c r="FI25" s="4">
        <v>4.0200000000000001E-5</v>
      </c>
      <c r="FJ25" s="4">
        <v>3.8800000000000001E-5</v>
      </c>
      <c r="FK25" s="4">
        <v>3.7499999999999997E-5</v>
      </c>
      <c r="FL25" s="4">
        <v>3.6300000000000001E-5</v>
      </c>
      <c r="FM25" s="4">
        <v>3.5200000000000002E-5</v>
      </c>
      <c r="FN25" s="4">
        <v>3.4100000000000002E-5</v>
      </c>
      <c r="FO25" s="4">
        <v>3.3099999999999998E-5</v>
      </c>
      <c r="FP25" s="4">
        <v>3.2199999999999997E-5</v>
      </c>
      <c r="FQ25" s="4">
        <v>3.1300000000000002E-5</v>
      </c>
      <c r="FR25" s="4">
        <v>3.0499999999999999E-5</v>
      </c>
      <c r="FS25" s="4">
        <v>2.97E-5</v>
      </c>
      <c r="FT25" s="4">
        <v>2.9E-5</v>
      </c>
      <c r="FU25" s="4">
        <v>2.83E-5</v>
      </c>
      <c r="FV25" s="4">
        <v>2.76E-5</v>
      </c>
      <c r="FW25" s="4">
        <v>2.6999999999999999E-5</v>
      </c>
      <c r="FX25" s="4">
        <v>2.6400000000000001E-5</v>
      </c>
      <c r="FY25" s="4">
        <v>2.5899999999999999E-5</v>
      </c>
      <c r="FZ25" s="4">
        <v>2.5400000000000001E-5</v>
      </c>
      <c r="GA25" s="4">
        <v>2.4899999999999999E-5</v>
      </c>
      <c r="GB25" s="4">
        <v>2.44E-5</v>
      </c>
      <c r="GC25" s="4">
        <v>2.3900000000000002E-5</v>
      </c>
      <c r="GD25" s="4">
        <v>2.3499999999999999E-5</v>
      </c>
      <c r="GE25" s="4">
        <v>2.3099999999999999E-5</v>
      </c>
      <c r="GF25" s="4">
        <v>2.27E-5</v>
      </c>
      <c r="GG25" s="4">
        <v>2.23E-5</v>
      </c>
      <c r="GH25" s="4">
        <v>2.19E-5</v>
      </c>
      <c r="GI25" s="4">
        <v>2.16E-5</v>
      </c>
      <c r="GJ25" s="4">
        <v>2.12E-5</v>
      </c>
      <c r="GK25" s="4">
        <v>2.09E-5</v>
      </c>
      <c r="GL25" s="4">
        <v>2.0599999999999999E-5</v>
      </c>
      <c r="GM25" s="4">
        <v>2.02E-5</v>
      </c>
      <c r="GN25" s="4">
        <v>1.9899999999999999E-5</v>
      </c>
      <c r="GO25" s="4">
        <v>1.9599999999999999E-5</v>
      </c>
      <c r="GP25" s="4">
        <v>1.9400000000000001E-5</v>
      </c>
      <c r="GQ25" s="4">
        <v>1.91E-5</v>
      </c>
      <c r="GR25" s="4">
        <v>1.88E-5</v>
      </c>
      <c r="GS25" s="4">
        <v>1.8499999999999999E-5</v>
      </c>
      <c r="GT25" s="4">
        <v>1.8300000000000001E-5</v>
      </c>
      <c r="GU25" s="4">
        <v>1.8E-5</v>
      </c>
      <c r="GV25" s="4">
        <v>1.7799999999999999E-5</v>
      </c>
      <c r="GW25" s="4">
        <v>1.7499999999999998E-5</v>
      </c>
      <c r="GX25" s="4">
        <v>1.73E-5</v>
      </c>
      <c r="GY25" s="4">
        <v>1.7E-5</v>
      </c>
      <c r="GZ25" s="4">
        <v>1.6799999999999998E-5</v>
      </c>
      <c r="HA25" s="4">
        <v>1.66E-5</v>
      </c>
      <c r="HB25" s="4">
        <v>1.63E-5</v>
      </c>
      <c r="HC25" s="4">
        <v>1.6099999999999998E-5</v>
      </c>
      <c r="HD25" s="4">
        <v>1.59E-5</v>
      </c>
      <c r="HE25" s="4">
        <v>1.5699999999999999E-5</v>
      </c>
      <c r="HF25" s="4">
        <v>1.5500000000000001E-5</v>
      </c>
      <c r="HG25" s="4">
        <v>1.5299999999999999E-5</v>
      </c>
      <c r="HH25" s="4">
        <v>1.5099999999999999E-5</v>
      </c>
      <c r="HI25" s="4">
        <v>1.4800000000000001E-5</v>
      </c>
      <c r="HJ25" s="4">
        <v>1.4600000000000001E-5</v>
      </c>
      <c r="HK25" s="4">
        <v>1.4399999999999999E-5</v>
      </c>
      <c r="HL25" s="4">
        <v>1.43E-5</v>
      </c>
      <c r="HM25" s="4">
        <v>1.4100000000000001E-5</v>
      </c>
      <c r="HN25" s="4">
        <v>1.3900000000000001E-5</v>
      </c>
      <c r="HO25" s="4">
        <v>1.3699999999999999E-5</v>
      </c>
      <c r="HP25" s="4">
        <v>1.3499999999999999E-5</v>
      </c>
      <c r="HQ25" s="4">
        <v>1.33E-5</v>
      </c>
      <c r="HR25" s="4">
        <v>1.31E-5</v>
      </c>
      <c r="HS25" s="4">
        <v>1.29E-5</v>
      </c>
      <c r="HT25" s="4">
        <v>1.2799999999999999E-5</v>
      </c>
      <c r="HU25" s="4">
        <v>1.26E-5</v>
      </c>
      <c r="HV25" s="4">
        <v>1.24E-5</v>
      </c>
      <c r="HW25" s="4">
        <v>1.2300000000000001E-5</v>
      </c>
      <c r="HX25" s="4">
        <v>1.2099999999999999E-5</v>
      </c>
      <c r="HY25" s="4">
        <v>1.19E-5</v>
      </c>
      <c r="HZ25" s="4">
        <v>1.1800000000000001E-5</v>
      </c>
      <c r="IA25" s="4">
        <v>1.1600000000000001E-5</v>
      </c>
      <c r="IB25" s="4">
        <v>1.1399999999999999E-5</v>
      </c>
      <c r="IC25" s="4">
        <v>1.13E-5</v>
      </c>
      <c r="ID25" s="4">
        <v>1.11E-5</v>
      </c>
      <c r="IE25" s="4">
        <v>1.1E-5</v>
      </c>
      <c r="IF25" s="4">
        <v>1.08E-5</v>
      </c>
      <c r="IG25" s="4">
        <v>7.5460000000000002E-4</v>
      </c>
      <c r="IH25" s="4"/>
      <c r="II25" s="4">
        <f t="shared" si="257"/>
        <v>0.11637464323545936</v>
      </c>
      <c r="IL25">
        <f t="shared" si="258"/>
        <v>0.3576938999999999</v>
      </c>
      <c r="IP25" s="4">
        <f t="shared" si="273"/>
        <v>8.827500000000002E-3</v>
      </c>
      <c r="IQ25" s="4">
        <f t="shared" si="274"/>
        <v>7.9949999999999986E-3</v>
      </c>
      <c r="IR25" s="4">
        <f t="shared" si="261"/>
        <v>4.9510999999999999E-3</v>
      </c>
      <c r="IS25" s="4">
        <f t="shared" si="262"/>
        <v>2.9372999999999986E-3</v>
      </c>
      <c r="IT25" s="4">
        <f t="shared" si="263"/>
        <v>2.1794999999999974E-3</v>
      </c>
      <c r="IU25" s="4">
        <f t="shared" si="264"/>
        <v>5.5135999999999935E-3</v>
      </c>
      <c r="IV25" s="4">
        <f t="shared" si="265"/>
        <v>2.5090000000000043E-3</v>
      </c>
      <c r="IW25" s="4">
        <f t="shared" si="266"/>
        <v>1.6575000000000027E-3</v>
      </c>
      <c r="IX25" s="4">
        <f t="shared" si="267"/>
        <v>5.0559999999999772E-3</v>
      </c>
      <c r="IZ25">
        <f t="shared" si="270"/>
        <v>2012</v>
      </c>
      <c r="JA25">
        <f t="shared" si="268"/>
        <v>5.8224502426265365</v>
      </c>
      <c r="JB25">
        <f t="shared" si="268"/>
        <v>4.1225974378882713</v>
      </c>
      <c r="JC25">
        <f t="shared" si="268"/>
        <v>-0.56192935449260517</v>
      </c>
      <c r="JD25">
        <f t="shared" si="268"/>
        <v>-11.430821134822857</v>
      </c>
      <c r="JE25">
        <f t="shared" si="268"/>
        <v>-5.4291776778083136</v>
      </c>
      <c r="JF25">
        <f t="shared" si="268"/>
        <v>-2.3038569282531127</v>
      </c>
      <c r="JG25">
        <f t="shared" si="268"/>
        <v>-0.23487739455003076</v>
      </c>
      <c r="JH25">
        <f t="shared" si="268"/>
        <v>-0.10853836087264156</v>
      </c>
      <c r="JI25">
        <f t="shared" si="268"/>
        <v>-7.3153615963546817E-2</v>
      </c>
    </row>
    <row r="26" spans="1:269" x14ac:dyDescent="0.35">
      <c r="A26" s="1">
        <v>18</v>
      </c>
      <c r="B26" s="4">
        <v>1.1099700000000001E-2</v>
      </c>
      <c r="C26" s="4">
        <v>1.1099700000000001E-2</v>
      </c>
      <c r="D26" s="4">
        <v>1.1040299999999999E-2</v>
      </c>
      <c r="E26" s="4">
        <v>1.08475E-2</v>
      </c>
      <c r="F26" s="4">
        <v>1.0104E-2</v>
      </c>
      <c r="G26" s="4">
        <v>9.4739000000000004E-3</v>
      </c>
      <c r="H26" s="4">
        <v>8.8687000000000002E-3</v>
      </c>
      <c r="I26" s="4">
        <v>8.2498999999999992E-3</v>
      </c>
      <c r="J26" s="4">
        <v>7.7215000000000001E-3</v>
      </c>
      <c r="K26" s="4">
        <v>7.2296000000000001E-3</v>
      </c>
      <c r="L26" s="4">
        <v>6.7932000000000001E-3</v>
      </c>
      <c r="M26" s="4">
        <v>6.4015000000000001E-3</v>
      </c>
      <c r="N26" s="4">
        <v>6.0504E-3</v>
      </c>
      <c r="O26" s="4">
        <v>5.7229999999999998E-3</v>
      </c>
      <c r="P26" s="4">
        <v>5.4080999999999999E-3</v>
      </c>
      <c r="Q26" s="4">
        <v>4.9446999999999998E-3</v>
      </c>
      <c r="R26" s="4">
        <v>4.4241999999999997E-3</v>
      </c>
      <c r="S26" s="4">
        <v>3.6453000000000002E-3</v>
      </c>
      <c r="T26" s="4">
        <v>3.9690000000000003E-3</v>
      </c>
      <c r="U26" s="4">
        <v>3.8349E-3</v>
      </c>
      <c r="V26" s="4">
        <v>3.7190999999999999E-3</v>
      </c>
      <c r="W26" s="4">
        <v>3.6085000000000002E-3</v>
      </c>
      <c r="X26" s="4">
        <v>3.5100000000000001E-3</v>
      </c>
      <c r="Y26" s="4">
        <v>3.4163000000000002E-3</v>
      </c>
      <c r="Z26" s="4">
        <v>3.3292999999999999E-3</v>
      </c>
      <c r="AA26" s="4">
        <v>3.2466000000000001E-3</v>
      </c>
      <c r="AB26" s="4">
        <v>3.1681999999999999E-3</v>
      </c>
      <c r="AC26" s="4">
        <v>3.0937E-3</v>
      </c>
      <c r="AD26" s="4">
        <v>3.0225999999999999E-3</v>
      </c>
      <c r="AE26" s="4">
        <v>2.9548E-3</v>
      </c>
      <c r="AF26" s="4">
        <v>2.8900000000000002E-3</v>
      </c>
      <c r="AG26" s="4">
        <v>2.8278999999999999E-3</v>
      </c>
      <c r="AH26" s="4">
        <v>2.7685000000000001E-3</v>
      </c>
      <c r="AI26" s="4">
        <v>2.7114999999999999E-3</v>
      </c>
      <c r="AJ26" s="4">
        <v>2.6568999999999998E-3</v>
      </c>
      <c r="AK26" s="4">
        <v>2.6042999999999999E-3</v>
      </c>
      <c r="AL26" s="4">
        <v>2.5539E-3</v>
      </c>
      <c r="AM26" s="4">
        <v>2.5052999999999998E-3</v>
      </c>
      <c r="AN26" s="4">
        <v>2.4586E-3</v>
      </c>
      <c r="AO26" s="4">
        <v>2.4136000000000001E-3</v>
      </c>
      <c r="AP26" s="4">
        <v>2.3701999999999998E-3</v>
      </c>
      <c r="AQ26" s="4">
        <v>2.3284E-3</v>
      </c>
      <c r="AR26" s="4">
        <v>2.2878999999999998E-3</v>
      </c>
      <c r="AS26" s="4">
        <v>2.2488E-3</v>
      </c>
      <c r="AT26" s="4">
        <v>2.2109999999999999E-3</v>
      </c>
      <c r="AU26" s="4">
        <v>2.1743999999999999E-3</v>
      </c>
      <c r="AV26" s="4">
        <v>2.1389E-3</v>
      </c>
      <c r="AW26" s="4">
        <v>2.1045E-3</v>
      </c>
      <c r="AX26" s="4">
        <v>2.0709999999999999E-3</v>
      </c>
      <c r="AY26" s="4">
        <v>2.0384999999999999E-3</v>
      </c>
      <c r="AZ26" s="4">
        <v>2.0068999999999998E-3</v>
      </c>
      <c r="BA26" s="4">
        <v>1.9761000000000002E-3</v>
      </c>
      <c r="BB26" s="4">
        <v>1.9461000000000001E-3</v>
      </c>
      <c r="BC26" s="4">
        <v>1.9168E-3</v>
      </c>
      <c r="BD26" s="4">
        <v>1.8882E-3</v>
      </c>
      <c r="BE26" s="4">
        <v>1.8603000000000001E-3</v>
      </c>
      <c r="BF26" s="4">
        <v>1.833E-3</v>
      </c>
      <c r="BG26" s="4">
        <v>1.8062E-3</v>
      </c>
      <c r="BH26" s="4">
        <v>1.7799999999999999E-3</v>
      </c>
      <c r="BI26" s="4">
        <v>1.7543999999999999E-3</v>
      </c>
      <c r="BJ26" s="4">
        <v>1.7293E-3</v>
      </c>
      <c r="BK26" s="4">
        <v>1.7045999999999999E-3</v>
      </c>
      <c r="BL26" s="4">
        <v>1.6804000000000001E-3</v>
      </c>
      <c r="BM26" s="4">
        <v>1.6566E-3</v>
      </c>
      <c r="BN26" s="4">
        <v>1.6333000000000001E-3</v>
      </c>
      <c r="BO26" s="4">
        <v>1.6103000000000001E-3</v>
      </c>
      <c r="BP26" s="4">
        <v>1.5878000000000001E-3</v>
      </c>
      <c r="BQ26" s="4">
        <v>1.5656000000000001E-3</v>
      </c>
      <c r="BR26" s="4">
        <v>1.5437000000000001E-3</v>
      </c>
      <c r="BS26" s="4">
        <v>1.5222E-3</v>
      </c>
      <c r="BT26" s="4">
        <v>1.5011E-3</v>
      </c>
      <c r="BU26" s="4">
        <v>1.4802000000000001E-3</v>
      </c>
      <c r="BV26" s="4">
        <v>1.4597E-3</v>
      </c>
      <c r="BW26" s="4">
        <v>1.4395E-3</v>
      </c>
      <c r="BX26" s="4">
        <v>1.4195E-3</v>
      </c>
      <c r="BY26" s="4">
        <v>1.3998999999999999E-3</v>
      </c>
      <c r="BZ26" s="4">
        <v>1.3805E-3</v>
      </c>
      <c r="CA26" s="4">
        <v>1.3614E-3</v>
      </c>
      <c r="CB26" s="4">
        <v>1.3426E-3</v>
      </c>
      <c r="CC26" s="4">
        <v>1.3240999999999999E-3</v>
      </c>
      <c r="CD26" s="4">
        <v>1.3058E-3</v>
      </c>
      <c r="CE26" s="4">
        <v>1.2876999999999999E-3</v>
      </c>
      <c r="CF26" s="4">
        <v>1.2699E-3</v>
      </c>
      <c r="CG26" s="4">
        <v>1.2523E-3</v>
      </c>
      <c r="CH26" s="4">
        <v>1.235E-3</v>
      </c>
      <c r="CI26" s="4">
        <v>1.2179000000000001E-3</v>
      </c>
      <c r="CJ26" s="4">
        <v>1.201E-3</v>
      </c>
      <c r="CK26" s="4">
        <v>1.1843999999999999E-3</v>
      </c>
      <c r="CL26" s="4">
        <v>1.1678999999999999E-3</v>
      </c>
      <c r="CM26" s="4">
        <v>1.1517000000000001E-3</v>
      </c>
      <c r="CN26" s="4">
        <v>1.1356999999999999E-3</v>
      </c>
      <c r="CO26" s="4">
        <v>1.1199999999999999E-3</v>
      </c>
      <c r="CP26" s="4">
        <v>1.1044E-3</v>
      </c>
      <c r="CQ26" s="4">
        <v>1.0889999999999999E-3</v>
      </c>
      <c r="CR26" s="4">
        <v>1.0739E-3</v>
      </c>
      <c r="CS26" s="4">
        <v>1.0589E-3</v>
      </c>
      <c r="CT26" s="4">
        <v>1.0441999999999999E-3</v>
      </c>
      <c r="CU26" s="4">
        <v>1.0296000000000001E-3</v>
      </c>
      <c r="CV26" s="4">
        <v>1.0152E-3</v>
      </c>
      <c r="CW26" s="4">
        <v>1.0009999999999999E-3</v>
      </c>
      <c r="CX26" s="4">
        <v>9.8710000000000009E-4</v>
      </c>
      <c r="CY26" s="4">
        <v>9.7329999999999997E-4</v>
      </c>
      <c r="CZ26" s="4">
        <v>9.5960000000000001E-4</v>
      </c>
      <c r="DA26" s="4">
        <v>9.4620000000000001E-4</v>
      </c>
      <c r="DB26" s="4">
        <v>9.3300000000000002E-4</v>
      </c>
      <c r="DC26" s="4">
        <v>9.1989999999999997E-4</v>
      </c>
      <c r="DD26" s="4">
        <v>9.0700000000000004E-4</v>
      </c>
      <c r="DE26" s="4">
        <v>8.943E-4</v>
      </c>
      <c r="DF26" s="4">
        <v>8.8170000000000002E-4</v>
      </c>
      <c r="DG26" s="4">
        <v>8.6930000000000004E-4</v>
      </c>
      <c r="DH26" s="4">
        <v>8.5709999999999996E-4</v>
      </c>
      <c r="DI26" s="4">
        <v>8.451E-4</v>
      </c>
      <c r="DJ26" s="4">
        <v>8.3319999999999998E-4</v>
      </c>
      <c r="DK26" s="4">
        <v>8.2140000000000002E-4</v>
      </c>
      <c r="DL26" s="4">
        <v>8.0990000000000001E-4</v>
      </c>
      <c r="DM26" s="4">
        <v>7.9849999999999995E-4</v>
      </c>
      <c r="DN26" s="4">
        <v>7.8720000000000005E-4</v>
      </c>
      <c r="DO26" s="4">
        <v>7.7610000000000005E-4</v>
      </c>
      <c r="DP26" s="4">
        <v>7.6519999999999995E-4</v>
      </c>
      <c r="DQ26" s="4">
        <v>5.3157299999999998E-2</v>
      </c>
      <c r="DR26" s="4">
        <v>0</v>
      </c>
      <c r="DS26" s="4">
        <v>5.94E-5</v>
      </c>
      <c r="DT26" s="4">
        <v>1.93E-4</v>
      </c>
      <c r="DU26" s="4">
        <v>7.4439999999999999E-4</v>
      </c>
      <c r="DV26" s="4">
        <v>6.3159999999999996E-4</v>
      </c>
      <c r="DW26" s="4">
        <v>6.0630000000000005E-4</v>
      </c>
      <c r="DX26" s="4">
        <v>6.2220000000000005E-4</v>
      </c>
      <c r="DY26" s="4">
        <v>5.4460000000000001E-4</v>
      </c>
      <c r="DZ26" s="4">
        <v>5.0230000000000001E-4</v>
      </c>
      <c r="EA26" s="4">
        <v>4.4490000000000003E-4</v>
      </c>
      <c r="EB26" s="4">
        <v>3.9809999999999997E-4</v>
      </c>
      <c r="EC26" s="4">
        <v>3.5490000000000001E-4</v>
      </c>
      <c r="ED26" s="4">
        <v>3.1789999999999998E-4</v>
      </c>
      <c r="EE26" s="4">
        <v>2.8499999999999999E-4</v>
      </c>
      <c r="EF26" s="4">
        <v>2.5569999999999998E-4</v>
      </c>
      <c r="EG26" s="4">
        <v>2.207E-4</v>
      </c>
      <c r="EH26" s="4">
        <v>1.8709999999999999E-4</v>
      </c>
      <c r="EI26" s="4">
        <v>1.4579999999999999E-4</v>
      </c>
      <c r="EJ26" s="4">
        <v>1.574E-4</v>
      </c>
      <c r="EK26" s="4">
        <v>1.4469999999999999E-4</v>
      </c>
      <c r="EL26" s="4">
        <v>1.337E-4</v>
      </c>
      <c r="EM26" s="4">
        <v>1.238E-4</v>
      </c>
      <c r="EN26" s="4">
        <v>1.1510000000000001E-4</v>
      </c>
      <c r="EO26" s="4">
        <v>1.0730000000000001E-4</v>
      </c>
      <c r="EP26" s="4">
        <v>1.004E-4</v>
      </c>
      <c r="EQ26" s="4">
        <v>9.4099999999999997E-5</v>
      </c>
      <c r="ER26" s="4">
        <v>8.8499999999999996E-5</v>
      </c>
      <c r="ES26" s="4">
        <v>8.3399999999999994E-5</v>
      </c>
      <c r="ET26" s="4">
        <v>7.8800000000000004E-5</v>
      </c>
      <c r="EU26" s="4">
        <v>7.4499999999999995E-5</v>
      </c>
      <c r="EV26" s="4">
        <v>7.0699999999999997E-5</v>
      </c>
      <c r="EW26" s="4">
        <v>6.7199999999999994E-5</v>
      </c>
      <c r="EX26" s="4">
        <v>6.3899999999999995E-5</v>
      </c>
      <c r="EY26" s="4">
        <v>6.0900000000000003E-5</v>
      </c>
      <c r="EZ26" s="4">
        <v>5.8100000000000003E-5</v>
      </c>
      <c r="FA26" s="4">
        <v>5.5500000000000001E-5</v>
      </c>
      <c r="FB26" s="4">
        <v>5.3100000000000003E-5</v>
      </c>
      <c r="FC26" s="4">
        <v>5.0899999999999997E-5</v>
      </c>
      <c r="FD26" s="4">
        <v>4.88E-5</v>
      </c>
      <c r="FE26" s="4">
        <v>4.6799999999999999E-5</v>
      </c>
      <c r="FF26" s="4">
        <v>4.5000000000000003E-5</v>
      </c>
      <c r="FG26" s="4">
        <v>4.3300000000000002E-5</v>
      </c>
      <c r="FH26" s="4">
        <v>4.1699999999999997E-5</v>
      </c>
      <c r="FI26" s="4">
        <v>4.0200000000000001E-5</v>
      </c>
      <c r="FJ26" s="4">
        <v>3.8800000000000001E-5</v>
      </c>
      <c r="FK26" s="4">
        <v>3.7499999999999997E-5</v>
      </c>
      <c r="FL26" s="4">
        <v>3.6300000000000001E-5</v>
      </c>
      <c r="FM26" s="4">
        <v>3.5099999999999999E-5</v>
      </c>
      <c r="FN26" s="4">
        <v>3.4100000000000002E-5</v>
      </c>
      <c r="FO26" s="4">
        <v>3.3099999999999998E-5</v>
      </c>
      <c r="FP26" s="4">
        <v>3.2100000000000001E-5</v>
      </c>
      <c r="FQ26" s="4">
        <v>3.1300000000000002E-5</v>
      </c>
      <c r="FR26" s="4">
        <v>3.04E-5</v>
      </c>
      <c r="FS26" s="4">
        <v>2.97E-5</v>
      </c>
      <c r="FT26" s="4">
        <v>2.8900000000000001E-5</v>
      </c>
      <c r="FU26" s="4">
        <v>2.8200000000000001E-5</v>
      </c>
      <c r="FV26" s="4">
        <v>2.76E-5</v>
      </c>
      <c r="FW26" s="4">
        <v>2.6999999999999999E-5</v>
      </c>
      <c r="FX26" s="4">
        <v>2.6400000000000001E-5</v>
      </c>
      <c r="FY26" s="4">
        <v>2.58E-5</v>
      </c>
      <c r="FZ26" s="4">
        <v>2.5299999999999998E-5</v>
      </c>
      <c r="GA26" s="4">
        <v>2.48E-5</v>
      </c>
      <c r="GB26" s="4">
        <v>2.4300000000000001E-5</v>
      </c>
      <c r="GC26" s="4">
        <v>2.3900000000000002E-5</v>
      </c>
      <c r="GD26" s="4">
        <v>2.34E-5</v>
      </c>
      <c r="GE26" s="4">
        <v>2.3E-5</v>
      </c>
      <c r="GF26" s="4">
        <v>2.26E-5</v>
      </c>
      <c r="GG26" s="4">
        <v>2.2200000000000001E-5</v>
      </c>
      <c r="GH26" s="4">
        <v>2.19E-5</v>
      </c>
      <c r="GI26" s="4">
        <v>2.1500000000000001E-5</v>
      </c>
      <c r="GJ26" s="4">
        <v>2.12E-5</v>
      </c>
      <c r="GK26" s="4">
        <v>2.0800000000000001E-5</v>
      </c>
      <c r="GL26" s="4">
        <v>2.05E-5</v>
      </c>
      <c r="GM26" s="4">
        <v>2.02E-5</v>
      </c>
      <c r="GN26" s="4">
        <v>1.9899999999999999E-5</v>
      </c>
      <c r="GO26" s="4">
        <v>1.9599999999999999E-5</v>
      </c>
      <c r="GP26" s="4">
        <v>1.9300000000000002E-5</v>
      </c>
      <c r="GQ26" s="4">
        <v>1.9000000000000001E-5</v>
      </c>
      <c r="GR26" s="4">
        <v>1.88E-5</v>
      </c>
      <c r="GS26" s="4">
        <v>1.8499999999999999E-5</v>
      </c>
      <c r="GT26" s="4">
        <v>1.8199999999999999E-5</v>
      </c>
      <c r="GU26" s="4">
        <v>1.8E-5</v>
      </c>
      <c r="GV26" s="4">
        <v>1.77E-5</v>
      </c>
      <c r="GW26" s="4">
        <v>1.7499999999999998E-5</v>
      </c>
      <c r="GX26" s="4">
        <v>1.7200000000000001E-5</v>
      </c>
      <c r="GY26" s="4">
        <v>1.7E-5</v>
      </c>
      <c r="GZ26" s="4">
        <v>1.6799999999999998E-5</v>
      </c>
      <c r="HA26" s="4">
        <v>1.66E-5</v>
      </c>
      <c r="HB26" s="4">
        <v>1.63E-5</v>
      </c>
      <c r="HC26" s="4">
        <v>1.6099999999999998E-5</v>
      </c>
      <c r="HD26" s="4">
        <v>1.59E-5</v>
      </c>
      <c r="HE26" s="4">
        <v>1.5699999999999999E-5</v>
      </c>
      <c r="HF26" s="4">
        <v>1.5500000000000001E-5</v>
      </c>
      <c r="HG26" s="4">
        <v>1.52E-5</v>
      </c>
      <c r="HH26" s="4">
        <v>1.5E-5</v>
      </c>
      <c r="HI26" s="4">
        <v>1.4800000000000001E-5</v>
      </c>
      <c r="HJ26" s="4">
        <v>1.4600000000000001E-5</v>
      </c>
      <c r="HK26" s="4">
        <v>1.4399999999999999E-5</v>
      </c>
      <c r="HL26" s="4">
        <v>1.42E-5</v>
      </c>
      <c r="HM26" s="4">
        <v>1.4100000000000001E-5</v>
      </c>
      <c r="HN26" s="4">
        <v>1.3900000000000001E-5</v>
      </c>
      <c r="HO26" s="4">
        <v>1.3699999999999999E-5</v>
      </c>
      <c r="HP26" s="4">
        <v>1.3499999999999999E-5</v>
      </c>
      <c r="HQ26" s="4">
        <v>1.33E-5</v>
      </c>
      <c r="HR26" s="4">
        <v>1.31E-5</v>
      </c>
      <c r="HS26" s="4">
        <v>1.29E-5</v>
      </c>
      <c r="HT26" s="4">
        <v>1.2799999999999999E-5</v>
      </c>
      <c r="HU26" s="4">
        <v>1.26E-5</v>
      </c>
      <c r="HV26" s="4">
        <v>1.24E-5</v>
      </c>
      <c r="HW26" s="4">
        <v>1.2300000000000001E-5</v>
      </c>
      <c r="HX26" s="4">
        <v>1.2099999999999999E-5</v>
      </c>
      <c r="HY26" s="4">
        <v>1.19E-5</v>
      </c>
      <c r="HZ26" s="4">
        <v>1.1800000000000001E-5</v>
      </c>
      <c r="IA26" s="4">
        <v>1.1600000000000001E-5</v>
      </c>
      <c r="IB26" s="4">
        <v>1.1399999999999999E-5</v>
      </c>
      <c r="IC26" s="4">
        <v>1.13E-5</v>
      </c>
      <c r="ID26" s="4">
        <v>1.11E-5</v>
      </c>
      <c r="IE26" s="4">
        <v>1.1E-5</v>
      </c>
      <c r="IF26" s="4">
        <v>1.08E-5</v>
      </c>
      <c r="IG26" s="4">
        <v>7.5460000000000002E-4</v>
      </c>
      <c r="IH26" s="4"/>
      <c r="II26" s="4">
        <f t="shared" si="257"/>
        <v>0.11642550166045802</v>
      </c>
      <c r="IL26">
        <f t="shared" si="258"/>
        <v>0.35809766249999953</v>
      </c>
      <c r="IP26" s="4">
        <f t="shared" si="273"/>
        <v>8.8022999999999921E-3</v>
      </c>
      <c r="IQ26" s="4">
        <f t="shared" si="274"/>
        <v>7.9856999999999984E-3</v>
      </c>
      <c r="IR26" s="4">
        <f t="shared" si="261"/>
        <v>5.0849999999999992E-3</v>
      </c>
      <c r="IS26" s="4">
        <f t="shared" si="262"/>
        <v>2.9282999999999983E-3</v>
      </c>
      <c r="IT26" s="4">
        <f t="shared" si="263"/>
        <v>2.1700000000000018E-3</v>
      </c>
      <c r="IU26" s="4">
        <f t="shared" si="264"/>
        <v>5.4999000000000089E-3</v>
      </c>
      <c r="IV26" s="4">
        <f t="shared" si="265"/>
        <v>2.5071999999999942E-3</v>
      </c>
      <c r="IW26" s="4">
        <f t="shared" si="266"/>
        <v>1.6571999999999976E-3</v>
      </c>
      <c r="IX26" s="4">
        <f t="shared" si="267"/>
        <v>5.0561000000000078E-3</v>
      </c>
      <c r="IZ26">
        <f t="shared" si="270"/>
        <v>2012.25</v>
      </c>
      <c r="JA26">
        <f t="shared" si="268"/>
        <v>5.5365704576859223</v>
      </c>
      <c r="JB26">
        <f t="shared" si="268"/>
        <v>4.0062070288339591</v>
      </c>
      <c r="JC26">
        <f t="shared" si="268"/>
        <v>2.1065961840476586</v>
      </c>
      <c r="JD26">
        <f t="shared" si="268"/>
        <v>-11.737695352733498</v>
      </c>
      <c r="JE26">
        <f t="shared" si="268"/>
        <v>-5.8660101922023165</v>
      </c>
      <c r="JF26">
        <f t="shared" si="268"/>
        <v>-2.5526426379049689</v>
      </c>
      <c r="JG26">
        <f t="shared" si="268"/>
        <v>-0.30664487101702337</v>
      </c>
      <c r="JH26">
        <f t="shared" si="268"/>
        <v>-0.12663954655002579</v>
      </c>
      <c r="JI26">
        <f t="shared" si="268"/>
        <v>-7.1175787420829306E-2</v>
      </c>
    </row>
    <row r="27" spans="1:269" x14ac:dyDescent="0.35">
      <c r="A27" s="1">
        <v>19</v>
      </c>
      <c r="B27" s="4">
        <v>1.1099700000000001E-2</v>
      </c>
      <c r="C27" s="4">
        <v>1.1099700000000001E-2</v>
      </c>
      <c r="D27" s="4">
        <v>1.1040299999999999E-2</v>
      </c>
      <c r="E27" s="4">
        <v>1.0847300000000001E-2</v>
      </c>
      <c r="F27" s="4">
        <v>1.01032E-2</v>
      </c>
      <c r="G27" s="4">
        <v>9.4724000000000006E-3</v>
      </c>
      <c r="H27" s="4">
        <v>8.8675999999999998E-3</v>
      </c>
      <c r="I27" s="4">
        <v>8.2465000000000004E-3</v>
      </c>
      <c r="J27" s="4">
        <v>7.7053E-3</v>
      </c>
      <c r="K27" s="4">
        <v>7.2191E-3</v>
      </c>
      <c r="L27" s="4">
        <v>6.7846E-3</v>
      </c>
      <c r="M27" s="4">
        <v>6.3950999999999999E-3</v>
      </c>
      <c r="N27" s="4">
        <v>6.0466000000000001E-3</v>
      </c>
      <c r="O27" s="4">
        <v>5.7324999999999997E-3</v>
      </c>
      <c r="P27" s="4">
        <v>5.4380000000000001E-3</v>
      </c>
      <c r="Q27" s="4">
        <v>5.1523999999999997E-3</v>
      </c>
      <c r="R27" s="4">
        <v>4.7241000000000002E-3</v>
      </c>
      <c r="S27" s="4">
        <v>4.2370000000000003E-3</v>
      </c>
      <c r="T27" s="4">
        <v>3.4995E-3</v>
      </c>
      <c r="U27" s="4">
        <v>3.8116000000000001E-3</v>
      </c>
      <c r="V27" s="4">
        <v>3.6901999999999998E-3</v>
      </c>
      <c r="W27" s="4">
        <v>3.5853999999999999E-3</v>
      </c>
      <c r="X27" s="4">
        <v>3.4846999999999999E-3</v>
      </c>
      <c r="Y27" s="4">
        <v>3.3949000000000002E-3</v>
      </c>
      <c r="Z27" s="4">
        <v>3.3089999999999999E-3</v>
      </c>
      <c r="AA27" s="4">
        <v>3.2288999999999998E-3</v>
      </c>
      <c r="AB27" s="4">
        <v>3.1524999999999999E-3</v>
      </c>
      <c r="AC27" s="4">
        <v>3.0798000000000002E-3</v>
      </c>
      <c r="AD27" s="4">
        <v>3.0103E-3</v>
      </c>
      <c r="AE27" s="4">
        <v>2.9439000000000002E-3</v>
      </c>
      <c r="AF27" s="4">
        <v>2.8801999999999999E-3</v>
      </c>
      <c r="AG27" s="4">
        <v>2.8192999999999998E-3</v>
      </c>
      <c r="AH27" s="4">
        <v>2.7607999999999999E-3</v>
      </c>
      <c r="AI27" s="4">
        <v>2.7046000000000001E-3</v>
      </c>
      <c r="AJ27" s="4">
        <v>2.6505999999999999E-3</v>
      </c>
      <c r="AK27" s="4">
        <v>2.5986999999999998E-3</v>
      </c>
      <c r="AL27" s="4">
        <v>2.5487999999999999E-3</v>
      </c>
      <c r="AM27" s="4">
        <v>2.5008000000000001E-3</v>
      </c>
      <c r="AN27" s="4">
        <v>2.4545000000000001E-3</v>
      </c>
      <c r="AO27" s="4">
        <v>2.4099E-3</v>
      </c>
      <c r="AP27" s="4">
        <v>2.3668000000000001E-3</v>
      </c>
      <c r="AQ27" s="4">
        <v>2.3251999999999999E-3</v>
      </c>
      <c r="AR27" s="4">
        <v>2.2851E-3</v>
      </c>
      <c r="AS27" s="4">
        <v>2.2461999999999998E-3</v>
      </c>
      <c r="AT27" s="4">
        <v>2.2085999999999998E-3</v>
      </c>
      <c r="AU27" s="4">
        <v>2.1722E-3</v>
      </c>
      <c r="AV27" s="4">
        <v>2.1369000000000002E-3</v>
      </c>
      <c r="AW27" s="4">
        <v>2.1026E-3</v>
      </c>
      <c r="AX27" s="4">
        <v>2.0693E-3</v>
      </c>
      <c r="AY27" s="4">
        <v>2.0370000000000002E-3</v>
      </c>
      <c r="AZ27" s="4">
        <v>2.0054000000000001E-3</v>
      </c>
      <c r="BA27" s="4">
        <v>1.9748000000000001E-3</v>
      </c>
      <c r="BB27" s="4">
        <v>1.9448E-3</v>
      </c>
      <c r="BC27" s="4">
        <v>1.9155999999999999E-3</v>
      </c>
      <c r="BD27" s="4">
        <v>1.8871000000000001E-3</v>
      </c>
      <c r="BE27" s="4">
        <v>1.8592999999999999E-3</v>
      </c>
      <c r="BF27" s="4">
        <v>1.8320000000000001E-3</v>
      </c>
      <c r="BG27" s="4">
        <v>1.8054E-3</v>
      </c>
      <c r="BH27" s="4">
        <v>1.7792999999999999E-3</v>
      </c>
      <c r="BI27" s="4">
        <v>1.7537E-3</v>
      </c>
      <c r="BJ27" s="4">
        <v>1.7286000000000001E-3</v>
      </c>
      <c r="BK27" s="4">
        <v>1.704E-3</v>
      </c>
      <c r="BL27" s="4">
        <v>1.6798E-3</v>
      </c>
      <c r="BM27" s="4">
        <v>1.6561E-3</v>
      </c>
      <c r="BN27" s="4">
        <v>1.6326999999999999E-3</v>
      </c>
      <c r="BO27" s="4">
        <v>1.6098E-3</v>
      </c>
      <c r="BP27" s="4">
        <v>1.5873E-3</v>
      </c>
      <c r="BQ27" s="4">
        <v>1.5651E-3</v>
      </c>
      <c r="BR27" s="4">
        <v>1.5433000000000001E-3</v>
      </c>
      <c r="BS27" s="4">
        <v>1.5218E-3</v>
      </c>
      <c r="BT27" s="4">
        <v>1.5007E-3</v>
      </c>
      <c r="BU27" s="4">
        <v>1.4798999999999999E-3</v>
      </c>
      <c r="BV27" s="4">
        <v>1.4594E-3</v>
      </c>
      <c r="BW27" s="4">
        <v>1.4392000000000001E-3</v>
      </c>
      <c r="BX27" s="4">
        <v>1.4193000000000001E-3</v>
      </c>
      <c r="BY27" s="4">
        <v>1.3996E-3</v>
      </c>
      <c r="BZ27" s="4">
        <v>1.3803000000000001E-3</v>
      </c>
      <c r="CA27" s="4">
        <v>1.3611999999999999E-3</v>
      </c>
      <c r="CB27" s="4">
        <v>1.3424000000000001E-3</v>
      </c>
      <c r="CC27" s="4">
        <v>1.3239E-3</v>
      </c>
      <c r="CD27" s="4">
        <v>1.3056000000000001E-3</v>
      </c>
      <c r="CE27" s="4">
        <v>1.2875E-3</v>
      </c>
      <c r="CF27" s="4">
        <v>1.2696999999999999E-3</v>
      </c>
      <c r="CG27" s="4">
        <v>1.2520999999999999E-3</v>
      </c>
      <c r="CH27" s="4">
        <v>1.2348000000000001E-3</v>
      </c>
      <c r="CI27" s="4">
        <v>1.2176999999999999E-3</v>
      </c>
      <c r="CJ27" s="4">
        <v>1.2009E-3</v>
      </c>
      <c r="CK27" s="4">
        <v>1.1842000000000001E-3</v>
      </c>
      <c r="CL27" s="4">
        <v>1.1678000000000001E-3</v>
      </c>
      <c r="CM27" s="4">
        <v>1.1516E-3</v>
      </c>
      <c r="CN27" s="4">
        <v>1.1356000000000001E-3</v>
      </c>
      <c r="CO27" s="4">
        <v>1.1199000000000001E-3</v>
      </c>
      <c r="CP27" s="4">
        <v>1.1042999999999999E-3</v>
      </c>
      <c r="CQ27" s="4">
        <v>1.0889000000000001E-3</v>
      </c>
      <c r="CR27" s="4">
        <v>1.0738E-3</v>
      </c>
      <c r="CS27" s="4">
        <v>1.0587999999999999E-3</v>
      </c>
      <c r="CT27" s="4">
        <v>1.0441000000000001E-3</v>
      </c>
      <c r="CU27" s="4">
        <v>1.0295E-3</v>
      </c>
      <c r="CV27" s="4">
        <v>1.0152E-3</v>
      </c>
      <c r="CW27" s="4">
        <v>1.0009999999999999E-3</v>
      </c>
      <c r="CX27" s="4">
        <v>9.8700000000000003E-4</v>
      </c>
      <c r="CY27" s="4">
        <v>9.7320000000000002E-4</v>
      </c>
      <c r="CZ27" s="4">
        <v>9.5960000000000001E-4</v>
      </c>
      <c r="DA27" s="4">
        <v>9.4620000000000001E-4</v>
      </c>
      <c r="DB27" s="4">
        <v>9.3289999999999996E-4</v>
      </c>
      <c r="DC27" s="4">
        <v>9.1980000000000002E-4</v>
      </c>
      <c r="DD27" s="4">
        <v>9.0689999999999998E-4</v>
      </c>
      <c r="DE27" s="4">
        <v>8.9420000000000005E-4</v>
      </c>
      <c r="DF27" s="4">
        <v>8.8170000000000002E-4</v>
      </c>
      <c r="DG27" s="4">
        <v>8.6930000000000004E-4</v>
      </c>
      <c r="DH27" s="4">
        <v>8.5709999999999996E-4</v>
      </c>
      <c r="DI27" s="4">
        <v>8.4500000000000005E-4</v>
      </c>
      <c r="DJ27" s="4">
        <v>8.3310000000000003E-4</v>
      </c>
      <c r="DK27" s="4">
        <v>8.2140000000000002E-4</v>
      </c>
      <c r="DL27" s="4">
        <v>8.0990000000000001E-4</v>
      </c>
      <c r="DM27" s="4">
        <v>7.984E-4</v>
      </c>
      <c r="DN27" s="4">
        <v>7.8720000000000005E-4</v>
      </c>
      <c r="DO27" s="4">
        <v>7.7610000000000005E-4</v>
      </c>
      <c r="DP27" s="4">
        <v>7.6519999999999995E-4</v>
      </c>
      <c r="DQ27" s="4">
        <v>5.3157099999999999E-2</v>
      </c>
      <c r="DR27" s="4">
        <v>0</v>
      </c>
      <c r="DS27" s="4">
        <v>5.94E-5</v>
      </c>
      <c r="DT27" s="4">
        <v>1.9320000000000001E-4</v>
      </c>
      <c r="DU27" s="4">
        <v>7.4489999999999995E-4</v>
      </c>
      <c r="DV27" s="4">
        <v>6.4780000000000003E-4</v>
      </c>
      <c r="DW27" s="4">
        <v>6.1030000000000004E-4</v>
      </c>
      <c r="DX27" s="4">
        <v>6.2540000000000002E-4</v>
      </c>
      <c r="DY27" s="4">
        <v>5.4980000000000003E-4</v>
      </c>
      <c r="DZ27" s="4">
        <v>5.0330000000000004E-4</v>
      </c>
      <c r="EA27" s="4">
        <v>4.4579999999999999E-4</v>
      </c>
      <c r="EB27" s="4">
        <v>3.9849999999999998E-4</v>
      </c>
      <c r="EC27" s="4">
        <v>3.547E-4</v>
      </c>
      <c r="ED27" s="4">
        <v>3.1740000000000002E-4</v>
      </c>
      <c r="EE27" s="4">
        <v>2.8469999999999998E-4</v>
      </c>
      <c r="EF27" s="4">
        <v>2.5599999999999999E-4</v>
      </c>
      <c r="EG27" s="4">
        <v>2.3039999999999999E-4</v>
      </c>
      <c r="EH27" s="4">
        <v>1.997E-4</v>
      </c>
      <c r="EI27" s="4">
        <v>1.7000000000000001E-4</v>
      </c>
      <c r="EJ27" s="4">
        <v>1.3300000000000001E-4</v>
      </c>
      <c r="EK27" s="4">
        <v>1.4349999999999999E-4</v>
      </c>
      <c r="EL27" s="4">
        <v>1.3239999999999999E-4</v>
      </c>
      <c r="EM27" s="4">
        <v>1.228E-4</v>
      </c>
      <c r="EN27" s="4">
        <v>1.1400000000000001E-4</v>
      </c>
      <c r="EO27" s="4">
        <v>1.064E-4</v>
      </c>
      <c r="EP27" s="4">
        <v>9.9500000000000006E-5</v>
      </c>
      <c r="EQ27" s="4">
        <v>9.3399999999999993E-5</v>
      </c>
      <c r="ER27" s="4">
        <v>8.7800000000000006E-5</v>
      </c>
      <c r="ES27" s="4">
        <v>8.2799999999999993E-5</v>
      </c>
      <c r="ET27" s="4">
        <v>7.8300000000000006E-5</v>
      </c>
      <c r="EU27" s="4">
        <v>7.4099999999999999E-5</v>
      </c>
      <c r="EV27" s="4">
        <v>7.0300000000000001E-5</v>
      </c>
      <c r="EW27" s="4">
        <v>6.69E-5</v>
      </c>
      <c r="EX27" s="4">
        <v>6.3600000000000001E-5</v>
      </c>
      <c r="EY27" s="4">
        <v>6.0699999999999998E-5</v>
      </c>
      <c r="EZ27" s="4">
        <v>5.7899999999999998E-5</v>
      </c>
      <c r="FA27" s="4">
        <v>5.5399999999999998E-5</v>
      </c>
      <c r="FB27" s="4">
        <v>5.3000000000000001E-5</v>
      </c>
      <c r="FC27" s="4">
        <v>5.0699999999999999E-5</v>
      </c>
      <c r="FD27" s="4">
        <v>4.8699999999999998E-5</v>
      </c>
      <c r="FE27" s="4">
        <v>4.6699999999999997E-5</v>
      </c>
      <c r="FF27" s="4">
        <v>4.49E-5</v>
      </c>
      <c r="FG27" s="4">
        <v>4.32E-5</v>
      </c>
      <c r="FH27" s="4">
        <v>4.1600000000000002E-5</v>
      </c>
      <c r="FI27" s="4">
        <v>4.0200000000000001E-5</v>
      </c>
      <c r="FJ27" s="4">
        <v>3.8800000000000001E-5</v>
      </c>
      <c r="FK27" s="4">
        <v>3.7499999999999997E-5</v>
      </c>
      <c r="FL27" s="4">
        <v>3.6300000000000001E-5</v>
      </c>
      <c r="FM27" s="4">
        <v>3.5099999999999999E-5</v>
      </c>
      <c r="FN27" s="4">
        <v>3.4100000000000002E-5</v>
      </c>
      <c r="FO27" s="4">
        <v>3.3099999999999998E-5</v>
      </c>
      <c r="FP27" s="4">
        <v>3.2100000000000001E-5</v>
      </c>
      <c r="FQ27" s="4">
        <v>3.1300000000000002E-5</v>
      </c>
      <c r="FR27" s="4">
        <v>3.04E-5</v>
      </c>
      <c r="FS27" s="4">
        <v>2.97E-5</v>
      </c>
      <c r="FT27" s="4">
        <v>2.8900000000000001E-5</v>
      </c>
      <c r="FU27" s="4">
        <v>2.83E-5</v>
      </c>
      <c r="FV27" s="4">
        <v>2.76E-5</v>
      </c>
      <c r="FW27" s="4">
        <v>2.6999999999999999E-5</v>
      </c>
      <c r="FX27" s="4">
        <v>2.6400000000000001E-5</v>
      </c>
      <c r="FY27" s="4">
        <v>2.5899999999999999E-5</v>
      </c>
      <c r="FZ27" s="4">
        <v>2.5299999999999998E-5</v>
      </c>
      <c r="GA27" s="4">
        <v>2.48E-5</v>
      </c>
      <c r="GB27" s="4">
        <v>2.44E-5</v>
      </c>
      <c r="GC27" s="4">
        <v>2.3900000000000002E-5</v>
      </c>
      <c r="GD27" s="4">
        <v>2.3499999999999999E-5</v>
      </c>
      <c r="GE27" s="4">
        <v>2.3E-5</v>
      </c>
      <c r="GF27" s="4">
        <v>2.26E-5</v>
      </c>
      <c r="GG27" s="4">
        <v>2.23E-5</v>
      </c>
      <c r="GH27" s="4">
        <v>2.19E-5</v>
      </c>
      <c r="GI27" s="4">
        <v>2.1500000000000001E-5</v>
      </c>
      <c r="GJ27" s="4">
        <v>2.12E-5</v>
      </c>
      <c r="GK27" s="4">
        <v>2.09E-5</v>
      </c>
      <c r="GL27" s="4">
        <v>2.05E-5</v>
      </c>
      <c r="GM27" s="4">
        <v>2.02E-5</v>
      </c>
      <c r="GN27" s="4">
        <v>1.9899999999999999E-5</v>
      </c>
      <c r="GO27" s="4">
        <v>1.9599999999999999E-5</v>
      </c>
      <c r="GP27" s="4">
        <v>1.9300000000000002E-5</v>
      </c>
      <c r="GQ27" s="4">
        <v>1.91E-5</v>
      </c>
      <c r="GR27" s="4">
        <v>1.88E-5</v>
      </c>
      <c r="GS27" s="4">
        <v>1.8499999999999999E-5</v>
      </c>
      <c r="GT27" s="4">
        <v>1.8300000000000001E-5</v>
      </c>
      <c r="GU27" s="4">
        <v>1.8E-5</v>
      </c>
      <c r="GV27" s="4">
        <v>1.77E-5</v>
      </c>
      <c r="GW27" s="4">
        <v>1.7499999999999998E-5</v>
      </c>
      <c r="GX27" s="4">
        <v>1.73E-5</v>
      </c>
      <c r="GY27" s="4">
        <v>1.7E-5</v>
      </c>
      <c r="GZ27" s="4">
        <v>1.6799999999999998E-5</v>
      </c>
      <c r="HA27" s="4">
        <v>1.66E-5</v>
      </c>
      <c r="HB27" s="4">
        <v>1.63E-5</v>
      </c>
      <c r="HC27" s="4">
        <v>1.6099999999999998E-5</v>
      </c>
      <c r="HD27" s="4">
        <v>1.59E-5</v>
      </c>
      <c r="HE27" s="4">
        <v>1.5699999999999999E-5</v>
      </c>
      <c r="HF27" s="4">
        <v>1.5500000000000001E-5</v>
      </c>
      <c r="HG27" s="4">
        <v>1.5299999999999999E-5</v>
      </c>
      <c r="HH27" s="4">
        <v>1.5E-5</v>
      </c>
      <c r="HI27" s="4">
        <v>1.4800000000000001E-5</v>
      </c>
      <c r="HJ27" s="4">
        <v>1.4600000000000001E-5</v>
      </c>
      <c r="HK27" s="4">
        <v>1.4399999999999999E-5</v>
      </c>
      <c r="HL27" s="4">
        <v>1.42E-5</v>
      </c>
      <c r="HM27" s="4">
        <v>1.4100000000000001E-5</v>
      </c>
      <c r="HN27" s="4">
        <v>1.3900000000000001E-5</v>
      </c>
      <c r="HO27" s="4">
        <v>1.3699999999999999E-5</v>
      </c>
      <c r="HP27" s="4">
        <v>1.3499999999999999E-5</v>
      </c>
      <c r="HQ27" s="4">
        <v>1.33E-5</v>
      </c>
      <c r="HR27" s="4">
        <v>1.31E-5</v>
      </c>
      <c r="HS27" s="4">
        <v>1.29E-5</v>
      </c>
      <c r="HT27" s="4">
        <v>1.2799999999999999E-5</v>
      </c>
      <c r="HU27" s="4">
        <v>1.26E-5</v>
      </c>
      <c r="HV27" s="4">
        <v>1.24E-5</v>
      </c>
      <c r="HW27" s="4">
        <v>1.2300000000000001E-5</v>
      </c>
      <c r="HX27" s="4">
        <v>1.2099999999999999E-5</v>
      </c>
      <c r="HY27" s="4">
        <v>1.19E-5</v>
      </c>
      <c r="HZ27" s="4">
        <v>1.1800000000000001E-5</v>
      </c>
      <c r="IA27" s="4">
        <v>1.1600000000000001E-5</v>
      </c>
      <c r="IB27" s="4">
        <v>1.1399999999999999E-5</v>
      </c>
      <c r="IC27" s="4">
        <v>1.13E-5</v>
      </c>
      <c r="ID27" s="4">
        <v>1.11E-5</v>
      </c>
      <c r="IE27" s="4">
        <v>1.1E-5</v>
      </c>
      <c r="IF27" s="4">
        <v>1.08E-5</v>
      </c>
      <c r="IG27" s="4">
        <v>7.5460000000000002E-4</v>
      </c>
      <c r="IH27" s="4"/>
      <c r="II27" s="4">
        <f t="shared" si="257"/>
        <v>0.11667218037703338</v>
      </c>
      <c r="IL27">
        <f t="shared" si="258"/>
        <v>0.35846248749999926</v>
      </c>
      <c r="IP27" s="4">
        <f t="shared" si="273"/>
        <v>8.8373000000000063E-3</v>
      </c>
      <c r="IQ27" s="4">
        <f t="shared" si="274"/>
        <v>7.9818000000000042E-3</v>
      </c>
      <c r="IR27" s="4">
        <f t="shared" si="261"/>
        <v>5.1479999999999998E-3</v>
      </c>
      <c r="IS27" s="4">
        <f t="shared" si="262"/>
        <v>2.9898000000000043E-3</v>
      </c>
      <c r="IT27" s="4">
        <f t="shared" si="263"/>
        <v>2.1597999999999999E-3</v>
      </c>
      <c r="IU27" s="4">
        <f t="shared" si="264"/>
        <v>5.4860999999999868E-3</v>
      </c>
      <c r="IV27" s="4">
        <f t="shared" si="265"/>
        <v>2.5059999999999943E-3</v>
      </c>
      <c r="IW27" s="4">
        <f t="shared" si="266"/>
        <v>1.6572000000000045E-3</v>
      </c>
      <c r="IX27" s="4">
        <f t="shared" si="267"/>
        <v>5.0566000000000222E-3</v>
      </c>
      <c r="IZ27">
        <f t="shared" si="270"/>
        <v>2012.5</v>
      </c>
      <c r="JA27">
        <f t="shared" si="268"/>
        <v>5.9334053737959387</v>
      </c>
      <c r="JB27">
        <f t="shared" si="268"/>
        <v>3.9573578028743892</v>
      </c>
      <c r="JC27">
        <f t="shared" si="268"/>
        <v>3.3379222073833752</v>
      </c>
      <c r="JD27">
        <f t="shared" si="268"/>
        <v>-9.6592507860948142</v>
      </c>
      <c r="JE27">
        <f t="shared" si="268"/>
        <v>-6.3371644657869899</v>
      </c>
      <c r="JF27">
        <f t="shared" si="268"/>
        <v>-2.803871606744595</v>
      </c>
      <c r="JG27">
        <f t="shared" si="268"/>
        <v>-0.35451848559129767</v>
      </c>
      <c r="JH27">
        <f t="shared" si="268"/>
        <v>-0.12663954654961448</v>
      </c>
      <c r="JI27">
        <f t="shared" si="268"/>
        <v>-6.1287231438320142E-2</v>
      </c>
    </row>
    <row r="28" spans="1:269" x14ac:dyDescent="0.35">
      <c r="A28" s="1">
        <v>20</v>
      </c>
      <c r="B28" s="4">
        <v>1.1099700000000001E-2</v>
      </c>
      <c r="C28" s="4">
        <v>1.1099700000000001E-2</v>
      </c>
      <c r="D28" s="4">
        <v>1.1040299999999999E-2</v>
      </c>
      <c r="E28" s="4">
        <v>1.08471E-2</v>
      </c>
      <c r="F28" s="4">
        <v>1.0102399999999999E-2</v>
      </c>
      <c r="G28" s="4">
        <v>9.4552999999999998E-3</v>
      </c>
      <c r="H28" s="4">
        <v>8.8620999999999995E-3</v>
      </c>
      <c r="I28" s="4">
        <v>8.2421999999999999E-3</v>
      </c>
      <c r="J28" s="4">
        <v>7.6966999999999999E-3</v>
      </c>
      <c r="K28" s="4">
        <v>7.2020000000000001E-3</v>
      </c>
      <c r="L28" s="4">
        <v>6.7733000000000003E-3</v>
      </c>
      <c r="M28" s="4">
        <v>6.3860999999999996E-3</v>
      </c>
      <c r="N28" s="4">
        <v>6.0403999999999996E-3</v>
      </c>
      <c r="O28" s="4">
        <v>5.7292000000000003E-3</v>
      </c>
      <c r="P28" s="4">
        <v>5.4478E-3</v>
      </c>
      <c r="Q28" s="4">
        <v>5.182E-3</v>
      </c>
      <c r="R28" s="4">
        <v>4.9220000000000002E-3</v>
      </c>
      <c r="S28" s="4">
        <v>4.5243999999999996E-3</v>
      </c>
      <c r="T28" s="4">
        <v>4.0670999999999997E-3</v>
      </c>
      <c r="U28" s="4">
        <v>3.3665000000000001E-3</v>
      </c>
      <c r="V28" s="4">
        <v>3.6681000000000001E-3</v>
      </c>
      <c r="W28" s="4">
        <v>3.5577999999999999E-3</v>
      </c>
      <c r="X28" s="4">
        <v>3.4626000000000001E-3</v>
      </c>
      <c r="Y28" s="4">
        <v>3.3706999999999999E-3</v>
      </c>
      <c r="Z28" s="4">
        <v>3.2885000000000002E-3</v>
      </c>
      <c r="AA28" s="4">
        <v>3.2095000000000001E-3</v>
      </c>
      <c r="AB28" s="4">
        <v>3.1354999999999998E-3</v>
      </c>
      <c r="AC28" s="4">
        <v>3.0645999999999998E-3</v>
      </c>
      <c r="AD28" s="4">
        <v>2.9968999999999998E-3</v>
      </c>
      <c r="AE28" s="4">
        <v>2.9320000000000001E-3</v>
      </c>
      <c r="AF28" s="4">
        <v>2.8697000000000002E-3</v>
      </c>
      <c r="AG28" s="4">
        <v>2.8099000000000002E-3</v>
      </c>
      <c r="AH28" s="4">
        <v>2.7523999999999999E-3</v>
      </c>
      <c r="AI28" s="4">
        <v>2.6971E-3</v>
      </c>
      <c r="AJ28" s="4">
        <v>2.6438999999999998E-3</v>
      </c>
      <c r="AK28" s="4">
        <v>2.5926999999999999E-3</v>
      </c>
      <c r="AL28" s="4">
        <v>2.5433999999999999E-3</v>
      </c>
      <c r="AM28" s="4">
        <v>2.4959000000000001E-3</v>
      </c>
      <c r="AN28" s="4">
        <v>2.4499999999999999E-3</v>
      </c>
      <c r="AO28" s="4">
        <v>2.4058E-3</v>
      </c>
      <c r="AP28" s="4">
        <v>2.3630999999999999E-3</v>
      </c>
      <c r="AQ28" s="4">
        <v>2.3219E-3</v>
      </c>
      <c r="AR28" s="4">
        <v>2.2820000000000002E-3</v>
      </c>
      <c r="AS28" s="4">
        <v>2.2434E-3</v>
      </c>
      <c r="AT28" s="4">
        <v>2.2060999999999999E-3</v>
      </c>
      <c r="AU28" s="4">
        <v>2.1699000000000002E-3</v>
      </c>
      <c r="AV28" s="4">
        <v>2.1346999999999998E-3</v>
      </c>
      <c r="AW28" s="4">
        <v>2.1006000000000002E-3</v>
      </c>
      <c r="AX28" s="4">
        <v>2.0674999999999999E-3</v>
      </c>
      <c r="AY28" s="4">
        <v>2.0352999999999999E-3</v>
      </c>
      <c r="AZ28" s="4">
        <v>2.0038999999999999E-3</v>
      </c>
      <c r="BA28" s="4">
        <v>1.9732999999999999E-3</v>
      </c>
      <c r="BB28" s="4">
        <v>1.9434999999999999E-3</v>
      </c>
      <c r="BC28" s="4">
        <v>1.9143999999999999E-3</v>
      </c>
      <c r="BD28" s="4">
        <v>1.8860000000000001E-3</v>
      </c>
      <c r="BE28" s="4">
        <v>1.8582E-3</v>
      </c>
      <c r="BF28" s="4">
        <v>1.8309999999999999E-3</v>
      </c>
      <c r="BG28" s="4">
        <v>1.8044000000000001E-3</v>
      </c>
      <c r="BH28" s="4">
        <v>1.7784000000000001E-3</v>
      </c>
      <c r="BI28" s="4">
        <v>1.7528000000000001E-3</v>
      </c>
      <c r="BJ28" s="4">
        <v>1.7278E-3</v>
      </c>
      <c r="BK28" s="4">
        <v>1.7032E-3</v>
      </c>
      <c r="BL28" s="4">
        <v>1.6791E-3</v>
      </c>
      <c r="BM28" s="4">
        <v>1.6554E-3</v>
      </c>
      <c r="BN28" s="4">
        <v>1.6322000000000001E-3</v>
      </c>
      <c r="BO28" s="4">
        <v>1.6092999999999999E-3</v>
      </c>
      <c r="BP28" s="4">
        <v>1.5868E-3</v>
      </c>
      <c r="BQ28" s="4">
        <v>1.5646E-3</v>
      </c>
      <c r="BR28" s="4">
        <v>1.5429E-3</v>
      </c>
      <c r="BS28" s="4">
        <v>1.5214E-3</v>
      </c>
      <c r="BT28" s="4">
        <v>1.5003E-3</v>
      </c>
      <c r="BU28" s="4">
        <v>1.4794999999999999E-3</v>
      </c>
      <c r="BV28" s="4">
        <v>1.459E-3</v>
      </c>
      <c r="BW28" s="4">
        <v>1.4388000000000001E-3</v>
      </c>
      <c r="BX28" s="4">
        <v>1.4189000000000001E-3</v>
      </c>
      <c r="BY28" s="4">
        <v>1.3993E-3</v>
      </c>
      <c r="BZ28" s="4">
        <v>1.3799999999999999E-3</v>
      </c>
      <c r="CA28" s="4">
        <v>1.3609E-3</v>
      </c>
      <c r="CB28" s="4">
        <v>1.3420999999999999E-3</v>
      </c>
      <c r="CC28" s="4">
        <v>1.3236000000000001E-3</v>
      </c>
      <c r="CD28" s="4">
        <v>1.3052999999999999E-3</v>
      </c>
      <c r="CE28" s="4">
        <v>1.2872999999999999E-3</v>
      </c>
      <c r="CF28" s="4">
        <v>1.2695E-3</v>
      </c>
      <c r="CG28" s="4">
        <v>1.2520000000000001E-3</v>
      </c>
      <c r="CH28" s="4">
        <v>1.2346E-3</v>
      </c>
      <c r="CI28" s="4">
        <v>1.2176000000000001E-3</v>
      </c>
      <c r="CJ28" s="4">
        <v>1.2007000000000001E-3</v>
      </c>
      <c r="CK28" s="4">
        <v>1.1841E-3</v>
      </c>
      <c r="CL28" s="4">
        <v>1.1677E-3</v>
      </c>
      <c r="CM28" s="4">
        <v>1.1515E-3</v>
      </c>
      <c r="CN28" s="4">
        <v>1.1355E-3</v>
      </c>
      <c r="CO28" s="4">
        <v>1.1196999999999999E-3</v>
      </c>
      <c r="CP28" s="4">
        <v>1.1042000000000001E-3</v>
      </c>
      <c r="CQ28" s="4">
        <v>1.0888E-3</v>
      </c>
      <c r="CR28" s="4">
        <v>1.0736999999999999E-3</v>
      </c>
      <c r="CS28" s="4">
        <v>1.0587000000000001E-3</v>
      </c>
      <c r="CT28" s="4">
        <v>1.044E-3</v>
      </c>
      <c r="CU28" s="4">
        <v>1.0294E-3</v>
      </c>
      <c r="CV28" s="4">
        <v>1.0150999999999999E-3</v>
      </c>
      <c r="CW28" s="4">
        <v>1.0009000000000001E-3</v>
      </c>
      <c r="CX28" s="4">
        <v>9.8689999999999997E-4</v>
      </c>
      <c r="CY28" s="4">
        <v>9.7309999999999996E-4</v>
      </c>
      <c r="CZ28" s="4">
        <v>9.5949999999999996E-4</v>
      </c>
      <c r="DA28" s="4">
        <v>9.4609999999999996E-4</v>
      </c>
      <c r="DB28" s="4">
        <v>9.3280000000000001E-4</v>
      </c>
      <c r="DC28" s="4">
        <v>9.1980000000000002E-4</v>
      </c>
      <c r="DD28" s="4">
        <v>9.0689999999999998E-4</v>
      </c>
      <c r="DE28" s="4">
        <v>8.9420000000000005E-4</v>
      </c>
      <c r="DF28" s="4">
        <v>8.8159999999999996E-4</v>
      </c>
      <c r="DG28" s="4">
        <v>8.6919999999999999E-4</v>
      </c>
      <c r="DH28" s="4">
        <v>8.5700000000000001E-4</v>
      </c>
      <c r="DI28" s="4">
        <v>8.4500000000000005E-4</v>
      </c>
      <c r="DJ28" s="4">
        <v>8.3310000000000003E-4</v>
      </c>
      <c r="DK28" s="4">
        <v>8.2140000000000002E-4</v>
      </c>
      <c r="DL28" s="4">
        <v>8.0979999999999995E-4</v>
      </c>
      <c r="DM28" s="4">
        <v>7.984E-4</v>
      </c>
      <c r="DN28" s="4">
        <v>7.8720000000000005E-4</v>
      </c>
      <c r="DO28" s="4">
        <v>7.7610000000000005E-4</v>
      </c>
      <c r="DP28" s="4">
        <v>7.651E-4</v>
      </c>
      <c r="DQ28" s="4">
        <v>5.3156799999999997E-2</v>
      </c>
      <c r="DR28" s="4">
        <v>0</v>
      </c>
      <c r="DS28" s="4">
        <v>5.94E-5</v>
      </c>
      <c r="DT28" s="4">
        <v>1.9340000000000001E-4</v>
      </c>
      <c r="DU28" s="4">
        <v>7.4540000000000001E-4</v>
      </c>
      <c r="DV28" s="4">
        <v>6.4849999999999999E-4</v>
      </c>
      <c r="DW28" s="4">
        <v>6.0190000000000005E-4</v>
      </c>
      <c r="DX28" s="4">
        <v>6.2410000000000005E-4</v>
      </c>
      <c r="DY28" s="4">
        <v>5.4819999999999999E-4</v>
      </c>
      <c r="DZ28" s="4">
        <v>5.0069999999999997E-4</v>
      </c>
      <c r="EA28" s="4">
        <v>4.4270000000000003E-4</v>
      </c>
      <c r="EB28" s="4">
        <v>3.9619999999999998E-4</v>
      </c>
      <c r="EC28" s="4">
        <v>3.5290000000000001E-4</v>
      </c>
      <c r="ED28" s="4">
        <v>3.1589999999999998E-4</v>
      </c>
      <c r="EE28" s="4">
        <v>2.833E-4</v>
      </c>
      <c r="EF28" s="4">
        <v>2.5530000000000003E-4</v>
      </c>
      <c r="EG28" s="4">
        <v>2.3049999999999999E-4</v>
      </c>
      <c r="EH28" s="4">
        <v>2.0819999999999999E-4</v>
      </c>
      <c r="EI28" s="4">
        <v>1.8129999999999999E-4</v>
      </c>
      <c r="EJ28" s="4">
        <v>1.549E-4</v>
      </c>
      <c r="EK28" s="4">
        <v>1.217E-4</v>
      </c>
      <c r="EL28" s="4">
        <v>1.3129999999999999E-4</v>
      </c>
      <c r="EM28" s="4">
        <v>1.216E-4</v>
      </c>
      <c r="EN28" s="4">
        <v>1.131E-4</v>
      </c>
      <c r="EO28" s="4">
        <v>1.054E-4</v>
      </c>
      <c r="EP28" s="4">
        <v>9.87E-5</v>
      </c>
      <c r="EQ28" s="4">
        <v>9.2600000000000001E-5</v>
      </c>
      <c r="ER28" s="4">
        <v>8.7200000000000005E-5</v>
      </c>
      <c r="ES28" s="4">
        <v>8.2299999999999995E-5</v>
      </c>
      <c r="ET28" s="4">
        <v>7.7799999999999994E-5</v>
      </c>
      <c r="EU28" s="4">
        <v>7.3700000000000002E-5</v>
      </c>
      <c r="EV28" s="4">
        <v>6.9999999999999994E-5</v>
      </c>
      <c r="EW28" s="4">
        <v>6.6500000000000004E-5</v>
      </c>
      <c r="EX28" s="4">
        <v>6.3299999999999994E-5</v>
      </c>
      <c r="EY28" s="4">
        <v>6.0399999999999998E-5</v>
      </c>
      <c r="EZ28" s="4">
        <v>5.77E-5</v>
      </c>
      <c r="FA28" s="4">
        <v>5.5099999999999998E-5</v>
      </c>
      <c r="FB28" s="4">
        <v>5.2800000000000003E-5</v>
      </c>
      <c r="FC28" s="4">
        <v>5.0599999999999997E-5</v>
      </c>
      <c r="FD28" s="4">
        <v>4.85E-5</v>
      </c>
      <c r="FE28" s="4">
        <v>4.6600000000000001E-5</v>
      </c>
      <c r="FF28" s="4">
        <v>4.4799999999999998E-5</v>
      </c>
      <c r="FG28" s="4">
        <v>4.3099999999999997E-5</v>
      </c>
      <c r="FH28" s="4">
        <v>4.1499999999999999E-5</v>
      </c>
      <c r="FI28" s="4">
        <v>4.0000000000000003E-5</v>
      </c>
      <c r="FJ28" s="4">
        <v>3.8699999999999999E-5</v>
      </c>
      <c r="FK28" s="4">
        <v>3.7400000000000001E-5</v>
      </c>
      <c r="FL28" s="4">
        <v>3.6199999999999999E-5</v>
      </c>
      <c r="FM28" s="4">
        <v>3.4999999999999997E-5</v>
      </c>
      <c r="FN28" s="4">
        <v>3.4E-5</v>
      </c>
      <c r="FO28" s="4">
        <v>3.3000000000000003E-5</v>
      </c>
      <c r="FP28" s="4">
        <v>3.2100000000000001E-5</v>
      </c>
      <c r="FQ28" s="4">
        <v>3.1199999999999999E-5</v>
      </c>
      <c r="FR28" s="4">
        <v>3.04E-5</v>
      </c>
      <c r="FS28" s="4">
        <v>2.9600000000000001E-5</v>
      </c>
      <c r="FT28" s="4">
        <v>2.8900000000000001E-5</v>
      </c>
      <c r="FU28" s="4">
        <v>2.8200000000000001E-5</v>
      </c>
      <c r="FV28" s="4">
        <v>2.7500000000000001E-5</v>
      </c>
      <c r="FW28" s="4">
        <v>2.69E-5</v>
      </c>
      <c r="FX28" s="4">
        <v>2.6299999999999999E-5</v>
      </c>
      <c r="FY28" s="4">
        <v>2.58E-5</v>
      </c>
      <c r="FZ28" s="4">
        <v>2.5299999999999998E-5</v>
      </c>
      <c r="GA28" s="4">
        <v>2.48E-5</v>
      </c>
      <c r="GB28" s="4">
        <v>2.4300000000000001E-5</v>
      </c>
      <c r="GC28" s="4">
        <v>2.3799999999999999E-5</v>
      </c>
      <c r="GD28" s="4">
        <v>2.34E-5</v>
      </c>
      <c r="GE28" s="4">
        <v>2.3E-5</v>
      </c>
      <c r="GF28" s="4">
        <v>2.26E-5</v>
      </c>
      <c r="GG28" s="4">
        <v>2.2200000000000001E-5</v>
      </c>
      <c r="GH28" s="4">
        <v>2.19E-5</v>
      </c>
      <c r="GI28" s="4">
        <v>2.1500000000000001E-5</v>
      </c>
      <c r="GJ28" s="4">
        <v>2.12E-5</v>
      </c>
      <c r="GK28" s="4">
        <v>2.0800000000000001E-5</v>
      </c>
      <c r="GL28" s="4">
        <v>2.05E-5</v>
      </c>
      <c r="GM28" s="4">
        <v>2.02E-5</v>
      </c>
      <c r="GN28" s="4">
        <v>1.9899999999999999E-5</v>
      </c>
      <c r="GO28" s="4">
        <v>1.9599999999999999E-5</v>
      </c>
      <c r="GP28" s="4">
        <v>1.9300000000000002E-5</v>
      </c>
      <c r="GQ28" s="4">
        <v>1.9000000000000001E-5</v>
      </c>
      <c r="GR28" s="4">
        <v>1.88E-5</v>
      </c>
      <c r="GS28" s="4">
        <v>1.8499999999999999E-5</v>
      </c>
      <c r="GT28" s="4">
        <v>1.8199999999999999E-5</v>
      </c>
      <c r="GU28" s="4">
        <v>1.8E-5</v>
      </c>
      <c r="GV28" s="4">
        <v>1.77E-5</v>
      </c>
      <c r="GW28" s="4">
        <v>1.7499999999999998E-5</v>
      </c>
      <c r="GX28" s="4">
        <v>1.7200000000000001E-5</v>
      </c>
      <c r="GY28" s="4">
        <v>1.7E-5</v>
      </c>
      <c r="GZ28" s="4">
        <v>1.6799999999999998E-5</v>
      </c>
      <c r="HA28" s="4">
        <v>1.6500000000000001E-5</v>
      </c>
      <c r="HB28" s="4">
        <v>1.63E-5</v>
      </c>
      <c r="HC28" s="4">
        <v>1.6099999999999998E-5</v>
      </c>
      <c r="HD28" s="4">
        <v>1.59E-5</v>
      </c>
      <c r="HE28" s="4">
        <v>1.5699999999999999E-5</v>
      </c>
      <c r="HF28" s="4">
        <v>1.5500000000000001E-5</v>
      </c>
      <c r="HG28" s="4">
        <v>1.52E-5</v>
      </c>
      <c r="HH28" s="4">
        <v>1.5E-5</v>
      </c>
      <c r="HI28" s="4">
        <v>1.4800000000000001E-5</v>
      </c>
      <c r="HJ28" s="4">
        <v>1.4600000000000001E-5</v>
      </c>
      <c r="HK28" s="4">
        <v>1.4399999999999999E-5</v>
      </c>
      <c r="HL28" s="4">
        <v>1.42E-5</v>
      </c>
      <c r="HM28" s="4">
        <v>1.4E-5</v>
      </c>
      <c r="HN28" s="4">
        <v>1.3900000000000001E-5</v>
      </c>
      <c r="HO28" s="4">
        <v>1.3699999999999999E-5</v>
      </c>
      <c r="HP28" s="4">
        <v>1.3499999999999999E-5</v>
      </c>
      <c r="HQ28" s="4">
        <v>1.33E-5</v>
      </c>
      <c r="HR28" s="4">
        <v>1.31E-5</v>
      </c>
      <c r="HS28" s="4">
        <v>1.29E-5</v>
      </c>
      <c r="HT28" s="4">
        <v>1.2799999999999999E-5</v>
      </c>
      <c r="HU28" s="4">
        <v>1.26E-5</v>
      </c>
      <c r="HV28" s="4">
        <v>1.24E-5</v>
      </c>
      <c r="HW28" s="4">
        <v>1.22E-5</v>
      </c>
      <c r="HX28" s="4">
        <v>1.2099999999999999E-5</v>
      </c>
      <c r="HY28" s="4">
        <v>1.19E-5</v>
      </c>
      <c r="HZ28" s="4">
        <v>1.1800000000000001E-5</v>
      </c>
      <c r="IA28" s="4">
        <v>1.1600000000000001E-5</v>
      </c>
      <c r="IB28" s="4">
        <v>1.1399999999999999E-5</v>
      </c>
      <c r="IC28" s="4">
        <v>1.13E-5</v>
      </c>
      <c r="ID28" s="4">
        <v>1.11E-5</v>
      </c>
      <c r="IE28" s="4">
        <v>1.1E-5</v>
      </c>
      <c r="IF28" s="4">
        <v>1.08E-5</v>
      </c>
      <c r="IG28" s="4">
        <v>7.5460000000000002E-4</v>
      </c>
      <c r="IH28" s="4"/>
      <c r="II28" s="4">
        <f t="shared" si="257"/>
        <v>0.11682588417260005</v>
      </c>
      <c r="IL28">
        <f t="shared" si="258"/>
        <v>0.35879377499999987</v>
      </c>
      <c r="IP28" s="4">
        <f t="shared" si="273"/>
        <v>8.8531999999999916E-3</v>
      </c>
      <c r="IQ28" s="4">
        <f t="shared" si="274"/>
        <v>7.9770999999999974E-3</v>
      </c>
      <c r="IR28" s="4">
        <f t="shared" si="261"/>
        <v>5.1567999999999996E-3</v>
      </c>
      <c r="IS28" s="4">
        <f t="shared" si="262"/>
        <v>3.0936000000000019E-3</v>
      </c>
      <c r="IT28" s="4">
        <f t="shared" si="263"/>
        <v>2.1490999999999993E-3</v>
      </c>
      <c r="IU28" s="4">
        <f t="shared" si="264"/>
        <v>5.469500000000023E-3</v>
      </c>
      <c r="IV28" s="4">
        <f t="shared" si="265"/>
        <v>2.5040000000000132E-3</v>
      </c>
      <c r="IW28" s="4">
        <f t="shared" si="266"/>
        <v>1.6564999999999983E-3</v>
      </c>
      <c r="IX28" s="4">
        <f t="shared" si="267"/>
        <v>5.0566000000000083E-3</v>
      </c>
      <c r="IZ28">
        <f t="shared" si="270"/>
        <v>2012.75</v>
      </c>
      <c r="JA28">
        <f t="shared" si="268"/>
        <v>6.1131629191612591</v>
      </c>
      <c r="JB28">
        <f t="shared" si="268"/>
        <v>3.8984564984500105</v>
      </c>
      <c r="JC28">
        <f t="shared" si="268"/>
        <v>3.5087164418989825</v>
      </c>
      <c r="JD28">
        <f t="shared" si="268"/>
        <v>-6.2463542083275581</v>
      </c>
      <c r="JE28">
        <f t="shared" si="268"/>
        <v>-6.833811962536922</v>
      </c>
      <c r="JF28">
        <f t="shared" si="268"/>
        <v>-3.1069132056290822</v>
      </c>
      <c r="JG28">
        <f t="shared" si="268"/>
        <v>-0.43435880919299252</v>
      </c>
      <c r="JH28">
        <f t="shared" si="268"/>
        <v>-0.16888839287960725</v>
      </c>
      <c r="JI28">
        <f t="shared" si="268"/>
        <v>-6.1287231438597871E-2</v>
      </c>
    </row>
    <row r="29" spans="1:269" x14ac:dyDescent="0.35">
      <c r="A29" s="1">
        <v>21</v>
      </c>
      <c r="B29" s="4">
        <v>1.0734799999999999E-2</v>
      </c>
      <c r="C29" s="4">
        <v>1.1099700000000001E-2</v>
      </c>
      <c r="D29" s="4">
        <v>1.1040299999999999E-2</v>
      </c>
      <c r="E29" s="4">
        <v>1.08469E-2</v>
      </c>
      <c r="F29" s="4">
        <v>1.0101600000000001E-2</v>
      </c>
      <c r="G29" s="4">
        <v>9.4538999999999995E-3</v>
      </c>
      <c r="H29" s="4">
        <v>8.8535000000000003E-3</v>
      </c>
      <c r="I29" s="4">
        <v>8.2380000000000005E-3</v>
      </c>
      <c r="J29" s="4">
        <v>7.6940000000000003E-3</v>
      </c>
      <c r="K29" s="4">
        <v>7.1960000000000001E-3</v>
      </c>
      <c r="L29" s="4">
        <v>6.7593000000000002E-3</v>
      </c>
      <c r="M29" s="4">
        <v>6.3771000000000001E-3</v>
      </c>
      <c r="N29" s="4">
        <v>6.0331999999999998E-3</v>
      </c>
      <c r="O29" s="4">
        <v>5.7245000000000004E-3</v>
      </c>
      <c r="P29" s="4">
        <v>5.4459E-3</v>
      </c>
      <c r="Q29" s="4">
        <v>5.1923999999999998E-3</v>
      </c>
      <c r="R29" s="4">
        <v>4.9515000000000002E-3</v>
      </c>
      <c r="S29" s="4">
        <v>4.7137999999999998E-3</v>
      </c>
      <c r="T29" s="4">
        <v>4.3430999999999999E-3</v>
      </c>
      <c r="U29" s="4">
        <v>3.9121E-3</v>
      </c>
      <c r="V29" s="4">
        <v>3.2447999999999999E-3</v>
      </c>
      <c r="W29" s="4">
        <v>3.5368000000000001E-3</v>
      </c>
      <c r="X29" s="4">
        <v>3.4363000000000002E-3</v>
      </c>
      <c r="Y29" s="4">
        <v>3.3495E-3</v>
      </c>
      <c r="Z29" s="4">
        <v>3.2653000000000001E-3</v>
      </c>
      <c r="AA29" s="4">
        <v>3.1898E-3</v>
      </c>
      <c r="AB29" s="4">
        <v>3.1169000000000001E-3</v>
      </c>
      <c r="AC29" s="4">
        <v>3.0482999999999999E-3</v>
      </c>
      <c r="AD29" s="4">
        <v>2.9824000000000001E-3</v>
      </c>
      <c r="AE29" s="4">
        <v>2.9191E-3</v>
      </c>
      <c r="AF29" s="4">
        <v>2.8582999999999998E-3</v>
      </c>
      <c r="AG29" s="4">
        <v>2.7997999999999999E-3</v>
      </c>
      <c r="AH29" s="4">
        <v>2.7434E-3</v>
      </c>
      <c r="AI29" s="4">
        <v>2.6890999999999998E-3</v>
      </c>
      <c r="AJ29" s="4">
        <v>2.6367000000000001E-3</v>
      </c>
      <c r="AK29" s="4">
        <v>2.5861999999999999E-3</v>
      </c>
      <c r="AL29" s="4">
        <v>2.5376000000000001E-3</v>
      </c>
      <c r="AM29" s="4">
        <v>2.4905999999999999E-3</v>
      </c>
      <c r="AN29" s="4">
        <v>2.4453000000000001E-3</v>
      </c>
      <c r="AO29" s="4">
        <v>2.4015E-3</v>
      </c>
      <c r="AP29" s="4">
        <v>2.3592000000000001E-3</v>
      </c>
      <c r="AQ29" s="4">
        <v>2.3184E-3</v>
      </c>
      <c r="AR29" s="4">
        <v>2.2788000000000001E-3</v>
      </c>
      <c r="AS29" s="4">
        <v>2.2404999999999999E-3</v>
      </c>
      <c r="AT29" s="4">
        <v>2.2033999999999999E-3</v>
      </c>
      <c r="AU29" s="4">
        <v>2.1673999999999999E-3</v>
      </c>
      <c r="AV29" s="4">
        <v>2.1324999999999998E-3</v>
      </c>
      <c r="AW29" s="4">
        <v>2.0985999999999999E-3</v>
      </c>
      <c r="AX29" s="4">
        <v>2.0655999999999999E-3</v>
      </c>
      <c r="AY29" s="4">
        <v>2.0335000000000002E-3</v>
      </c>
      <c r="AZ29" s="4">
        <v>2.0022999999999998E-3</v>
      </c>
      <c r="BA29" s="4">
        <v>1.9718000000000001E-3</v>
      </c>
      <c r="BB29" s="4">
        <v>1.9421E-3</v>
      </c>
      <c r="BC29" s="4">
        <v>1.9131E-3</v>
      </c>
      <c r="BD29" s="4">
        <v>1.8848000000000001E-3</v>
      </c>
      <c r="BE29" s="4">
        <v>1.8571E-3</v>
      </c>
      <c r="BF29" s="4">
        <v>1.83E-3</v>
      </c>
      <c r="BG29" s="4">
        <v>1.8035E-3</v>
      </c>
      <c r="BH29" s="4">
        <v>1.7775E-3</v>
      </c>
      <c r="BI29" s="4">
        <v>1.7520000000000001E-3</v>
      </c>
      <c r="BJ29" s="4">
        <v>1.7271000000000001E-3</v>
      </c>
      <c r="BK29" s="4">
        <v>1.7025E-3</v>
      </c>
      <c r="BL29" s="4">
        <v>1.6785000000000001E-3</v>
      </c>
      <c r="BM29" s="4">
        <v>1.6548000000000001E-3</v>
      </c>
      <c r="BN29" s="4">
        <v>1.6316E-3</v>
      </c>
      <c r="BO29" s="4">
        <v>1.6087E-3</v>
      </c>
      <c r="BP29" s="4">
        <v>1.5862999999999999E-3</v>
      </c>
      <c r="BQ29" s="4">
        <v>1.5642E-3</v>
      </c>
      <c r="BR29" s="4">
        <v>1.5424E-3</v>
      </c>
      <c r="BS29" s="4">
        <v>1.521E-3</v>
      </c>
      <c r="BT29" s="4">
        <v>1.4999E-3</v>
      </c>
      <c r="BU29" s="4">
        <v>1.4790999999999999E-3</v>
      </c>
      <c r="BV29" s="4">
        <v>1.4587000000000001E-3</v>
      </c>
      <c r="BW29" s="4">
        <v>1.4385000000000001E-3</v>
      </c>
      <c r="BX29" s="4">
        <v>1.4185999999999999E-3</v>
      </c>
      <c r="BY29" s="4">
        <v>1.3990000000000001E-3</v>
      </c>
      <c r="BZ29" s="4">
        <v>1.3797E-3</v>
      </c>
      <c r="CA29" s="4">
        <v>1.3607000000000001E-3</v>
      </c>
      <c r="CB29" s="4">
        <v>1.3419E-3</v>
      </c>
      <c r="CC29" s="4">
        <v>1.3234E-3</v>
      </c>
      <c r="CD29" s="4">
        <v>1.3051E-3</v>
      </c>
      <c r="CE29" s="4">
        <v>1.2871E-3</v>
      </c>
      <c r="CF29" s="4">
        <v>1.2692999999999999E-3</v>
      </c>
      <c r="CG29" s="4">
        <v>1.2518E-3</v>
      </c>
      <c r="CH29" s="4">
        <v>1.2344999999999999E-3</v>
      </c>
      <c r="CI29" s="4">
        <v>1.2174E-3</v>
      </c>
      <c r="CJ29" s="4">
        <v>1.2006E-3</v>
      </c>
      <c r="CK29" s="4">
        <v>1.1839000000000001E-3</v>
      </c>
      <c r="CL29" s="4">
        <v>1.1674999999999999E-3</v>
      </c>
      <c r="CM29" s="4">
        <v>1.1513000000000001E-3</v>
      </c>
      <c r="CN29" s="4">
        <v>1.1354E-3</v>
      </c>
      <c r="CO29" s="4">
        <v>1.1195999999999999E-3</v>
      </c>
      <c r="CP29" s="4">
        <v>1.1041E-3</v>
      </c>
      <c r="CQ29" s="4">
        <v>1.0887E-3</v>
      </c>
      <c r="CR29" s="4">
        <v>1.0736000000000001E-3</v>
      </c>
      <c r="CS29" s="4">
        <v>1.0586E-3</v>
      </c>
      <c r="CT29" s="4">
        <v>1.0438999999999999E-3</v>
      </c>
      <c r="CU29" s="4">
        <v>1.0292999999999999E-3</v>
      </c>
      <c r="CV29" s="4">
        <v>1.0150000000000001E-3</v>
      </c>
      <c r="CW29" s="4">
        <v>1.0008E-3</v>
      </c>
      <c r="CX29" s="4">
        <v>9.8689999999999997E-4</v>
      </c>
      <c r="CY29" s="4">
        <v>9.7309999999999996E-4</v>
      </c>
      <c r="CZ29" s="4">
        <v>9.5949999999999996E-4</v>
      </c>
      <c r="DA29" s="4">
        <v>9.4600000000000001E-4</v>
      </c>
      <c r="DB29" s="4">
        <v>9.3280000000000001E-4</v>
      </c>
      <c r="DC29" s="4">
        <v>9.1969999999999997E-4</v>
      </c>
      <c r="DD29" s="4">
        <v>9.0680000000000003E-4</v>
      </c>
      <c r="DE29" s="4">
        <v>8.9409999999999999E-4</v>
      </c>
      <c r="DF29" s="4">
        <v>8.8159999999999996E-4</v>
      </c>
      <c r="DG29" s="4">
        <v>8.6919999999999999E-4</v>
      </c>
      <c r="DH29" s="4">
        <v>8.5700000000000001E-4</v>
      </c>
      <c r="DI29" s="4">
        <v>8.4489999999999999E-4</v>
      </c>
      <c r="DJ29" s="4">
        <v>8.3310000000000003E-4</v>
      </c>
      <c r="DK29" s="4">
        <v>8.2129999999999996E-4</v>
      </c>
      <c r="DL29" s="4">
        <v>8.0979999999999995E-4</v>
      </c>
      <c r="DM29" s="4">
        <v>7.984E-4</v>
      </c>
      <c r="DN29" s="4">
        <v>7.871E-4</v>
      </c>
      <c r="DO29" s="4">
        <v>7.7610000000000005E-4</v>
      </c>
      <c r="DP29" s="4">
        <v>7.651E-4</v>
      </c>
      <c r="DQ29" s="4">
        <v>5.3156500000000002E-2</v>
      </c>
      <c r="DR29" s="4">
        <v>0</v>
      </c>
      <c r="DS29" s="4">
        <v>5.94E-5</v>
      </c>
      <c r="DT29" s="4">
        <v>1.9369999999999999E-4</v>
      </c>
      <c r="DU29" s="4">
        <v>7.4589999999999997E-4</v>
      </c>
      <c r="DV29" s="4">
        <v>6.4919999999999995E-4</v>
      </c>
      <c r="DW29" s="4">
        <v>6.0249999999999995E-4</v>
      </c>
      <c r="DX29" s="4">
        <v>6.2250000000000001E-4</v>
      </c>
      <c r="DY29" s="4">
        <v>5.4830000000000005E-4</v>
      </c>
      <c r="DZ29" s="4">
        <v>5.0029999999999996E-4</v>
      </c>
      <c r="EA29" s="4">
        <v>4.4220000000000001E-4</v>
      </c>
      <c r="EB29" s="4">
        <v>3.948E-4</v>
      </c>
      <c r="EC29" s="4">
        <v>3.522E-4</v>
      </c>
      <c r="ED29" s="4">
        <v>3.1530000000000002E-4</v>
      </c>
      <c r="EE29" s="4">
        <v>2.8289999999999999E-4</v>
      </c>
      <c r="EF29" s="4">
        <v>2.5490000000000002E-4</v>
      </c>
      <c r="EG29" s="4">
        <v>2.3049999999999999E-4</v>
      </c>
      <c r="EH29" s="4">
        <v>2.0890000000000001E-4</v>
      </c>
      <c r="EI29" s="4">
        <v>1.895E-4</v>
      </c>
      <c r="EJ29" s="4">
        <v>1.6559999999999999E-4</v>
      </c>
      <c r="EK29" s="4">
        <v>1.4210000000000001E-4</v>
      </c>
      <c r="EL29" s="4">
        <v>1.12E-4</v>
      </c>
      <c r="EM29" s="4">
        <v>1.208E-4</v>
      </c>
      <c r="EN29" s="4">
        <v>1.122E-4</v>
      </c>
      <c r="EO29" s="4">
        <v>1.048E-4</v>
      </c>
      <c r="EP29" s="4">
        <v>9.7999999999999997E-5</v>
      </c>
      <c r="EQ29" s="4">
        <v>9.2E-5</v>
      </c>
      <c r="ER29" s="4">
        <v>8.6600000000000004E-5</v>
      </c>
      <c r="ES29" s="4">
        <v>8.1799999999999996E-5</v>
      </c>
      <c r="ET29" s="4">
        <v>7.7399999999999998E-5</v>
      </c>
      <c r="EU29" s="4">
        <v>7.3300000000000006E-5</v>
      </c>
      <c r="EV29" s="4">
        <v>6.9599999999999998E-5</v>
      </c>
      <c r="EW29" s="4">
        <v>6.6199999999999996E-5</v>
      </c>
      <c r="EX29" s="4">
        <v>6.3100000000000002E-5</v>
      </c>
      <c r="EY29" s="4">
        <v>6.02E-5</v>
      </c>
      <c r="EZ29" s="4">
        <v>5.7500000000000002E-5</v>
      </c>
      <c r="FA29" s="4">
        <v>5.5000000000000002E-5</v>
      </c>
      <c r="FB29" s="4">
        <v>5.2599999999999998E-5</v>
      </c>
      <c r="FC29" s="4">
        <v>5.0399999999999999E-5</v>
      </c>
      <c r="FD29" s="4">
        <v>4.8399999999999997E-5</v>
      </c>
      <c r="FE29" s="4">
        <v>4.6499999999999999E-5</v>
      </c>
      <c r="FF29" s="4">
        <v>4.4700000000000002E-5</v>
      </c>
      <c r="FG29" s="4">
        <v>4.3000000000000002E-5</v>
      </c>
      <c r="FH29" s="4">
        <v>4.1399999999999997E-5</v>
      </c>
      <c r="FI29" s="4">
        <v>4.0000000000000003E-5</v>
      </c>
      <c r="FJ29" s="4">
        <v>3.8600000000000003E-5</v>
      </c>
      <c r="FK29" s="4">
        <v>3.7299999999999999E-5</v>
      </c>
      <c r="FL29" s="4">
        <v>3.6100000000000003E-5</v>
      </c>
      <c r="FM29" s="4">
        <v>3.4999999999999997E-5</v>
      </c>
      <c r="FN29" s="4">
        <v>3.3899999999999997E-5</v>
      </c>
      <c r="FO29" s="4">
        <v>3.3000000000000003E-5</v>
      </c>
      <c r="FP29" s="4">
        <v>3.1999999999999999E-5</v>
      </c>
      <c r="FQ29" s="4">
        <v>3.1199999999999999E-5</v>
      </c>
      <c r="FR29" s="4">
        <v>3.0300000000000001E-5</v>
      </c>
      <c r="FS29" s="4">
        <v>2.9600000000000001E-5</v>
      </c>
      <c r="FT29" s="4">
        <v>2.8799999999999999E-5</v>
      </c>
      <c r="FU29" s="4">
        <v>2.8200000000000001E-5</v>
      </c>
      <c r="FV29" s="4">
        <v>2.7500000000000001E-5</v>
      </c>
      <c r="FW29" s="4">
        <v>2.69E-5</v>
      </c>
      <c r="FX29" s="4">
        <v>2.6299999999999999E-5</v>
      </c>
      <c r="FY29" s="4">
        <v>2.58E-5</v>
      </c>
      <c r="FZ29" s="4">
        <v>2.5299999999999998E-5</v>
      </c>
      <c r="GA29" s="4">
        <v>2.48E-5</v>
      </c>
      <c r="GB29" s="4">
        <v>2.4300000000000001E-5</v>
      </c>
      <c r="GC29" s="4">
        <v>2.3799999999999999E-5</v>
      </c>
      <c r="GD29" s="4">
        <v>2.34E-5</v>
      </c>
      <c r="GE29" s="4">
        <v>2.3E-5</v>
      </c>
      <c r="GF29" s="4">
        <v>2.26E-5</v>
      </c>
      <c r="GG29" s="4">
        <v>2.2200000000000001E-5</v>
      </c>
      <c r="GH29" s="4">
        <v>2.1800000000000001E-5</v>
      </c>
      <c r="GI29" s="4">
        <v>2.1500000000000001E-5</v>
      </c>
      <c r="GJ29" s="4">
        <v>2.12E-5</v>
      </c>
      <c r="GK29" s="4">
        <v>2.0800000000000001E-5</v>
      </c>
      <c r="GL29" s="4">
        <v>2.05E-5</v>
      </c>
      <c r="GM29" s="4">
        <v>2.02E-5</v>
      </c>
      <c r="GN29" s="4">
        <v>1.9899999999999999E-5</v>
      </c>
      <c r="GO29" s="4">
        <v>1.9599999999999999E-5</v>
      </c>
      <c r="GP29" s="4">
        <v>1.9300000000000002E-5</v>
      </c>
      <c r="GQ29" s="4">
        <v>1.9000000000000001E-5</v>
      </c>
      <c r="GR29" s="4">
        <v>1.88E-5</v>
      </c>
      <c r="GS29" s="4">
        <v>1.8499999999999999E-5</v>
      </c>
      <c r="GT29" s="4">
        <v>1.8199999999999999E-5</v>
      </c>
      <c r="GU29" s="4">
        <v>1.8E-5</v>
      </c>
      <c r="GV29" s="4">
        <v>1.77E-5</v>
      </c>
      <c r="GW29" s="4">
        <v>1.7499999999999998E-5</v>
      </c>
      <c r="GX29" s="4">
        <v>1.7200000000000001E-5</v>
      </c>
      <c r="GY29" s="4">
        <v>1.7E-5</v>
      </c>
      <c r="GZ29" s="4">
        <v>1.6799999999999998E-5</v>
      </c>
      <c r="HA29" s="4">
        <v>1.6500000000000001E-5</v>
      </c>
      <c r="HB29" s="4">
        <v>1.63E-5</v>
      </c>
      <c r="HC29" s="4">
        <v>1.6099999999999998E-5</v>
      </c>
      <c r="HD29" s="4">
        <v>1.59E-5</v>
      </c>
      <c r="HE29" s="4">
        <v>1.5699999999999999E-5</v>
      </c>
      <c r="HF29" s="4">
        <v>1.5500000000000001E-5</v>
      </c>
      <c r="HG29" s="4">
        <v>1.52E-5</v>
      </c>
      <c r="HH29" s="4">
        <v>1.5E-5</v>
      </c>
      <c r="HI29" s="4">
        <v>1.4800000000000001E-5</v>
      </c>
      <c r="HJ29" s="4">
        <v>1.4600000000000001E-5</v>
      </c>
      <c r="HK29" s="4">
        <v>1.4399999999999999E-5</v>
      </c>
      <c r="HL29" s="4">
        <v>1.42E-5</v>
      </c>
      <c r="HM29" s="4">
        <v>1.4E-5</v>
      </c>
      <c r="HN29" s="4">
        <v>1.3900000000000001E-5</v>
      </c>
      <c r="HO29" s="4">
        <v>1.3699999999999999E-5</v>
      </c>
      <c r="HP29" s="4">
        <v>1.3499999999999999E-5</v>
      </c>
      <c r="HQ29" s="4">
        <v>1.33E-5</v>
      </c>
      <c r="HR29" s="4">
        <v>1.31E-5</v>
      </c>
      <c r="HS29" s="4">
        <v>1.29E-5</v>
      </c>
      <c r="HT29" s="4">
        <v>1.2799999999999999E-5</v>
      </c>
      <c r="HU29" s="4">
        <v>1.26E-5</v>
      </c>
      <c r="HV29" s="4">
        <v>1.24E-5</v>
      </c>
      <c r="HW29" s="4">
        <v>1.22E-5</v>
      </c>
      <c r="HX29" s="4">
        <v>1.2099999999999999E-5</v>
      </c>
      <c r="HY29" s="4">
        <v>1.19E-5</v>
      </c>
      <c r="HZ29" s="4">
        <v>1.1800000000000001E-5</v>
      </c>
      <c r="IA29" s="4">
        <v>1.1600000000000001E-5</v>
      </c>
      <c r="IB29" s="4">
        <v>1.1399999999999999E-5</v>
      </c>
      <c r="IC29" s="4">
        <v>1.13E-5</v>
      </c>
      <c r="ID29" s="4">
        <v>1.11E-5</v>
      </c>
      <c r="IE29" s="4">
        <v>1.1E-5</v>
      </c>
      <c r="IF29" s="4">
        <v>1.08E-5</v>
      </c>
      <c r="IG29" s="4">
        <v>7.5460000000000002E-4</v>
      </c>
      <c r="IH29" s="4"/>
      <c r="II29" s="4">
        <f t="shared" si="257"/>
        <v>0.11698697295535573</v>
      </c>
      <c r="IL29">
        <f t="shared" si="258"/>
        <v>0.35906647500000066</v>
      </c>
      <c r="IP29" s="4">
        <f t="shared" si="273"/>
        <v>8.8669999999999999E-3</v>
      </c>
      <c r="IQ29" s="4">
        <f t="shared" si="274"/>
        <v>7.9770999999999974E-3</v>
      </c>
      <c r="IR29" s="4">
        <f t="shared" si="261"/>
        <v>5.1622999999999981E-3</v>
      </c>
      <c r="IS29" s="4">
        <f t="shared" si="262"/>
        <v>3.2855000000000002E-3</v>
      </c>
      <c r="IT29" s="4">
        <f t="shared" si="263"/>
        <v>2.0509000000000013E-3</v>
      </c>
      <c r="IU29" s="4">
        <f t="shared" si="264"/>
        <v>5.4511000000000004E-3</v>
      </c>
      <c r="IV29" s="4">
        <f t="shared" si="265"/>
        <v>2.5009999999999963E-3</v>
      </c>
      <c r="IW29" s="4">
        <f t="shared" si="266"/>
        <v>1.6551999999999956E-3</v>
      </c>
      <c r="IX29" s="4">
        <f t="shared" si="267"/>
        <v>5.0560000000000049E-3</v>
      </c>
      <c r="IZ29">
        <f t="shared" si="270"/>
        <v>2013</v>
      </c>
      <c r="JA29">
        <f t="shared" si="268"/>
        <v>6.268917400373053</v>
      </c>
      <c r="JB29">
        <f t="shared" si="268"/>
        <v>3.8984564984500105</v>
      </c>
      <c r="JC29">
        <f t="shared" si="268"/>
        <v>3.6153148956558483</v>
      </c>
      <c r="JD29">
        <f t="shared" si="268"/>
        <v>-0.22801560384408914</v>
      </c>
      <c r="JE29">
        <f t="shared" si="268"/>
        <v>-11.510854827684145</v>
      </c>
      <c r="JF29">
        <f t="shared" si="268"/>
        <v>-3.4438913462380789</v>
      </c>
      <c r="JG29">
        <f t="shared" si="268"/>
        <v>-0.55423894343068036</v>
      </c>
      <c r="JH29">
        <f t="shared" si="268"/>
        <v>-0.24739792374150021</v>
      </c>
      <c r="JI29">
        <f t="shared" si="268"/>
        <v>-7.3153615963002405E-2</v>
      </c>
    </row>
    <row r="30" spans="1:269" x14ac:dyDescent="0.35">
      <c r="A30" s="1">
        <v>22</v>
      </c>
      <c r="B30" s="4">
        <v>1.0734799999999999E-2</v>
      </c>
      <c r="C30" s="4">
        <v>1.0734799999999999E-2</v>
      </c>
      <c r="D30" s="4">
        <v>1.1040299999999999E-2</v>
      </c>
      <c r="E30" s="4">
        <v>1.0846700000000001E-2</v>
      </c>
      <c r="F30" s="4">
        <v>1.0100899999999999E-2</v>
      </c>
      <c r="G30" s="4">
        <v>9.4525000000000008E-3</v>
      </c>
      <c r="H30" s="4">
        <v>8.8512999999999994E-3</v>
      </c>
      <c r="I30" s="4">
        <v>8.2310000000000005E-3</v>
      </c>
      <c r="J30" s="4">
        <v>7.6896999999999998E-3</v>
      </c>
      <c r="K30" s="4">
        <v>7.1936999999999999E-3</v>
      </c>
      <c r="L30" s="4">
        <v>6.7537999999999999E-3</v>
      </c>
      <c r="M30" s="4">
        <v>6.3645000000000004E-3</v>
      </c>
      <c r="N30" s="4">
        <v>6.0248999999999997E-3</v>
      </c>
      <c r="O30" s="4">
        <v>5.7178999999999997E-3</v>
      </c>
      <c r="P30" s="4">
        <v>5.4416000000000004E-3</v>
      </c>
      <c r="Q30" s="4">
        <v>5.1910000000000003E-3</v>
      </c>
      <c r="R30" s="4">
        <v>4.9619E-3</v>
      </c>
      <c r="S30" s="4">
        <v>4.7425999999999996E-3</v>
      </c>
      <c r="T30" s="4">
        <v>4.5243000000000002E-3</v>
      </c>
      <c r="U30" s="4">
        <v>4.1774999999999998E-3</v>
      </c>
      <c r="V30" s="4">
        <v>3.7701000000000002E-3</v>
      </c>
      <c r="W30" s="4">
        <v>3.1327999999999998E-3</v>
      </c>
      <c r="X30" s="4">
        <v>3.4158999999999999E-3</v>
      </c>
      <c r="Y30" s="4">
        <v>3.3240000000000001E-3</v>
      </c>
      <c r="Z30" s="4">
        <v>3.2447000000000001E-3</v>
      </c>
      <c r="AA30" s="4">
        <v>3.1673000000000001E-3</v>
      </c>
      <c r="AB30" s="4">
        <v>3.0977000000000001E-3</v>
      </c>
      <c r="AC30" s="4">
        <v>3.0303000000000001E-3</v>
      </c>
      <c r="AD30" s="4">
        <v>2.9665E-3</v>
      </c>
      <c r="AE30" s="4">
        <v>2.905E-3</v>
      </c>
      <c r="AF30" s="4">
        <v>2.8457999999999999E-3</v>
      </c>
      <c r="AG30" s="4">
        <v>2.7886999999999999E-3</v>
      </c>
      <c r="AH30" s="4">
        <v>2.7334999999999998E-3</v>
      </c>
      <c r="AI30" s="4">
        <v>2.6803E-3</v>
      </c>
      <c r="AJ30" s="4">
        <v>2.6289E-3</v>
      </c>
      <c r="AK30" s="4">
        <v>2.5791999999999998E-3</v>
      </c>
      <c r="AL30" s="4">
        <v>2.5313000000000002E-3</v>
      </c>
      <c r="AM30" s="4">
        <v>2.4849999999999998E-3</v>
      </c>
      <c r="AN30" s="4">
        <v>2.4402E-3</v>
      </c>
      <c r="AO30" s="4">
        <v>2.3969E-3</v>
      </c>
      <c r="AP30" s="4">
        <v>2.3551000000000002E-3</v>
      </c>
      <c r="AQ30" s="4">
        <v>2.3146E-3</v>
      </c>
      <c r="AR30" s="4">
        <v>2.2753999999999999E-3</v>
      </c>
      <c r="AS30" s="4">
        <v>2.2374000000000001E-3</v>
      </c>
      <c r="AT30" s="4">
        <v>2.2005000000000002E-3</v>
      </c>
      <c r="AU30" s="4">
        <v>2.1648000000000001E-3</v>
      </c>
      <c r="AV30" s="4">
        <v>2.1300999999999998E-3</v>
      </c>
      <c r="AW30" s="4">
        <v>2.0964E-3</v>
      </c>
      <c r="AX30" s="4">
        <v>2.0636000000000001E-3</v>
      </c>
      <c r="AY30" s="4">
        <v>2.0316000000000002E-3</v>
      </c>
      <c r="AZ30" s="4">
        <v>2.0005999999999999E-3</v>
      </c>
      <c r="BA30" s="4">
        <v>1.9702000000000001E-3</v>
      </c>
      <c r="BB30" s="4">
        <v>1.9407000000000001E-3</v>
      </c>
      <c r="BC30" s="4">
        <v>1.9118E-3</v>
      </c>
      <c r="BD30" s="4">
        <v>1.8836E-3</v>
      </c>
      <c r="BE30" s="4">
        <v>1.856E-3</v>
      </c>
      <c r="BF30" s="4">
        <v>1.8289000000000001E-3</v>
      </c>
      <c r="BG30" s="4">
        <v>1.8025000000000001E-3</v>
      </c>
      <c r="BH30" s="4">
        <v>1.7765999999999999E-3</v>
      </c>
      <c r="BI30" s="4">
        <v>1.7512000000000001E-3</v>
      </c>
      <c r="BJ30" s="4">
        <v>1.7263000000000001E-3</v>
      </c>
      <c r="BK30" s="4">
        <v>1.7018000000000001E-3</v>
      </c>
      <c r="BL30" s="4">
        <v>1.6777999999999999E-3</v>
      </c>
      <c r="BM30" s="4">
        <v>1.6542E-3</v>
      </c>
      <c r="BN30" s="4">
        <v>1.6310000000000001E-3</v>
      </c>
      <c r="BO30" s="4">
        <v>1.6082E-3</v>
      </c>
      <c r="BP30" s="4">
        <v>1.5857E-3</v>
      </c>
      <c r="BQ30" s="4">
        <v>1.5636999999999999E-3</v>
      </c>
      <c r="BR30" s="4">
        <v>1.542E-3</v>
      </c>
      <c r="BS30" s="4">
        <v>1.5206E-3</v>
      </c>
      <c r="BT30" s="4">
        <v>1.4995E-3</v>
      </c>
      <c r="BU30" s="4">
        <v>1.4787999999999999E-3</v>
      </c>
      <c r="BV30" s="4">
        <v>1.4583E-3</v>
      </c>
      <c r="BW30" s="4">
        <v>1.4381999999999999E-3</v>
      </c>
      <c r="BX30" s="4">
        <v>1.4182999999999999E-3</v>
      </c>
      <c r="BY30" s="4">
        <v>1.3986999999999999E-3</v>
      </c>
      <c r="BZ30" s="4">
        <v>1.3795000000000001E-3</v>
      </c>
      <c r="CA30" s="4">
        <v>1.3604000000000001E-3</v>
      </c>
      <c r="CB30" s="4">
        <v>1.3416999999999999E-3</v>
      </c>
      <c r="CC30" s="4">
        <v>1.3232000000000001E-3</v>
      </c>
      <c r="CD30" s="4">
        <v>1.3048999999999999E-3</v>
      </c>
      <c r="CE30" s="4">
        <v>1.2868999999999999E-3</v>
      </c>
      <c r="CF30" s="4">
        <v>1.2691E-3</v>
      </c>
      <c r="CG30" s="4">
        <v>1.2516000000000001E-3</v>
      </c>
      <c r="CH30" s="4">
        <v>1.2343E-3</v>
      </c>
      <c r="CI30" s="4">
        <v>1.2172000000000001E-3</v>
      </c>
      <c r="CJ30" s="4">
        <v>1.2003999999999999E-3</v>
      </c>
      <c r="CK30" s="4">
        <v>1.1838E-3</v>
      </c>
      <c r="CL30" s="4">
        <v>1.1674000000000001E-3</v>
      </c>
      <c r="CM30" s="4">
        <v>1.1512E-3</v>
      </c>
      <c r="CN30" s="4">
        <v>1.1352999999999999E-3</v>
      </c>
      <c r="CO30" s="4">
        <v>1.1195000000000001E-3</v>
      </c>
      <c r="CP30" s="4">
        <v>1.1039999999999999E-3</v>
      </c>
      <c r="CQ30" s="4">
        <v>1.0885999999999999E-3</v>
      </c>
      <c r="CR30" s="4">
        <v>1.0735E-3</v>
      </c>
      <c r="CS30" s="4">
        <v>1.0585E-3</v>
      </c>
      <c r="CT30" s="4">
        <v>1.0437999999999999E-3</v>
      </c>
      <c r="CU30" s="4">
        <v>1.0292999999999999E-3</v>
      </c>
      <c r="CV30" s="4">
        <v>1.0149E-3</v>
      </c>
      <c r="CW30" s="4">
        <v>1.0008E-3</v>
      </c>
      <c r="CX30" s="4">
        <v>9.8679999999999992E-4</v>
      </c>
      <c r="CY30" s="4">
        <v>9.7300000000000002E-4</v>
      </c>
      <c r="CZ30" s="4">
        <v>9.5940000000000001E-4</v>
      </c>
      <c r="DA30" s="4">
        <v>9.4600000000000001E-4</v>
      </c>
      <c r="DB30" s="4">
        <v>9.3269999999999996E-4</v>
      </c>
      <c r="DC30" s="4">
        <v>9.1969999999999997E-4</v>
      </c>
      <c r="DD30" s="4">
        <v>9.0680000000000003E-4</v>
      </c>
      <c r="DE30" s="4">
        <v>8.9409999999999999E-4</v>
      </c>
      <c r="DF30" s="4">
        <v>8.8150000000000001E-4</v>
      </c>
      <c r="DG30" s="4">
        <v>8.6919999999999999E-4</v>
      </c>
      <c r="DH30" s="4">
        <v>8.5689999999999996E-4</v>
      </c>
      <c r="DI30" s="4">
        <v>8.4489999999999999E-4</v>
      </c>
      <c r="DJ30" s="4">
        <v>8.3299999999999997E-4</v>
      </c>
      <c r="DK30" s="4">
        <v>8.2129999999999996E-4</v>
      </c>
      <c r="DL30" s="4">
        <v>8.0979999999999995E-4</v>
      </c>
      <c r="DM30" s="4">
        <v>7.984E-4</v>
      </c>
      <c r="DN30" s="4">
        <v>7.871E-4</v>
      </c>
      <c r="DO30" s="4">
        <v>7.76E-4</v>
      </c>
      <c r="DP30" s="4">
        <v>7.651E-4</v>
      </c>
      <c r="DQ30" s="4">
        <v>5.3156200000000001E-2</v>
      </c>
      <c r="DR30" s="4">
        <v>0</v>
      </c>
      <c r="DS30" s="4">
        <v>5.02E-5</v>
      </c>
      <c r="DT30" s="4">
        <v>1.9379999999999999E-4</v>
      </c>
      <c r="DU30" s="4">
        <v>7.4629999999999998E-4</v>
      </c>
      <c r="DV30" s="4">
        <v>6.4959999999999996E-4</v>
      </c>
      <c r="DW30" s="4">
        <v>6.0309999999999997E-4</v>
      </c>
      <c r="DX30" s="4">
        <v>6.2299999999999996E-4</v>
      </c>
      <c r="DY30" s="4">
        <v>5.4759999999999997E-4</v>
      </c>
      <c r="DZ30" s="4">
        <v>5.0040000000000002E-4</v>
      </c>
      <c r="EA30" s="4">
        <v>4.4250000000000002E-4</v>
      </c>
      <c r="EB30" s="4">
        <v>3.947E-4</v>
      </c>
      <c r="EC30" s="4">
        <v>3.5129999999999997E-4</v>
      </c>
      <c r="ED30" s="4">
        <v>3.1490000000000001E-4</v>
      </c>
      <c r="EE30" s="4">
        <v>2.8259999999999998E-4</v>
      </c>
      <c r="EF30" s="4">
        <v>2.5470000000000001E-4</v>
      </c>
      <c r="EG30" s="4">
        <v>2.3029999999999999E-4</v>
      </c>
      <c r="EH30" s="4">
        <v>2.0919999999999999E-4</v>
      </c>
      <c r="EI30" s="4">
        <v>1.9029999999999999E-4</v>
      </c>
      <c r="EJ30" s="4">
        <v>1.7310000000000001E-4</v>
      </c>
      <c r="EK30" s="4">
        <v>1.5190000000000001E-4</v>
      </c>
      <c r="EL30" s="4">
        <v>1.3080000000000001E-4</v>
      </c>
      <c r="EM30" s="4">
        <v>1.0340000000000001E-4</v>
      </c>
      <c r="EN30" s="4">
        <v>1.116E-4</v>
      </c>
      <c r="EO30" s="4">
        <v>1.0399999999999999E-4</v>
      </c>
      <c r="EP30" s="4">
        <v>9.7399999999999996E-5</v>
      </c>
      <c r="EQ30" s="4">
        <v>9.1399999999999999E-5</v>
      </c>
      <c r="ER30" s="4">
        <v>8.6100000000000006E-5</v>
      </c>
      <c r="ES30" s="4">
        <v>8.1299999999999997E-5</v>
      </c>
      <c r="ET30" s="4">
        <v>7.6899999999999999E-5</v>
      </c>
      <c r="EU30" s="4">
        <v>7.2999999999999999E-5</v>
      </c>
      <c r="EV30" s="4">
        <v>6.9300000000000004E-5</v>
      </c>
      <c r="EW30" s="4">
        <v>6.6000000000000005E-5</v>
      </c>
      <c r="EX30" s="4">
        <v>6.2899999999999997E-5</v>
      </c>
      <c r="EY30" s="4">
        <v>6.0000000000000002E-5</v>
      </c>
      <c r="EZ30" s="4">
        <v>5.7299999999999997E-5</v>
      </c>
      <c r="FA30" s="4">
        <v>5.4799999999999997E-5</v>
      </c>
      <c r="FB30" s="4">
        <v>5.2500000000000002E-5</v>
      </c>
      <c r="FC30" s="4">
        <v>5.0300000000000003E-5</v>
      </c>
      <c r="FD30" s="4">
        <v>4.8300000000000002E-5</v>
      </c>
      <c r="FE30" s="4">
        <v>4.6400000000000003E-5</v>
      </c>
      <c r="FF30" s="4">
        <v>4.46E-5</v>
      </c>
      <c r="FG30" s="4">
        <v>4.2899999999999999E-5</v>
      </c>
      <c r="FH30" s="4">
        <v>4.1399999999999997E-5</v>
      </c>
      <c r="FI30" s="4">
        <v>3.9900000000000001E-5</v>
      </c>
      <c r="FJ30" s="4">
        <v>3.8500000000000001E-5</v>
      </c>
      <c r="FK30" s="4">
        <v>3.7299999999999999E-5</v>
      </c>
      <c r="FL30" s="4">
        <v>3.6100000000000003E-5</v>
      </c>
      <c r="FM30" s="4">
        <v>3.4900000000000001E-5</v>
      </c>
      <c r="FN30" s="4">
        <v>3.3899999999999997E-5</v>
      </c>
      <c r="FO30" s="4">
        <v>3.29E-5</v>
      </c>
      <c r="FP30" s="4">
        <v>3.1999999999999999E-5</v>
      </c>
      <c r="FQ30" s="4">
        <v>3.1099999999999997E-5</v>
      </c>
      <c r="FR30" s="4">
        <v>3.0300000000000001E-5</v>
      </c>
      <c r="FS30" s="4">
        <v>2.9499999999999999E-5</v>
      </c>
      <c r="FT30" s="4">
        <v>2.8799999999999999E-5</v>
      </c>
      <c r="FU30" s="4">
        <v>2.8099999999999999E-5</v>
      </c>
      <c r="FV30" s="4">
        <v>2.7500000000000001E-5</v>
      </c>
      <c r="FW30" s="4">
        <v>2.69E-5</v>
      </c>
      <c r="FX30" s="4">
        <v>2.6299999999999999E-5</v>
      </c>
      <c r="FY30" s="4">
        <v>2.58E-5</v>
      </c>
      <c r="FZ30" s="4">
        <v>2.5199999999999999E-5</v>
      </c>
      <c r="GA30" s="4">
        <v>2.4700000000000001E-5</v>
      </c>
      <c r="GB30" s="4">
        <v>2.4300000000000001E-5</v>
      </c>
      <c r="GC30" s="4">
        <v>2.3799999999999999E-5</v>
      </c>
      <c r="GD30" s="4">
        <v>2.34E-5</v>
      </c>
      <c r="GE30" s="4">
        <v>2.3E-5</v>
      </c>
      <c r="GF30" s="4">
        <v>2.26E-5</v>
      </c>
      <c r="GG30" s="4">
        <v>2.2200000000000001E-5</v>
      </c>
      <c r="GH30" s="4">
        <v>2.1800000000000001E-5</v>
      </c>
      <c r="GI30" s="4">
        <v>2.1500000000000001E-5</v>
      </c>
      <c r="GJ30" s="4">
        <v>2.1100000000000001E-5</v>
      </c>
      <c r="GK30" s="4">
        <v>2.0800000000000001E-5</v>
      </c>
      <c r="GL30" s="4">
        <v>2.05E-5</v>
      </c>
      <c r="GM30" s="4">
        <v>2.02E-5</v>
      </c>
      <c r="GN30" s="4">
        <v>1.9899999999999999E-5</v>
      </c>
      <c r="GO30" s="4">
        <v>1.9599999999999999E-5</v>
      </c>
      <c r="GP30" s="4">
        <v>1.9300000000000002E-5</v>
      </c>
      <c r="GQ30" s="4">
        <v>1.9000000000000001E-5</v>
      </c>
      <c r="GR30" s="4">
        <v>1.8700000000000001E-5</v>
      </c>
      <c r="GS30" s="4">
        <v>1.8499999999999999E-5</v>
      </c>
      <c r="GT30" s="4">
        <v>1.8199999999999999E-5</v>
      </c>
      <c r="GU30" s="4">
        <v>1.8E-5</v>
      </c>
      <c r="GV30" s="4">
        <v>1.77E-5</v>
      </c>
      <c r="GW30" s="4">
        <v>1.7499999999999998E-5</v>
      </c>
      <c r="GX30" s="4">
        <v>1.7200000000000001E-5</v>
      </c>
      <c r="GY30" s="4">
        <v>1.7E-5</v>
      </c>
      <c r="GZ30" s="4">
        <v>1.6799999999999998E-5</v>
      </c>
      <c r="HA30" s="4">
        <v>1.6500000000000001E-5</v>
      </c>
      <c r="HB30" s="4">
        <v>1.63E-5</v>
      </c>
      <c r="HC30" s="4">
        <v>1.6099999999999998E-5</v>
      </c>
      <c r="HD30" s="4">
        <v>1.59E-5</v>
      </c>
      <c r="HE30" s="4">
        <v>1.5699999999999999E-5</v>
      </c>
      <c r="HF30" s="4">
        <v>1.5400000000000002E-5</v>
      </c>
      <c r="HG30" s="4">
        <v>1.52E-5</v>
      </c>
      <c r="HH30" s="4">
        <v>1.5E-5</v>
      </c>
      <c r="HI30" s="4">
        <v>1.4800000000000001E-5</v>
      </c>
      <c r="HJ30" s="4">
        <v>1.4600000000000001E-5</v>
      </c>
      <c r="HK30" s="4">
        <v>1.4399999999999999E-5</v>
      </c>
      <c r="HL30" s="4">
        <v>1.42E-5</v>
      </c>
      <c r="HM30" s="4">
        <v>1.4E-5</v>
      </c>
      <c r="HN30" s="4">
        <v>1.3900000000000001E-5</v>
      </c>
      <c r="HO30" s="4">
        <v>1.3699999999999999E-5</v>
      </c>
      <c r="HP30" s="4">
        <v>1.3499999999999999E-5</v>
      </c>
      <c r="HQ30" s="4">
        <v>1.33E-5</v>
      </c>
      <c r="HR30" s="4">
        <v>1.31E-5</v>
      </c>
      <c r="HS30" s="4">
        <v>1.29E-5</v>
      </c>
      <c r="HT30" s="4">
        <v>1.2799999999999999E-5</v>
      </c>
      <c r="HU30" s="4">
        <v>1.26E-5</v>
      </c>
      <c r="HV30" s="4">
        <v>1.24E-5</v>
      </c>
      <c r="HW30" s="4">
        <v>1.22E-5</v>
      </c>
      <c r="HX30" s="4">
        <v>1.2099999999999999E-5</v>
      </c>
      <c r="HY30" s="4">
        <v>1.19E-5</v>
      </c>
      <c r="HZ30" s="4">
        <v>1.1800000000000001E-5</v>
      </c>
      <c r="IA30" s="4">
        <v>1.1600000000000001E-5</v>
      </c>
      <c r="IB30" s="4">
        <v>1.1399999999999999E-5</v>
      </c>
      <c r="IC30" s="4">
        <v>1.13E-5</v>
      </c>
      <c r="ID30" s="4">
        <v>1.11E-5</v>
      </c>
      <c r="IE30" s="4">
        <v>1.1E-5</v>
      </c>
      <c r="IF30" s="4">
        <v>1.08E-5</v>
      </c>
      <c r="IG30" s="4">
        <v>7.5460000000000002E-4</v>
      </c>
      <c r="IH30" s="4"/>
      <c r="II30" s="4">
        <f t="shared" si="257"/>
        <v>0.11704500197599763</v>
      </c>
      <c r="IL30">
        <f t="shared" si="258"/>
        <v>0.35928061250000054</v>
      </c>
      <c r="IP30" s="4">
        <f t="shared" si="273"/>
        <v>8.8780999999999999E-3</v>
      </c>
      <c r="IQ30" s="4">
        <f t="shared" si="274"/>
        <v>7.978900000000004E-3</v>
      </c>
      <c r="IR30" s="4">
        <f t="shared" si="261"/>
        <v>5.1524999999999974E-3</v>
      </c>
      <c r="IS30" s="4">
        <f t="shared" si="262"/>
        <v>3.3652000000000022E-3</v>
      </c>
      <c r="IT30" s="4">
        <f t="shared" si="263"/>
        <v>2.0453999999999993E-3</v>
      </c>
      <c r="IU30" s="4">
        <f t="shared" si="264"/>
        <v>5.4232999999999851E-3</v>
      </c>
      <c r="IV30" s="4">
        <f t="shared" si="265"/>
        <v>2.4981999999999921E-3</v>
      </c>
      <c r="IW30" s="4">
        <f t="shared" si="266"/>
        <v>1.654600000000013E-3</v>
      </c>
      <c r="IX30" s="4">
        <f t="shared" si="267"/>
        <v>5.0557999999999992E-3</v>
      </c>
      <c r="IZ30">
        <f t="shared" si="270"/>
        <v>2013.25</v>
      </c>
      <c r="JA30">
        <f t="shared" si="268"/>
        <v>6.3940223752420771</v>
      </c>
      <c r="JB30">
        <f t="shared" si="268"/>
        <v>3.9210185441712779</v>
      </c>
      <c r="JC30">
        <f t="shared" si="268"/>
        <v>3.4252966122430015</v>
      </c>
      <c r="JD30">
        <f t="shared" si="268"/>
        <v>2.1688393300295603</v>
      </c>
      <c r="JE30">
        <f t="shared" si="268"/>
        <v>-11.779390008461709</v>
      </c>
      <c r="JF30">
        <f t="shared" si="268"/>
        <v>-3.9551850371557653</v>
      </c>
      <c r="JG30">
        <f t="shared" si="268"/>
        <v>-0.66625687801185729</v>
      </c>
      <c r="JH30">
        <f t="shared" si="268"/>
        <v>-0.28365389126552076</v>
      </c>
      <c r="JI30">
        <f t="shared" si="268"/>
        <v>-7.7109390405367254E-2</v>
      </c>
    </row>
    <row r="31" spans="1:269" x14ac:dyDescent="0.35">
      <c r="A31" s="1">
        <v>23</v>
      </c>
      <c r="B31" s="4">
        <v>1.0734799999999999E-2</v>
      </c>
      <c r="C31" s="4">
        <v>1.0734799999999999E-2</v>
      </c>
      <c r="D31" s="4">
        <v>1.0684600000000001E-2</v>
      </c>
      <c r="E31" s="4">
        <v>1.08465E-2</v>
      </c>
      <c r="F31" s="4">
        <v>1.0100400000000001E-2</v>
      </c>
      <c r="G31" s="4">
        <v>9.4512999999999993E-3</v>
      </c>
      <c r="H31" s="4">
        <v>8.8494000000000003E-3</v>
      </c>
      <c r="I31" s="4">
        <v>8.2284000000000003E-3</v>
      </c>
      <c r="J31" s="4">
        <v>7.6832999999999997E-3</v>
      </c>
      <c r="K31" s="4">
        <v>7.1893E-3</v>
      </c>
      <c r="L31" s="4">
        <v>6.7513E-3</v>
      </c>
      <c r="M31" s="4">
        <v>6.3591000000000003E-3</v>
      </c>
      <c r="N31" s="4">
        <v>6.0131999999999998E-3</v>
      </c>
      <c r="O31" s="4">
        <v>5.7099999999999998E-3</v>
      </c>
      <c r="P31" s="4">
        <v>5.4352999999999997E-3</v>
      </c>
      <c r="Q31" s="4">
        <v>5.1869000000000004E-3</v>
      </c>
      <c r="R31" s="4">
        <v>4.9607000000000002E-3</v>
      </c>
      <c r="S31" s="4">
        <v>4.7527000000000003E-3</v>
      </c>
      <c r="T31" s="4">
        <v>4.5522999999999996E-3</v>
      </c>
      <c r="U31" s="4">
        <v>4.3512000000000004E-3</v>
      </c>
      <c r="V31" s="4">
        <v>4.0255999999999998E-3</v>
      </c>
      <c r="W31" s="4">
        <v>3.6392999999999998E-3</v>
      </c>
      <c r="X31" s="4">
        <v>3.0293E-3</v>
      </c>
      <c r="Y31" s="4">
        <v>3.3043E-3</v>
      </c>
      <c r="Z31" s="4">
        <v>3.2200000000000002E-3</v>
      </c>
      <c r="AA31" s="4">
        <v>3.1472000000000002E-3</v>
      </c>
      <c r="AB31" s="4">
        <v>3.0758999999999999E-3</v>
      </c>
      <c r="AC31" s="4">
        <v>3.0116000000000001E-3</v>
      </c>
      <c r="AD31" s="4">
        <v>2.9489999999999998E-3</v>
      </c>
      <c r="AE31" s="4">
        <v>2.8896E-3</v>
      </c>
      <c r="AF31" s="4">
        <v>2.8319999999999999E-3</v>
      </c>
      <c r="AG31" s="4">
        <v>2.7764999999999999E-3</v>
      </c>
      <c r="AH31" s="4">
        <v>2.7227000000000002E-3</v>
      </c>
      <c r="AI31" s="4">
        <v>2.6706999999999998E-3</v>
      </c>
      <c r="AJ31" s="4">
        <v>2.6202999999999999E-3</v>
      </c>
      <c r="AK31" s="4">
        <v>2.5715999999999998E-3</v>
      </c>
      <c r="AL31" s="4">
        <v>2.5244E-3</v>
      </c>
      <c r="AM31" s="4">
        <v>2.4788000000000002E-3</v>
      </c>
      <c r="AN31" s="4">
        <v>2.4347000000000001E-3</v>
      </c>
      <c r="AO31" s="4">
        <v>2.3919000000000002E-3</v>
      </c>
      <c r="AP31" s="4">
        <v>2.3506E-3</v>
      </c>
      <c r="AQ31" s="4">
        <v>2.3105000000000001E-3</v>
      </c>
      <c r="AR31" s="4">
        <v>2.2715999999999999E-3</v>
      </c>
      <c r="AS31" s="4">
        <v>2.2339999999999999E-3</v>
      </c>
      <c r="AT31" s="4">
        <v>2.1974999999999998E-3</v>
      </c>
      <c r="AU31" s="4">
        <v>2.1619999999999999E-3</v>
      </c>
      <c r="AV31" s="4">
        <v>2.1275000000000001E-3</v>
      </c>
      <c r="AW31" s="4">
        <v>2.0939999999999999E-3</v>
      </c>
      <c r="AX31" s="4">
        <v>2.0614000000000001E-3</v>
      </c>
      <c r="AY31" s="4">
        <v>2.0297000000000002E-3</v>
      </c>
      <c r="AZ31" s="4">
        <v>1.9987E-3</v>
      </c>
      <c r="BA31" s="4">
        <v>1.9686E-3</v>
      </c>
      <c r="BB31" s="4">
        <v>1.9391E-3</v>
      </c>
      <c r="BC31" s="4">
        <v>1.9104E-3</v>
      </c>
      <c r="BD31" s="4">
        <v>1.8822000000000001E-3</v>
      </c>
      <c r="BE31" s="4">
        <v>1.8546999999999999E-3</v>
      </c>
      <c r="BF31" s="4">
        <v>1.8278000000000001E-3</v>
      </c>
      <c r="BG31" s="4">
        <v>1.8014999999999999E-3</v>
      </c>
      <c r="BH31" s="4">
        <v>1.7756E-3</v>
      </c>
      <c r="BI31" s="4">
        <v>1.7503E-3</v>
      </c>
      <c r="BJ31" s="4">
        <v>1.7254E-3</v>
      </c>
      <c r="BK31" s="4">
        <v>1.701E-3</v>
      </c>
      <c r="BL31" s="4">
        <v>1.6770999999999999E-3</v>
      </c>
      <c r="BM31" s="4">
        <v>1.6535E-3</v>
      </c>
      <c r="BN31" s="4">
        <v>1.6303999999999999E-3</v>
      </c>
      <c r="BO31" s="4">
        <v>1.6076E-3</v>
      </c>
      <c r="BP31" s="4">
        <v>1.5851999999999999E-3</v>
      </c>
      <c r="BQ31" s="4">
        <v>1.5632E-3</v>
      </c>
      <c r="BR31" s="4">
        <v>1.5414999999999999E-3</v>
      </c>
      <c r="BS31" s="4">
        <v>1.5200999999999999E-3</v>
      </c>
      <c r="BT31" s="4">
        <v>1.4991E-3</v>
      </c>
      <c r="BU31" s="4">
        <v>1.4783999999999999E-3</v>
      </c>
      <c r="BV31" s="4">
        <v>1.4580000000000001E-3</v>
      </c>
      <c r="BW31" s="4">
        <v>1.4377999999999999E-3</v>
      </c>
      <c r="BX31" s="4">
        <v>1.418E-3</v>
      </c>
      <c r="BY31" s="4">
        <v>1.3983999999999999E-3</v>
      </c>
      <c r="BZ31" s="4">
        <v>1.3791999999999999E-3</v>
      </c>
      <c r="CA31" s="4">
        <v>1.3602E-3</v>
      </c>
      <c r="CB31" s="4">
        <v>1.3414E-3</v>
      </c>
      <c r="CC31" s="4">
        <v>1.3228999999999999E-3</v>
      </c>
      <c r="CD31" s="4">
        <v>1.3047E-3</v>
      </c>
      <c r="CE31" s="4">
        <v>1.2867E-3</v>
      </c>
      <c r="CF31" s="4">
        <v>1.2689000000000001E-3</v>
      </c>
      <c r="CG31" s="4">
        <v>1.2514E-3</v>
      </c>
      <c r="CH31" s="4">
        <v>1.2340999999999999E-3</v>
      </c>
      <c r="CI31" s="4">
        <v>1.2171E-3</v>
      </c>
      <c r="CJ31" s="4">
        <v>1.2002E-3</v>
      </c>
      <c r="CK31" s="4">
        <v>1.1835999999999999E-3</v>
      </c>
      <c r="CL31" s="4">
        <v>1.1673E-3</v>
      </c>
      <c r="CM31" s="4">
        <v>1.1511E-3</v>
      </c>
      <c r="CN31" s="4">
        <v>1.1351E-3</v>
      </c>
      <c r="CO31" s="4">
        <v>1.1194E-3</v>
      </c>
      <c r="CP31" s="4">
        <v>1.1038000000000001E-3</v>
      </c>
      <c r="CQ31" s="4">
        <v>1.0885000000000001E-3</v>
      </c>
      <c r="CR31" s="4">
        <v>1.0734E-3</v>
      </c>
      <c r="CS31" s="4">
        <v>1.0585E-3</v>
      </c>
      <c r="CT31" s="4">
        <v>1.0437000000000001E-3</v>
      </c>
      <c r="CU31" s="4">
        <v>1.0292000000000001E-3</v>
      </c>
      <c r="CV31" s="4">
        <v>1.0147999999999999E-3</v>
      </c>
      <c r="CW31" s="4">
        <v>1.0007E-3</v>
      </c>
      <c r="CX31" s="4">
        <v>9.8670000000000008E-4</v>
      </c>
      <c r="CY31" s="4">
        <v>9.7289999999999996E-4</v>
      </c>
      <c r="CZ31" s="4">
        <v>9.5929999999999995E-4</v>
      </c>
      <c r="DA31" s="4">
        <v>9.4589999999999995E-4</v>
      </c>
      <c r="DB31" s="4">
        <v>9.3269999999999996E-4</v>
      </c>
      <c r="DC31" s="4">
        <v>9.1960000000000002E-4</v>
      </c>
      <c r="DD31" s="4">
        <v>9.0669999999999998E-4</v>
      </c>
      <c r="DE31" s="4">
        <v>8.9400000000000005E-4</v>
      </c>
      <c r="DF31" s="4">
        <v>8.8150000000000001E-4</v>
      </c>
      <c r="DG31" s="4">
        <v>8.6910000000000004E-4</v>
      </c>
      <c r="DH31" s="4">
        <v>8.5689999999999996E-4</v>
      </c>
      <c r="DI31" s="4">
        <v>8.4489999999999999E-4</v>
      </c>
      <c r="DJ31" s="4">
        <v>8.3299999999999997E-4</v>
      </c>
      <c r="DK31" s="4">
        <v>8.2129999999999996E-4</v>
      </c>
      <c r="DL31" s="4">
        <v>8.097E-4</v>
      </c>
      <c r="DM31" s="4">
        <v>7.9830000000000005E-4</v>
      </c>
      <c r="DN31" s="4">
        <v>7.871E-4</v>
      </c>
      <c r="DO31" s="4">
        <v>7.76E-4</v>
      </c>
      <c r="DP31" s="4">
        <v>7.651E-4</v>
      </c>
      <c r="DQ31" s="4">
        <v>5.3155800000000003E-2</v>
      </c>
      <c r="DR31" s="4">
        <v>0</v>
      </c>
      <c r="DS31" s="4">
        <v>5.02E-5</v>
      </c>
      <c r="DT31" s="4">
        <v>1.728E-4</v>
      </c>
      <c r="DU31" s="4">
        <v>7.4640000000000004E-4</v>
      </c>
      <c r="DV31" s="4">
        <v>6.4979999999999997E-4</v>
      </c>
      <c r="DW31" s="4">
        <v>6.0340000000000003E-4</v>
      </c>
      <c r="DX31" s="4">
        <v>6.2319999999999997E-4</v>
      </c>
      <c r="DY31" s="4">
        <v>5.4779999999999998E-4</v>
      </c>
      <c r="DZ31" s="4">
        <v>4.9980000000000001E-4</v>
      </c>
      <c r="EA31" s="4">
        <v>4.4240000000000002E-4</v>
      </c>
      <c r="EB31" s="4">
        <v>3.947E-4</v>
      </c>
      <c r="EC31" s="4">
        <v>3.5110000000000002E-4</v>
      </c>
      <c r="ED31" s="4">
        <v>3.1409999999999999E-4</v>
      </c>
      <c r="EE31" s="4">
        <v>2.8219999999999997E-4</v>
      </c>
      <c r="EF31" s="4">
        <v>2.544E-4</v>
      </c>
      <c r="EG31" s="4">
        <v>2.3010000000000001E-4</v>
      </c>
      <c r="EH31" s="4">
        <v>2.0890000000000001E-4</v>
      </c>
      <c r="EI31" s="4">
        <v>1.905E-4</v>
      </c>
      <c r="EJ31" s="4">
        <v>1.739E-4</v>
      </c>
      <c r="EK31" s="4">
        <v>1.5870000000000001E-4</v>
      </c>
      <c r="EL31" s="4">
        <v>1.3980000000000001E-4</v>
      </c>
      <c r="EM31" s="4">
        <v>1.2070000000000001E-4</v>
      </c>
      <c r="EN31" s="4">
        <v>9.5799999999999998E-5</v>
      </c>
      <c r="EO31" s="4">
        <v>1.0340000000000001E-4</v>
      </c>
      <c r="EP31" s="4">
        <v>9.6700000000000006E-5</v>
      </c>
      <c r="EQ31" s="4">
        <v>9.09E-5</v>
      </c>
      <c r="ER31" s="4">
        <v>8.5500000000000005E-5</v>
      </c>
      <c r="ES31" s="4">
        <v>8.0799999999999999E-5</v>
      </c>
      <c r="ET31" s="4">
        <v>7.6500000000000003E-5</v>
      </c>
      <c r="EU31" s="4">
        <v>7.25E-5</v>
      </c>
      <c r="EV31" s="4">
        <v>6.8999999999999997E-5</v>
      </c>
      <c r="EW31" s="4">
        <v>6.5599999999999995E-5</v>
      </c>
      <c r="EX31" s="4">
        <v>6.2600000000000004E-5</v>
      </c>
      <c r="EY31" s="4">
        <v>5.9700000000000001E-5</v>
      </c>
      <c r="EZ31" s="4">
        <v>5.7099999999999999E-5</v>
      </c>
      <c r="FA31" s="4">
        <v>5.4599999999999999E-5</v>
      </c>
      <c r="FB31" s="4">
        <v>5.2299999999999997E-5</v>
      </c>
      <c r="FC31" s="4">
        <v>5.0099999999999998E-5</v>
      </c>
      <c r="FD31" s="4">
        <v>4.8099999999999997E-5</v>
      </c>
      <c r="FE31" s="4">
        <v>4.6199999999999998E-5</v>
      </c>
      <c r="FF31" s="4">
        <v>4.4499999999999997E-5</v>
      </c>
      <c r="FG31" s="4">
        <v>4.2799999999999997E-5</v>
      </c>
      <c r="FH31" s="4">
        <v>4.1300000000000001E-5</v>
      </c>
      <c r="FI31" s="4">
        <v>3.9799999999999998E-5</v>
      </c>
      <c r="FJ31" s="4">
        <v>3.8500000000000001E-5</v>
      </c>
      <c r="FK31" s="4">
        <v>3.7200000000000003E-5</v>
      </c>
      <c r="FL31" s="4">
        <v>3.6000000000000001E-5</v>
      </c>
      <c r="FM31" s="4">
        <v>3.4900000000000001E-5</v>
      </c>
      <c r="FN31" s="4">
        <v>3.3800000000000002E-5</v>
      </c>
      <c r="FO31" s="4">
        <v>3.29E-5</v>
      </c>
      <c r="FP31" s="4">
        <v>3.1900000000000003E-5</v>
      </c>
      <c r="FQ31" s="4">
        <v>3.1099999999999997E-5</v>
      </c>
      <c r="FR31" s="4">
        <v>3.0300000000000001E-5</v>
      </c>
      <c r="FS31" s="4">
        <v>2.9499999999999999E-5</v>
      </c>
      <c r="FT31" s="4">
        <v>2.8799999999999999E-5</v>
      </c>
      <c r="FU31" s="4">
        <v>2.8099999999999999E-5</v>
      </c>
      <c r="FV31" s="4">
        <v>2.7500000000000001E-5</v>
      </c>
      <c r="FW31" s="4">
        <v>2.6800000000000001E-5</v>
      </c>
      <c r="FX31" s="4">
        <v>2.6299999999999999E-5</v>
      </c>
      <c r="FY31" s="4">
        <v>2.5700000000000001E-5</v>
      </c>
      <c r="FZ31" s="4">
        <v>2.5199999999999999E-5</v>
      </c>
      <c r="GA31" s="4">
        <v>2.4700000000000001E-5</v>
      </c>
      <c r="GB31" s="4">
        <v>2.4199999999999999E-5</v>
      </c>
      <c r="GC31" s="4">
        <v>2.3799999999999999E-5</v>
      </c>
      <c r="GD31" s="4">
        <v>2.34E-5</v>
      </c>
      <c r="GE31" s="4">
        <v>2.3E-5</v>
      </c>
      <c r="GF31" s="4">
        <v>2.26E-5</v>
      </c>
      <c r="GG31" s="4">
        <v>2.2200000000000001E-5</v>
      </c>
      <c r="GH31" s="4">
        <v>2.1800000000000001E-5</v>
      </c>
      <c r="GI31" s="4">
        <v>2.1500000000000001E-5</v>
      </c>
      <c r="GJ31" s="4">
        <v>2.1100000000000001E-5</v>
      </c>
      <c r="GK31" s="4">
        <v>2.0800000000000001E-5</v>
      </c>
      <c r="GL31" s="4">
        <v>2.05E-5</v>
      </c>
      <c r="GM31" s="4">
        <v>2.02E-5</v>
      </c>
      <c r="GN31" s="4">
        <v>1.9899999999999999E-5</v>
      </c>
      <c r="GO31" s="4">
        <v>1.9599999999999999E-5</v>
      </c>
      <c r="GP31" s="4">
        <v>1.9300000000000002E-5</v>
      </c>
      <c r="GQ31" s="4">
        <v>1.9000000000000001E-5</v>
      </c>
      <c r="GR31" s="4">
        <v>1.8700000000000001E-5</v>
      </c>
      <c r="GS31" s="4">
        <v>1.8499999999999999E-5</v>
      </c>
      <c r="GT31" s="4">
        <v>1.8199999999999999E-5</v>
      </c>
      <c r="GU31" s="4">
        <v>1.8E-5</v>
      </c>
      <c r="GV31" s="4">
        <v>1.77E-5</v>
      </c>
      <c r="GW31" s="4">
        <v>1.7499999999999998E-5</v>
      </c>
      <c r="GX31" s="4">
        <v>1.7200000000000001E-5</v>
      </c>
      <c r="GY31" s="4">
        <v>1.7E-5</v>
      </c>
      <c r="GZ31" s="4">
        <v>1.6799999999999998E-5</v>
      </c>
      <c r="HA31" s="4">
        <v>1.6500000000000001E-5</v>
      </c>
      <c r="HB31" s="4">
        <v>1.63E-5</v>
      </c>
      <c r="HC31" s="4">
        <v>1.6099999999999998E-5</v>
      </c>
      <c r="HD31" s="4">
        <v>1.59E-5</v>
      </c>
      <c r="HE31" s="4">
        <v>1.5699999999999999E-5</v>
      </c>
      <c r="HF31" s="4">
        <v>1.5400000000000002E-5</v>
      </c>
      <c r="HG31" s="4">
        <v>1.52E-5</v>
      </c>
      <c r="HH31" s="4">
        <v>1.5E-5</v>
      </c>
      <c r="HI31" s="4">
        <v>1.4800000000000001E-5</v>
      </c>
      <c r="HJ31" s="4">
        <v>1.4600000000000001E-5</v>
      </c>
      <c r="HK31" s="4">
        <v>1.4399999999999999E-5</v>
      </c>
      <c r="HL31" s="4">
        <v>1.42E-5</v>
      </c>
      <c r="HM31" s="4">
        <v>1.4E-5</v>
      </c>
      <c r="HN31" s="4">
        <v>1.3900000000000001E-5</v>
      </c>
      <c r="HO31" s="4">
        <v>1.3699999999999999E-5</v>
      </c>
      <c r="HP31" s="4">
        <v>1.3499999999999999E-5</v>
      </c>
      <c r="HQ31" s="4">
        <v>1.33E-5</v>
      </c>
      <c r="HR31" s="4">
        <v>1.31E-5</v>
      </c>
      <c r="HS31" s="4">
        <v>1.29E-5</v>
      </c>
      <c r="HT31" s="4">
        <v>1.2799999999999999E-5</v>
      </c>
      <c r="HU31" s="4">
        <v>1.26E-5</v>
      </c>
      <c r="HV31" s="4">
        <v>1.24E-5</v>
      </c>
      <c r="HW31" s="4">
        <v>1.22E-5</v>
      </c>
      <c r="HX31" s="4">
        <v>1.2099999999999999E-5</v>
      </c>
      <c r="HY31" s="4">
        <v>1.19E-5</v>
      </c>
      <c r="HZ31" s="4">
        <v>1.17E-5</v>
      </c>
      <c r="IA31" s="4">
        <v>1.1600000000000001E-5</v>
      </c>
      <c r="IB31" s="4">
        <v>1.1399999999999999E-5</v>
      </c>
      <c r="IC31" s="4">
        <v>1.13E-5</v>
      </c>
      <c r="ID31" s="4">
        <v>1.11E-5</v>
      </c>
      <c r="IE31" s="4">
        <v>1.1E-5</v>
      </c>
      <c r="IF31" s="4">
        <v>1.08E-5</v>
      </c>
      <c r="IG31" s="4">
        <v>7.5460000000000002E-4</v>
      </c>
      <c r="IH31" s="4"/>
      <c r="II31" s="4">
        <f t="shared" si="257"/>
        <v>0.1170247627848468</v>
      </c>
      <c r="IL31">
        <f t="shared" si="258"/>
        <v>0.35943503750000044</v>
      </c>
      <c r="IP31" s="4">
        <f t="shared" si="273"/>
        <v>8.8843999999999937E-3</v>
      </c>
      <c r="IQ31" s="4">
        <f t="shared" si="274"/>
        <v>7.9612999999999975E-3</v>
      </c>
      <c r="IR31" s="4">
        <f t="shared" si="261"/>
        <v>5.1371999999999945E-3</v>
      </c>
      <c r="IS31" s="4">
        <f t="shared" si="262"/>
        <v>3.3958999999999968E-3</v>
      </c>
      <c r="IT31" s="4">
        <f t="shared" si="263"/>
        <v>2.0872999999999968E-3</v>
      </c>
      <c r="IU31" s="4">
        <f t="shared" si="264"/>
        <v>5.3951000000000138E-3</v>
      </c>
      <c r="IV31" s="4">
        <f t="shared" si="265"/>
        <v>2.4939999999999962E-3</v>
      </c>
      <c r="IW31" s="4">
        <f t="shared" si="266"/>
        <v>1.652799999999989E-3</v>
      </c>
      <c r="IX31" s="4">
        <f t="shared" si="267"/>
        <v>5.0547999999999982E-3</v>
      </c>
      <c r="IZ31">
        <f t="shared" si="270"/>
        <v>2013.5</v>
      </c>
      <c r="JA31">
        <f t="shared" si="268"/>
        <v>6.4649583388076675</v>
      </c>
      <c r="JB31">
        <f t="shared" si="268"/>
        <v>3.7001931197469973</v>
      </c>
      <c r="JC31">
        <f t="shared" si="268"/>
        <v>3.1279116296715994</v>
      </c>
      <c r="JD31">
        <f t="shared" si="268"/>
        <v>3.0769818213781215</v>
      </c>
      <c r="JE31">
        <f t="shared" si="268"/>
        <v>-9.7515904704670078</v>
      </c>
      <c r="JF31">
        <f t="shared" si="268"/>
        <v>-4.4765202414500207</v>
      </c>
      <c r="JG31">
        <f t="shared" si="268"/>
        <v>-0.83451940719440987</v>
      </c>
      <c r="JH31">
        <f t="shared" si="268"/>
        <v>-0.3925007303378184</v>
      </c>
      <c r="JI31">
        <f t="shared" si="268"/>
        <v>-9.6890610179904593E-2</v>
      </c>
    </row>
    <row r="32" spans="1:269" x14ac:dyDescent="0.35">
      <c r="A32" s="1">
        <v>24</v>
      </c>
      <c r="B32" s="4">
        <v>1.0734799999999999E-2</v>
      </c>
      <c r="C32" s="4">
        <v>1.0734799999999999E-2</v>
      </c>
      <c r="D32" s="4">
        <v>1.0684600000000001E-2</v>
      </c>
      <c r="E32" s="4">
        <v>1.05118E-2</v>
      </c>
      <c r="F32" s="4">
        <v>1.0100100000000001E-2</v>
      </c>
      <c r="G32" s="4">
        <v>9.4505000000000006E-3</v>
      </c>
      <c r="H32" s="4">
        <v>8.8479000000000006E-3</v>
      </c>
      <c r="I32" s="4">
        <v>8.2261999999999995E-3</v>
      </c>
      <c r="J32" s="4">
        <v>7.6804999999999998E-3</v>
      </c>
      <c r="K32" s="4">
        <v>7.1834999999999998E-3</v>
      </c>
      <c r="L32" s="4">
        <v>6.7469000000000001E-3</v>
      </c>
      <c r="M32" s="4">
        <v>6.3565999999999996E-3</v>
      </c>
      <c r="N32" s="4">
        <v>6.0080000000000003E-3</v>
      </c>
      <c r="O32" s="4">
        <v>5.6991000000000003E-3</v>
      </c>
      <c r="P32" s="4">
        <v>5.4278E-3</v>
      </c>
      <c r="Q32" s="4">
        <v>5.1808999999999996E-3</v>
      </c>
      <c r="R32" s="4">
        <v>4.9567999999999999E-3</v>
      </c>
      <c r="S32" s="4">
        <v>4.7517999999999996E-3</v>
      </c>
      <c r="T32" s="4">
        <v>4.5623E-3</v>
      </c>
      <c r="U32" s="4">
        <v>4.3784999999999996E-3</v>
      </c>
      <c r="V32" s="4">
        <v>4.1925E-3</v>
      </c>
      <c r="W32" s="4">
        <v>3.8858E-3</v>
      </c>
      <c r="X32" s="4">
        <v>3.5186000000000002E-3</v>
      </c>
      <c r="Y32" s="4">
        <v>2.9334999999999999E-3</v>
      </c>
      <c r="Z32" s="4">
        <v>3.2009E-3</v>
      </c>
      <c r="AA32" s="4">
        <v>3.1232999999999999E-3</v>
      </c>
      <c r="AB32" s="4">
        <v>3.0563999999999999E-3</v>
      </c>
      <c r="AC32" s="4">
        <v>2.9903999999999998E-3</v>
      </c>
      <c r="AD32" s="4">
        <v>2.9307999999999999E-3</v>
      </c>
      <c r="AE32" s="4">
        <v>2.8725000000000001E-3</v>
      </c>
      <c r="AF32" s="4">
        <v>2.8170000000000001E-3</v>
      </c>
      <c r="AG32" s="4">
        <v>2.7631000000000001E-3</v>
      </c>
      <c r="AH32" s="4">
        <v>2.7108000000000002E-3</v>
      </c>
      <c r="AI32" s="4">
        <v>2.6600999999999999E-3</v>
      </c>
      <c r="AJ32" s="4">
        <v>2.6109000000000002E-3</v>
      </c>
      <c r="AK32" s="4">
        <v>2.5631999999999999E-3</v>
      </c>
      <c r="AL32" s="4">
        <v>2.5170000000000001E-3</v>
      </c>
      <c r="AM32" s="4">
        <v>2.4721000000000001E-3</v>
      </c>
      <c r="AN32" s="4">
        <v>2.4287000000000002E-3</v>
      </c>
      <c r="AO32" s="4">
        <v>2.3865000000000002E-3</v>
      </c>
      <c r="AP32" s="4">
        <v>2.3457E-3</v>
      </c>
      <c r="AQ32" s="4">
        <v>2.3061000000000002E-3</v>
      </c>
      <c r="AR32" s="4">
        <v>2.2677000000000001E-3</v>
      </c>
      <c r="AS32" s="4">
        <v>2.2304E-3</v>
      </c>
      <c r="AT32" s="4">
        <v>2.1941999999999999E-3</v>
      </c>
      <c r="AU32" s="4">
        <v>2.1589999999999999E-3</v>
      </c>
      <c r="AV32" s="4">
        <v>2.1248E-3</v>
      </c>
      <c r="AW32" s="4">
        <v>2.0915E-3</v>
      </c>
      <c r="AX32" s="4">
        <v>2.0590999999999999E-3</v>
      </c>
      <c r="AY32" s="4">
        <v>2.0276000000000001E-3</v>
      </c>
      <c r="AZ32" s="4">
        <v>1.9968E-3</v>
      </c>
      <c r="BA32" s="4">
        <v>1.9667999999999999E-3</v>
      </c>
      <c r="BB32" s="4">
        <v>1.9375E-3</v>
      </c>
      <c r="BC32" s="4">
        <v>1.9089E-3</v>
      </c>
      <c r="BD32" s="4">
        <v>1.8809E-3</v>
      </c>
      <c r="BE32" s="4">
        <v>1.8534999999999999E-3</v>
      </c>
      <c r="BF32" s="4">
        <v>1.8266999999999999E-3</v>
      </c>
      <c r="BG32" s="4">
        <v>1.8004E-3</v>
      </c>
      <c r="BH32" s="4">
        <v>1.7746000000000001E-3</v>
      </c>
      <c r="BI32" s="4">
        <v>1.7493999999999999E-3</v>
      </c>
      <c r="BJ32" s="4">
        <v>1.7246E-3</v>
      </c>
      <c r="BK32" s="4">
        <v>1.7002E-3</v>
      </c>
      <c r="BL32" s="4">
        <v>1.6762999999999999E-3</v>
      </c>
      <c r="BM32" s="4">
        <v>1.6528000000000001E-3</v>
      </c>
      <c r="BN32" s="4">
        <v>1.6297E-3</v>
      </c>
      <c r="BO32" s="4">
        <v>1.6069999999999999E-3</v>
      </c>
      <c r="BP32" s="4">
        <v>1.5846E-3</v>
      </c>
      <c r="BQ32" s="4">
        <v>1.5625999999999999E-3</v>
      </c>
      <c r="BR32" s="4">
        <v>1.5410000000000001E-3</v>
      </c>
      <c r="BS32" s="4">
        <v>1.5196999999999999E-3</v>
      </c>
      <c r="BT32" s="4">
        <v>1.4986999999999999E-3</v>
      </c>
      <c r="BU32" s="4">
        <v>1.4779999999999999E-3</v>
      </c>
      <c r="BV32" s="4">
        <v>1.4576000000000001E-3</v>
      </c>
      <c r="BW32" s="4">
        <v>1.4375E-3</v>
      </c>
      <c r="BX32" s="4">
        <v>1.4177E-3</v>
      </c>
      <c r="BY32" s="4">
        <v>1.3981E-3</v>
      </c>
      <c r="BZ32" s="4">
        <v>1.3789E-3</v>
      </c>
      <c r="CA32" s="4">
        <v>1.3599E-3</v>
      </c>
      <c r="CB32" s="4">
        <v>1.3411E-3</v>
      </c>
      <c r="CC32" s="4">
        <v>1.3227E-3</v>
      </c>
      <c r="CD32" s="4">
        <v>1.3044E-3</v>
      </c>
      <c r="CE32" s="4">
        <v>1.2865000000000001E-3</v>
      </c>
      <c r="CF32" s="4">
        <v>1.2687E-3</v>
      </c>
      <c r="CG32" s="4">
        <v>1.2512000000000001E-3</v>
      </c>
      <c r="CH32" s="4">
        <v>1.2339E-3</v>
      </c>
      <c r="CI32" s="4">
        <v>1.2168999999999999E-3</v>
      </c>
      <c r="CJ32" s="4">
        <v>1.2001E-3</v>
      </c>
      <c r="CK32" s="4">
        <v>1.1835000000000001E-3</v>
      </c>
      <c r="CL32" s="4">
        <v>1.1670999999999999E-3</v>
      </c>
      <c r="CM32" s="4">
        <v>1.1509000000000001E-3</v>
      </c>
      <c r="CN32" s="4">
        <v>1.1349999999999999E-3</v>
      </c>
      <c r="CO32" s="4">
        <v>1.1192999999999999E-3</v>
      </c>
      <c r="CP32" s="4">
        <v>1.1037E-3</v>
      </c>
      <c r="CQ32" s="4">
        <v>1.0884E-3</v>
      </c>
      <c r="CR32" s="4">
        <v>1.0732999999999999E-3</v>
      </c>
      <c r="CS32" s="4">
        <v>1.0583999999999999E-3</v>
      </c>
      <c r="CT32" s="4">
        <v>1.0436E-3</v>
      </c>
      <c r="CU32" s="4">
        <v>1.0291E-3</v>
      </c>
      <c r="CV32" s="4">
        <v>1.0147000000000001E-3</v>
      </c>
      <c r="CW32" s="4">
        <v>1.0005999999999999E-3</v>
      </c>
      <c r="CX32" s="4">
        <v>9.8660000000000002E-4</v>
      </c>
      <c r="CY32" s="4">
        <v>9.7289999999999996E-4</v>
      </c>
      <c r="CZ32" s="4">
        <v>9.5929999999999995E-4</v>
      </c>
      <c r="DA32" s="4">
        <v>9.4589999999999995E-4</v>
      </c>
      <c r="DB32" s="4">
        <v>9.3260000000000001E-4</v>
      </c>
      <c r="DC32" s="4">
        <v>9.1960000000000002E-4</v>
      </c>
      <c r="DD32" s="4">
        <v>9.0669999999999998E-4</v>
      </c>
      <c r="DE32" s="4">
        <v>8.9400000000000005E-4</v>
      </c>
      <c r="DF32" s="4">
        <v>8.8139999999999996E-4</v>
      </c>
      <c r="DG32" s="4">
        <v>8.6910000000000004E-4</v>
      </c>
      <c r="DH32" s="4">
        <v>8.5689999999999996E-4</v>
      </c>
      <c r="DI32" s="4">
        <v>8.4480000000000004E-4</v>
      </c>
      <c r="DJ32" s="4">
        <v>8.3299999999999997E-4</v>
      </c>
      <c r="DK32" s="4">
        <v>8.2120000000000001E-4</v>
      </c>
      <c r="DL32" s="4">
        <v>8.097E-4</v>
      </c>
      <c r="DM32" s="4">
        <v>7.9830000000000005E-4</v>
      </c>
      <c r="DN32" s="4">
        <v>7.871E-4</v>
      </c>
      <c r="DO32" s="4">
        <v>7.76E-4</v>
      </c>
      <c r="DP32" s="4">
        <v>7.6499999999999995E-4</v>
      </c>
      <c r="DQ32" s="4">
        <v>5.3155500000000001E-2</v>
      </c>
      <c r="DR32" s="4">
        <v>0</v>
      </c>
      <c r="DS32" s="4">
        <v>5.02E-5</v>
      </c>
      <c r="DT32" s="4">
        <v>1.728E-4</v>
      </c>
      <c r="DU32" s="4">
        <v>6.9130000000000005E-4</v>
      </c>
      <c r="DV32" s="4">
        <v>6.4999999999999997E-4</v>
      </c>
      <c r="DW32" s="4">
        <v>6.0360000000000003E-4</v>
      </c>
      <c r="DX32" s="4">
        <v>6.2330000000000003E-4</v>
      </c>
      <c r="DY32" s="4">
        <v>5.4799999999999998E-4</v>
      </c>
      <c r="DZ32" s="4">
        <v>5.0000000000000001E-4</v>
      </c>
      <c r="EA32" s="4">
        <v>4.4210000000000001E-4</v>
      </c>
      <c r="EB32" s="4">
        <v>3.947E-4</v>
      </c>
      <c r="EC32" s="4">
        <v>3.5139999999999998E-4</v>
      </c>
      <c r="ED32" s="4">
        <v>3.1409999999999999E-4</v>
      </c>
      <c r="EE32" s="4">
        <v>2.8170000000000002E-4</v>
      </c>
      <c r="EF32" s="4">
        <v>2.543E-4</v>
      </c>
      <c r="EG32" s="4">
        <v>2.3010000000000001E-4</v>
      </c>
      <c r="EH32" s="4">
        <v>2.0900000000000001E-4</v>
      </c>
      <c r="EI32" s="4">
        <v>1.905E-4</v>
      </c>
      <c r="EJ32" s="4">
        <v>1.7430000000000001E-4</v>
      </c>
      <c r="EK32" s="4">
        <v>1.5970000000000001E-4</v>
      </c>
      <c r="EL32" s="4">
        <v>1.4630000000000001E-4</v>
      </c>
      <c r="EM32" s="4">
        <v>1.292E-4</v>
      </c>
      <c r="EN32" s="4">
        <v>1.12E-4</v>
      </c>
      <c r="EO32" s="4">
        <v>8.92E-5</v>
      </c>
      <c r="EP32" s="4">
        <v>9.6299999999999996E-5</v>
      </c>
      <c r="EQ32" s="4">
        <v>9.0299999999999999E-5</v>
      </c>
      <c r="ER32" s="4">
        <v>8.5099999999999995E-5</v>
      </c>
      <c r="ES32" s="4">
        <v>8.03E-5</v>
      </c>
      <c r="ET32" s="4">
        <v>7.6100000000000007E-5</v>
      </c>
      <c r="EU32" s="4">
        <v>7.2200000000000007E-5</v>
      </c>
      <c r="EV32" s="4">
        <v>6.86E-5</v>
      </c>
      <c r="EW32" s="4">
        <v>6.5400000000000004E-5</v>
      </c>
      <c r="EX32" s="4">
        <v>6.2299999999999996E-5</v>
      </c>
      <c r="EY32" s="4">
        <v>5.9500000000000003E-5</v>
      </c>
      <c r="EZ32" s="4">
        <v>5.6900000000000001E-5</v>
      </c>
      <c r="FA32" s="4">
        <v>5.4500000000000003E-5</v>
      </c>
      <c r="FB32" s="4">
        <v>5.2200000000000002E-5</v>
      </c>
      <c r="FC32" s="4">
        <v>5.0000000000000002E-5</v>
      </c>
      <c r="FD32" s="4">
        <v>4.8000000000000001E-5</v>
      </c>
      <c r="FE32" s="4">
        <v>4.6199999999999998E-5</v>
      </c>
      <c r="FF32" s="4">
        <v>4.4400000000000002E-5</v>
      </c>
      <c r="FG32" s="4">
        <v>4.2700000000000001E-5</v>
      </c>
      <c r="FH32" s="4">
        <v>4.1199999999999999E-5</v>
      </c>
      <c r="FI32" s="4">
        <v>3.9799999999999998E-5</v>
      </c>
      <c r="FJ32" s="4">
        <v>3.8399999999999998E-5</v>
      </c>
      <c r="FK32" s="4">
        <v>3.7200000000000003E-5</v>
      </c>
      <c r="FL32" s="4">
        <v>3.6000000000000001E-5</v>
      </c>
      <c r="FM32" s="4">
        <v>3.4900000000000001E-5</v>
      </c>
      <c r="FN32" s="4">
        <v>3.3800000000000002E-5</v>
      </c>
      <c r="FO32" s="4">
        <v>3.2799999999999998E-5</v>
      </c>
      <c r="FP32" s="4">
        <v>3.1900000000000003E-5</v>
      </c>
      <c r="FQ32" s="4">
        <v>3.1099999999999997E-5</v>
      </c>
      <c r="FR32" s="4">
        <v>3.0199999999999999E-5</v>
      </c>
      <c r="FS32" s="4">
        <v>2.9499999999999999E-5</v>
      </c>
      <c r="FT32" s="4">
        <v>2.8799999999999999E-5</v>
      </c>
      <c r="FU32" s="4">
        <v>2.8099999999999999E-5</v>
      </c>
      <c r="FV32" s="4">
        <v>2.7399999999999999E-5</v>
      </c>
      <c r="FW32" s="4">
        <v>2.6800000000000001E-5</v>
      </c>
      <c r="FX32" s="4">
        <v>2.6299999999999999E-5</v>
      </c>
      <c r="FY32" s="4">
        <v>2.5700000000000001E-5</v>
      </c>
      <c r="FZ32" s="4">
        <v>2.5199999999999999E-5</v>
      </c>
      <c r="GA32" s="4">
        <v>2.4700000000000001E-5</v>
      </c>
      <c r="GB32" s="4">
        <v>2.4199999999999999E-5</v>
      </c>
      <c r="GC32" s="4">
        <v>2.3799999999999999E-5</v>
      </c>
      <c r="GD32" s="4">
        <v>2.34E-5</v>
      </c>
      <c r="GE32" s="4">
        <v>2.3E-5</v>
      </c>
      <c r="GF32" s="4">
        <v>2.26E-5</v>
      </c>
      <c r="GG32" s="4">
        <v>2.2200000000000001E-5</v>
      </c>
      <c r="GH32" s="4">
        <v>2.1800000000000001E-5</v>
      </c>
      <c r="GI32" s="4">
        <v>2.1500000000000001E-5</v>
      </c>
      <c r="GJ32" s="4">
        <v>2.1100000000000001E-5</v>
      </c>
      <c r="GK32" s="4">
        <v>2.0800000000000001E-5</v>
      </c>
      <c r="GL32" s="4">
        <v>2.05E-5</v>
      </c>
      <c r="GM32" s="4">
        <v>2.02E-5</v>
      </c>
      <c r="GN32" s="4">
        <v>1.9899999999999999E-5</v>
      </c>
      <c r="GO32" s="4">
        <v>1.9599999999999999E-5</v>
      </c>
      <c r="GP32" s="4">
        <v>1.9300000000000002E-5</v>
      </c>
      <c r="GQ32" s="4">
        <v>1.9000000000000001E-5</v>
      </c>
      <c r="GR32" s="4">
        <v>1.8700000000000001E-5</v>
      </c>
      <c r="GS32" s="4">
        <v>1.8499999999999999E-5</v>
      </c>
      <c r="GT32" s="4">
        <v>1.8199999999999999E-5</v>
      </c>
      <c r="GU32" s="4">
        <v>1.8E-5</v>
      </c>
      <c r="GV32" s="4">
        <v>1.77E-5</v>
      </c>
      <c r="GW32" s="4">
        <v>1.7499999999999998E-5</v>
      </c>
      <c r="GX32" s="4">
        <v>1.7200000000000001E-5</v>
      </c>
      <c r="GY32" s="4">
        <v>1.7E-5</v>
      </c>
      <c r="GZ32" s="4">
        <v>1.6799999999999998E-5</v>
      </c>
      <c r="HA32" s="4">
        <v>1.6500000000000001E-5</v>
      </c>
      <c r="HB32" s="4">
        <v>1.63E-5</v>
      </c>
      <c r="HC32" s="4">
        <v>1.6099999999999998E-5</v>
      </c>
      <c r="HD32" s="4">
        <v>1.59E-5</v>
      </c>
      <c r="HE32" s="4">
        <v>1.5699999999999999E-5</v>
      </c>
      <c r="HF32" s="4">
        <v>1.5400000000000002E-5</v>
      </c>
      <c r="HG32" s="4">
        <v>1.52E-5</v>
      </c>
      <c r="HH32" s="4">
        <v>1.5E-5</v>
      </c>
      <c r="HI32" s="4">
        <v>1.4800000000000001E-5</v>
      </c>
      <c r="HJ32" s="4">
        <v>1.4600000000000001E-5</v>
      </c>
      <c r="HK32" s="4">
        <v>1.4399999999999999E-5</v>
      </c>
      <c r="HL32" s="4">
        <v>1.42E-5</v>
      </c>
      <c r="HM32" s="4">
        <v>1.4E-5</v>
      </c>
      <c r="HN32" s="4">
        <v>1.3900000000000001E-5</v>
      </c>
      <c r="HO32" s="4">
        <v>1.3699999999999999E-5</v>
      </c>
      <c r="HP32" s="4">
        <v>1.3499999999999999E-5</v>
      </c>
      <c r="HQ32" s="4">
        <v>1.33E-5</v>
      </c>
      <c r="HR32" s="4">
        <v>1.31E-5</v>
      </c>
      <c r="HS32" s="4">
        <v>1.29E-5</v>
      </c>
      <c r="HT32" s="4">
        <v>1.2799999999999999E-5</v>
      </c>
      <c r="HU32" s="4">
        <v>1.26E-5</v>
      </c>
      <c r="HV32" s="4">
        <v>1.24E-5</v>
      </c>
      <c r="HW32" s="4">
        <v>1.22E-5</v>
      </c>
      <c r="HX32" s="4">
        <v>1.2099999999999999E-5</v>
      </c>
      <c r="HY32" s="4">
        <v>1.19E-5</v>
      </c>
      <c r="HZ32" s="4">
        <v>1.1800000000000001E-5</v>
      </c>
      <c r="IA32" s="4">
        <v>1.1600000000000001E-5</v>
      </c>
      <c r="IB32" s="4">
        <v>1.1399999999999999E-5</v>
      </c>
      <c r="IC32" s="4">
        <v>1.13E-5</v>
      </c>
      <c r="ID32" s="4">
        <v>1.11E-5</v>
      </c>
      <c r="IE32" s="4">
        <v>1.1E-5</v>
      </c>
      <c r="IF32" s="4">
        <v>1.08E-5</v>
      </c>
      <c r="IG32" s="4">
        <v>7.5460000000000002E-4</v>
      </c>
      <c r="IH32" s="4"/>
      <c r="II32" s="4">
        <f t="shared" si="257"/>
        <v>0.11711192243947195</v>
      </c>
      <c r="IL32">
        <f t="shared" si="258"/>
        <v>0.35953726249999973</v>
      </c>
      <c r="IP32" s="4">
        <f t="shared" si="273"/>
        <v>8.8885999999999965E-3</v>
      </c>
      <c r="IQ32" s="4">
        <f t="shared" si="274"/>
        <v>7.9600000000000053E-3</v>
      </c>
      <c r="IR32" s="4">
        <f t="shared" si="261"/>
        <v>5.1298999999999963E-3</v>
      </c>
      <c r="IS32" s="4">
        <f t="shared" si="262"/>
        <v>3.3986000000000016E-3</v>
      </c>
      <c r="IT32" s="4">
        <f t="shared" si="263"/>
        <v>2.1600999999999981E-3</v>
      </c>
      <c r="IU32" s="4">
        <f t="shared" si="264"/>
        <v>5.3704999999999933E-3</v>
      </c>
      <c r="IV32" s="4">
        <f t="shared" si="265"/>
        <v>2.4913000000000018E-3</v>
      </c>
      <c r="IW32" s="4">
        <f t="shared" si="266"/>
        <v>1.6523999999999983E-3</v>
      </c>
      <c r="IX32" s="4">
        <f t="shared" si="267"/>
        <v>5.0546999999999953E-3</v>
      </c>
      <c r="IZ32">
        <f t="shared" si="270"/>
        <v>2013.75</v>
      </c>
      <c r="JA32">
        <f t="shared" si="268"/>
        <v>6.5122210415386146</v>
      </c>
      <c r="JB32">
        <f t="shared" si="268"/>
        <v>3.6838627949257652</v>
      </c>
      <c r="JC32">
        <f t="shared" si="268"/>
        <v>2.9857098155248623</v>
      </c>
      <c r="JD32">
        <f t="shared" si="268"/>
        <v>3.1564578723642032</v>
      </c>
      <c r="JE32">
        <f t="shared" si="268"/>
        <v>-6.3232752553663563</v>
      </c>
      <c r="JF32">
        <f t="shared" si="268"/>
        <v>-4.9335322578040053</v>
      </c>
      <c r="JG32">
        <f t="shared" si="268"/>
        <v>-0.94283787404632835</v>
      </c>
      <c r="JH32">
        <f t="shared" si="268"/>
        <v>-0.41670501461371823</v>
      </c>
      <c r="JI32">
        <f t="shared" si="268"/>
        <v>-9.886894738760002E-2</v>
      </c>
    </row>
    <row r="33" spans="1:269" x14ac:dyDescent="0.35">
      <c r="A33" s="1">
        <v>25</v>
      </c>
      <c r="B33" s="4">
        <v>1.0734799999999999E-2</v>
      </c>
      <c r="C33" s="4">
        <v>1.0734799999999999E-2</v>
      </c>
      <c r="D33" s="4">
        <v>1.0684600000000001E-2</v>
      </c>
      <c r="E33" s="4">
        <v>1.05118E-2</v>
      </c>
      <c r="F33" s="4">
        <v>9.8206000000000005E-3</v>
      </c>
      <c r="G33" s="4">
        <v>9.4502000000000006E-3</v>
      </c>
      <c r="H33" s="4">
        <v>8.8468999999999996E-3</v>
      </c>
      <c r="I33" s="4">
        <v>8.2246000000000003E-3</v>
      </c>
      <c r="J33" s="4">
        <v>7.6781999999999996E-3</v>
      </c>
      <c r="K33" s="4">
        <v>7.1805999999999997E-3</v>
      </c>
      <c r="L33" s="4">
        <v>6.7413999999999998E-3</v>
      </c>
      <c r="M33" s="4">
        <v>6.3521999999999997E-3</v>
      </c>
      <c r="N33" s="4">
        <v>6.0051999999999996E-3</v>
      </c>
      <c r="O33" s="4">
        <v>5.6939E-3</v>
      </c>
      <c r="P33" s="4">
        <v>5.4174000000000002E-3</v>
      </c>
      <c r="Q33" s="4">
        <v>5.1736000000000004E-3</v>
      </c>
      <c r="R33" s="4">
        <v>4.9508E-3</v>
      </c>
      <c r="S33" s="4">
        <v>4.7477999999999999E-3</v>
      </c>
      <c r="T33" s="4">
        <v>4.5611999999999996E-3</v>
      </c>
      <c r="U33" s="4">
        <v>4.3879000000000001E-3</v>
      </c>
      <c r="V33" s="4">
        <v>4.2188E-3</v>
      </c>
      <c r="W33" s="4">
        <v>4.0461999999999998E-3</v>
      </c>
      <c r="X33" s="4">
        <v>3.7566000000000001E-3</v>
      </c>
      <c r="Y33" s="4">
        <v>3.4066000000000001E-3</v>
      </c>
      <c r="Z33" s="4">
        <v>2.8443000000000001E-3</v>
      </c>
      <c r="AA33" s="4">
        <v>3.1045999999999999E-3</v>
      </c>
      <c r="AB33" s="4">
        <v>3.0330000000000001E-3</v>
      </c>
      <c r="AC33" s="4">
        <v>2.9713000000000001E-3</v>
      </c>
      <c r="AD33" s="4">
        <v>2.9101000000000001E-3</v>
      </c>
      <c r="AE33" s="4">
        <v>2.8546999999999999E-3</v>
      </c>
      <c r="AF33" s="4">
        <v>2.8002999999999999E-3</v>
      </c>
      <c r="AG33" s="4">
        <v>2.7483999999999998E-3</v>
      </c>
      <c r="AH33" s="4">
        <v>2.6976999999999999E-3</v>
      </c>
      <c r="AI33" s="4">
        <v>2.6484999999999998E-3</v>
      </c>
      <c r="AJ33" s="4">
        <v>2.6005999999999998E-3</v>
      </c>
      <c r="AK33" s="4">
        <v>2.5539999999999998E-3</v>
      </c>
      <c r="AL33" s="4">
        <v>2.5087999999999998E-3</v>
      </c>
      <c r="AM33" s="4">
        <v>2.4648000000000001E-3</v>
      </c>
      <c r="AN33" s="4">
        <v>2.4220999999999999E-3</v>
      </c>
      <c r="AO33" s="4">
        <v>2.3806000000000001E-3</v>
      </c>
      <c r="AP33" s="4">
        <v>2.3403999999999999E-3</v>
      </c>
      <c r="AQ33" s="4">
        <v>2.3013E-3</v>
      </c>
      <c r="AR33" s="4">
        <v>2.2633000000000002E-3</v>
      </c>
      <c r="AS33" s="4">
        <v>2.2265000000000002E-3</v>
      </c>
      <c r="AT33" s="4">
        <v>2.1906E-3</v>
      </c>
      <c r="AU33" s="4">
        <v>2.1557999999999998E-3</v>
      </c>
      <c r="AV33" s="4">
        <v>2.1218999999999999E-3</v>
      </c>
      <c r="AW33" s="4">
        <v>2.0888E-3</v>
      </c>
      <c r="AX33" s="4">
        <v>2.0566999999999998E-3</v>
      </c>
      <c r="AY33" s="4">
        <v>2.0252999999999998E-3</v>
      </c>
      <c r="AZ33" s="4">
        <v>1.9948000000000001E-3</v>
      </c>
      <c r="BA33" s="4">
        <v>1.9648999999999999E-3</v>
      </c>
      <c r="BB33" s="4">
        <v>1.9357000000000001E-3</v>
      </c>
      <c r="BC33" s="4">
        <v>1.9073E-3</v>
      </c>
      <c r="BD33" s="4">
        <v>1.8794E-3</v>
      </c>
      <c r="BE33" s="4">
        <v>1.8521E-3</v>
      </c>
      <c r="BF33" s="4">
        <v>1.8254E-3</v>
      </c>
      <c r="BG33" s="4">
        <v>1.7991999999999999E-3</v>
      </c>
      <c r="BH33" s="4">
        <v>1.7734999999999999E-3</v>
      </c>
      <c r="BI33" s="4">
        <v>1.7482999999999999E-3</v>
      </c>
      <c r="BJ33" s="4">
        <v>1.7236E-3</v>
      </c>
      <c r="BK33" s="4">
        <v>1.6994E-3</v>
      </c>
      <c r="BL33" s="4">
        <v>1.6754999999999999E-3</v>
      </c>
      <c r="BM33" s="4">
        <v>1.6521000000000001E-3</v>
      </c>
      <c r="BN33" s="4">
        <v>1.629E-3</v>
      </c>
      <c r="BO33" s="4">
        <v>1.6063E-3</v>
      </c>
      <c r="BP33" s="4">
        <v>1.5839999999999999E-3</v>
      </c>
      <c r="BQ33" s="4">
        <v>1.5621000000000001E-3</v>
      </c>
      <c r="BR33" s="4">
        <v>1.5405E-3</v>
      </c>
      <c r="BS33" s="4">
        <v>1.5192000000000001E-3</v>
      </c>
      <c r="BT33" s="4">
        <v>1.4982000000000001E-3</v>
      </c>
      <c r="BU33" s="4">
        <v>1.4775000000000001E-3</v>
      </c>
      <c r="BV33" s="4">
        <v>1.4572000000000001E-3</v>
      </c>
      <c r="BW33" s="4">
        <v>1.4371E-3</v>
      </c>
      <c r="BX33" s="4">
        <v>1.4173E-3</v>
      </c>
      <c r="BY33" s="4">
        <v>1.3978E-3</v>
      </c>
      <c r="BZ33" s="4">
        <v>1.3785E-3</v>
      </c>
      <c r="CA33" s="4">
        <v>1.3596000000000001E-3</v>
      </c>
      <c r="CB33" s="4">
        <v>1.3408999999999999E-3</v>
      </c>
      <c r="CC33" s="4">
        <v>1.3224000000000001E-3</v>
      </c>
      <c r="CD33" s="4">
        <v>1.3041999999999999E-3</v>
      </c>
      <c r="CE33" s="4">
        <v>1.2861999999999999E-3</v>
      </c>
      <c r="CF33" s="4">
        <v>1.2685000000000001E-3</v>
      </c>
      <c r="CG33" s="4">
        <v>1.2509999999999999E-3</v>
      </c>
      <c r="CH33" s="4">
        <v>1.2336999999999999E-3</v>
      </c>
      <c r="CI33" s="4">
        <v>1.2167E-3</v>
      </c>
      <c r="CJ33" s="4">
        <v>1.1999000000000001E-3</v>
      </c>
      <c r="CK33" s="4">
        <v>1.1833E-3</v>
      </c>
      <c r="CL33" s="4">
        <v>1.1669E-3</v>
      </c>
      <c r="CM33" s="4">
        <v>1.1508E-3</v>
      </c>
      <c r="CN33" s="4">
        <v>1.1349000000000001E-3</v>
      </c>
      <c r="CO33" s="4">
        <v>1.1191E-3</v>
      </c>
      <c r="CP33" s="4">
        <v>1.1035999999999999E-3</v>
      </c>
      <c r="CQ33" s="4">
        <v>1.0882999999999999E-3</v>
      </c>
      <c r="CR33" s="4">
        <v>1.0732000000000001E-3</v>
      </c>
      <c r="CS33" s="4">
        <v>1.0582E-3</v>
      </c>
      <c r="CT33" s="4">
        <v>1.0434999999999999E-3</v>
      </c>
      <c r="CU33" s="4">
        <v>1.029E-3</v>
      </c>
      <c r="CV33" s="4">
        <v>1.0147000000000001E-3</v>
      </c>
      <c r="CW33" s="4">
        <v>1.0005000000000001E-3</v>
      </c>
      <c r="CX33" s="4">
        <v>9.8660000000000002E-4</v>
      </c>
      <c r="CY33" s="4">
        <v>9.7280000000000001E-4</v>
      </c>
      <c r="CZ33" s="4">
        <v>9.592E-4</v>
      </c>
      <c r="DA33" s="4">
        <v>9.458E-4</v>
      </c>
      <c r="DB33" s="4">
        <v>9.3260000000000001E-4</v>
      </c>
      <c r="DC33" s="4">
        <v>9.1949999999999996E-4</v>
      </c>
      <c r="DD33" s="4">
        <v>9.0660000000000003E-4</v>
      </c>
      <c r="DE33" s="4">
        <v>8.9389999999999999E-4</v>
      </c>
      <c r="DF33" s="4">
        <v>8.8139999999999996E-4</v>
      </c>
      <c r="DG33" s="4">
        <v>8.6899999999999998E-4</v>
      </c>
      <c r="DH33" s="4">
        <v>8.5680000000000001E-4</v>
      </c>
      <c r="DI33" s="4">
        <v>8.4480000000000004E-4</v>
      </c>
      <c r="DJ33" s="4">
        <v>8.3290000000000002E-4</v>
      </c>
      <c r="DK33" s="4">
        <v>8.2120000000000001E-4</v>
      </c>
      <c r="DL33" s="4">
        <v>8.097E-4</v>
      </c>
      <c r="DM33" s="4">
        <v>7.9830000000000005E-4</v>
      </c>
      <c r="DN33" s="4">
        <v>7.8700000000000005E-4</v>
      </c>
      <c r="DO33" s="4">
        <v>7.7590000000000005E-4</v>
      </c>
      <c r="DP33" s="4">
        <v>7.6499999999999995E-4</v>
      </c>
      <c r="DQ33" s="4">
        <v>5.3155099999999997E-2</v>
      </c>
      <c r="DR33" s="4">
        <v>0</v>
      </c>
      <c r="DS33" s="4">
        <v>5.02E-5</v>
      </c>
      <c r="DT33" s="4">
        <v>1.729E-4</v>
      </c>
      <c r="DU33" s="4">
        <v>6.914E-4</v>
      </c>
      <c r="DV33" s="4">
        <v>6.1620000000000002E-4</v>
      </c>
      <c r="DW33" s="4">
        <v>6.0459999999999995E-4</v>
      </c>
      <c r="DX33" s="4">
        <v>6.244E-4</v>
      </c>
      <c r="DY33" s="4">
        <v>5.4940000000000002E-4</v>
      </c>
      <c r="DZ33" s="4">
        <v>5.0089999999999998E-4</v>
      </c>
      <c r="EA33" s="4">
        <v>4.4299999999999998E-4</v>
      </c>
      <c r="EB33" s="4">
        <v>3.9500000000000001E-4</v>
      </c>
      <c r="EC33" s="4">
        <v>3.5179999999999999E-4</v>
      </c>
      <c r="ED33" s="4">
        <v>3.146E-4</v>
      </c>
      <c r="EE33" s="4">
        <v>2.8200000000000002E-4</v>
      </c>
      <c r="EF33" s="4">
        <v>2.5399999999999999E-4</v>
      </c>
      <c r="EG33" s="4">
        <v>2.3000000000000001E-4</v>
      </c>
      <c r="EH33" s="4">
        <v>2.0900000000000001E-4</v>
      </c>
      <c r="EI33" s="4">
        <v>1.905E-4</v>
      </c>
      <c r="EJ33" s="4">
        <v>1.7430000000000001E-4</v>
      </c>
      <c r="EK33" s="4">
        <v>1.6000000000000001E-4</v>
      </c>
      <c r="EL33" s="4">
        <v>1.47E-4</v>
      </c>
      <c r="EM33" s="4">
        <v>1.351E-4</v>
      </c>
      <c r="EN33" s="4">
        <v>1.197E-4</v>
      </c>
      <c r="EO33" s="4">
        <v>1.0399999999999999E-4</v>
      </c>
      <c r="EP33" s="4">
        <v>8.3100000000000001E-5</v>
      </c>
      <c r="EQ33" s="4">
        <v>8.9800000000000001E-5</v>
      </c>
      <c r="ER33" s="4">
        <v>8.4499999999999994E-5</v>
      </c>
      <c r="ES33" s="4">
        <v>7.9900000000000004E-5</v>
      </c>
      <c r="ET33" s="4">
        <v>7.5599999999999994E-5</v>
      </c>
      <c r="EU33" s="4">
        <v>7.1799999999999997E-5</v>
      </c>
      <c r="EV33" s="4">
        <v>6.8200000000000004E-5</v>
      </c>
      <c r="EW33" s="4">
        <v>6.4999999999999994E-5</v>
      </c>
      <c r="EX33" s="4">
        <v>6.2000000000000003E-5</v>
      </c>
      <c r="EY33" s="4">
        <v>5.9299999999999998E-5</v>
      </c>
      <c r="EZ33" s="4">
        <v>5.6700000000000003E-5</v>
      </c>
      <c r="FA33" s="4">
        <v>5.4299999999999998E-5</v>
      </c>
      <c r="FB33" s="4">
        <v>5.1999999999999997E-5</v>
      </c>
      <c r="FC33" s="4">
        <v>4.99E-5</v>
      </c>
      <c r="FD33" s="4">
        <v>4.7899999999999999E-5</v>
      </c>
      <c r="FE33" s="4">
        <v>4.6E-5</v>
      </c>
      <c r="FF33" s="4">
        <v>4.4299999999999999E-5</v>
      </c>
      <c r="FG33" s="4">
        <v>4.2599999999999999E-5</v>
      </c>
      <c r="FH33" s="4">
        <v>4.1100000000000003E-5</v>
      </c>
      <c r="FI33" s="4">
        <v>3.9700000000000003E-5</v>
      </c>
      <c r="FJ33" s="4">
        <v>3.8300000000000003E-5</v>
      </c>
      <c r="FK33" s="4">
        <v>3.7100000000000001E-5</v>
      </c>
      <c r="FL33" s="4">
        <v>3.5899999999999998E-5</v>
      </c>
      <c r="FM33" s="4">
        <v>3.4799999999999999E-5</v>
      </c>
      <c r="FN33" s="4">
        <v>3.3800000000000002E-5</v>
      </c>
      <c r="FO33" s="4">
        <v>3.2799999999999998E-5</v>
      </c>
      <c r="FP33" s="4">
        <v>3.1900000000000003E-5</v>
      </c>
      <c r="FQ33" s="4">
        <v>3.1000000000000001E-5</v>
      </c>
      <c r="FR33" s="4">
        <v>3.0199999999999999E-5</v>
      </c>
      <c r="FS33" s="4">
        <v>2.94E-5</v>
      </c>
      <c r="FT33" s="4">
        <v>2.87E-5</v>
      </c>
      <c r="FU33" s="4">
        <v>2.8099999999999999E-5</v>
      </c>
      <c r="FV33" s="4">
        <v>2.7399999999999999E-5</v>
      </c>
      <c r="FW33" s="4">
        <v>2.6800000000000001E-5</v>
      </c>
      <c r="FX33" s="4">
        <v>2.62E-5</v>
      </c>
      <c r="FY33" s="4">
        <v>2.5700000000000001E-5</v>
      </c>
      <c r="FZ33" s="4">
        <v>2.5199999999999999E-5</v>
      </c>
      <c r="GA33" s="4">
        <v>2.4700000000000001E-5</v>
      </c>
      <c r="GB33" s="4">
        <v>2.4199999999999999E-5</v>
      </c>
      <c r="GC33" s="4">
        <v>2.3799999999999999E-5</v>
      </c>
      <c r="GD33" s="4">
        <v>2.34E-5</v>
      </c>
      <c r="GE33" s="4">
        <v>2.2900000000000001E-5</v>
      </c>
      <c r="GF33" s="4">
        <v>2.2500000000000001E-5</v>
      </c>
      <c r="GG33" s="4">
        <v>2.2200000000000001E-5</v>
      </c>
      <c r="GH33" s="4">
        <v>2.1800000000000001E-5</v>
      </c>
      <c r="GI33" s="4">
        <v>2.1500000000000001E-5</v>
      </c>
      <c r="GJ33" s="4">
        <v>2.1100000000000001E-5</v>
      </c>
      <c r="GK33" s="4">
        <v>2.0800000000000001E-5</v>
      </c>
      <c r="GL33" s="4">
        <v>2.05E-5</v>
      </c>
      <c r="GM33" s="4">
        <v>2.02E-5</v>
      </c>
      <c r="GN33" s="4">
        <v>1.9899999999999999E-5</v>
      </c>
      <c r="GO33" s="4">
        <v>1.9599999999999999E-5</v>
      </c>
      <c r="GP33" s="4">
        <v>1.9300000000000002E-5</v>
      </c>
      <c r="GQ33" s="4">
        <v>1.9000000000000001E-5</v>
      </c>
      <c r="GR33" s="4">
        <v>1.8700000000000001E-5</v>
      </c>
      <c r="GS33" s="4">
        <v>1.8499999999999999E-5</v>
      </c>
      <c r="GT33" s="4">
        <v>1.8199999999999999E-5</v>
      </c>
      <c r="GU33" s="4">
        <v>1.8E-5</v>
      </c>
      <c r="GV33" s="4">
        <v>1.77E-5</v>
      </c>
      <c r="GW33" s="4">
        <v>1.7499999999999998E-5</v>
      </c>
      <c r="GX33" s="4">
        <v>1.7200000000000001E-5</v>
      </c>
      <c r="GY33" s="4">
        <v>1.7E-5</v>
      </c>
      <c r="GZ33" s="4">
        <v>1.6799999999999998E-5</v>
      </c>
      <c r="HA33" s="4">
        <v>1.6500000000000001E-5</v>
      </c>
      <c r="HB33" s="4">
        <v>1.63E-5</v>
      </c>
      <c r="HC33" s="4">
        <v>1.6099999999999998E-5</v>
      </c>
      <c r="HD33" s="4">
        <v>1.59E-5</v>
      </c>
      <c r="HE33" s="4">
        <v>1.5699999999999999E-5</v>
      </c>
      <c r="HF33" s="4">
        <v>1.5400000000000002E-5</v>
      </c>
      <c r="HG33" s="4">
        <v>1.52E-5</v>
      </c>
      <c r="HH33" s="4">
        <v>1.5E-5</v>
      </c>
      <c r="HI33" s="4">
        <v>1.4800000000000001E-5</v>
      </c>
      <c r="HJ33" s="4">
        <v>1.4600000000000001E-5</v>
      </c>
      <c r="HK33" s="4">
        <v>1.4399999999999999E-5</v>
      </c>
      <c r="HL33" s="4">
        <v>1.42E-5</v>
      </c>
      <c r="HM33" s="4">
        <v>1.4E-5</v>
      </c>
      <c r="HN33" s="4">
        <v>1.3900000000000001E-5</v>
      </c>
      <c r="HO33" s="4">
        <v>1.3699999999999999E-5</v>
      </c>
      <c r="HP33" s="4">
        <v>1.3499999999999999E-5</v>
      </c>
      <c r="HQ33" s="4">
        <v>1.33E-5</v>
      </c>
      <c r="HR33" s="4">
        <v>1.31E-5</v>
      </c>
      <c r="HS33" s="4">
        <v>1.29E-5</v>
      </c>
      <c r="HT33" s="4">
        <v>1.2799999999999999E-5</v>
      </c>
      <c r="HU33" s="4">
        <v>1.26E-5</v>
      </c>
      <c r="HV33" s="4">
        <v>1.24E-5</v>
      </c>
      <c r="HW33" s="4">
        <v>1.22E-5</v>
      </c>
      <c r="HX33" s="4">
        <v>1.2099999999999999E-5</v>
      </c>
      <c r="HY33" s="4">
        <v>1.19E-5</v>
      </c>
      <c r="HZ33" s="4">
        <v>1.17E-5</v>
      </c>
      <c r="IA33" s="4">
        <v>1.1600000000000001E-5</v>
      </c>
      <c r="IB33" s="4">
        <v>1.1399999999999999E-5</v>
      </c>
      <c r="IC33" s="4">
        <v>1.13E-5</v>
      </c>
      <c r="ID33" s="4">
        <v>1.11E-5</v>
      </c>
      <c r="IE33" s="4">
        <v>1.1E-5</v>
      </c>
      <c r="IF33" s="4">
        <v>1.08E-5</v>
      </c>
      <c r="IG33" s="4">
        <v>7.5460000000000002E-4</v>
      </c>
      <c r="IH33" s="4"/>
      <c r="II33" s="4">
        <f t="shared" si="257"/>
        <v>0.11690757062721945</v>
      </c>
      <c r="IL33">
        <f t="shared" si="258"/>
        <v>0.35959091249999958</v>
      </c>
      <c r="IP33" s="4">
        <f t="shared" si="273"/>
        <v>8.775000000000005E-3</v>
      </c>
      <c r="IQ33" s="4">
        <f t="shared" si="274"/>
        <v>7.9628000000000025E-3</v>
      </c>
      <c r="IR33" s="4">
        <f t="shared" si="261"/>
        <v>5.1275000000000001E-3</v>
      </c>
      <c r="IS33" s="4">
        <f t="shared" si="262"/>
        <v>3.3985000000000022E-3</v>
      </c>
      <c r="IT33" s="4">
        <f t="shared" si="263"/>
        <v>2.2920999999999983E-3</v>
      </c>
      <c r="IU33" s="4">
        <f t="shared" si="264"/>
        <v>5.2872999999999948E-3</v>
      </c>
      <c r="IV33" s="4">
        <f t="shared" si="265"/>
        <v>2.4886999999999965E-3</v>
      </c>
      <c r="IW33" s="4">
        <f t="shared" si="266"/>
        <v>1.652200000000003E-3</v>
      </c>
      <c r="IX33" s="4">
        <f t="shared" si="267"/>
        <v>5.0547999999999704E-3</v>
      </c>
      <c r="IZ33">
        <f t="shared" si="270"/>
        <v>2014</v>
      </c>
      <c r="JA33">
        <f t="shared" si="268"/>
        <v>5.2259422957790642</v>
      </c>
      <c r="JB33">
        <f t="shared" si="268"/>
        <v>3.7190324890606941</v>
      </c>
      <c r="JC33">
        <f t="shared" si="268"/>
        <v>2.938914330435209</v>
      </c>
      <c r="JD33">
        <f t="shared" si="268"/>
        <v>3.1535154410330071</v>
      </c>
      <c r="JE33">
        <f t="shared" si="268"/>
        <v>-0.39188415562092305</v>
      </c>
      <c r="JF33">
        <f t="shared" si="268"/>
        <v>-6.4948618036095249</v>
      </c>
      <c r="JG33">
        <f t="shared" si="268"/>
        <v>-1.0472555542165323</v>
      </c>
      <c r="JH33">
        <f t="shared" si="268"/>
        <v>-0.42880935403389253</v>
      </c>
      <c r="JI33">
        <f t="shared" si="268"/>
        <v>-9.689061018044913E-2</v>
      </c>
    </row>
    <row r="34" spans="1:269" x14ac:dyDescent="0.35">
      <c r="A34" s="1">
        <v>26</v>
      </c>
      <c r="B34" s="4">
        <v>1.0734799999999999E-2</v>
      </c>
      <c r="C34" s="4">
        <v>1.0734799999999999E-2</v>
      </c>
      <c r="D34" s="4">
        <v>1.0684600000000001E-2</v>
      </c>
      <c r="E34" s="4">
        <v>1.0511700000000001E-2</v>
      </c>
      <c r="F34" s="4">
        <v>9.8204E-3</v>
      </c>
      <c r="G34" s="4">
        <v>9.2043999999999997E-3</v>
      </c>
      <c r="H34" s="4">
        <v>8.8456000000000003E-3</v>
      </c>
      <c r="I34" s="4">
        <v>8.2225000000000006E-3</v>
      </c>
      <c r="J34" s="4">
        <v>7.6752000000000001E-3</v>
      </c>
      <c r="K34" s="4">
        <v>7.1773000000000002E-3</v>
      </c>
      <c r="L34" s="4">
        <v>6.7375999999999998E-3</v>
      </c>
      <c r="M34" s="4">
        <v>6.3464000000000003E-3</v>
      </c>
      <c r="N34" s="4">
        <v>6.0004000000000004E-3</v>
      </c>
      <c r="O34" s="4">
        <v>5.6905999999999997E-3</v>
      </c>
      <c r="P34" s="4">
        <v>5.4118999999999999E-3</v>
      </c>
      <c r="Q34" s="4">
        <v>5.1634000000000003E-3</v>
      </c>
      <c r="R34" s="4">
        <v>4.9435E-3</v>
      </c>
      <c r="S34" s="4">
        <v>4.7418E-3</v>
      </c>
      <c r="T34" s="4">
        <v>4.5573000000000002E-3</v>
      </c>
      <c r="U34" s="4">
        <v>4.3869E-3</v>
      </c>
      <c r="V34" s="4">
        <v>4.2278999999999997E-3</v>
      </c>
      <c r="W34" s="4">
        <v>4.0717000000000001E-3</v>
      </c>
      <c r="X34" s="4">
        <v>3.9112000000000001E-3</v>
      </c>
      <c r="Y34" s="4">
        <v>3.6369000000000002E-3</v>
      </c>
      <c r="Z34" s="4">
        <v>3.3026000000000002E-3</v>
      </c>
      <c r="AA34" s="4">
        <v>2.7612000000000001E-3</v>
      </c>
      <c r="AB34" s="4">
        <v>3.0148000000000002E-3</v>
      </c>
      <c r="AC34" s="4">
        <v>2.9486E-3</v>
      </c>
      <c r="AD34" s="4">
        <v>2.8914000000000001E-3</v>
      </c>
      <c r="AE34" s="4">
        <v>2.8345000000000002E-3</v>
      </c>
      <c r="AF34" s="4">
        <v>2.7829999999999999E-3</v>
      </c>
      <c r="AG34" s="4">
        <v>2.7320999999999999E-3</v>
      </c>
      <c r="AH34" s="4">
        <v>2.6833999999999998E-3</v>
      </c>
      <c r="AI34" s="4">
        <v>2.6356999999999999E-3</v>
      </c>
      <c r="AJ34" s="4">
        <v>2.5891999999999998E-3</v>
      </c>
      <c r="AK34" s="4">
        <v>2.5439E-3</v>
      </c>
      <c r="AL34" s="4">
        <v>2.4997999999999999E-3</v>
      </c>
      <c r="AM34" s="4">
        <v>2.4567999999999999E-3</v>
      </c>
      <c r="AN34" s="4">
        <v>2.4149000000000002E-3</v>
      </c>
      <c r="AO34" s="4">
        <v>2.3741999999999999E-3</v>
      </c>
      <c r="AP34" s="4">
        <v>2.3346E-3</v>
      </c>
      <c r="AQ34" s="4">
        <v>2.2961000000000001E-3</v>
      </c>
      <c r="AR34" s="4">
        <v>2.2585999999999999E-3</v>
      </c>
      <c r="AS34" s="4">
        <v>2.2222000000000001E-3</v>
      </c>
      <c r="AT34" s="4">
        <v>2.1868E-3</v>
      </c>
      <c r="AU34" s="4">
        <v>2.1522999999999998E-3</v>
      </c>
      <c r="AV34" s="4">
        <v>2.1186999999999998E-3</v>
      </c>
      <c r="AW34" s="4">
        <v>2.0860000000000002E-3</v>
      </c>
      <c r="AX34" s="4">
        <v>2.0539999999999998E-3</v>
      </c>
      <c r="AY34" s="4">
        <v>2.0228999999999998E-3</v>
      </c>
      <c r="AZ34" s="4">
        <v>1.9924999999999999E-3</v>
      </c>
      <c r="BA34" s="4">
        <v>1.9629000000000001E-3</v>
      </c>
      <c r="BB34" s="4">
        <v>1.9338999999999999E-3</v>
      </c>
      <c r="BC34" s="4">
        <v>1.9055000000000001E-3</v>
      </c>
      <c r="BD34" s="4">
        <v>1.8778E-3</v>
      </c>
      <c r="BE34" s="4">
        <v>1.8506E-3</v>
      </c>
      <c r="BF34" s="4">
        <v>1.8240000000000001E-3</v>
      </c>
      <c r="BG34" s="4">
        <v>1.7979999999999999E-3</v>
      </c>
      <c r="BH34" s="4">
        <v>1.7723999999999999E-3</v>
      </c>
      <c r="BI34" s="4">
        <v>1.7473E-3</v>
      </c>
      <c r="BJ34" s="4">
        <v>1.7225999999999999E-3</v>
      </c>
      <c r="BK34" s="4">
        <v>1.6984000000000001E-3</v>
      </c>
      <c r="BL34" s="4">
        <v>1.6747000000000001E-3</v>
      </c>
      <c r="BM34" s="4">
        <v>1.6513000000000001E-3</v>
      </c>
      <c r="BN34" s="4">
        <v>1.6283000000000001E-3</v>
      </c>
      <c r="BO34" s="4">
        <v>1.6057000000000001E-3</v>
      </c>
      <c r="BP34" s="4">
        <v>1.5834E-3</v>
      </c>
      <c r="BQ34" s="4">
        <v>1.5615E-3</v>
      </c>
      <c r="BR34" s="4">
        <v>1.5399000000000001E-3</v>
      </c>
      <c r="BS34" s="4">
        <v>1.5185999999999999E-3</v>
      </c>
      <c r="BT34" s="4">
        <v>1.4977E-3</v>
      </c>
      <c r="BU34" s="4">
        <v>1.4771000000000001E-3</v>
      </c>
      <c r="BV34" s="4">
        <v>1.4567E-3</v>
      </c>
      <c r="BW34" s="4">
        <v>1.4367E-3</v>
      </c>
      <c r="BX34" s="4">
        <v>1.4169E-3</v>
      </c>
      <c r="BY34" s="4">
        <v>1.3974E-3</v>
      </c>
      <c r="BZ34" s="4">
        <v>1.3782E-3</v>
      </c>
      <c r="CA34" s="4">
        <v>1.3592999999999999E-3</v>
      </c>
      <c r="CB34" s="4">
        <v>1.3406E-3</v>
      </c>
      <c r="CC34" s="4">
        <v>1.3221000000000001E-3</v>
      </c>
      <c r="CD34" s="4">
        <v>1.3039E-3</v>
      </c>
      <c r="CE34" s="4">
        <v>1.286E-3</v>
      </c>
      <c r="CF34" s="4">
        <v>1.2683E-3</v>
      </c>
      <c r="CG34" s="4">
        <v>1.2508E-3</v>
      </c>
      <c r="CH34" s="4">
        <v>1.2335E-3</v>
      </c>
      <c r="CI34" s="4">
        <v>1.2164999999999999E-3</v>
      </c>
      <c r="CJ34" s="4">
        <v>1.1996999999999999E-3</v>
      </c>
      <c r="CK34" s="4">
        <v>1.1831000000000001E-3</v>
      </c>
      <c r="CL34" s="4">
        <v>1.1668E-3</v>
      </c>
      <c r="CM34" s="4">
        <v>1.1506000000000001E-3</v>
      </c>
      <c r="CN34" s="4">
        <v>1.1347E-3</v>
      </c>
      <c r="CO34" s="4">
        <v>1.119E-3</v>
      </c>
      <c r="CP34" s="4">
        <v>1.1035000000000001E-3</v>
      </c>
      <c r="CQ34" s="4">
        <v>1.0882000000000001E-3</v>
      </c>
      <c r="CR34" s="4">
        <v>1.073E-3</v>
      </c>
      <c r="CS34" s="4">
        <v>1.0581E-3</v>
      </c>
      <c r="CT34" s="4">
        <v>1.0434000000000001E-3</v>
      </c>
      <c r="CU34" s="4">
        <v>1.0288999999999999E-3</v>
      </c>
      <c r="CV34" s="4">
        <v>1.0146000000000001E-3</v>
      </c>
      <c r="CW34" s="4">
        <v>1.0004E-3</v>
      </c>
      <c r="CX34" s="4">
        <v>9.8649999999999996E-4</v>
      </c>
      <c r="CY34" s="4">
        <v>9.7269999999999995E-4</v>
      </c>
      <c r="CZ34" s="4">
        <v>9.5909999999999995E-4</v>
      </c>
      <c r="DA34" s="4">
        <v>9.4569999999999995E-4</v>
      </c>
      <c r="DB34" s="4">
        <v>9.3249999999999995E-4</v>
      </c>
      <c r="DC34" s="4">
        <v>9.1940000000000001E-4</v>
      </c>
      <c r="DD34" s="4">
        <v>9.0660000000000003E-4</v>
      </c>
      <c r="DE34" s="4">
        <v>8.9389999999999999E-4</v>
      </c>
      <c r="DF34" s="4">
        <v>8.8130000000000001E-4</v>
      </c>
      <c r="DG34" s="4">
        <v>8.6899999999999998E-4</v>
      </c>
      <c r="DH34" s="4">
        <v>8.5680000000000001E-4</v>
      </c>
      <c r="DI34" s="4">
        <v>8.4469999999999999E-4</v>
      </c>
      <c r="DJ34" s="4">
        <v>8.3290000000000002E-4</v>
      </c>
      <c r="DK34" s="4">
        <v>8.2120000000000001E-4</v>
      </c>
      <c r="DL34" s="4">
        <v>8.0959999999999995E-4</v>
      </c>
      <c r="DM34" s="4">
        <v>7.9819999999999999E-4</v>
      </c>
      <c r="DN34" s="4">
        <v>7.8700000000000005E-4</v>
      </c>
      <c r="DO34" s="4">
        <v>7.7590000000000005E-4</v>
      </c>
      <c r="DP34" s="4">
        <v>7.6499999999999995E-4</v>
      </c>
      <c r="DQ34" s="4">
        <v>5.3154699999999999E-2</v>
      </c>
      <c r="DR34" s="4">
        <v>0</v>
      </c>
      <c r="DS34" s="4">
        <v>5.02E-5</v>
      </c>
      <c r="DT34" s="4">
        <v>1.729E-4</v>
      </c>
      <c r="DU34" s="4">
        <v>6.9149999999999995E-4</v>
      </c>
      <c r="DV34" s="4">
        <v>6.1640000000000002E-4</v>
      </c>
      <c r="DW34" s="4">
        <v>5.756E-4</v>
      </c>
      <c r="DX34" s="4">
        <v>6.2449999999999995E-4</v>
      </c>
      <c r="DY34" s="4">
        <v>5.4949999999999997E-4</v>
      </c>
      <c r="DZ34" s="4">
        <v>5.0080000000000003E-4</v>
      </c>
      <c r="EA34" s="4">
        <v>4.4299999999999998E-4</v>
      </c>
      <c r="EB34" s="4">
        <v>3.9500000000000001E-4</v>
      </c>
      <c r="EC34" s="4">
        <v>3.5159999999999998E-4</v>
      </c>
      <c r="ED34" s="4">
        <v>3.146E-4</v>
      </c>
      <c r="EE34" s="4">
        <v>2.8210000000000003E-4</v>
      </c>
      <c r="EF34" s="4">
        <v>2.5389999999999999E-4</v>
      </c>
      <c r="EG34" s="4">
        <v>2.296E-4</v>
      </c>
      <c r="EH34" s="4">
        <v>2.0880000000000001E-4</v>
      </c>
      <c r="EI34" s="4">
        <v>1.9039999999999999E-4</v>
      </c>
      <c r="EJ34" s="4">
        <v>1.7420000000000001E-4</v>
      </c>
      <c r="EK34" s="4">
        <v>1.5990000000000001E-4</v>
      </c>
      <c r="EL34" s="4">
        <v>1.473E-4</v>
      </c>
      <c r="EM34" s="4">
        <v>1.3569999999999999E-4</v>
      </c>
      <c r="EN34" s="4">
        <v>1.2510000000000001E-4</v>
      </c>
      <c r="EO34" s="4">
        <v>1.1120000000000001E-4</v>
      </c>
      <c r="EP34" s="4">
        <v>9.6899999999999997E-5</v>
      </c>
      <c r="EQ34" s="4">
        <v>7.7700000000000005E-5</v>
      </c>
      <c r="ER34" s="4">
        <v>8.3999999999999995E-5</v>
      </c>
      <c r="ES34" s="4">
        <v>7.9200000000000001E-5</v>
      </c>
      <c r="ET34" s="4">
        <v>7.5099999999999996E-5</v>
      </c>
      <c r="EU34" s="4">
        <v>7.1199999999999996E-5</v>
      </c>
      <c r="EV34" s="4">
        <v>6.7799999999999995E-5</v>
      </c>
      <c r="EW34" s="4">
        <v>6.4599999999999998E-5</v>
      </c>
      <c r="EX34" s="4">
        <v>6.1699999999999995E-5</v>
      </c>
      <c r="EY34" s="4">
        <v>5.8999999999999998E-5</v>
      </c>
      <c r="EZ34" s="4">
        <v>5.6400000000000002E-5</v>
      </c>
      <c r="FA34" s="4">
        <v>5.3999999999999998E-5</v>
      </c>
      <c r="FB34" s="4">
        <v>5.1799999999999999E-5</v>
      </c>
      <c r="FC34" s="4">
        <v>4.9700000000000002E-5</v>
      </c>
      <c r="FD34" s="4">
        <v>4.7700000000000001E-5</v>
      </c>
      <c r="FE34" s="4">
        <v>4.5899999999999998E-5</v>
      </c>
      <c r="FF34" s="4">
        <v>4.4199999999999997E-5</v>
      </c>
      <c r="FG34" s="4">
        <v>4.2500000000000003E-5</v>
      </c>
      <c r="FH34" s="4">
        <v>4.1E-5</v>
      </c>
      <c r="FI34" s="4">
        <v>3.96E-5</v>
      </c>
      <c r="FJ34" s="4">
        <v>3.8300000000000003E-5</v>
      </c>
      <c r="FK34" s="4">
        <v>3.6999999999999998E-5</v>
      </c>
      <c r="FL34" s="4">
        <v>3.5800000000000003E-5</v>
      </c>
      <c r="FM34" s="4">
        <v>3.4700000000000003E-5</v>
      </c>
      <c r="FN34" s="4">
        <v>3.3699999999999999E-5</v>
      </c>
      <c r="FO34" s="4">
        <v>3.2700000000000002E-5</v>
      </c>
      <c r="FP34" s="4">
        <v>3.18E-5</v>
      </c>
      <c r="FQ34" s="4">
        <v>3.1000000000000001E-5</v>
      </c>
      <c r="FR34" s="4">
        <v>3.0199999999999999E-5</v>
      </c>
      <c r="FS34" s="4">
        <v>2.94E-5</v>
      </c>
      <c r="FT34" s="4">
        <v>2.87E-5</v>
      </c>
      <c r="FU34" s="4">
        <v>2.8E-5</v>
      </c>
      <c r="FV34" s="4">
        <v>2.7399999999999999E-5</v>
      </c>
      <c r="FW34" s="4">
        <v>2.6800000000000001E-5</v>
      </c>
      <c r="FX34" s="4">
        <v>2.62E-5</v>
      </c>
      <c r="FY34" s="4">
        <v>2.5700000000000001E-5</v>
      </c>
      <c r="FZ34" s="4">
        <v>2.5199999999999999E-5</v>
      </c>
      <c r="GA34" s="4">
        <v>2.4700000000000001E-5</v>
      </c>
      <c r="GB34" s="4">
        <v>2.4199999999999999E-5</v>
      </c>
      <c r="GC34" s="4">
        <v>2.3799999999999999E-5</v>
      </c>
      <c r="GD34" s="4">
        <v>2.3300000000000001E-5</v>
      </c>
      <c r="GE34" s="4">
        <v>2.2900000000000001E-5</v>
      </c>
      <c r="GF34" s="4">
        <v>2.2500000000000001E-5</v>
      </c>
      <c r="GG34" s="4">
        <v>2.2200000000000001E-5</v>
      </c>
      <c r="GH34" s="4">
        <v>2.1800000000000001E-5</v>
      </c>
      <c r="GI34" s="4">
        <v>2.1399999999999998E-5</v>
      </c>
      <c r="GJ34" s="4">
        <v>2.1100000000000001E-5</v>
      </c>
      <c r="GK34" s="4">
        <v>2.0800000000000001E-5</v>
      </c>
      <c r="GL34" s="4">
        <v>2.05E-5</v>
      </c>
      <c r="GM34" s="4">
        <v>2.02E-5</v>
      </c>
      <c r="GN34" s="4">
        <v>1.9899999999999999E-5</v>
      </c>
      <c r="GO34" s="4">
        <v>1.9599999999999999E-5</v>
      </c>
      <c r="GP34" s="4">
        <v>1.9300000000000002E-5</v>
      </c>
      <c r="GQ34" s="4">
        <v>1.9000000000000001E-5</v>
      </c>
      <c r="GR34" s="4">
        <v>1.8700000000000001E-5</v>
      </c>
      <c r="GS34" s="4">
        <v>1.8499999999999999E-5</v>
      </c>
      <c r="GT34" s="4">
        <v>1.8199999999999999E-5</v>
      </c>
      <c r="GU34" s="4">
        <v>1.8E-5</v>
      </c>
      <c r="GV34" s="4">
        <v>1.77E-5</v>
      </c>
      <c r="GW34" s="4">
        <v>1.7499999999999998E-5</v>
      </c>
      <c r="GX34" s="4">
        <v>1.7200000000000001E-5</v>
      </c>
      <c r="GY34" s="4">
        <v>1.7E-5</v>
      </c>
      <c r="GZ34" s="4">
        <v>1.6799999999999998E-5</v>
      </c>
      <c r="HA34" s="4">
        <v>1.6500000000000001E-5</v>
      </c>
      <c r="HB34" s="4">
        <v>1.63E-5</v>
      </c>
      <c r="HC34" s="4">
        <v>1.6099999999999998E-5</v>
      </c>
      <c r="HD34" s="4">
        <v>1.59E-5</v>
      </c>
      <c r="HE34" s="4">
        <v>1.5699999999999999E-5</v>
      </c>
      <c r="HF34" s="4">
        <v>1.5400000000000002E-5</v>
      </c>
      <c r="HG34" s="4">
        <v>1.52E-5</v>
      </c>
      <c r="HH34" s="4">
        <v>1.5E-5</v>
      </c>
      <c r="HI34" s="4">
        <v>1.4800000000000001E-5</v>
      </c>
      <c r="HJ34" s="4">
        <v>1.4600000000000001E-5</v>
      </c>
      <c r="HK34" s="4">
        <v>1.4399999999999999E-5</v>
      </c>
      <c r="HL34" s="4">
        <v>1.42E-5</v>
      </c>
      <c r="HM34" s="4">
        <v>1.4E-5</v>
      </c>
      <c r="HN34" s="4">
        <v>1.38E-5</v>
      </c>
      <c r="HO34" s="4">
        <v>1.3699999999999999E-5</v>
      </c>
      <c r="HP34" s="4">
        <v>1.3499999999999999E-5</v>
      </c>
      <c r="HQ34" s="4">
        <v>1.33E-5</v>
      </c>
      <c r="HR34" s="4">
        <v>1.31E-5</v>
      </c>
      <c r="HS34" s="4">
        <v>1.29E-5</v>
      </c>
      <c r="HT34" s="4">
        <v>1.2799999999999999E-5</v>
      </c>
      <c r="HU34" s="4">
        <v>1.26E-5</v>
      </c>
      <c r="HV34" s="4">
        <v>1.24E-5</v>
      </c>
      <c r="HW34" s="4">
        <v>1.22E-5</v>
      </c>
      <c r="HX34" s="4">
        <v>1.2099999999999999E-5</v>
      </c>
      <c r="HY34" s="4">
        <v>1.19E-5</v>
      </c>
      <c r="HZ34" s="4">
        <v>1.17E-5</v>
      </c>
      <c r="IA34" s="4">
        <v>1.1600000000000001E-5</v>
      </c>
      <c r="IB34" s="4">
        <v>1.1399999999999999E-5</v>
      </c>
      <c r="IC34" s="4">
        <v>1.13E-5</v>
      </c>
      <c r="ID34" s="4">
        <v>1.11E-5</v>
      </c>
      <c r="IE34" s="4">
        <v>1.1E-5</v>
      </c>
      <c r="IF34" s="4">
        <v>1.08E-5</v>
      </c>
      <c r="IG34" s="4">
        <v>7.5460000000000002E-4</v>
      </c>
      <c r="IH34" s="4"/>
      <c r="II34" s="4">
        <f t="shared" si="257"/>
        <v>0.11664691123542985</v>
      </c>
      <c r="IL34">
        <f t="shared" si="258"/>
        <v>0.35960575</v>
      </c>
      <c r="IP34" s="4">
        <f t="shared" si="273"/>
        <v>8.6392999999999956E-3</v>
      </c>
      <c r="IQ34" s="4">
        <f t="shared" si="274"/>
        <v>7.9662999999999956E-3</v>
      </c>
      <c r="IR34" s="4">
        <f t="shared" si="261"/>
        <v>5.1268000000000008E-3</v>
      </c>
      <c r="IS34" s="4">
        <f t="shared" si="262"/>
        <v>3.3968000000000054E-3</v>
      </c>
      <c r="IT34" s="4">
        <f t="shared" si="263"/>
        <v>2.3534999999999997E-3</v>
      </c>
      <c r="IU34" s="4">
        <f t="shared" si="264"/>
        <v>5.272900000000004E-3</v>
      </c>
      <c r="IV34" s="4">
        <f t="shared" si="265"/>
        <v>2.4851000000000109E-3</v>
      </c>
      <c r="IW34" s="4">
        <f t="shared" si="266"/>
        <v>1.6515999999999996E-3</v>
      </c>
      <c r="IX34" s="4">
        <f t="shared" si="267"/>
        <v>5.0545999999999924E-3</v>
      </c>
      <c r="IZ34">
        <f t="shared" si="270"/>
        <v>2014.25</v>
      </c>
      <c r="JA34">
        <f t="shared" si="268"/>
        <v>3.6674214621128467</v>
      </c>
      <c r="JB34">
        <f t="shared" si="268"/>
        <v>3.7629772198529956</v>
      </c>
      <c r="JC34">
        <f t="shared" si="268"/>
        <v>2.925261521348562</v>
      </c>
      <c r="JD34">
        <f t="shared" si="268"/>
        <v>3.1034808572629866</v>
      </c>
      <c r="JE34">
        <f t="shared" si="268"/>
        <v>2.2516312384667674</v>
      </c>
      <c r="JF34">
        <f t="shared" si="268"/>
        <v>-6.7675840801816083</v>
      </c>
      <c r="JG34">
        <f t="shared" si="268"/>
        <v>-1.1920141142164009</v>
      </c>
      <c r="JH34">
        <f t="shared" si="268"/>
        <v>-0.46513116568107016</v>
      </c>
      <c r="JI34">
        <f t="shared" si="268"/>
        <v>-0.10084732373425079</v>
      </c>
    </row>
    <row r="35" spans="1:269" x14ac:dyDescent="0.35">
      <c r="A35" s="1">
        <v>27</v>
      </c>
      <c r="B35" s="4">
        <v>1.0734799999999999E-2</v>
      </c>
      <c r="C35" s="4">
        <v>1.0734799999999999E-2</v>
      </c>
      <c r="D35" s="4">
        <v>1.0684600000000001E-2</v>
      </c>
      <c r="E35" s="4">
        <v>1.0511700000000001E-2</v>
      </c>
      <c r="F35" s="4">
        <v>9.8201999999999994E-3</v>
      </c>
      <c r="G35" s="4">
        <v>9.2040000000000004E-3</v>
      </c>
      <c r="H35" s="4">
        <v>8.6288000000000007E-3</v>
      </c>
      <c r="I35" s="4">
        <v>8.2211000000000003E-3</v>
      </c>
      <c r="J35" s="4">
        <v>7.6731000000000004E-3</v>
      </c>
      <c r="K35" s="4">
        <v>7.1744E-3</v>
      </c>
      <c r="L35" s="4">
        <v>6.7343000000000004E-3</v>
      </c>
      <c r="M35" s="4">
        <v>6.3426000000000003E-3</v>
      </c>
      <c r="N35" s="4">
        <v>5.9947999999999998E-3</v>
      </c>
      <c r="O35" s="4">
        <v>5.6858000000000004E-3</v>
      </c>
      <c r="P35" s="4">
        <v>5.4085000000000001E-3</v>
      </c>
      <c r="Q35" s="4">
        <v>5.1580000000000003E-3</v>
      </c>
      <c r="R35" s="4">
        <v>4.9338000000000003E-3</v>
      </c>
      <c r="S35" s="4">
        <v>4.7346999999999997E-3</v>
      </c>
      <c r="T35" s="4">
        <v>4.5513999999999997E-3</v>
      </c>
      <c r="U35" s="4">
        <v>4.3829999999999997E-3</v>
      </c>
      <c r="V35" s="4">
        <v>4.2269999999999999E-3</v>
      </c>
      <c r="W35" s="4">
        <v>4.0806000000000002E-3</v>
      </c>
      <c r="X35" s="4">
        <v>3.9360000000000003E-3</v>
      </c>
      <c r="Y35" s="4">
        <v>3.7861000000000001E-3</v>
      </c>
      <c r="Z35" s="4">
        <v>3.5255999999999998E-3</v>
      </c>
      <c r="AA35" s="4">
        <v>3.2057000000000001E-3</v>
      </c>
      <c r="AB35" s="4">
        <v>2.6835000000000001E-3</v>
      </c>
      <c r="AC35" s="4">
        <v>2.9307999999999999E-3</v>
      </c>
      <c r="AD35" s="4">
        <v>2.8693E-3</v>
      </c>
      <c r="AE35" s="4">
        <v>2.8162999999999999E-3</v>
      </c>
      <c r="AF35" s="4">
        <v>2.7632999999999998E-3</v>
      </c>
      <c r="AG35" s="4">
        <v>2.7152000000000001E-3</v>
      </c>
      <c r="AH35" s="4">
        <v>2.6675000000000002E-3</v>
      </c>
      <c r="AI35" s="4">
        <v>2.6216999999999998E-3</v>
      </c>
      <c r="AJ35" s="4">
        <v>2.5766999999999999E-3</v>
      </c>
      <c r="AK35" s="4">
        <v>2.5328E-3</v>
      </c>
      <c r="AL35" s="4">
        <v>2.4899000000000002E-3</v>
      </c>
      <c r="AM35" s="4">
        <v>2.4480000000000001E-3</v>
      </c>
      <c r="AN35" s="4">
        <v>2.4071000000000001E-3</v>
      </c>
      <c r="AO35" s="4">
        <v>2.3671999999999999E-3</v>
      </c>
      <c r="AP35" s="4">
        <v>2.3283000000000002E-3</v>
      </c>
      <c r="AQ35" s="4">
        <v>2.2904000000000002E-3</v>
      </c>
      <c r="AR35" s="4">
        <v>2.2536000000000001E-3</v>
      </c>
      <c r="AS35" s="4">
        <v>2.2176000000000001E-3</v>
      </c>
      <c r="AT35" s="4">
        <v>2.1825999999999998E-3</v>
      </c>
      <c r="AU35" s="4">
        <v>2.1484999999999998E-3</v>
      </c>
      <c r="AV35" s="4">
        <v>2.1153000000000001E-3</v>
      </c>
      <c r="AW35" s="4">
        <v>2.0828000000000001E-3</v>
      </c>
      <c r="AX35" s="4">
        <v>2.0512E-3</v>
      </c>
      <c r="AY35" s="4">
        <v>2.0203E-3</v>
      </c>
      <c r="AZ35" s="4">
        <v>1.9902000000000001E-3</v>
      </c>
      <c r="BA35" s="4">
        <v>1.9607000000000001E-3</v>
      </c>
      <c r="BB35" s="4">
        <v>1.9319000000000001E-3</v>
      </c>
      <c r="BC35" s="4">
        <v>1.9036999999999999E-3</v>
      </c>
      <c r="BD35" s="4">
        <v>1.8760999999999999E-3</v>
      </c>
      <c r="BE35" s="4">
        <v>1.8491E-3</v>
      </c>
      <c r="BF35" s="4">
        <v>1.8226E-3</v>
      </c>
      <c r="BG35" s="4">
        <v>1.7967E-3</v>
      </c>
      <c r="BH35" s="4">
        <v>1.7711999999999999E-3</v>
      </c>
      <c r="BI35" s="4">
        <v>1.7462000000000001E-3</v>
      </c>
      <c r="BJ35" s="4">
        <v>1.7216E-3</v>
      </c>
      <c r="BK35" s="4">
        <v>1.6975E-3</v>
      </c>
      <c r="BL35" s="4">
        <v>1.6738E-3</v>
      </c>
      <c r="BM35" s="4">
        <v>1.6505000000000001E-3</v>
      </c>
      <c r="BN35" s="4">
        <v>1.6275E-3</v>
      </c>
      <c r="BO35" s="4">
        <v>1.6049E-3</v>
      </c>
      <c r="BP35" s="4">
        <v>1.5827E-3</v>
      </c>
      <c r="BQ35" s="4">
        <v>1.5609E-3</v>
      </c>
      <c r="BR35" s="4">
        <v>1.5393E-3</v>
      </c>
      <c r="BS35" s="4">
        <v>1.5181000000000001E-3</v>
      </c>
      <c r="BT35" s="4">
        <v>1.4972E-3</v>
      </c>
      <c r="BU35" s="4">
        <v>1.4766E-3</v>
      </c>
      <c r="BV35" s="4">
        <v>1.4563E-3</v>
      </c>
      <c r="BW35" s="4">
        <v>1.4362999999999999E-3</v>
      </c>
      <c r="BX35" s="4">
        <v>1.4165E-3</v>
      </c>
      <c r="BY35" s="4">
        <v>1.3971000000000001E-3</v>
      </c>
      <c r="BZ35" s="4">
        <v>1.3779E-3</v>
      </c>
      <c r="CA35" s="4">
        <v>1.3588999999999999E-3</v>
      </c>
      <c r="CB35" s="4">
        <v>1.3403E-3</v>
      </c>
      <c r="CC35" s="4">
        <v>1.3217999999999999E-3</v>
      </c>
      <c r="CD35" s="4">
        <v>1.3037000000000001E-3</v>
      </c>
      <c r="CE35" s="4">
        <v>1.2857000000000001E-3</v>
      </c>
      <c r="CF35" s="4">
        <v>1.268E-3</v>
      </c>
      <c r="CG35" s="4">
        <v>1.2505999999999999E-3</v>
      </c>
      <c r="CH35" s="4">
        <v>1.2333000000000001E-3</v>
      </c>
      <c r="CI35" s="4">
        <v>1.2163E-3</v>
      </c>
      <c r="CJ35" s="4">
        <v>1.1995E-3</v>
      </c>
      <c r="CK35" s="4">
        <v>1.183E-3</v>
      </c>
      <c r="CL35" s="4">
        <v>1.1666000000000001E-3</v>
      </c>
      <c r="CM35" s="4">
        <v>1.1505E-3</v>
      </c>
      <c r="CN35" s="4">
        <v>1.1345999999999999E-3</v>
      </c>
      <c r="CO35" s="4">
        <v>1.1188000000000001E-3</v>
      </c>
      <c r="CP35" s="4">
        <v>1.1033E-3</v>
      </c>
      <c r="CQ35" s="4">
        <v>1.088E-3</v>
      </c>
      <c r="CR35" s="4">
        <v>1.0728999999999999E-3</v>
      </c>
      <c r="CS35" s="4">
        <v>1.0579999999999999E-3</v>
      </c>
      <c r="CT35" s="4">
        <v>1.0433E-3</v>
      </c>
      <c r="CU35" s="4">
        <v>1.0288000000000001E-3</v>
      </c>
      <c r="CV35" s="4">
        <v>1.0145E-3</v>
      </c>
      <c r="CW35" s="4">
        <v>1.0003E-3</v>
      </c>
      <c r="CX35" s="4">
        <v>9.8639999999999991E-4</v>
      </c>
      <c r="CY35" s="4">
        <v>9.7260000000000001E-4</v>
      </c>
      <c r="CZ35" s="4">
        <v>9.59E-4</v>
      </c>
      <c r="DA35" s="4">
        <v>9.456E-4</v>
      </c>
      <c r="DB35" s="4">
        <v>9.324E-4</v>
      </c>
      <c r="DC35" s="4">
        <v>9.1940000000000001E-4</v>
      </c>
      <c r="DD35" s="4">
        <v>9.0649999999999997E-4</v>
      </c>
      <c r="DE35" s="4">
        <v>8.9380000000000004E-4</v>
      </c>
      <c r="DF35" s="4">
        <v>8.8130000000000001E-4</v>
      </c>
      <c r="DG35" s="4">
        <v>8.6890000000000003E-4</v>
      </c>
      <c r="DH35" s="4">
        <v>8.5669999999999995E-4</v>
      </c>
      <c r="DI35" s="4">
        <v>8.4469999999999999E-4</v>
      </c>
      <c r="DJ35" s="4">
        <v>8.3279999999999997E-4</v>
      </c>
      <c r="DK35" s="4">
        <v>8.2109999999999995E-4</v>
      </c>
      <c r="DL35" s="4">
        <v>8.0959999999999995E-4</v>
      </c>
      <c r="DM35" s="4">
        <v>7.9819999999999999E-4</v>
      </c>
      <c r="DN35" s="4">
        <v>7.8700000000000005E-4</v>
      </c>
      <c r="DO35" s="4">
        <v>7.7590000000000005E-4</v>
      </c>
      <c r="DP35" s="4">
        <v>7.649E-4</v>
      </c>
      <c r="DQ35" s="4">
        <v>5.3154199999999999E-2</v>
      </c>
      <c r="DR35" s="4">
        <v>0</v>
      </c>
      <c r="DS35" s="4">
        <v>5.02E-5</v>
      </c>
      <c r="DT35" s="4">
        <v>1.73E-4</v>
      </c>
      <c r="DU35" s="4">
        <v>6.9169999999999995E-4</v>
      </c>
      <c r="DV35" s="4">
        <v>6.1660000000000003E-4</v>
      </c>
      <c r="DW35" s="4">
        <v>5.7580000000000001E-4</v>
      </c>
      <c r="DX35" s="4">
        <v>5.9849999999999997E-4</v>
      </c>
      <c r="DY35" s="4">
        <v>5.5009999999999998E-4</v>
      </c>
      <c r="DZ35" s="4">
        <v>5.0199999999999995E-4</v>
      </c>
      <c r="EA35" s="4">
        <v>4.4440000000000001E-4</v>
      </c>
      <c r="EB35" s="4">
        <v>3.9669999999999999E-4</v>
      </c>
      <c r="EC35" s="4">
        <v>3.5330000000000002E-4</v>
      </c>
      <c r="ED35" s="4">
        <v>3.1619999999999999E-4</v>
      </c>
      <c r="EE35" s="4">
        <v>2.8380000000000001E-4</v>
      </c>
      <c r="EF35" s="4">
        <v>2.5569999999999998E-4</v>
      </c>
      <c r="EG35" s="4">
        <v>2.31E-4</v>
      </c>
      <c r="EH35" s="4">
        <v>2.097E-4</v>
      </c>
      <c r="EI35" s="4">
        <v>1.9139999999999999E-4</v>
      </c>
      <c r="EJ35" s="4">
        <v>1.752E-4</v>
      </c>
      <c r="EK35" s="4">
        <v>1.6080000000000001E-4</v>
      </c>
      <c r="EL35" s="4">
        <v>1.4809999999999999E-4</v>
      </c>
      <c r="EM35" s="4">
        <v>1.3679999999999999E-4</v>
      </c>
      <c r="EN35" s="4">
        <v>1.2640000000000001E-4</v>
      </c>
      <c r="EO35" s="4">
        <v>1.167E-4</v>
      </c>
      <c r="EP35" s="4">
        <v>1.041E-4</v>
      </c>
      <c r="EQ35" s="4">
        <v>9.1000000000000003E-5</v>
      </c>
      <c r="ER35" s="4">
        <v>7.3200000000000004E-5</v>
      </c>
      <c r="ES35" s="4">
        <v>7.9099999999999998E-5</v>
      </c>
      <c r="ET35" s="4">
        <v>7.4800000000000002E-5</v>
      </c>
      <c r="EU35" s="4">
        <v>7.1099999999999994E-5</v>
      </c>
      <c r="EV35" s="4">
        <v>6.7600000000000003E-5</v>
      </c>
      <c r="EW35" s="4">
        <v>6.4399999999999993E-5</v>
      </c>
      <c r="EX35" s="4">
        <v>6.1500000000000004E-5</v>
      </c>
      <c r="EY35" s="4">
        <v>5.8799999999999999E-5</v>
      </c>
      <c r="EZ35" s="4">
        <v>5.63E-5</v>
      </c>
      <c r="FA35" s="4">
        <v>5.3900000000000002E-5</v>
      </c>
      <c r="FB35" s="4">
        <v>5.1700000000000003E-5</v>
      </c>
      <c r="FC35" s="4">
        <v>4.9599999999999999E-5</v>
      </c>
      <c r="FD35" s="4">
        <v>4.7700000000000001E-5</v>
      </c>
      <c r="FE35" s="4">
        <v>4.5800000000000002E-5</v>
      </c>
      <c r="FF35" s="4">
        <v>4.4100000000000001E-5</v>
      </c>
      <c r="FG35" s="4">
        <v>4.2500000000000003E-5</v>
      </c>
      <c r="FH35" s="4">
        <v>4.1E-5</v>
      </c>
      <c r="FI35" s="4">
        <v>3.96E-5</v>
      </c>
      <c r="FJ35" s="4">
        <v>3.82E-5</v>
      </c>
      <c r="FK35" s="4">
        <v>3.6999999999999998E-5</v>
      </c>
      <c r="FL35" s="4">
        <v>3.5800000000000003E-5</v>
      </c>
      <c r="FM35" s="4">
        <v>3.4700000000000003E-5</v>
      </c>
      <c r="FN35" s="4">
        <v>3.3699999999999999E-5</v>
      </c>
      <c r="FO35" s="4">
        <v>3.2700000000000002E-5</v>
      </c>
      <c r="FP35" s="4">
        <v>3.18E-5</v>
      </c>
      <c r="FQ35" s="4">
        <v>3.1000000000000001E-5</v>
      </c>
      <c r="FR35" s="4">
        <v>3.0199999999999999E-5</v>
      </c>
      <c r="FS35" s="4">
        <v>2.94E-5</v>
      </c>
      <c r="FT35" s="4">
        <v>2.87E-5</v>
      </c>
      <c r="FU35" s="4">
        <v>2.8E-5</v>
      </c>
      <c r="FV35" s="4">
        <v>2.7399999999999999E-5</v>
      </c>
      <c r="FW35" s="4">
        <v>2.6800000000000001E-5</v>
      </c>
      <c r="FX35" s="4">
        <v>2.62E-5</v>
      </c>
      <c r="FY35" s="4">
        <v>2.5700000000000001E-5</v>
      </c>
      <c r="FZ35" s="4">
        <v>2.5199999999999999E-5</v>
      </c>
      <c r="GA35" s="4">
        <v>2.4700000000000001E-5</v>
      </c>
      <c r="GB35" s="4">
        <v>2.4199999999999999E-5</v>
      </c>
      <c r="GC35" s="4">
        <v>2.3799999999999999E-5</v>
      </c>
      <c r="GD35" s="4">
        <v>2.3300000000000001E-5</v>
      </c>
      <c r="GE35" s="4">
        <v>2.2900000000000001E-5</v>
      </c>
      <c r="GF35" s="4">
        <v>2.2500000000000001E-5</v>
      </c>
      <c r="GG35" s="4">
        <v>2.2200000000000001E-5</v>
      </c>
      <c r="GH35" s="4">
        <v>2.1800000000000001E-5</v>
      </c>
      <c r="GI35" s="4">
        <v>2.1399999999999998E-5</v>
      </c>
      <c r="GJ35" s="4">
        <v>2.1100000000000001E-5</v>
      </c>
      <c r="GK35" s="4">
        <v>2.0800000000000001E-5</v>
      </c>
      <c r="GL35" s="4">
        <v>2.05E-5</v>
      </c>
      <c r="GM35" s="4">
        <v>2.0100000000000001E-5</v>
      </c>
      <c r="GN35" s="4">
        <v>1.9899999999999999E-5</v>
      </c>
      <c r="GO35" s="4">
        <v>1.9599999999999999E-5</v>
      </c>
      <c r="GP35" s="4">
        <v>1.9300000000000002E-5</v>
      </c>
      <c r="GQ35" s="4">
        <v>1.9000000000000001E-5</v>
      </c>
      <c r="GR35" s="4">
        <v>1.8700000000000001E-5</v>
      </c>
      <c r="GS35" s="4">
        <v>1.8499999999999999E-5</v>
      </c>
      <c r="GT35" s="4">
        <v>1.8199999999999999E-5</v>
      </c>
      <c r="GU35" s="4">
        <v>1.8E-5</v>
      </c>
      <c r="GV35" s="4">
        <v>1.77E-5</v>
      </c>
      <c r="GW35" s="4">
        <v>1.7499999999999998E-5</v>
      </c>
      <c r="GX35" s="4">
        <v>1.7200000000000001E-5</v>
      </c>
      <c r="GY35" s="4">
        <v>1.7E-5</v>
      </c>
      <c r="GZ35" s="4">
        <v>1.6799999999999998E-5</v>
      </c>
      <c r="HA35" s="4">
        <v>1.6500000000000001E-5</v>
      </c>
      <c r="HB35" s="4">
        <v>1.63E-5</v>
      </c>
      <c r="HC35" s="4">
        <v>1.6099999999999998E-5</v>
      </c>
      <c r="HD35" s="4">
        <v>1.59E-5</v>
      </c>
      <c r="HE35" s="4">
        <v>1.56E-5</v>
      </c>
      <c r="HF35" s="4">
        <v>1.5400000000000002E-5</v>
      </c>
      <c r="HG35" s="4">
        <v>1.52E-5</v>
      </c>
      <c r="HH35" s="4">
        <v>1.5E-5</v>
      </c>
      <c r="HI35" s="4">
        <v>1.4800000000000001E-5</v>
      </c>
      <c r="HJ35" s="4">
        <v>1.4600000000000001E-5</v>
      </c>
      <c r="HK35" s="4">
        <v>1.4399999999999999E-5</v>
      </c>
      <c r="HL35" s="4">
        <v>1.42E-5</v>
      </c>
      <c r="HM35" s="4">
        <v>1.4E-5</v>
      </c>
      <c r="HN35" s="4">
        <v>1.38E-5</v>
      </c>
      <c r="HO35" s="4">
        <v>1.3699999999999999E-5</v>
      </c>
      <c r="HP35" s="4">
        <v>1.3499999999999999E-5</v>
      </c>
      <c r="HQ35" s="4">
        <v>1.33E-5</v>
      </c>
      <c r="HR35" s="4">
        <v>1.31E-5</v>
      </c>
      <c r="HS35" s="4">
        <v>1.29E-5</v>
      </c>
      <c r="HT35" s="4">
        <v>1.2799999999999999E-5</v>
      </c>
      <c r="HU35" s="4">
        <v>1.26E-5</v>
      </c>
      <c r="HV35" s="4">
        <v>1.24E-5</v>
      </c>
      <c r="HW35" s="4">
        <v>1.22E-5</v>
      </c>
      <c r="HX35" s="4">
        <v>1.2099999999999999E-5</v>
      </c>
      <c r="HY35" s="4">
        <v>1.19E-5</v>
      </c>
      <c r="HZ35" s="4">
        <v>1.17E-5</v>
      </c>
      <c r="IA35" s="4">
        <v>1.1600000000000001E-5</v>
      </c>
      <c r="IB35" s="4">
        <v>1.1399999999999999E-5</v>
      </c>
      <c r="IC35" s="4">
        <v>1.13E-5</v>
      </c>
      <c r="ID35" s="4">
        <v>1.11E-5</v>
      </c>
      <c r="IE35" s="4">
        <v>1.1E-5</v>
      </c>
      <c r="IF35" s="4">
        <v>1.08E-5</v>
      </c>
      <c r="IG35" s="4">
        <v>7.5460000000000002E-4</v>
      </c>
      <c r="IH35" s="4"/>
      <c r="II35" s="4">
        <f t="shared" si="257"/>
        <v>0.11645523962993827</v>
      </c>
      <c r="IL35">
        <f t="shared" si="258"/>
        <v>0.35958622500000004</v>
      </c>
      <c r="IP35" s="4">
        <f t="shared" si="273"/>
        <v>8.4981999999999974E-3</v>
      </c>
      <c r="IQ35" s="4">
        <f t="shared" si="274"/>
        <v>7.9771000000000043E-3</v>
      </c>
      <c r="IR35" s="4">
        <f t="shared" si="261"/>
        <v>5.1346000000000031E-3</v>
      </c>
      <c r="IS35" s="4">
        <f t="shared" si="262"/>
        <v>3.3989000000000033E-3</v>
      </c>
      <c r="IT35" s="4">
        <f t="shared" si="263"/>
        <v>2.3834000000000008E-3</v>
      </c>
      <c r="IU35" s="4">
        <f t="shared" si="264"/>
        <v>5.2945999999999896E-3</v>
      </c>
      <c r="IV35" s="4">
        <f t="shared" si="265"/>
        <v>2.4829000000000101E-3</v>
      </c>
      <c r="IW35" s="4">
        <f t="shared" si="266"/>
        <v>1.651200000000002E-3</v>
      </c>
      <c r="IX35" s="4">
        <f t="shared" si="267"/>
        <v>5.0547999999999843E-3</v>
      </c>
      <c r="IZ35">
        <f t="shared" si="270"/>
        <v>2014.5</v>
      </c>
      <c r="JA35">
        <f t="shared" si="268"/>
        <v>2.0207029970937493</v>
      </c>
      <c r="JB35">
        <f t="shared" si="268"/>
        <v>3.8984564984500958</v>
      </c>
      <c r="JC35">
        <f t="shared" si="268"/>
        <v>3.0772875899605756</v>
      </c>
      <c r="JD35">
        <f t="shared" si="268"/>
        <v>3.1652846469194542</v>
      </c>
      <c r="JE35">
        <f t="shared" si="268"/>
        <v>3.5140770200176865</v>
      </c>
      <c r="JF35">
        <f t="shared" si="268"/>
        <v>-6.3568903399210495</v>
      </c>
      <c r="JG35">
        <f t="shared" si="268"/>
        <v>-1.2805809477030772</v>
      </c>
      <c r="JH35">
        <f t="shared" si="268"/>
        <v>-0.48935303815007669</v>
      </c>
      <c r="JI35">
        <f t="shared" si="268"/>
        <v>-9.689061018017131E-2</v>
      </c>
    </row>
    <row r="36" spans="1:269" x14ac:dyDescent="0.35">
      <c r="A36" s="1">
        <v>28</v>
      </c>
      <c r="B36" s="4">
        <v>1.0734799999999999E-2</v>
      </c>
      <c r="C36" s="4">
        <v>1.0734799999999999E-2</v>
      </c>
      <c r="D36" s="4">
        <v>1.0684600000000001E-2</v>
      </c>
      <c r="E36" s="4">
        <v>1.0511599999999999E-2</v>
      </c>
      <c r="F36" s="4">
        <v>9.8200000000000006E-3</v>
      </c>
      <c r="G36" s="4">
        <v>9.2035999999999993E-3</v>
      </c>
      <c r="H36" s="4">
        <v>8.6282000000000008E-3</v>
      </c>
      <c r="I36" s="4">
        <v>8.0303000000000006E-3</v>
      </c>
      <c r="J36" s="4">
        <v>7.6709999999999999E-3</v>
      </c>
      <c r="K36" s="4">
        <v>7.1710999999999997E-3</v>
      </c>
      <c r="L36" s="4">
        <v>6.7299999999999999E-3</v>
      </c>
      <c r="M36" s="4">
        <v>6.3375999999999997E-3</v>
      </c>
      <c r="N36" s="4">
        <v>5.9893000000000004E-3</v>
      </c>
      <c r="O36" s="4">
        <v>5.6785999999999998E-3</v>
      </c>
      <c r="P36" s="4">
        <v>5.4021E-3</v>
      </c>
      <c r="Q36" s="4">
        <v>5.1527999999999999E-3</v>
      </c>
      <c r="R36" s="4">
        <v>4.9268999999999997E-3</v>
      </c>
      <c r="S36" s="4">
        <v>4.7239999999999999E-3</v>
      </c>
      <c r="T36" s="4">
        <v>4.5433000000000001E-3</v>
      </c>
      <c r="U36" s="4">
        <v>4.3762000000000002E-3</v>
      </c>
      <c r="V36" s="4">
        <v>4.2221999999999997E-3</v>
      </c>
      <c r="W36" s="4">
        <v>4.0788999999999999E-3</v>
      </c>
      <c r="X36" s="4">
        <v>3.9437999999999999E-3</v>
      </c>
      <c r="Y36" s="4">
        <v>3.8095999999999998E-3</v>
      </c>
      <c r="Z36" s="4">
        <v>3.6694000000000002E-3</v>
      </c>
      <c r="AA36" s="4">
        <v>3.4215000000000001E-3</v>
      </c>
      <c r="AB36" s="4">
        <v>3.1145999999999999E-3</v>
      </c>
      <c r="AC36" s="4">
        <v>2.6102999999999999E-3</v>
      </c>
      <c r="AD36" s="4">
        <v>2.8516000000000001E-3</v>
      </c>
      <c r="AE36" s="4">
        <v>2.7945000000000001E-3</v>
      </c>
      <c r="AF36" s="4">
        <v>2.7452000000000002E-3</v>
      </c>
      <c r="AG36" s="4">
        <v>2.6957000000000001E-3</v>
      </c>
      <c r="AH36" s="4">
        <v>2.6507000000000002E-3</v>
      </c>
      <c r="AI36" s="4">
        <v>2.6059999999999998E-3</v>
      </c>
      <c r="AJ36" s="4">
        <v>2.5628999999999999E-3</v>
      </c>
      <c r="AK36" s="4">
        <v>2.5205000000000002E-3</v>
      </c>
      <c r="AL36" s="4">
        <v>2.4789E-3</v>
      </c>
      <c r="AM36" s="4">
        <v>2.4382000000000002E-3</v>
      </c>
      <c r="AN36" s="4">
        <v>2.3984000000000002E-3</v>
      </c>
      <c r="AO36" s="4">
        <v>2.3594000000000002E-3</v>
      </c>
      <c r="AP36" s="4">
        <v>2.3213999999999999E-3</v>
      </c>
      <c r="AQ36" s="4">
        <v>2.2842000000000001E-3</v>
      </c>
      <c r="AR36" s="4">
        <v>2.248E-3</v>
      </c>
      <c r="AS36" s="4">
        <v>2.2125999999999999E-3</v>
      </c>
      <c r="AT36" s="4">
        <v>2.1781000000000001E-3</v>
      </c>
      <c r="AU36" s="4">
        <v>2.1443999999999999E-3</v>
      </c>
      <c r="AV36" s="4">
        <v>2.1115000000000001E-3</v>
      </c>
      <c r="AW36" s="4">
        <v>2.0795000000000002E-3</v>
      </c>
      <c r="AX36" s="4">
        <v>2.0481000000000002E-3</v>
      </c>
      <c r="AY36" s="4">
        <v>2.0175000000000002E-3</v>
      </c>
      <c r="AZ36" s="4">
        <v>1.9876E-3</v>
      </c>
      <c r="BA36" s="4">
        <v>1.9583999999999999E-3</v>
      </c>
      <c r="BB36" s="4">
        <v>1.9298E-3</v>
      </c>
      <c r="BC36" s="4">
        <v>1.9017999999999999E-3</v>
      </c>
      <c r="BD36" s="4">
        <v>1.8743E-3</v>
      </c>
      <c r="BE36" s="4">
        <v>1.8473999999999999E-3</v>
      </c>
      <c r="BF36" s="4">
        <v>1.8211E-3</v>
      </c>
      <c r="BG36" s="4">
        <v>1.7952000000000001E-3</v>
      </c>
      <c r="BH36" s="4">
        <v>1.7699E-3</v>
      </c>
      <c r="BI36" s="4">
        <v>1.745E-3</v>
      </c>
      <c r="BJ36" s="4">
        <v>1.7205E-3</v>
      </c>
      <c r="BK36" s="4">
        <v>1.6965000000000001E-3</v>
      </c>
      <c r="BL36" s="4">
        <v>1.6727999999999999E-3</v>
      </c>
      <c r="BM36" s="4">
        <v>1.6496E-3</v>
      </c>
      <c r="BN36" s="4">
        <v>1.6267E-3</v>
      </c>
      <c r="BO36" s="4">
        <v>1.6042000000000001E-3</v>
      </c>
      <c r="BP36" s="4">
        <v>1.5820000000000001E-3</v>
      </c>
      <c r="BQ36" s="4">
        <v>1.5602000000000001E-3</v>
      </c>
      <c r="BR36" s="4">
        <v>1.5387000000000001E-3</v>
      </c>
      <c r="BS36" s="4">
        <v>1.5175E-3</v>
      </c>
      <c r="BT36" s="4">
        <v>1.4966999999999999E-3</v>
      </c>
      <c r="BU36" s="4">
        <v>1.4760999999999999E-3</v>
      </c>
      <c r="BV36" s="4">
        <v>1.4557999999999999E-3</v>
      </c>
      <c r="BW36" s="4">
        <v>1.4358000000000001E-3</v>
      </c>
      <c r="BX36" s="4">
        <v>1.4161E-3</v>
      </c>
      <c r="BY36" s="4">
        <v>1.3967000000000001E-3</v>
      </c>
      <c r="BZ36" s="4">
        <v>1.3775E-3</v>
      </c>
      <c r="CA36" s="4">
        <v>1.3586E-3</v>
      </c>
      <c r="CB36" s="4">
        <v>1.3399E-3</v>
      </c>
      <c r="CC36" s="4">
        <v>1.3215E-3</v>
      </c>
      <c r="CD36" s="4">
        <v>1.3033999999999999E-3</v>
      </c>
      <c r="CE36" s="4">
        <v>1.2853999999999999E-3</v>
      </c>
      <c r="CF36" s="4">
        <v>1.2677999999999999E-3</v>
      </c>
      <c r="CG36" s="4">
        <v>1.2503E-3</v>
      </c>
      <c r="CH36" s="4">
        <v>1.2331E-3</v>
      </c>
      <c r="CI36" s="4">
        <v>1.2160999999999999E-3</v>
      </c>
      <c r="CJ36" s="4">
        <v>1.1992999999999999E-3</v>
      </c>
      <c r="CK36" s="4">
        <v>1.1827999999999999E-3</v>
      </c>
      <c r="CL36" s="4">
        <v>1.1663999999999999E-3</v>
      </c>
      <c r="CM36" s="4">
        <v>1.1502999999999999E-3</v>
      </c>
      <c r="CN36" s="4">
        <v>1.1344E-3</v>
      </c>
      <c r="CO36" s="4">
        <v>1.1187E-3</v>
      </c>
      <c r="CP36" s="4">
        <v>1.1031999999999999E-3</v>
      </c>
      <c r="CQ36" s="4">
        <v>1.0878999999999999E-3</v>
      </c>
      <c r="CR36" s="4">
        <v>1.0728000000000001E-3</v>
      </c>
      <c r="CS36" s="4">
        <v>1.0579000000000001E-3</v>
      </c>
      <c r="CT36" s="4">
        <v>1.0432E-3</v>
      </c>
      <c r="CU36" s="4">
        <v>1.0287E-3</v>
      </c>
      <c r="CV36" s="4">
        <v>1.0143999999999999E-3</v>
      </c>
      <c r="CW36" s="4">
        <v>1.0001999999999999E-3</v>
      </c>
      <c r="CX36" s="4">
        <v>9.8630000000000007E-4</v>
      </c>
      <c r="CY36" s="4">
        <v>9.7249999999999995E-4</v>
      </c>
      <c r="CZ36" s="4">
        <v>9.59E-4</v>
      </c>
      <c r="DA36" s="4">
        <v>9.456E-4</v>
      </c>
      <c r="DB36" s="4">
        <v>9.3229999999999995E-4</v>
      </c>
      <c r="DC36" s="4">
        <v>9.1929999999999996E-4</v>
      </c>
      <c r="DD36" s="4">
        <v>9.0640000000000002E-4</v>
      </c>
      <c r="DE36" s="4">
        <v>8.9369999999999998E-4</v>
      </c>
      <c r="DF36" s="4">
        <v>8.8119999999999995E-4</v>
      </c>
      <c r="DG36" s="4">
        <v>8.6890000000000003E-4</v>
      </c>
      <c r="DH36" s="4">
        <v>8.5669999999999995E-4</v>
      </c>
      <c r="DI36" s="4">
        <v>8.4460000000000004E-4</v>
      </c>
      <c r="DJ36" s="4">
        <v>8.3279999999999997E-4</v>
      </c>
      <c r="DK36" s="4">
        <v>8.2109999999999995E-4</v>
      </c>
      <c r="DL36" s="4">
        <v>8.095E-4</v>
      </c>
      <c r="DM36" s="4">
        <v>7.9810000000000005E-4</v>
      </c>
      <c r="DN36" s="4">
        <v>7.8689999999999999E-4</v>
      </c>
      <c r="DO36" s="4">
        <v>7.7579999999999999E-4</v>
      </c>
      <c r="DP36" s="4">
        <v>7.649E-4</v>
      </c>
      <c r="DQ36" s="4">
        <v>5.3153800000000001E-2</v>
      </c>
      <c r="DR36" s="4">
        <v>0</v>
      </c>
      <c r="DS36" s="4">
        <v>5.02E-5</v>
      </c>
      <c r="DT36" s="4">
        <v>1.7310000000000001E-4</v>
      </c>
      <c r="DU36" s="4">
        <v>6.9180000000000001E-4</v>
      </c>
      <c r="DV36" s="4">
        <v>6.1649999999999997E-4</v>
      </c>
      <c r="DW36" s="4">
        <v>5.7589999999999996E-4</v>
      </c>
      <c r="DX36" s="4">
        <v>5.9849999999999997E-4</v>
      </c>
      <c r="DY36" s="4">
        <v>5.2939999999999997E-4</v>
      </c>
      <c r="DZ36" s="4">
        <v>5.0080000000000003E-4</v>
      </c>
      <c r="EA36" s="4">
        <v>4.4270000000000003E-4</v>
      </c>
      <c r="EB36" s="4">
        <v>3.946E-4</v>
      </c>
      <c r="EC36" s="4">
        <v>3.5110000000000002E-4</v>
      </c>
      <c r="ED36" s="4">
        <v>3.1389999999999999E-4</v>
      </c>
      <c r="EE36" s="4">
        <v>2.8140000000000001E-4</v>
      </c>
      <c r="EF36" s="4">
        <v>2.5349999999999998E-4</v>
      </c>
      <c r="EG36" s="4">
        <v>2.2919999999999999E-4</v>
      </c>
      <c r="EH36" s="4">
        <v>2.0790000000000001E-4</v>
      </c>
      <c r="EI36" s="4">
        <v>1.895E-4</v>
      </c>
      <c r="EJ36" s="4">
        <v>1.7359999999999999E-4</v>
      </c>
      <c r="EK36" s="4">
        <v>1.594E-4</v>
      </c>
      <c r="EL36" s="4">
        <v>1.4689999999999999E-4</v>
      </c>
      <c r="EM36" s="4">
        <v>1.3569999999999999E-4</v>
      </c>
      <c r="EN36" s="4">
        <v>1.2579999999999999E-4</v>
      </c>
      <c r="EO36" s="4">
        <v>1.166E-4</v>
      </c>
      <c r="EP36" s="4">
        <v>1.081E-4</v>
      </c>
      <c r="EQ36" s="4">
        <v>9.6799999999999995E-5</v>
      </c>
      <c r="ER36" s="4">
        <v>8.4800000000000001E-5</v>
      </c>
      <c r="ES36" s="4">
        <v>6.8399999999999996E-5</v>
      </c>
      <c r="ET36" s="4">
        <v>7.4099999999999999E-5</v>
      </c>
      <c r="EU36" s="4">
        <v>7.0199999999999999E-5</v>
      </c>
      <c r="EV36" s="4">
        <v>6.69E-5</v>
      </c>
      <c r="EW36" s="4">
        <v>6.3700000000000003E-5</v>
      </c>
      <c r="EX36" s="4">
        <v>6.0900000000000003E-5</v>
      </c>
      <c r="EY36" s="4">
        <v>5.8300000000000001E-5</v>
      </c>
      <c r="EZ36" s="4">
        <v>5.5800000000000001E-5</v>
      </c>
      <c r="FA36" s="4">
        <v>5.3499999999999999E-5</v>
      </c>
      <c r="FB36" s="4">
        <v>5.13E-5</v>
      </c>
      <c r="FC36" s="4">
        <v>4.9299999999999999E-5</v>
      </c>
      <c r="FD36" s="4">
        <v>4.74E-5</v>
      </c>
      <c r="FE36" s="4">
        <v>4.5599999999999997E-5</v>
      </c>
      <c r="FF36" s="4">
        <v>4.3900000000000003E-5</v>
      </c>
      <c r="FG36" s="4">
        <v>4.2299999999999998E-5</v>
      </c>
      <c r="FH36" s="4">
        <v>4.0800000000000002E-5</v>
      </c>
      <c r="FI36" s="4">
        <v>3.9400000000000002E-5</v>
      </c>
      <c r="FJ36" s="4">
        <v>3.8099999999999998E-5</v>
      </c>
      <c r="FK36" s="4">
        <v>3.6900000000000002E-5</v>
      </c>
      <c r="FL36" s="4">
        <v>3.57E-5</v>
      </c>
      <c r="FM36" s="4">
        <v>3.4600000000000001E-5</v>
      </c>
      <c r="FN36" s="4">
        <v>3.3599999999999997E-5</v>
      </c>
      <c r="FO36" s="4">
        <v>3.26E-5</v>
      </c>
      <c r="FP36" s="4">
        <v>3.1699999999999998E-5</v>
      </c>
      <c r="FQ36" s="4">
        <v>3.0899999999999999E-5</v>
      </c>
      <c r="FR36" s="4">
        <v>3.01E-5</v>
      </c>
      <c r="FS36" s="4">
        <v>2.9300000000000001E-5</v>
      </c>
      <c r="FT36" s="4">
        <v>2.8600000000000001E-5</v>
      </c>
      <c r="FU36" s="4">
        <v>2.8E-5</v>
      </c>
      <c r="FV36" s="4">
        <v>2.73E-5</v>
      </c>
      <c r="FW36" s="4">
        <v>2.6699999999999998E-5</v>
      </c>
      <c r="FX36" s="4">
        <v>2.62E-5</v>
      </c>
      <c r="FY36" s="4">
        <v>2.5599999999999999E-5</v>
      </c>
      <c r="FZ36" s="4">
        <v>2.51E-5</v>
      </c>
      <c r="GA36" s="4">
        <v>2.4600000000000002E-5</v>
      </c>
      <c r="GB36" s="4">
        <v>2.4199999999999999E-5</v>
      </c>
      <c r="GC36" s="4">
        <v>2.37E-5</v>
      </c>
      <c r="GD36" s="4">
        <v>2.3300000000000001E-5</v>
      </c>
      <c r="GE36" s="4">
        <v>2.2900000000000001E-5</v>
      </c>
      <c r="GF36" s="4">
        <v>2.2500000000000001E-5</v>
      </c>
      <c r="GG36" s="4">
        <v>2.2099999999999998E-5</v>
      </c>
      <c r="GH36" s="4">
        <v>2.1800000000000001E-5</v>
      </c>
      <c r="GI36" s="4">
        <v>2.1399999999999998E-5</v>
      </c>
      <c r="GJ36" s="4">
        <v>2.1100000000000001E-5</v>
      </c>
      <c r="GK36" s="4">
        <v>2.0800000000000001E-5</v>
      </c>
      <c r="GL36" s="4">
        <v>2.0400000000000001E-5</v>
      </c>
      <c r="GM36" s="4">
        <v>2.0100000000000001E-5</v>
      </c>
      <c r="GN36" s="4">
        <v>1.98E-5</v>
      </c>
      <c r="GO36" s="4">
        <v>1.9599999999999999E-5</v>
      </c>
      <c r="GP36" s="4">
        <v>1.9300000000000002E-5</v>
      </c>
      <c r="GQ36" s="4">
        <v>1.9000000000000001E-5</v>
      </c>
      <c r="GR36" s="4">
        <v>1.8700000000000001E-5</v>
      </c>
      <c r="GS36" s="4">
        <v>1.8499999999999999E-5</v>
      </c>
      <c r="GT36" s="4">
        <v>1.8199999999999999E-5</v>
      </c>
      <c r="GU36" s="4">
        <v>1.7900000000000001E-5</v>
      </c>
      <c r="GV36" s="4">
        <v>1.77E-5</v>
      </c>
      <c r="GW36" s="4">
        <v>1.7499999999999998E-5</v>
      </c>
      <c r="GX36" s="4">
        <v>1.7200000000000001E-5</v>
      </c>
      <c r="GY36" s="4">
        <v>1.7E-5</v>
      </c>
      <c r="GZ36" s="4">
        <v>1.6699999999999999E-5</v>
      </c>
      <c r="HA36" s="4">
        <v>1.6500000000000001E-5</v>
      </c>
      <c r="HB36" s="4">
        <v>1.63E-5</v>
      </c>
      <c r="HC36" s="4">
        <v>1.6099999999999998E-5</v>
      </c>
      <c r="HD36" s="4">
        <v>1.59E-5</v>
      </c>
      <c r="HE36" s="4">
        <v>1.56E-5</v>
      </c>
      <c r="HF36" s="4">
        <v>1.5400000000000002E-5</v>
      </c>
      <c r="HG36" s="4">
        <v>1.52E-5</v>
      </c>
      <c r="HH36" s="4">
        <v>1.5E-5</v>
      </c>
      <c r="HI36" s="4">
        <v>1.4800000000000001E-5</v>
      </c>
      <c r="HJ36" s="4">
        <v>1.4600000000000001E-5</v>
      </c>
      <c r="HK36" s="4">
        <v>1.4399999999999999E-5</v>
      </c>
      <c r="HL36" s="4">
        <v>1.42E-5</v>
      </c>
      <c r="HM36" s="4">
        <v>1.4E-5</v>
      </c>
      <c r="HN36" s="4">
        <v>1.38E-5</v>
      </c>
      <c r="HO36" s="4">
        <v>1.3699999999999999E-5</v>
      </c>
      <c r="HP36" s="4">
        <v>1.3499999999999999E-5</v>
      </c>
      <c r="HQ36" s="4">
        <v>1.33E-5</v>
      </c>
      <c r="HR36" s="4">
        <v>1.31E-5</v>
      </c>
      <c r="HS36" s="4">
        <v>1.29E-5</v>
      </c>
      <c r="HT36" s="4">
        <v>1.2799999999999999E-5</v>
      </c>
      <c r="HU36" s="4">
        <v>1.26E-5</v>
      </c>
      <c r="HV36" s="4">
        <v>1.24E-5</v>
      </c>
      <c r="HW36" s="4">
        <v>1.22E-5</v>
      </c>
      <c r="HX36" s="4">
        <v>1.2099999999999999E-5</v>
      </c>
      <c r="HY36" s="4">
        <v>1.19E-5</v>
      </c>
      <c r="HZ36" s="4">
        <v>1.17E-5</v>
      </c>
      <c r="IA36" s="4">
        <v>1.1600000000000001E-5</v>
      </c>
      <c r="IB36" s="4">
        <v>1.1399999999999999E-5</v>
      </c>
      <c r="IC36" s="4">
        <v>1.13E-5</v>
      </c>
      <c r="ID36" s="4">
        <v>1.11E-5</v>
      </c>
      <c r="IE36" s="4">
        <v>1.1E-5</v>
      </c>
      <c r="IF36" s="4">
        <v>1.08E-5</v>
      </c>
      <c r="IG36" s="4">
        <v>7.5460000000000002E-4</v>
      </c>
      <c r="IH36" s="4"/>
      <c r="II36" s="4">
        <f t="shared" si="257"/>
        <v>0.11626187381922398</v>
      </c>
      <c r="IL36">
        <f t="shared" si="258"/>
        <v>0.3595357500000001</v>
      </c>
      <c r="IP36" s="4">
        <f t="shared" si="273"/>
        <v>8.3896999999999999E-3</v>
      </c>
      <c r="IQ36" s="4">
        <f t="shared" si="274"/>
        <v>7.9793000000000086E-3</v>
      </c>
      <c r="IR36" s="4">
        <f t="shared" si="261"/>
        <v>5.1345999999999996E-3</v>
      </c>
      <c r="IS36" s="4">
        <f t="shared" si="262"/>
        <v>3.3956000000000021E-3</v>
      </c>
      <c r="IT36" s="4">
        <f t="shared" si="263"/>
        <v>2.3862000000000015E-3</v>
      </c>
      <c r="IU36" s="4">
        <f t="shared" si="264"/>
        <v>5.3312999999999902E-3</v>
      </c>
      <c r="IV36" s="4">
        <f t="shared" si="265"/>
        <v>2.4793000000000037E-3</v>
      </c>
      <c r="IW36" s="4">
        <f t="shared" si="266"/>
        <v>1.6502999999999969E-3</v>
      </c>
      <c r="IX36" s="4">
        <f t="shared" si="267"/>
        <v>5.0540000000000029E-3</v>
      </c>
      <c r="IZ36">
        <f t="shared" si="270"/>
        <v>2014.75</v>
      </c>
      <c r="JA36">
        <f t="shared" si="268"/>
        <v>0.73574165922869639</v>
      </c>
      <c r="JB36">
        <f t="shared" si="268"/>
        <v>3.9260316408875484</v>
      </c>
      <c r="JC36">
        <f t="shared" si="268"/>
        <v>3.0772875899605112</v>
      </c>
      <c r="JD36">
        <f t="shared" si="268"/>
        <v>3.0681472487449879</v>
      </c>
      <c r="JE36">
        <f t="shared" si="268"/>
        <v>3.6314872985171456</v>
      </c>
      <c r="JF36">
        <f t="shared" si="268"/>
        <v>-5.6661225756591982</v>
      </c>
      <c r="JG36">
        <f t="shared" si="268"/>
        <v>-1.425677905971598</v>
      </c>
      <c r="JH36">
        <f t="shared" si="268"/>
        <v>-0.54387371192253264</v>
      </c>
      <c r="JI36">
        <f t="shared" si="268"/>
        <v>-0.11271840381841637</v>
      </c>
    </row>
    <row r="37" spans="1:269" x14ac:dyDescent="0.35">
      <c r="A37" s="1">
        <v>29</v>
      </c>
      <c r="B37" s="4">
        <v>1.0734799999999999E-2</v>
      </c>
      <c r="C37" s="4">
        <v>1.0734799999999999E-2</v>
      </c>
      <c r="D37" s="4">
        <v>1.0684600000000001E-2</v>
      </c>
      <c r="E37" s="4">
        <v>1.0511599999999999E-2</v>
      </c>
      <c r="F37" s="4">
        <v>9.8198000000000001E-3</v>
      </c>
      <c r="G37" s="4">
        <v>9.2034999999999999E-3</v>
      </c>
      <c r="H37" s="4">
        <v>8.6277999999999997E-3</v>
      </c>
      <c r="I37" s="4">
        <v>8.0298000000000001E-3</v>
      </c>
      <c r="J37" s="4">
        <v>7.5009999999999999E-3</v>
      </c>
      <c r="K37" s="4">
        <v>7.1701999999999998E-3</v>
      </c>
      <c r="L37" s="4">
        <v>6.7285000000000001E-3</v>
      </c>
      <c r="M37" s="4">
        <v>6.3353999999999997E-3</v>
      </c>
      <c r="N37" s="4">
        <v>5.9864999999999996E-3</v>
      </c>
      <c r="O37" s="4">
        <v>5.6753999999999997E-3</v>
      </c>
      <c r="P37" s="4">
        <v>5.3972999999999998E-3</v>
      </c>
      <c r="Q37" s="4">
        <v>5.1485000000000003E-3</v>
      </c>
      <c r="R37" s="4">
        <v>4.9236000000000002E-3</v>
      </c>
      <c r="S37" s="4">
        <v>4.7190000000000001E-3</v>
      </c>
      <c r="T37" s="4">
        <v>4.5345000000000003E-3</v>
      </c>
      <c r="U37" s="4">
        <v>4.3698000000000001E-3</v>
      </c>
      <c r="V37" s="4">
        <v>4.2167999999999997E-3</v>
      </c>
      <c r="W37" s="4">
        <v>4.0752999999999996E-3</v>
      </c>
      <c r="X37" s="4">
        <v>3.9432E-3</v>
      </c>
      <c r="Y37" s="4">
        <v>3.8181000000000001E-3</v>
      </c>
      <c r="Z37" s="4">
        <v>3.6928999999999998E-3</v>
      </c>
      <c r="AA37" s="4">
        <v>3.5612999999999999E-3</v>
      </c>
      <c r="AB37" s="4">
        <v>3.3246999999999999E-3</v>
      </c>
      <c r="AC37" s="4">
        <v>3.0298E-3</v>
      </c>
      <c r="AD37" s="4">
        <v>2.5419000000000001E-3</v>
      </c>
      <c r="AE37" s="4">
        <v>2.7775999999999999E-3</v>
      </c>
      <c r="AF37" s="4">
        <v>2.7242E-3</v>
      </c>
      <c r="AG37" s="4">
        <v>2.6783000000000002E-3</v>
      </c>
      <c r="AH37" s="4">
        <v>2.6319E-3</v>
      </c>
      <c r="AI37" s="4">
        <v>2.5898000000000002E-3</v>
      </c>
      <c r="AJ37" s="4">
        <v>2.5477E-3</v>
      </c>
      <c r="AK37" s="4">
        <v>2.5071E-3</v>
      </c>
      <c r="AL37" s="4">
        <v>2.467E-3</v>
      </c>
      <c r="AM37" s="4">
        <v>2.4275999999999998E-3</v>
      </c>
      <c r="AN37" s="4">
        <v>2.3888999999999998E-3</v>
      </c>
      <c r="AO37" s="4">
        <v>2.3509999999999998E-3</v>
      </c>
      <c r="AP37" s="4">
        <v>2.3138E-3</v>
      </c>
      <c r="AQ37" s="4">
        <v>2.2775E-3</v>
      </c>
      <c r="AR37" s="4">
        <v>2.2418999999999998E-3</v>
      </c>
      <c r="AS37" s="4">
        <v>2.2071E-3</v>
      </c>
      <c r="AT37" s="4">
        <v>2.1732000000000001E-3</v>
      </c>
      <c r="AU37" s="4">
        <v>2.14E-3</v>
      </c>
      <c r="AV37" s="4">
        <v>2.1075E-3</v>
      </c>
      <c r="AW37" s="4">
        <v>2.0758E-3</v>
      </c>
      <c r="AX37" s="4">
        <v>2.0447999999999998E-3</v>
      </c>
      <c r="AY37" s="4">
        <v>2.0144999999999998E-3</v>
      </c>
      <c r="AZ37" s="4">
        <v>1.9848999999999999E-3</v>
      </c>
      <c r="BA37" s="4">
        <v>1.9559E-3</v>
      </c>
      <c r="BB37" s="4">
        <v>1.9275E-3</v>
      </c>
      <c r="BC37" s="4">
        <v>1.8997E-3</v>
      </c>
      <c r="BD37" s="4">
        <v>1.8724E-3</v>
      </c>
      <c r="BE37" s="4">
        <v>1.8457E-3</v>
      </c>
      <c r="BF37" s="4">
        <v>1.8194999999999999E-3</v>
      </c>
      <c r="BG37" s="4">
        <v>1.7937999999999999E-3</v>
      </c>
      <c r="BH37" s="4">
        <v>1.7685000000000001E-3</v>
      </c>
      <c r="BI37" s="4">
        <v>1.7436999999999999E-3</v>
      </c>
      <c r="BJ37" s="4">
        <v>1.7193E-3</v>
      </c>
      <c r="BK37" s="4">
        <v>1.6953999999999999E-3</v>
      </c>
      <c r="BL37" s="4">
        <v>1.6718E-3</v>
      </c>
      <c r="BM37" s="4">
        <v>1.6486000000000001E-3</v>
      </c>
      <c r="BN37" s="4">
        <v>1.6257999999999999E-3</v>
      </c>
      <c r="BO37" s="4">
        <v>1.6034000000000001E-3</v>
      </c>
      <c r="BP37" s="4">
        <v>1.5812999999999999E-3</v>
      </c>
      <c r="BQ37" s="4">
        <v>1.5594999999999999E-3</v>
      </c>
      <c r="BR37" s="4">
        <v>1.5380999999999999E-3</v>
      </c>
      <c r="BS37" s="4">
        <v>1.5169000000000001E-3</v>
      </c>
      <c r="BT37" s="4">
        <v>1.4961E-3</v>
      </c>
      <c r="BU37" s="4">
        <v>1.4756000000000001E-3</v>
      </c>
      <c r="BV37" s="4">
        <v>1.4553000000000001E-3</v>
      </c>
      <c r="BW37" s="4">
        <v>1.4354000000000001E-3</v>
      </c>
      <c r="BX37" s="4">
        <v>1.4157E-3</v>
      </c>
      <c r="BY37" s="4">
        <v>1.3963000000000001E-3</v>
      </c>
      <c r="BZ37" s="4">
        <v>1.3771E-3</v>
      </c>
      <c r="CA37" s="4">
        <v>1.3581999999999999E-3</v>
      </c>
      <c r="CB37" s="4">
        <v>1.3396E-3</v>
      </c>
      <c r="CC37" s="4">
        <v>1.3212E-3</v>
      </c>
      <c r="CD37" s="4">
        <v>1.3031E-3</v>
      </c>
      <c r="CE37" s="4">
        <v>1.2852E-3</v>
      </c>
      <c r="CF37" s="4">
        <v>1.2675E-3</v>
      </c>
      <c r="CG37" s="4">
        <v>1.2501000000000001E-3</v>
      </c>
      <c r="CH37" s="4">
        <v>1.2329000000000001E-3</v>
      </c>
      <c r="CI37" s="4">
        <v>1.2159E-3</v>
      </c>
      <c r="CJ37" s="4">
        <v>1.1991E-3</v>
      </c>
      <c r="CK37" s="4">
        <v>1.1826E-3</v>
      </c>
      <c r="CL37" s="4">
        <v>1.1663000000000001E-3</v>
      </c>
      <c r="CM37" s="4">
        <v>1.1501E-3</v>
      </c>
      <c r="CN37" s="4">
        <v>1.1341999999999999E-3</v>
      </c>
      <c r="CO37" s="4">
        <v>1.1184999999999999E-3</v>
      </c>
      <c r="CP37" s="4">
        <v>1.103E-3</v>
      </c>
      <c r="CQ37" s="4">
        <v>1.0878000000000001E-3</v>
      </c>
      <c r="CR37" s="4">
        <v>1.0727E-3</v>
      </c>
      <c r="CS37" s="4">
        <v>1.0578E-3</v>
      </c>
      <c r="CT37" s="4">
        <v>1.0430999999999999E-3</v>
      </c>
      <c r="CU37" s="4">
        <v>1.0286E-3</v>
      </c>
      <c r="CV37" s="4">
        <v>1.0143000000000001E-3</v>
      </c>
      <c r="CW37" s="4">
        <v>1.0001000000000001E-3</v>
      </c>
      <c r="CX37" s="4">
        <v>9.8620000000000001E-4</v>
      </c>
      <c r="CY37" s="4">
        <v>9.724E-4</v>
      </c>
      <c r="CZ37" s="4">
        <v>9.5890000000000005E-4</v>
      </c>
      <c r="DA37" s="4">
        <v>9.4550000000000005E-4</v>
      </c>
      <c r="DB37" s="4">
        <v>9.3229999999999995E-4</v>
      </c>
      <c r="DC37" s="4">
        <v>9.1920000000000001E-4</v>
      </c>
      <c r="DD37" s="4">
        <v>9.0640000000000002E-4</v>
      </c>
      <c r="DE37" s="4">
        <v>8.9369999999999998E-4</v>
      </c>
      <c r="DF37" s="4">
        <v>8.8119999999999995E-4</v>
      </c>
      <c r="DG37" s="4">
        <v>8.6879999999999998E-4</v>
      </c>
      <c r="DH37" s="4">
        <v>8.566E-4</v>
      </c>
      <c r="DI37" s="4">
        <v>8.4460000000000004E-4</v>
      </c>
      <c r="DJ37" s="4">
        <v>8.3270000000000002E-4</v>
      </c>
      <c r="DK37" s="4">
        <v>8.2100000000000001E-4</v>
      </c>
      <c r="DL37" s="4">
        <v>8.095E-4</v>
      </c>
      <c r="DM37" s="4">
        <v>7.9810000000000005E-4</v>
      </c>
      <c r="DN37" s="4">
        <v>7.8689999999999999E-4</v>
      </c>
      <c r="DO37" s="4">
        <v>7.7579999999999999E-4</v>
      </c>
      <c r="DP37" s="4">
        <v>7.649E-4</v>
      </c>
      <c r="DQ37" s="4">
        <v>5.3153300000000001E-2</v>
      </c>
      <c r="DR37" s="4">
        <v>0</v>
      </c>
      <c r="DS37" s="4">
        <v>5.02E-5</v>
      </c>
      <c r="DT37" s="4">
        <v>1.7310000000000001E-4</v>
      </c>
      <c r="DU37" s="4">
        <v>6.9200000000000002E-4</v>
      </c>
      <c r="DV37" s="4">
        <v>6.1669999999999997E-4</v>
      </c>
      <c r="DW37" s="4">
        <v>5.7589999999999996E-4</v>
      </c>
      <c r="DX37" s="4">
        <v>5.9860000000000002E-4</v>
      </c>
      <c r="DY37" s="4">
        <v>5.2939999999999997E-4</v>
      </c>
      <c r="DZ37" s="4">
        <v>4.8369999999999999E-4</v>
      </c>
      <c r="EA37" s="4">
        <v>4.4270000000000003E-4</v>
      </c>
      <c r="EB37" s="4">
        <v>3.946E-4</v>
      </c>
      <c r="EC37" s="4">
        <v>3.5100000000000002E-4</v>
      </c>
      <c r="ED37" s="4">
        <v>3.1379999999999998E-4</v>
      </c>
      <c r="EE37" s="4">
        <v>2.8140000000000001E-4</v>
      </c>
      <c r="EF37" s="4">
        <v>2.5339999999999998E-4</v>
      </c>
      <c r="EG37" s="4">
        <v>2.2919999999999999E-4</v>
      </c>
      <c r="EH37" s="4">
        <v>2.0799999999999999E-4</v>
      </c>
      <c r="EI37" s="4">
        <v>1.894E-4</v>
      </c>
      <c r="EJ37" s="4">
        <v>1.7330000000000001E-4</v>
      </c>
      <c r="EK37" s="4">
        <v>1.593E-4</v>
      </c>
      <c r="EL37" s="4">
        <v>1.4679999999999999E-4</v>
      </c>
      <c r="EM37" s="4">
        <v>1.3569999999999999E-4</v>
      </c>
      <c r="EN37" s="4">
        <v>1.2569999999999999E-4</v>
      </c>
      <c r="EO37" s="4">
        <v>1.169E-4</v>
      </c>
      <c r="EP37" s="4">
        <v>1.087E-4</v>
      </c>
      <c r="EQ37" s="4">
        <v>1.01E-4</v>
      </c>
      <c r="ER37" s="4">
        <v>9.0699999999999996E-5</v>
      </c>
      <c r="ES37" s="4">
        <v>7.9800000000000002E-5</v>
      </c>
      <c r="ET37" s="4">
        <v>6.4499999999999996E-5</v>
      </c>
      <c r="EU37" s="4">
        <v>6.9900000000000005E-5</v>
      </c>
      <c r="EV37" s="4">
        <v>6.6400000000000001E-5</v>
      </c>
      <c r="EW37" s="4">
        <v>6.3399999999999996E-5</v>
      </c>
      <c r="EX37" s="4">
        <v>6.05E-5</v>
      </c>
      <c r="EY37" s="4">
        <v>5.7899999999999998E-5</v>
      </c>
      <c r="EZ37" s="4">
        <v>5.5500000000000001E-5</v>
      </c>
      <c r="FA37" s="4">
        <v>5.3199999999999999E-5</v>
      </c>
      <c r="FB37" s="4">
        <v>5.1100000000000002E-5</v>
      </c>
      <c r="FC37" s="4">
        <v>4.9100000000000001E-5</v>
      </c>
      <c r="FD37" s="4">
        <v>4.7200000000000002E-5</v>
      </c>
      <c r="FE37" s="4">
        <v>4.5399999999999999E-5</v>
      </c>
      <c r="FF37" s="4">
        <v>4.3699999999999998E-5</v>
      </c>
      <c r="FG37" s="4">
        <v>4.2200000000000003E-5</v>
      </c>
      <c r="FH37" s="4">
        <v>4.07E-5</v>
      </c>
      <c r="FI37" s="4">
        <v>3.93E-5</v>
      </c>
      <c r="FJ37" s="4">
        <v>3.8000000000000002E-5</v>
      </c>
      <c r="FK37" s="4">
        <v>3.68E-5</v>
      </c>
      <c r="FL37" s="4">
        <v>3.5599999999999998E-5</v>
      </c>
      <c r="FM37" s="4">
        <v>3.4600000000000001E-5</v>
      </c>
      <c r="FN37" s="4">
        <v>3.3500000000000001E-5</v>
      </c>
      <c r="FO37" s="4">
        <v>3.26E-5</v>
      </c>
      <c r="FP37" s="4">
        <v>3.1699999999999998E-5</v>
      </c>
      <c r="FQ37" s="4">
        <v>3.0800000000000003E-5</v>
      </c>
      <c r="FR37" s="4">
        <v>3.01E-5</v>
      </c>
      <c r="FS37" s="4">
        <v>2.9300000000000001E-5</v>
      </c>
      <c r="FT37" s="4">
        <v>2.8600000000000001E-5</v>
      </c>
      <c r="FU37" s="4">
        <v>2.7900000000000001E-5</v>
      </c>
      <c r="FV37" s="4">
        <v>2.73E-5</v>
      </c>
      <c r="FW37" s="4">
        <v>2.6699999999999998E-5</v>
      </c>
      <c r="FX37" s="4">
        <v>2.62E-5</v>
      </c>
      <c r="FY37" s="4">
        <v>2.5599999999999999E-5</v>
      </c>
      <c r="FZ37" s="4">
        <v>2.51E-5</v>
      </c>
      <c r="GA37" s="4">
        <v>2.4600000000000002E-5</v>
      </c>
      <c r="GB37" s="4">
        <v>2.4199999999999999E-5</v>
      </c>
      <c r="GC37" s="4">
        <v>2.37E-5</v>
      </c>
      <c r="GD37" s="4">
        <v>2.3300000000000001E-5</v>
      </c>
      <c r="GE37" s="4">
        <v>2.2900000000000001E-5</v>
      </c>
      <c r="GF37" s="4">
        <v>2.2500000000000001E-5</v>
      </c>
      <c r="GG37" s="4">
        <v>2.2099999999999998E-5</v>
      </c>
      <c r="GH37" s="4">
        <v>2.1800000000000001E-5</v>
      </c>
      <c r="GI37" s="4">
        <v>2.1399999999999998E-5</v>
      </c>
      <c r="GJ37" s="4">
        <v>2.1100000000000001E-5</v>
      </c>
      <c r="GK37" s="4">
        <v>2.0800000000000001E-5</v>
      </c>
      <c r="GL37" s="4">
        <v>2.0400000000000001E-5</v>
      </c>
      <c r="GM37" s="4">
        <v>2.0100000000000001E-5</v>
      </c>
      <c r="GN37" s="4">
        <v>1.98E-5</v>
      </c>
      <c r="GO37" s="4">
        <v>1.95E-5</v>
      </c>
      <c r="GP37" s="4">
        <v>1.9300000000000002E-5</v>
      </c>
      <c r="GQ37" s="4">
        <v>1.9000000000000001E-5</v>
      </c>
      <c r="GR37" s="4">
        <v>1.8700000000000001E-5</v>
      </c>
      <c r="GS37" s="4">
        <v>1.8499999999999999E-5</v>
      </c>
      <c r="GT37" s="4">
        <v>1.8199999999999999E-5</v>
      </c>
      <c r="GU37" s="4">
        <v>1.7900000000000001E-5</v>
      </c>
      <c r="GV37" s="4">
        <v>1.77E-5</v>
      </c>
      <c r="GW37" s="4">
        <v>1.7399999999999999E-5</v>
      </c>
      <c r="GX37" s="4">
        <v>1.7200000000000001E-5</v>
      </c>
      <c r="GY37" s="4">
        <v>1.7E-5</v>
      </c>
      <c r="GZ37" s="4">
        <v>1.6699999999999999E-5</v>
      </c>
      <c r="HA37" s="4">
        <v>1.6500000000000001E-5</v>
      </c>
      <c r="HB37" s="4">
        <v>1.63E-5</v>
      </c>
      <c r="HC37" s="4">
        <v>1.6099999999999998E-5</v>
      </c>
      <c r="HD37" s="4">
        <v>1.59E-5</v>
      </c>
      <c r="HE37" s="4">
        <v>1.56E-5</v>
      </c>
      <c r="HF37" s="4">
        <v>1.5400000000000002E-5</v>
      </c>
      <c r="HG37" s="4">
        <v>1.52E-5</v>
      </c>
      <c r="HH37" s="4">
        <v>1.5E-5</v>
      </c>
      <c r="HI37" s="4">
        <v>1.4800000000000001E-5</v>
      </c>
      <c r="HJ37" s="4">
        <v>1.4600000000000001E-5</v>
      </c>
      <c r="HK37" s="4">
        <v>1.4399999999999999E-5</v>
      </c>
      <c r="HL37" s="4">
        <v>1.42E-5</v>
      </c>
      <c r="HM37" s="4">
        <v>1.4E-5</v>
      </c>
      <c r="HN37" s="4">
        <v>1.38E-5</v>
      </c>
      <c r="HO37" s="4">
        <v>1.3699999999999999E-5</v>
      </c>
      <c r="HP37" s="4">
        <v>1.3499999999999999E-5</v>
      </c>
      <c r="HQ37" s="4">
        <v>1.33E-5</v>
      </c>
      <c r="HR37" s="4">
        <v>1.31E-5</v>
      </c>
      <c r="HS37" s="4">
        <v>1.29E-5</v>
      </c>
      <c r="HT37" s="4">
        <v>1.2799999999999999E-5</v>
      </c>
      <c r="HU37" s="4">
        <v>1.26E-5</v>
      </c>
      <c r="HV37" s="4">
        <v>1.24E-5</v>
      </c>
      <c r="HW37" s="4">
        <v>1.22E-5</v>
      </c>
      <c r="HX37" s="4">
        <v>1.2099999999999999E-5</v>
      </c>
      <c r="HY37" s="4">
        <v>1.19E-5</v>
      </c>
      <c r="HZ37" s="4">
        <v>1.17E-5</v>
      </c>
      <c r="IA37" s="4">
        <v>1.1600000000000001E-5</v>
      </c>
      <c r="IB37" s="4">
        <v>1.1399999999999999E-5</v>
      </c>
      <c r="IC37" s="4">
        <v>1.13E-5</v>
      </c>
      <c r="ID37" s="4">
        <v>1.11E-5</v>
      </c>
      <c r="IE37" s="4">
        <v>1.1E-5</v>
      </c>
      <c r="IF37" s="4">
        <v>1.08E-5</v>
      </c>
      <c r="IG37" s="4">
        <v>7.5460000000000002E-4</v>
      </c>
      <c r="IH37" s="4"/>
      <c r="II37" s="4">
        <f t="shared" si="257"/>
        <v>0.11608473442640976</v>
      </c>
      <c r="IL37">
        <f t="shared" si="258"/>
        <v>0.35950205000000013</v>
      </c>
      <c r="IP37" s="4">
        <f t="shared" si="273"/>
        <v>8.3912000000000014E-3</v>
      </c>
      <c r="IQ37" s="4">
        <f t="shared" si="274"/>
        <v>7.8846999999999945E-3</v>
      </c>
      <c r="IR37" s="4">
        <f t="shared" si="261"/>
        <v>5.1317000000000029E-3</v>
      </c>
      <c r="IS37" s="4">
        <f t="shared" si="262"/>
        <v>3.3924999999999997E-3</v>
      </c>
      <c r="IT37" s="4">
        <f t="shared" si="263"/>
        <v>2.3855000000000005E-3</v>
      </c>
      <c r="IU37" s="4">
        <f t="shared" si="264"/>
        <v>5.3686000000000081E-3</v>
      </c>
      <c r="IV37" s="4">
        <f t="shared" si="265"/>
        <v>2.4752999999999928E-3</v>
      </c>
      <c r="IW37" s="4">
        <f t="shared" si="266"/>
        <v>1.6495000000000017E-3</v>
      </c>
      <c r="IX37" s="4">
        <f t="shared" si="267"/>
        <v>5.0537000000000082E-3</v>
      </c>
      <c r="IZ37">
        <f t="shared" si="270"/>
        <v>2015</v>
      </c>
      <c r="JA37">
        <f t="shared" si="268"/>
        <v>0.75361912711178414</v>
      </c>
      <c r="JB37">
        <f t="shared" si="268"/>
        <v>2.7333800859623505</v>
      </c>
      <c r="JC37">
        <f t="shared" si="268"/>
        <v>3.0207920642671215</v>
      </c>
      <c r="JD37">
        <f t="shared" si="268"/>
        <v>2.9768109332660551</v>
      </c>
      <c r="JE37">
        <f t="shared" si="268"/>
        <v>3.6021476499632619</v>
      </c>
      <c r="JF37">
        <f t="shared" si="268"/>
        <v>-4.9689169738381134</v>
      </c>
      <c r="JG37">
        <f t="shared" si="268"/>
        <v>-1.5871440533520034</v>
      </c>
      <c r="JH37">
        <f t="shared" si="268"/>
        <v>-0.59236150001085075</v>
      </c>
      <c r="JI37">
        <f t="shared" si="268"/>
        <v>-0.11865447236187016</v>
      </c>
    </row>
    <row r="38" spans="1:269" x14ac:dyDescent="0.35">
      <c r="A38" s="1">
        <v>30</v>
      </c>
      <c r="B38" s="4">
        <v>1.0734799999999999E-2</v>
      </c>
      <c r="C38" s="4">
        <v>1.0734799999999999E-2</v>
      </c>
      <c r="D38" s="4">
        <v>1.0684600000000001E-2</v>
      </c>
      <c r="E38" s="4">
        <v>1.05115E-2</v>
      </c>
      <c r="F38" s="4">
        <v>9.8195999999999995E-3</v>
      </c>
      <c r="G38" s="4">
        <v>9.2031000000000005E-3</v>
      </c>
      <c r="H38" s="4">
        <v>8.6275999999999992E-3</v>
      </c>
      <c r="I38" s="4">
        <v>8.0292000000000002E-3</v>
      </c>
      <c r="J38" s="4">
        <v>7.5003999999999999E-3</v>
      </c>
      <c r="K38" s="4">
        <v>7.0172000000000003E-3</v>
      </c>
      <c r="L38" s="4">
        <v>6.7275E-3</v>
      </c>
      <c r="M38" s="4">
        <v>6.3338999999999999E-3</v>
      </c>
      <c r="N38" s="4">
        <v>5.9844E-3</v>
      </c>
      <c r="O38" s="4">
        <v>5.6727000000000001E-3</v>
      </c>
      <c r="P38" s="4">
        <v>5.3940000000000004E-3</v>
      </c>
      <c r="Q38" s="4">
        <v>5.1438999999999999E-3</v>
      </c>
      <c r="R38" s="4">
        <v>4.9194E-3</v>
      </c>
      <c r="S38" s="4">
        <v>4.7156000000000003E-3</v>
      </c>
      <c r="T38" s="4">
        <v>4.5295999999999999E-3</v>
      </c>
      <c r="U38" s="4">
        <v>4.3612E-3</v>
      </c>
      <c r="V38" s="4">
        <v>4.2104999999999998E-3</v>
      </c>
      <c r="W38" s="4">
        <v>4.0699999999999998E-3</v>
      </c>
      <c r="X38" s="4">
        <v>3.9397E-3</v>
      </c>
      <c r="Y38" s="4">
        <v>3.8175000000000001E-3</v>
      </c>
      <c r="Z38" s="4">
        <v>3.7012E-3</v>
      </c>
      <c r="AA38" s="4">
        <v>3.5842999999999999E-3</v>
      </c>
      <c r="AB38" s="4">
        <v>3.4602999999999999E-3</v>
      </c>
      <c r="AC38" s="4">
        <v>3.2339999999999999E-3</v>
      </c>
      <c r="AD38" s="4">
        <v>2.9499999999999999E-3</v>
      </c>
      <c r="AE38" s="4">
        <v>2.4773999999999998E-3</v>
      </c>
      <c r="AF38" s="4">
        <v>2.7077E-3</v>
      </c>
      <c r="AG38" s="4">
        <v>2.6578000000000001E-3</v>
      </c>
      <c r="AH38" s="4">
        <v>2.6148999999999999E-3</v>
      </c>
      <c r="AI38" s="4">
        <v>2.5714000000000002E-3</v>
      </c>
      <c r="AJ38" s="4">
        <v>2.5319000000000001E-3</v>
      </c>
      <c r="AK38" s="4">
        <v>2.4922E-3</v>
      </c>
      <c r="AL38" s="4">
        <v>2.4539000000000002E-3</v>
      </c>
      <c r="AM38" s="4">
        <v>2.4158999999999999E-3</v>
      </c>
      <c r="AN38" s="4">
        <v>2.3785E-3</v>
      </c>
      <c r="AO38" s="4">
        <v>2.3416999999999999E-3</v>
      </c>
      <c r="AP38" s="4">
        <v>2.3056000000000001E-3</v>
      </c>
      <c r="AQ38" s="4">
        <v>2.2701000000000002E-3</v>
      </c>
      <c r="AR38" s="4">
        <v>2.2353E-3</v>
      </c>
      <c r="AS38" s="4">
        <v>2.2011999999999999E-3</v>
      </c>
      <c r="AT38" s="4">
        <v>2.1678000000000001E-3</v>
      </c>
      <c r="AU38" s="4">
        <v>2.1351999999999999E-3</v>
      </c>
      <c r="AV38" s="4">
        <v>2.1031999999999999E-3</v>
      </c>
      <c r="AW38" s="4">
        <v>2.0718999999999998E-3</v>
      </c>
      <c r="AX38" s="4">
        <v>2.0412999999999998E-3</v>
      </c>
      <c r="AY38" s="4">
        <v>2.0113000000000002E-3</v>
      </c>
      <c r="AZ38" s="4">
        <v>1.9819999999999998E-3</v>
      </c>
      <c r="BA38" s="4">
        <v>1.9532E-3</v>
      </c>
      <c r="BB38" s="4">
        <v>1.9250000000000001E-3</v>
      </c>
      <c r="BC38" s="4">
        <v>1.8974E-3</v>
      </c>
      <c r="BD38" s="4">
        <v>1.8703999999999999E-3</v>
      </c>
      <c r="BE38" s="4">
        <v>1.8438E-3</v>
      </c>
      <c r="BF38" s="4">
        <v>1.8178000000000001E-3</v>
      </c>
      <c r="BG38" s="4">
        <v>1.7922000000000001E-3</v>
      </c>
      <c r="BH38" s="4">
        <v>1.7669999999999999E-3</v>
      </c>
      <c r="BI38" s="4">
        <v>1.7424000000000001E-3</v>
      </c>
      <c r="BJ38" s="4">
        <v>1.7181E-3</v>
      </c>
      <c r="BK38" s="4">
        <v>1.6942000000000001E-3</v>
      </c>
      <c r="BL38" s="4">
        <v>1.6708000000000001E-3</v>
      </c>
      <c r="BM38" s="4">
        <v>1.6477E-3</v>
      </c>
      <c r="BN38" s="4">
        <v>1.6249000000000001E-3</v>
      </c>
      <c r="BO38" s="4">
        <v>1.6025E-3</v>
      </c>
      <c r="BP38" s="4">
        <v>1.5805000000000001E-3</v>
      </c>
      <c r="BQ38" s="4">
        <v>1.5587999999999999E-3</v>
      </c>
      <c r="BR38" s="4">
        <v>1.5374E-3</v>
      </c>
      <c r="BS38" s="4">
        <v>1.5162999999999999E-3</v>
      </c>
      <c r="BT38" s="4">
        <v>1.4955000000000001E-3</v>
      </c>
      <c r="BU38" s="4">
        <v>1.475E-3</v>
      </c>
      <c r="BV38" s="4">
        <v>1.4548E-3</v>
      </c>
      <c r="BW38" s="4">
        <v>1.4349E-3</v>
      </c>
      <c r="BX38" s="4">
        <v>1.4151999999999999E-3</v>
      </c>
      <c r="BY38" s="4">
        <v>1.3959E-3</v>
      </c>
      <c r="BZ38" s="4">
        <v>1.3767E-3</v>
      </c>
      <c r="CA38" s="4">
        <v>1.3579E-3</v>
      </c>
      <c r="CB38" s="4">
        <v>1.3393000000000001E-3</v>
      </c>
      <c r="CC38" s="4">
        <v>1.3209000000000001E-3</v>
      </c>
      <c r="CD38" s="4">
        <v>1.3028E-3</v>
      </c>
      <c r="CE38" s="4">
        <v>1.2849000000000001E-3</v>
      </c>
      <c r="CF38" s="4">
        <v>1.2672E-3</v>
      </c>
      <c r="CG38" s="4">
        <v>1.2497999999999999E-3</v>
      </c>
      <c r="CH38" s="4">
        <v>1.2325999999999999E-3</v>
      </c>
      <c r="CI38" s="4">
        <v>1.2156999999999999E-3</v>
      </c>
      <c r="CJ38" s="4">
        <v>1.1988999999999999E-3</v>
      </c>
      <c r="CK38" s="4">
        <v>1.1823999999999999E-3</v>
      </c>
      <c r="CL38" s="4">
        <v>1.1661E-3</v>
      </c>
      <c r="CM38" s="4">
        <v>1.15E-3</v>
      </c>
      <c r="CN38" s="4">
        <v>1.1341000000000001E-3</v>
      </c>
      <c r="CO38" s="4">
        <v>1.1184000000000001E-3</v>
      </c>
      <c r="CP38" s="4">
        <v>1.1029E-3</v>
      </c>
      <c r="CQ38" s="4">
        <v>1.0876E-3</v>
      </c>
      <c r="CR38" s="4">
        <v>1.0725000000000001E-3</v>
      </c>
      <c r="CS38" s="4">
        <v>1.0575999999999999E-3</v>
      </c>
      <c r="CT38" s="4">
        <v>1.0430000000000001E-3</v>
      </c>
      <c r="CU38" s="4">
        <v>1.0284999999999999E-3</v>
      </c>
      <c r="CV38" s="4">
        <v>1.0142E-3</v>
      </c>
      <c r="CW38" s="4">
        <v>1E-3</v>
      </c>
      <c r="CX38" s="4">
        <v>9.8609999999999995E-4</v>
      </c>
      <c r="CY38" s="4">
        <v>9.724E-4</v>
      </c>
      <c r="CZ38" s="4">
        <v>9.588E-4</v>
      </c>
      <c r="DA38" s="4">
        <v>9.4539999999999999E-4</v>
      </c>
      <c r="DB38" s="4">
        <v>9.322E-4</v>
      </c>
      <c r="DC38" s="4">
        <v>9.1920000000000001E-4</v>
      </c>
      <c r="DD38" s="4">
        <v>9.0629999999999997E-4</v>
      </c>
      <c r="DE38" s="4">
        <v>8.9360000000000004E-4</v>
      </c>
      <c r="DF38" s="4">
        <v>8.811E-4</v>
      </c>
      <c r="DG38" s="4">
        <v>8.6870000000000003E-4</v>
      </c>
      <c r="DH38" s="4">
        <v>8.566E-4</v>
      </c>
      <c r="DI38" s="4">
        <v>8.4449999999999998E-4</v>
      </c>
      <c r="DJ38" s="4">
        <v>8.3270000000000002E-4</v>
      </c>
      <c r="DK38" s="4">
        <v>8.2100000000000001E-4</v>
      </c>
      <c r="DL38" s="4">
        <v>8.0940000000000005E-4</v>
      </c>
      <c r="DM38" s="4">
        <v>7.9810000000000005E-4</v>
      </c>
      <c r="DN38" s="4">
        <v>7.8680000000000004E-4</v>
      </c>
      <c r="DO38" s="4">
        <v>7.7579999999999999E-4</v>
      </c>
      <c r="DP38" s="4">
        <v>7.6480000000000005E-4</v>
      </c>
      <c r="DQ38" s="4">
        <v>5.3152699999999997E-2</v>
      </c>
      <c r="DR38" s="4">
        <v>0</v>
      </c>
      <c r="DS38" s="4">
        <v>5.02E-5</v>
      </c>
      <c r="DT38" s="4">
        <v>1.7320000000000001E-4</v>
      </c>
      <c r="DU38" s="4">
        <v>6.9209999999999996E-4</v>
      </c>
      <c r="DV38" s="4">
        <v>6.1689999999999998E-4</v>
      </c>
      <c r="DW38" s="4">
        <v>5.7609999999999996E-4</v>
      </c>
      <c r="DX38" s="4">
        <v>5.9889999999999997E-4</v>
      </c>
      <c r="DY38" s="4">
        <v>5.2970000000000003E-4</v>
      </c>
      <c r="DZ38" s="4">
        <v>4.84E-4</v>
      </c>
      <c r="EA38" s="4">
        <v>4.2880000000000001E-4</v>
      </c>
      <c r="EB38" s="4">
        <v>3.948E-4</v>
      </c>
      <c r="EC38" s="4">
        <v>3.5120000000000003E-4</v>
      </c>
      <c r="ED38" s="4">
        <v>3.1389999999999999E-4</v>
      </c>
      <c r="EE38" s="4">
        <v>2.8140000000000001E-4</v>
      </c>
      <c r="EF38" s="4">
        <v>2.5339999999999998E-4</v>
      </c>
      <c r="EG38" s="4">
        <v>2.2910000000000001E-4</v>
      </c>
      <c r="EH38" s="4">
        <v>2.0799999999999999E-4</v>
      </c>
      <c r="EI38" s="4">
        <v>1.895E-4</v>
      </c>
      <c r="EJ38" s="4">
        <v>1.7320000000000001E-4</v>
      </c>
      <c r="EK38" s="4">
        <v>1.5899999999999999E-4</v>
      </c>
      <c r="EL38" s="4">
        <v>1.4660000000000001E-4</v>
      </c>
      <c r="EM38" s="4">
        <v>1.3549999999999999E-4</v>
      </c>
      <c r="EN38" s="4">
        <v>1.2559999999999999E-4</v>
      </c>
      <c r="EO38" s="4">
        <v>1.1680000000000001E-4</v>
      </c>
      <c r="EP38" s="4">
        <v>1.089E-4</v>
      </c>
      <c r="EQ38" s="4">
        <v>1.016E-4</v>
      </c>
      <c r="ER38" s="4">
        <v>9.4599999999999996E-5</v>
      </c>
      <c r="ES38" s="4">
        <v>8.5199999999999997E-5</v>
      </c>
      <c r="ET38" s="4">
        <v>7.5199999999999998E-5</v>
      </c>
      <c r="EU38" s="4">
        <v>6.0900000000000003E-5</v>
      </c>
      <c r="EV38" s="4">
        <v>6.6000000000000005E-5</v>
      </c>
      <c r="EW38" s="4">
        <v>6.2899999999999997E-5</v>
      </c>
      <c r="EX38" s="4">
        <v>6.0099999999999997E-5</v>
      </c>
      <c r="EY38" s="4">
        <v>5.7500000000000002E-5</v>
      </c>
      <c r="EZ38" s="4">
        <v>5.5099999999999998E-5</v>
      </c>
      <c r="FA38" s="4">
        <v>5.2899999999999998E-5</v>
      </c>
      <c r="FB38" s="4">
        <v>5.0800000000000002E-5</v>
      </c>
      <c r="FC38" s="4">
        <v>4.88E-5</v>
      </c>
      <c r="FD38" s="4">
        <v>4.6999999999999997E-5</v>
      </c>
      <c r="FE38" s="4">
        <v>4.5200000000000001E-5</v>
      </c>
      <c r="FF38" s="4">
        <v>4.3600000000000003E-5</v>
      </c>
      <c r="FG38" s="4">
        <v>4.1999999999999998E-5</v>
      </c>
      <c r="FH38" s="4">
        <v>4.0599999999999998E-5</v>
      </c>
      <c r="FI38" s="4">
        <v>3.9199999999999997E-5</v>
      </c>
      <c r="FJ38" s="4">
        <v>3.79E-5</v>
      </c>
      <c r="FK38" s="4">
        <v>3.6699999999999998E-5</v>
      </c>
      <c r="FL38" s="4">
        <v>3.5599999999999998E-5</v>
      </c>
      <c r="FM38" s="4">
        <v>3.4499999999999998E-5</v>
      </c>
      <c r="FN38" s="4">
        <v>3.3500000000000001E-5</v>
      </c>
      <c r="FO38" s="4">
        <v>3.2499999999999997E-5</v>
      </c>
      <c r="FP38" s="4">
        <v>3.1600000000000002E-5</v>
      </c>
      <c r="FQ38" s="4">
        <v>3.0800000000000003E-5</v>
      </c>
      <c r="FR38" s="4">
        <v>3.0000000000000001E-5</v>
      </c>
      <c r="FS38" s="4">
        <v>2.9300000000000001E-5</v>
      </c>
      <c r="FT38" s="4">
        <v>2.8600000000000001E-5</v>
      </c>
      <c r="FU38" s="4">
        <v>2.7900000000000001E-5</v>
      </c>
      <c r="FV38" s="4">
        <v>2.73E-5</v>
      </c>
      <c r="FW38" s="4">
        <v>2.6699999999999998E-5</v>
      </c>
      <c r="FX38" s="4">
        <v>2.6100000000000001E-5</v>
      </c>
      <c r="FY38" s="4">
        <v>2.5599999999999999E-5</v>
      </c>
      <c r="FZ38" s="4">
        <v>2.51E-5</v>
      </c>
      <c r="GA38" s="4">
        <v>2.4600000000000002E-5</v>
      </c>
      <c r="GB38" s="4">
        <v>2.41E-5</v>
      </c>
      <c r="GC38" s="4">
        <v>2.37E-5</v>
      </c>
      <c r="GD38" s="4">
        <v>2.3300000000000001E-5</v>
      </c>
      <c r="GE38" s="4">
        <v>2.2900000000000001E-5</v>
      </c>
      <c r="GF38" s="4">
        <v>2.2500000000000001E-5</v>
      </c>
      <c r="GG38" s="4">
        <v>2.2099999999999998E-5</v>
      </c>
      <c r="GH38" s="4">
        <v>2.1800000000000001E-5</v>
      </c>
      <c r="GI38" s="4">
        <v>2.1399999999999998E-5</v>
      </c>
      <c r="GJ38" s="4">
        <v>2.1100000000000001E-5</v>
      </c>
      <c r="GK38" s="4">
        <v>2.0699999999999998E-5</v>
      </c>
      <c r="GL38" s="4">
        <v>2.0400000000000001E-5</v>
      </c>
      <c r="GM38" s="4">
        <v>2.0100000000000001E-5</v>
      </c>
      <c r="GN38" s="4">
        <v>1.98E-5</v>
      </c>
      <c r="GO38" s="4">
        <v>1.95E-5</v>
      </c>
      <c r="GP38" s="4">
        <v>1.9300000000000002E-5</v>
      </c>
      <c r="GQ38" s="4">
        <v>1.9000000000000001E-5</v>
      </c>
      <c r="GR38" s="4">
        <v>1.8700000000000001E-5</v>
      </c>
      <c r="GS38" s="4">
        <v>1.84E-5</v>
      </c>
      <c r="GT38" s="4">
        <v>1.8199999999999999E-5</v>
      </c>
      <c r="GU38" s="4">
        <v>1.7900000000000001E-5</v>
      </c>
      <c r="GV38" s="4">
        <v>1.77E-5</v>
      </c>
      <c r="GW38" s="4">
        <v>1.7399999999999999E-5</v>
      </c>
      <c r="GX38" s="4">
        <v>1.7200000000000001E-5</v>
      </c>
      <c r="GY38" s="4">
        <v>1.7E-5</v>
      </c>
      <c r="GZ38" s="4">
        <v>1.6699999999999999E-5</v>
      </c>
      <c r="HA38" s="4">
        <v>1.6500000000000001E-5</v>
      </c>
      <c r="HB38" s="4">
        <v>1.63E-5</v>
      </c>
      <c r="HC38" s="4">
        <v>1.6099999999999998E-5</v>
      </c>
      <c r="HD38" s="4">
        <v>1.59E-5</v>
      </c>
      <c r="HE38" s="4">
        <v>1.56E-5</v>
      </c>
      <c r="HF38" s="4">
        <v>1.5400000000000002E-5</v>
      </c>
      <c r="HG38" s="4">
        <v>1.52E-5</v>
      </c>
      <c r="HH38" s="4">
        <v>1.5E-5</v>
      </c>
      <c r="HI38" s="4">
        <v>1.4800000000000001E-5</v>
      </c>
      <c r="HJ38" s="4">
        <v>1.4600000000000001E-5</v>
      </c>
      <c r="HK38" s="4">
        <v>1.4399999999999999E-5</v>
      </c>
      <c r="HL38" s="4">
        <v>1.42E-5</v>
      </c>
      <c r="HM38" s="4">
        <v>1.4E-5</v>
      </c>
      <c r="HN38" s="4">
        <v>1.38E-5</v>
      </c>
      <c r="HO38" s="4">
        <v>1.3699999999999999E-5</v>
      </c>
      <c r="HP38" s="4">
        <v>1.3499999999999999E-5</v>
      </c>
      <c r="HQ38" s="4">
        <v>1.33E-5</v>
      </c>
      <c r="HR38" s="4">
        <v>1.31E-5</v>
      </c>
      <c r="HS38" s="4">
        <v>1.29E-5</v>
      </c>
      <c r="HT38" s="4">
        <v>1.2799999999999999E-5</v>
      </c>
      <c r="HU38" s="4">
        <v>1.26E-5</v>
      </c>
      <c r="HV38" s="4">
        <v>1.24E-5</v>
      </c>
      <c r="HW38" s="4">
        <v>1.22E-5</v>
      </c>
      <c r="HX38" s="4">
        <v>1.2099999999999999E-5</v>
      </c>
      <c r="HY38" s="4">
        <v>1.19E-5</v>
      </c>
      <c r="HZ38" s="4">
        <v>1.17E-5</v>
      </c>
      <c r="IA38" s="4">
        <v>1.1600000000000001E-5</v>
      </c>
      <c r="IB38" s="4">
        <v>1.1399999999999999E-5</v>
      </c>
      <c r="IC38" s="4">
        <v>1.13E-5</v>
      </c>
      <c r="ID38" s="4">
        <v>1.11E-5</v>
      </c>
      <c r="IE38" s="4">
        <v>1.1E-5</v>
      </c>
      <c r="IF38" s="4">
        <v>1.08E-5</v>
      </c>
      <c r="IG38" s="4">
        <v>7.5460000000000002E-4</v>
      </c>
      <c r="IH38" s="4"/>
      <c r="II38" s="4">
        <f t="shared" si="257"/>
        <v>0.11594686680786061</v>
      </c>
      <c r="IL38">
        <f t="shared" si="258"/>
        <v>0.35948621250000029</v>
      </c>
      <c r="IP38" s="4">
        <f t="shared" si="273"/>
        <v>8.3934000000000022E-3</v>
      </c>
      <c r="IQ38" s="4">
        <f t="shared" si="274"/>
        <v>7.8067000000000067E-3</v>
      </c>
      <c r="IR38" s="4">
        <f t="shared" si="261"/>
        <v>5.1289999999999981E-3</v>
      </c>
      <c r="IS38" s="4">
        <f t="shared" si="262"/>
        <v>3.3900000000000007E-3</v>
      </c>
      <c r="IT38" s="4">
        <f t="shared" si="263"/>
        <v>2.3831999999999985E-3</v>
      </c>
      <c r="IU38" s="4">
        <f t="shared" si="264"/>
        <v>5.4046000000000233E-3</v>
      </c>
      <c r="IV38" s="4">
        <f t="shared" si="265"/>
        <v>2.4718999999999991E-3</v>
      </c>
      <c r="IW38" s="4">
        <f t="shared" si="266"/>
        <v>1.6489999999999977E-3</v>
      </c>
      <c r="IX38" s="4">
        <f t="shared" si="267"/>
        <v>5.0535000000000163E-3</v>
      </c>
      <c r="IZ38">
        <f t="shared" si="270"/>
        <v>2015.25</v>
      </c>
      <c r="JA38">
        <f t="shared" si="268"/>
        <v>0.77983363341637857</v>
      </c>
      <c r="JB38">
        <f t="shared" si="268"/>
        <v>1.73919674401368</v>
      </c>
      <c r="JC38">
        <f t="shared" si="268"/>
        <v>2.9681640747084459</v>
      </c>
      <c r="JD38">
        <f t="shared" si="268"/>
        <v>2.9030917998132773</v>
      </c>
      <c r="JE38">
        <f t="shared" si="268"/>
        <v>3.5056852942542815</v>
      </c>
      <c r="JF38">
        <f t="shared" si="268"/>
        <v>-4.3005893831789637</v>
      </c>
      <c r="JG38">
        <f t="shared" si="268"/>
        <v>-1.7245955627024685</v>
      </c>
      <c r="JH38">
        <f t="shared" si="268"/>
        <v>-0.62267831091480497</v>
      </c>
      <c r="JI38">
        <f t="shared" si="268"/>
        <v>-0.12261204716038021</v>
      </c>
    </row>
    <row r="39" spans="1:269" x14ac:dyDescent="0.35">
      <c r="A39" s="1">
        <v>31</v>
      </c>
      <c r="B39" s="4">
        <v>1.0734799999999999E-2</v>
      </c>
      <c r="C39" s="4">
        <v>1.0734799999999999E-2</v>
      </c>
      <c r="D39" s="4">
        <v>1.0684600000000001E-2</v>
      </c>
      <c r="E39" s="4">
        <v>1.0511400000000001E-2</v>
      </c>
      <c r="F39" s="4">
        <v>9.8194000000000007E-3</v>
      </c>
      <c r="G39" s="4">
        <v>9.2026999999999994E-3</v>
      </c>
      <c r="H39" s="4">
        <v>8.6269999999999993E-3</v>
      </c>
      <c r="I39" s="4">
        <v>8.0286999999999997E-3</v>
      </c>
      <c r="J39" s="4">
        <v>7.4995000000000001E-3</v>
      </c>
      <c r="K39" s="4">
        <v>7.0163999999999999E-3</v>
      </c>
      <c r="L39" s="4">
        <v>6.5884000000000003E-3</v>
      </c>
      <c r="M39" s="4">
        <v>6.3328000000000004E-3</v>
      </c>
      <c r="N39" s="4">
        <v>5.9826999999999997E-3</v>
      </c>
      <c r="O39" s="4">
        <v>5.6703999999999999E-3</v>
      </c>
      <c r="P39" s="4">
        <v>5.3912999999999999E-3</v>
      </c>
      <c r="Q39" s="4">
        <v>5.1406000000000004E-3</v>
      </c>
      <c r="R39" s="4">
        <v>4.9148000000000004E-3</v>
      </c>
      <c r="S39" s="4">
        <v>4.7114000000000001E-3</v>
      </c>
      <c r="T39" s="4">
        <v>4.5260999999999999E-3</v>
      </c>
      <c r="U39" s="4">
        <v>4.3563999999999999E-3</v>
      </c>
      <c r="V39" s="4">
        <v>4.2021999999999997E-3</v>
      </c>
      <c r="W39" s="4">
        <v>4.0638000000000002E-3</v>
      </c>
      <c r="X39" s="4">
        <v>3.9344000000000002E-3</v>
      </c>
      <c r="Y39" s="4">
        <v>3.8140000000000001E-3</v>
      </c>
      <c r="Z39" s="4">
        <v>3.7006999999999999E-3</v>
      </c>
      <c r="AA39" s="4">
        <v>3.5923000000000001E-3</v>
      </c>
      <c r="AB39" s="4">
        <v>3.4827E-3</v>
      </c>
      <c r="AC39" s="4">
        <v>3.3655999999999998E-3</v>
      </c>
      <c r="AD39" s="4">
        <v>3.1488000000000002E-3</v>
      </c>
      <c r="AE39" s="4">
        <v>2.8749000000000001E-3</v>
      </c>
      <c r="AF39" s="4">
        <v>2.4164E-3</v>
      </c>
      <c r="AG39" s="4">
        <v>2.6416999999999999E-3</v>
      </c>
      <c r="AH39" s="4">
        <v>2.5948999999999998E-3</v>
      </c>
      <c r="AI39" s="4">
        <v>2.5547999999999999E-3</v>
      </c>
      <c r="AJ39" s="4">
        <v>2.5138999999999999E-3</v>
      </c>
      <c r="AK39" s="4">
        <v>2.4767999999999999E-3</v>
      </c>
      <c r="AL39" s="4">
        <v>2.4393000000000001E-3</v>
      </c>
      <c r="AM39" s="4">
        <v>2.4031E-3</v>
      </c>
      <c r="AN39" s="4">
        <v>2.3670000000000002E-3</v>
      </c>
      <c r="AO39" s="4">
        <v>2.3314999999999998E-3</v>
      </c>
      <c r="AP39" s="4">
        <v>2.2964999999999999E-3</v>
      </c>
      <c r="AQ39" s="4">
        <v>2.2620000000000001E-3</v>
      </c>
      <c r="AR39" s="4">
        <v>2.2280999999999998E-3</v>
      </c>
      <c r="AS39" s="4">
        <v>2.1946999999999999E-3</v>
      </c>
      <c r="AT39" s="4">
        <v>2.1619999999999999E-3</v>
      </c>
      <c r="AU39" s="4">
        <v>2.1299000000000001E-3</v>
      </c>
      <c r="AV39" s="4">
        <v>2.0985000000000001E-3</v>
      </c>
      <c r="AW39" s="4">
        <v>2.0676000000000002E-3</v>
      </c>
      <c r="AX39" s="4">
        <v>2.0374E-3</v>
      </c>
      <c r="AY39" s="4">
        <v>2.0078000000000001E-3</v>
      </c>
      <c r="AZ39" s="4">
        <v>1.9788000000000002E-3</v>
      </c>
      <c r="BA39" s="4">
        <v>1.9503000000000001E-3</v>
      </c>
      <c r="BB39" s="4">
        <v>1.9224000000000001E-3</v>
      </c>
      <c r="BC39" s="4">
        <v>1.895E-3</v>
      </c>
      <c r="BD39" s="4">
        <v>1.8682E-3</v>
      </c>
      <c r="BE39" s="4">
        <v>1.8418E-3</v>
      </c>
      <c r="BF39" s="4">
        <v>1.8159000000000001E-3</v>
      </c>
      <c r="BG39" s="4">
        <v>1.7905E-3</v>
      </c>
      <c r="BH39" s="4">
        <v>1.7654999999999999E-3</v>
      </c>
      <c r="BI39" s="4">
        <v>1.7409000000000001E-3</v>
      </c>
      <c r="BJ39" s="4">
        <v>1.7168000000000001E-3</v>
      </c>
      <c r="BK39" s="4">
        <v>1.6930000000000001E-3</v>
      </c>
      <c r="BL39" s="4">
        <v>1.6696E-3</v>
      </c>
      <c r="BM39" s="4">
        <v>1.6466E-3</v>
      </c>
      <c r="BN39" s="4">
        <v>1.6239E-3</v>
      </c>
      <c r="BO39" s="4">
        <v>1.6015999999999999E-3</v>
      </c>
      <c r="BP39" s="4">
        <v>1.5797000000000001E-3</v>
      </c>
      <c r="BQ39" s="4">
        <v>1.5579999999999999E-3</v>
      </c>
      <c r="BR39" s="4">
        <v>1.5367E-3</v>
      </c>
      <c r="BS39" s="4">
        <v>1.5156E-3</v>
      </c>
      <c r="BT39" s="4">
        <v>1.4949E-3</v>
      </c>
      <c r="BU39" s="4">
        <v>1.4744000000000001E-3</v>
      </c>
      <c r="BV39" s="4">
        <v>1.4543E-3</v>
      </c>
      <c r="BW39" s="4">
        <v>1.4344E-3</v>
      </c>
      <c r="BX39" s="4">
        <v>1.4147999999999999E-3</v>
      </c>
      <c r="BY39" s="4">
        <v>1.3954E-3</v>
      </c>
      <c r="BZ39" s="4">
        <v>1.3763E-3</v>
      </c>
      <c r="CA39" s="4">
        <v>1.3575E-3</v>
      </c>
      <c r="CB39" s="4">
        <v>1.3389000000000001E-3</v>
      </c>
      <c r="CC39" s="4">
        <v>1.3205000000000001E-3</v>
      </c>
      <c r="CD39" s="4">
        <v>1.3024E-3</v>
      </c>
      <c r="CE39" s="4">
        <v>1.2846000000000001E-3</v>
      </c>
      <c r="CF39" s="4">
        <v>1.2669000000000001E-3</v>
      </c>
      <c r="CG39" s="4">
        <v>1.2495E-3</v>
      </c>
      <c r="CH39" s="4">
        <v>1.2324E-3</v>
      </c>
      <c r="CI39" s="4">
        <v>1.2153999999999999E-3</v>
      </c>
      <c r="CJ39" s="4">
        <v>1.1987E-3</v>
      </c>
      <c r="CK39" s="4">
        <v>1.1822E-3</v>
      </c>
      <c r="CL39" s="4">
        <v>1.1659000000000001E-3</v>
      </c>
      <c r="CM39" s="4">
        <v>1.1498000000000001E-3</v>
      </c>
      <c r="CN39" s="4">
        <v>1.1339E-3</v>
      </c>
      <c r="CO39" s="4">
        <v>1.1182E-3</v>
      </c>
      <c r="CP39" s="4">
        <v>1.1027000000000001E-3</v>
      </c>
      <c r="CQ39" s="4">
        <v>1.0874999999999999E-3</v>
      </c>
      <c r="CR39" s="4">
        <v>1.0724E-3</v>
      </c>
      <c r="CS39" s="4">
        <v>1.0575000000000001E-3</v>
      </c>
      <c r="CT39" s="4">
        <v>1.0428E-3</v>
      </c>
      <c r="CU39" s="4">
        <v>1.0283E-3</v>
      </c>
      <c r="CV39" s="4">
        <v>1.0139999999999999E-3</v>
      </c>
      <c r="CW39" s="4">
        <v>9.9989999999999996E-4</v>
      </c>
      <c r="CX39" s="4">
        <v>9.859999999999999E-4</v>
      </c>
      <c r="CY39" s="4">
        <v>9.7230000000000005E-4</v>
      </c>
      <c r="CZ39" s="4">
        <v>9.5870000000000005E-4</v>
      </c>
      <c r="DA39" s="4">
        <v>9.4530000000000005E-4</v>
      </c>
      <c r="DB39" s="4">
        <v>9.3210000000000005E-4</v>
      </c>
      <c r="DC39" s="4">
        <v>9.1909999999999995E-4</v>
      </c>
      <c r="DD39" s="4">
        <v>9.0620000000000002E-4</v>
      </c>
      <c r="DE39" s="4">
        <v>8.9349999999999998E-4</v>
      </c>
      <c r="DF39" s="4">
        <v>8.8099999999999995E-4</v>
      </c>
      <c r="DG39" s="4">
        <v>8.6870000000000003E-4</v>
      </c>
      <c r="DH39" s="4">
        <v>8.5649999999999995E-4</v>
      </c>
      <c r="DI39" s="4">
        <v>8.4449999999999998E-4</v>
      </c>
      <c r="DJ39" s="4">
        <v>8.3259999999999996E-4</v>
      </c>
      <c r="DK39" s="4">
        <v>8.2089999999999995E-4</v>
      </c>
      <c r="DL39" s="4">
        <v>8.0940000000000005E-4</v>
      </c>
      <c r="DM39" s="4">
        <v>7.9799999999999999E-4</v>
      </c>
      <c r="DN39" s="4">
        <v>7.8680000000000004E-4</v>
      </c>
      <c r="DO39" s="4">
        <v>7.7570000000000004E-4</v>
      </c>
      <c r="DP39" s="4">
        <v>7.6480000000000005E-4</v>
      </c>
      <c r="DQ39" s="4">
        <v>5.3152199999999997E-2</v>
      </c>
      <c r="DR39" s="4">
        <v>0</v>
      </c>
      <c r="DS39" s="4">
        <v>5.02E-5</v>
      </c>
      <c r="DT39" s="4">
        <v>1.7330000000000001E-4</v>
      </c>
      <c r="DU39" s="4">
        <v>6.9229999999999997E-4</v>
      </c>
      <c r="DV39" s="4">
        <v>6.1709999999999998E-4</v>
      </c>
      <c r="DW39" s="4">
        <v>5.7640000000000002E-4</v>
      </c>
      <c r="DX39" s="4">
        <v>5.9909999999999998E-4</v>
      </c>
      <c r="DY39" s="4">
        <v>5.2979999999999998E-4</v>
      </c>
      <c r="DZ39" s="4">
        <v>4.841E-4</v>
      </c>
      <c r="EA39" s="4">
        <v>4.2890000000000002E-4</v>
      </c>
      <c r="EB39" s="4">
        <v>3.8299999999999999E-4</v>
      </c>
      <c r="EC39" s="4">
        <v>3.5120000000000003E-4</v>
      </c>
      <c r="ED39" s="4">
        <v>3.1389999999999999E-4</v>
      </c>
      <c r="EE39" s="4">
        <v>2.8140000000000001E-4</v>
      </c>
      <c r="EF39" s="4">
        <v>2.5339999999999998E-4</v>
      </c>
      <c r="EG39" s="4">
        <v>2.2900000000000001E-4</v>
      </c>
      <c r="EH39" s="4">
        <v>2.0790000000000001E-4</v>
      </c>
      <c r="EI39" s="4">
        <v>1.895E-4</v>
      </c>
      <c r="EJ39" s="4">
        <v>1.7330000000000001E-4</v>
      </c>
      <c r="EK39" s="4">
        <v>1.5890000000000001E-4</v>
      </c>
      <c r="EL39" s="4">
        <v>1.4640000000000001E-4</v>
      </c>
      <c r="EM39" s="4">
        <v>1.3540000000000001E-4</v>
      </c>
      <c r="EN39" s="4">
        <v>1.2549999999999999E-4</v>
      </c>
      <c r="EO39" s="4">
        <v>1.167E-4</v>
      </c>
      <c r="EP39" s="4">
        <v>1.088E-4</v>
      </c>
      <c r="EQ39" s="4">
        <v>1.0179999999999999E-4</v>
      </c>
      <c r="ER39" s="4">
        <v>9.5199999999999997E-5</v>
      </c>
      <c r="ES39" s="4">
        <v>8.8900000000000006E-5</v>
      </c>
      <c r="ET39" s="4">
        <v>8.03E-5</v>
      </c>
      <c r="EU39" s="4">
        <v>7.1000000000000005E-5</v>
      </c>
      <c r="EV39" s="4">
        <v>5.77E-5</v>
      </c>
      <c r="EW39" s="4">
        <v>6.2500000000000001E-5</v>
      </c>
      <c r="EX39" s="4">
        <v>5.9700000000000001E-5</v>
      </c>
      <c r="EY39" s="4">
        <v>5.7200000000000001E-5</v>
      </c>
      <c r="EZ39" s="4">
        <v>5.4799999999999997E-5</v>
      </c>
      <c r="FA39" s="4">
        <v>5.2599999999999998E-5</v>
      </c>
      <c r="FB39" s="4">
        <v>5.0500000000000001E-5</v>
      </c>
      <c r="FC39" s="4">
        <v>4.8600000000000002E-5</v>
      </c>
      <c r="FD39" s="4">
        <v>4.6699999999999997E-5</v>
      </c>
      <c r="FE39" s="4">
        <v>4.5000000000000003E-5</v>
      </c>
      <c r="FF39" s="4">
        <v>4.3399999999999998E-5</v>
      </c>
      <c r="FG39" s="4">
        <v>4.1900000000000002E-5</v>
      </c>
      <c r="FH39" s="4">
        <v>4.0399999999999999E-5</v>
      </c>
      <c r="FI39" s="4">
        <v>3.9100000000000002E-5</v>
      </c>
      <c r="FJ39" s="4">
        <v>3.7799999999999997E-5</v>
      </c>
      <c r="FK39" s="4">
        <v>3.6600000000000002E-5</v>
      </c>
      <c r="FL39" s="4">
        <v>3.5500000000000002E-5</v>
      </c>
      <c r="FM39" s="4">
        <v>3.4400000000000003E-5</v>
      </c>
      <c r="FN39" s="4">
        <v>3.3399999999999999E-5</v>
      </c>
      <c r="FO39" s="4">
        <v>3.2499999999999997E-5</v>
      </c>
      <c r="FP39" s="4">
        <v>3.1600000000000002E-5</v>
      </c>
      <c r="FQ39" s="4">
        <v>3.0800000000000003E-5</v>
      </c>
      <c r="FR39" s="4">
        <v>3.0000000000000001E-5</v>
      </c>
      <c r="FS39" s="4">
        <v>2.9200000000000002E-5</v>
      </c>
      <c r="FT39" s="4">
        <v>2.8500000000000002E-5</v>
      </c>
      <c r="FU39" s="4">
        <v>2.7900000000000001E-5</v>
      </c>
      <c r="FV39" s="4">
        <v>2.73E-5</v>
      </c>
      <c r="FW39" s="4">
        <v>2.6699999999999998E-5</v>
      </c>
      <c r="FX39" s="4">
        <v>2.6100000000000001E-5</v>
      </c>
      <c r="FY39" s="4">
        <v>2.5599999999999999E-5</v>
      </c>
      <c r="FZ39" s="4">
        <v>2.51E-5</v>
      </c>
      <c r="GA39" s="4">
        <v>2.4600000000000002E-5</v>
      </c>
      <c r="GB39" s="4">
        <v>2.41E-5</v>
      </c>
      <c r="GC39" s="4">
        <v>2.37E-5</v>
      </c>
      <c r="GD39" s="4">
        <v>2.3300000000000001E-5</v>
      </c>
      <c r="GE39" s="4">
        <v>2.2900000000000001E-5</v>
      </c>
      <c r="GF39" s="4">
        <v>2.2500000000000001E-5</v>
      </c>
      <c r="GG39" s="4">
        <v>2.2099999999999998E-5</v>
      </c>
      <c r="GH39" s="4">
        <v>2.1699999999999999E-5</v>
      </c>
      <c r="GI39" s="4">
        <v>2.1399999999999998E-5</v>
      </c>
      <c r="GJ39" s="4">
        <v>2.1100000000000001E-5</v>
      </c>
      <c r="GK39" s="4">
        <v>2.0699999999999998E-5</v>
      </c>
      <c r="GL39" s="4">
        <v>2.0400000000000001E-5</v>
      </c>
      <c r="GM39" s="4">
        <v>2.0100000000000001E-5</v>
      </c>
      <c r="GN39" s="4">
        <v>1.98E-5</v>
      </c>
      <c r="GO39" s="4">
        <v>1.95E-5</v>
      </c>
      <c r="GP39" s="4">
        <v>1.9199999999999999E-5</v>
      </c>
      <c r="GQ39" s="4">
        <v>1.9000000000000001E-5</v>
      </c>
      <c r="GR39" s="4">
        <v>1.8700000000000001E-5</v>
      </c>
      <c r="GS39" s="4">
        <v>1.84E-5</v>
      </c>
      <c r="GT39" s="4">
        <v>1.8199999999999999E-5</v>
      </c>
      <c r="GU39" s="4">
        <v>1.7900000000000001E-5</v>
      </c>
      <c r="GV39" s="4">
        <v>1.77E-5</v>
      </c>
      <c r="GW39" s="4">
        <v>1.7399999999999999E-5</v>
      </c>
      <c r="GX39" s="4">
        <v>1.7200000000000001E-5</v>
      </c>
      <c r="GY39" s="4">
        <v>1.7E-5</v>
      </c>
      <c r="GZ39" s="4">
        <v>1.6699999999999999E-5</v>
      </c>
      <c r="HA39" s="4">
        <v>1.6500000000000001E-5</v>
      </c>
      <c r="HB39" s="4">
        <v>1.63E-5</v>
      </c>
      <c r="HC39" s="4">
        <v>1.6099999999999998E-5</v>
      </c>
      <c r="HD39" s="4">
        <v>1.59E-5</v>
      </c>
      <c r="HE39" s="4">
        <v>1.56E-5</v>
      </c>
      <c r="HF39" s="4">
        <v>1.5400000000000002E-5</v>
      </c>
      <c r="HG39" s="4">
        <v>1.52E-5</v>
      </c>
      <c r="HH39" s="4">
        <v>1.5E-5</v>
      </c>
      <c r="HI39" s="4">
        <v>1.4800000000000001E-5</v>
      </c>
      <c r="HJ39" s="4">
        <v>1.4600000000000001E-5</v>
      </c>
      <c r="HK39" s="4">
        <v>1.4399999999999999E-5</v>
      </c>
      <c r="HL39" s="4">
        <v>1.42E-5</v>
      </c>
      <c r="HM39" s="4">
        <v>1.4E-5</v>
      </c>
      <c r="HN39" s="4">
        <v>1.38E-5</v>
      </c>
      <c r="HO39" s="4">
        <v>1.3699999999999999E-5</v>
      </c>
      <c r="HP39" s="4">
        <v>1.3499999999999999E-5</v>
      </c>
      <c r="HQ39" s="4">
        <v>1.33E-5</v>
      </c>
      <c r="HR39" s="4">
        <v>1.31E-5</v>
      </c>
      <c r="HS39" s="4">
        <v>1.29E-5</v>
      </c>
      <c r="HT39" s="4">
        <v>1.2799999999999999E-5</v>
      </c>
      <c r="HU39" s="4">
        <v>1.26E-5</v>
      </c>
      <c r="HV39" s="4">
        <v>1.24E-5</v>
      </c>
      <c r="HW39" s="4">
        <v>1.22E-5</v>
      </c>
      <c r="HX39" s="4">
        <v>1.2099999999999999E-5</v>
      </c>
      <c r="HY39" s="4">
        <v>1.19E-5</v>
      </c>
      <c r="HZ39" s="4">
        <v>1.17E-5</v>
      </c>
      <c r="IA39" s="4">
        <v>1.1600000000000001E-5</v>
      </c>
      <c r="IB39" s="4">
        <v>1.1399999999999999E-5</v>
      </c>
      <c r="IC39" s="4">
        <v>1.13E-5</v>
      </c>
      <c r="ID39" s="4">
        <v>1.11E-5</v>
      </c>
      <c r="IE39" s="4">
        <v>1.1E-5</v>
      </c>
      <c r="IF39" s="4">
        <v>1.08E-5</v>
      </c>
      <c r="IG39" s="4">
        <v>7.5460000000000002E-4</v>
      </c>
      <c r="IH39" s="4"/>
      <c r="II39" s="4">
        <f t="shared" si="257"/>
        <v>0.11576626336195485</v>
      </c>
      <c r="IL39">
        <f t="shared" si="258"/>
        <v>0.35948728749999997</v>
      </c>
      <c r="IP39" s="4">
        <f t="shared" si="273"/>
        <v>8.395699999999999E-3</v>
      </c>
      <c r="IQ39" s="4">
        <f t="shared" si="274"/>
        <v>7.743300000000005E-3</v>
      </c>
      <c r="IR39" s="4">
        <f t="shared" si="261"/>
        <v>5.1206999999999954E-3</v>
      </c>
      <c r="IS39" s="4">
        <f t="shared" si="262"/>
        <v>3.3813999999999962E-3</v>
      </c>
      <c r="IT39" s="4">
        <f t="shared" si="263"/>
        <v>2.375099999999998E-3</v>
      </c>
      <c r="IU39" s="4">
        <f t="shared" si="264"/>
        <v>5.4317000000000046E-3</v>
      </c>
      <c r="IV39" s="4">
        <f t="shared" si="265"/>
        <v>2.4677999999999783E-3</v>
      </c>
      <c r="IW39" s="4">
        <f t="shared" si="266"/>
        <v>1.6478000000000083E-3</v>
      </c>
      <c r="IX39" s="4">
        <f t="shared" si="267"/>
        <v>5.0530000000000158E-3</v>
      </c>
      <c r="IZ39">
        <f t="shared" si="270"/>
        <v>2015.5</v>
      </c>
      <c r="JA39">
        <f t="shared" si="268"/>
        <v>0.80723236252497088</v>
      </c>
      <c r="JB39">
        <f t="shared" si="268"/>
        <v>0.92375814196045924</v>
      </c>
      <c r="JC39">
        <f t="shared" si="268"/>
        <v>2.8062080796212494</v>
      </c>
      <c r="JD39">
        <f t="shared" si="268"/>
        <v>2.6490821526501485</v>
      </c>
      <c r="JE39">
        <f t="shared" si="268"/>
        <v>3.1652272388967653</v>
      </c>
      <c r="JF39">
        <f t="shared" si="268"/>
        <v>-3.8004176179622764</v>
      </c>
      <c r="JG39">
        <f t="shared" si="268"/>
        <v>-1.8905975847499696</v>
      </c>
      <c r="JH39">
        <f t="shared" si="268"/>
        <v>-0.69547617872508716</v>
      </c>
      <c r="JI39">
        <f t="shared" si="268"/>
        <v>-0.13250666944126122</v>
      </c>
    </row>
    <row r="40" spans="1:269" x14ac:dyDescent="0.35">
      <c r="A40" s="1">
        <v>32</v>
      </c>
      <c r="B40" s="4">
        <v>1.0734799999999999E-2</v>
      </c>
      <c r="C40" s="4">
        <v>1.0734799999999999E-2</v>
      </c>
      <c r="D40" s="4">
        <v>1.0684600000000001E-2</v>
      </c>
      <c r="E40" s="4">
        <v>1.0511299999999999E-2</v>
      </c>
      <c r="F40" s="4">
        <v>9.8191000000000007E-3</v>
      </c>
      <c r="G40" s="4">
        <v>9.2022000000000007E-3</v>
      </c>
      <c r="H40" s="4">
        <v>8.6262999999999999E-3</v>
      </c>
      <c r="I40" s="4">
        <v>8.0278999999999993E-3</v>
      </c>
      <c r="J40" s="4">
        <v>7.4989000000000002E-3</v>
      </c>
      <c r="K40" s="4">
        <v>7.0153999999999998E-3</v>
      </c>
      <c r="L40" s="4">
        <v>6.5874000000000002E-3</v>
      </c>
      <c r="M40" s="4">
        <v>6.2053999999999998E-3</v>
      </c>
      <c r="N40" s="4">
        <v>5.9816000000000001E-3</v>
      </c>
      <c r="O40" s="4">
        <v>5.6687999999999999E-3</v>
      </c>
      <c r="P40" s="4">
        <v>5.3889999999999997E-3</v>
      </c>
      <c r="Q40" s="4">
        <v>5.1378999999999999E-3</v>
      </c>
      <c r="R40" s="4">
        <v>4.9116000000000003E-3</v>
      </c>
      <c r="S40" s="4">
        <v>4.7069E-3</v>
      </c>
      <c r="T40" s="4">
        <v>4.5218999999999997E-3</v>
      </c>
      <c r="U40" s="4">
        <v>4.3528000000000004E-3</v>
      </c>
      <c r="V40" s="4">
        <v>4.1973999999999996E-3</v>
      </c>
      <c r="W40" s="4">
        <v>4.0559000000000003E-3</v>
      </c>
      <c r="X40" s="4">
        <v>3.9284999999999997E-3</v>
      </c>
      <c r="Y40" s="4">
        <v>3.8089E-3</v>
      </c>
      <c r="Z40" s="4">
        <v>3.6973000000000002E-3</v>
      </c>
      <c r="AA40" s="4">
        <v>3.5918999999999999E-3</v>
      </c>
      <c r="AB40" s="4">
        <v>3.4906E-3</v>
      </c>
      <c r="AC40" s="4">
        <v>3.3874999999999999E-3</v>
      </c>
      <c r="AD40" s="4">
        <v>3.2767E-3</v>
      </c>
      <c r="AE40" s="4">
        <v>3.0685E-3</v>
      </c>
      <c r="AF40" s="4">
        <v>2.8038999999999998E-3</v>
      </c>
      <c r="AG40" s="4">
        <v>2.3587E-3</v>
      </c>
      <c r="AH40" s="4">
        <v>2.5791999999999998E-3</v>
      </c>
      <c r="AI40" s="4">
        <v>2.5352E-3</v>
      </c>
      <c r="AJ40" s="4">
        <v>2.4976E-3</v>
      </c>
      <c r="AK40" s="4">
        <v>2.4591999999999999E-3</v>
      </c>
      <c r="AL40" s="4">
        <v>2.4242000000000001E-3</v>
      </c>
      <c r="AM40" s="4">
        <v>2.3888E-3</v>
      </c>
      <c r="AN40" s="4">
        <v>2.3544999999999998E-3</v>
      </c>
      <c r="AO40" s="4">
        <v>2.3203E-3</v>
      </c>
      <c r="AP40" s="4">
        <v>2.2864999999999999E-3</v>
      </c>
      <c r="AQ40" s="4">
        <v>2.2531000000000001E-3</v>
      </c>
      <c r="AR40" s="4">
        <v>2.2201E-3</v>
      </c>
      <c r="AS40" s="4">
        <v>2.1876E-3</v>
      </c>
      <c r="AT40" s="4">
        <v>2.1557E-3</v>
      </c>
      <c r="AU40" s="4">
        <v>2.1242000000000001E-3</v>
      </c>
      <c r="AV40" s="4">
        <v>2.0933000000000002E-3</v>
      </c>
      <c r="AW40" s="4">
        <v>2.0630000000000002E-3</v>
      </c>
      <c r="AX40" s="4">
        <v>2.0332000000000002E-3</v>
      </c>
      <c r="AY40" s="4">
        <v>2.0040000000000001E-3</v>
      </c>
      <c r="AZ40" s="4">
        <v>1.9753000000000001E-3</v>
      </c>
      <c r="BA40" s="4">
        <v>1.9472000000000001E-3</v>
      </c>
      <c r="BB40" s="4">
        <v>1.9196E-3</v>
      </c>
      <c r="BC40" s="4">
        <v>1.8924E-3</v>
      </c>
      <c r="BD40" s="4">
        <v>1.8657999999999999E-3</v>
      </c>
      <c r="BE40" s="4">
        <v>1.8396E-3</v>
      </c>
      <c r="BF40" s="4">
        <v>1.8139E-3</v>
      </c>
      <c r="BG40" s="4">
        <v>1.7886E-3</v>
      </c>
      <c r="BH40" s="4">
        <v>1.7638E-3</v>
      </c>
      <c r="BI40" s="4">
        <v>1.7394000000000001E-3</v>
      </c>
      <c r="BJ40" s="4">
        <v>1.7152999999999999E-3</v>
      </c>
      <c r="BK40" s="4">
        <v>1.6917E-3</v>
      </c>
      <c r="BL40" s="4">
        <v>1.6684E-3</v>
      </c>
      <c r="BM40" s="4">
        <v>1.6455E-3</v>
      </c>
      <c r="BN40" s="4">
        <v>1.6229E-3</v>
      </c>
      <c r="BO40" s="4">
        <v>1.6007E-3</v>
      </c>
      <c r="BP40" s="4">
        <v>1.5788E-3</v>
      </c>
      <c r="BQ40" s="4">
        <v>1.5571999999999999E-3</v>
      </c>
      <c r="BR40" s="4">
        <v>1.5359E-3</v>
      </c>
      <c r="BS40" s="4">
        <v>1.5149E-3</v>
      </c>
      <c r="BT40" s="4">
        <v>1.4942E-3</v>
      </c>
      <c r="BU40" s="4">
        <v>1.4737999999999999E-3</v>
      </c>
      <c r="BV40" s="4">
        <v>1.4537E-3</v>
      </c>
      <c r="BW40" s="4">
        <v>1.4339000000000001E-3</v>
      </c>
      <c r="BX40" s="4">
        <v>1.4143000000000001E-3</v>
      </c>
      <c r="BY40" s="4">
        <v>1.395E-3</v>
      </c>
      <c r="BZ40" s="4">
        <v>1.3759E-3</v>
      </c>
      <c r="CA40" s="4">
        <v>1.3571E-3</v>
      </c>
      <c r="CB40" s="4">
        <v>1.3385000000000001E-3</v>
      </c>
      <c r="CC40" s="4">
        <v>1.3202000000000001E-3</v>
      </c>
      <c r="CD40" s="4">
        <v>1.3021E-3</v>
      </c>
      <c r="CE40" s="4">
        <v>1.2842999999999999E-3</v>
      </c>
      <c r="CF40" s="4">
        <v>1.2666000000000001E-3</v>
      </c>
      <c r="CG40" s="4">
        <v>1.2493000000000001E-3</v>
      </c>
      <c r="CH40" s="4">
        <v>1.2321000000000001E-3</v>
      </c>
      <c r="CI40" s="4">
        <v>1.2152E-3</v>
      </c>
      <c r="CJ40" s="4">
        <v>1.1984000000000001E-3</v>
      </c>
      <c r="CK40" s="4">
        <v>1.1819000000000001E-3</v>
      </c>
      <c r="CL40" s="4">
        <v>1.1655999999999999E-3</v>
      </c>
      <c r="CM40" s="4">
        <v>1.1496E-3</v>
      </c>
      <c r="CN40" s="4">
        <v>1.1337000000000001E-3</v>
      </c>
      <c r="CO40" s="4">
        <v>1.1180000000000001E-3</v>
      </c>
      <c r="CP40" s="4">
        <v>1.1026E-3</v>
      </c>
      <c r="CQ40" s="4">
        <v>1.0873E-3</v>
      </c>
      <c r="CR40" s="4">
        <v>1.0721999999999999E-3</v>
      </c>
      <c r="CS40" s="4">
        <v>1.0574E-3</v>
      </c>
      <c r="CT40" s="4">
        <v>1.0426999999999999E-3</v>
      </c>
      <c r="CU40" s="4">
        <v>1.0281999999999999E-3</v>
      </c>
      <c r="CV40" s="4">
        <v>1.0139000000000001E-3</v>
      </c>
      <c r="CW40" s="4">
        <v>9.9979999999999991E-4</v>
      </c>
      <c r="CX40" s="4">
        <v>9.8590000000000006E-4</v>
      </c>
      <c r="CY40" s="4">
        <v>9.722E-4</v>
      </c>
      <c r="CZ40" s="4">
        <v>9.5859999999999999E-4</v>
      </c>
      <c r="DA40" s="4">
        <v>9.4519999999999999E-4</v>
      </c>
      <c r="DB40" s="4">
        <v>9.3199999999999999E-4</v>
      </c>
      <c r="DC40" s="4">
        <v>9.19E-4</v>
      </c>
      <c r="DD40" s="4">
        <v>9.0620000000000002E-4</v>
      </c>
      <c r="DE40" s="4">
        <v>8.9349999999999998E-4</v>
      </c>
      <c r="DF40" s="4">
        <v>8.8099999999999995E-4</v>
      </c>
      <c r="DG40" s="4">
        <v>8.6859999999999997E-4</v>
      </c>
      <c r="DH40" s="4">
        <v>8.564E-4</v>
      </c>
      <c r="DI40" s="4">
        <v>8.4440000000000003E-4</v>
      </c>
      <c r="DJ40" s="4">
        <v>8.3259999999999996E-4</v>
      </c>
      <c r="DK40" s="4">
        <v>8.2089999999999995E-4</v>
      </c>
      <c r="DL40" s="4">
        <v>8.0940000000000005E-4</v>
      </c>
      <c r="DM40" s="4">
        <v>7.9799999999999999E-4</v>
      </c>
      <c r="DN40" s="4">
        <v>7.8680000000000004E-4</v>
      </c>
      <c r="DO40" s="4">
        <v>7.7570000000000004E-4</v>
      </c>
      <c r="DP40" s="4">
        <v>7.6480000000000005E-4</v>
      </c>
      <c r="DQ40" s="4">
        <v>5.31516E-2</v>
      </c>
      <c r="DR40" s="4">
        <v>0</v>
      </c>
      <c r="DS40" s="4">
        <v>5.02E-5</v>
      </c>
      <c r="DT40" s="4">
        <v>1.7330000000000001E-4</v>
      </c>
      <c r="DU40" s="4">
        <v>6.9249999999999997E-4</v>
      </c>
      <c r="DV40" s="4">
        <v>6.1740000000000005E-4</v>
      </c>
      <c r="DW40" s="4">
        <v>5.7660000000000003E-4</v>
      </c>
      <c r="DX40" s="4">
        <v>5.9909999999999998E-4</v>
      </c>
      <c r="DY40" s="4">
        <v>5.2990000000000003E-4</v>
      </c>
      <c r="DZ40" s="4">
        <v>4.8430000000000001E-4</v>
      </c>
      <c r="EA40" s="4">
        <v>4.2900000000000002E-4</v>
      </c>
      <c r="EB40" s="4">
        <v>3.8309999999999999E-4</v>
      </c>
      <c r="EC40" s="4">
        <v>3.413E-4</v>
      </c>
      <c r="ED40" s="4">
        <v>3.1399999999999999E-4</v>
      </c>
      <c r="EE40" s="4">
        <v>2.8150000000000001E-4</v>
      </c>
      <c r="EF40" s="4">
        <v>2.5339999999999998E-4</v>
      </c>
      <c r="EG40" s="4">
        <v>2.2900000000000001E-4</v>
      </c>
      <c r="EH40" s="4">
        <v>2.0790000000000001E-4</v>
      </c>
      <c r="EI40" s="4">
        <v>1.894E-4</v>
      </c>
      <c r="EJ40" s="4">
        <v>1.7320000000000001E-4</v>
      </c>
      <c r="EK40" s="4">
        <v>1.5899999999999999E-4</v>
      </c>
      <c r="EL40" s="4">
        <v>1.4630000000000001E-4</v>
      </c>
      <c r="EM40" s="4">
        <v>1.351E-4</v>
      </c>
      <c r="EN40" s="4">
        <v>1.2540000000000001E-4</v>
      </c>
      <c r="EO40" s="4">
        <v>1.166E-4</v>
      </c>
      <c r="EP40" s="4">
        <v>1.088E-4</v>
      </c>
      <c r="EQ40" s="4">
        <v>1.0170000000000001E-4</v>
      </c>
      <c r="ER40" s="4">
        <v>9.5400000000000001E-5</v>
      </c>
      <c r="ES40" s="4">
        <v>8.9499999999999994E-5</v>
      </c>
      <c r="ET40" s="4">
        <v>8.3800000000000004E-5</v>
      </c>
      <c r="EU40" s="4">
        <v>7.5900000000000002E-5</v>
      </c>
      <c r="EV40" s="4">
        <v>6.7199999999999994E-5</v>
      </c>
      <c r="EW40" s="4">
        <v>5.4700000000000001E-5</v>
      </c>
      <c r="EX40" s="4">
        <v>5.9299999999999998E-5</v>
      </c>
      <c r="EY40" s="4">
        <v>5.6700000000000003E-5</v>
      </c>
      <c r="EZ40" s="4">
        <v>5.4400000000000001E-5</v>
      </c>
      <c r="FA40" s="4">
        <v>5.2200000000000002E-5</v>
      </c>
      <c r="FB40" s="4">
        <v>5.02E-5</v>
      </c>
      <c r="FC40" s="4">
        <v>4.8300000000000002E-5</v>
      </c>
      <c r="FD40" s="4">
        <v>4.6499999999999999E-5</v>
      </c>
      <c r="FE40" s="4">
        <v>4.4799999999999998E-5</v>
      </c>
      <c r="FF40" s="4">
        <v>4.32E-5</v>
      </c>
      <c r="FG40" s="4">
        <v>4.1699999999999997E-5</v>
      </c>
      <c r="FH40" s="4">
        <v>4.0299999999999997E-5</v>
      </c>
      <c r="FI40" s="4">
        <v>3.8999999999999999E-5</v>
      </c>
      <c r="FJ40" s="4">
        <v>3.7700000000000002E-5</v>
      </c>
      <c r="FK40" s="4">
        <v>3.65E-5</v>
      </c>
      <c r="FL40" s="4">
        <v>3.54E-5</v>
      </c>
      <c r="FM40" s="4">
        <v>3.43E-5</v>
      </c>
      <c r="FN40" s="4">
        <v>3.3300000000000003E-5</v>
      </c>
      <c r="FO40" s="4">
        <v>3.2400000000000001E-5</v>
      </c>
      <c r="FP40" s="4">
        <v>3.15E-5</v>
      </c>
      <c r="FQ40" s="4">
        <v>3.0700000000000001E-5</v>
      </c>
      <c r="FR40" s="4">
        <v>2.9899999999999998E-5</v>
      </c>
      <c r="FS40" s="4">
        <v>2.9200000000000002E-5</v>
      </c>
      <c r="FT40" s="4">
        <v>2.8500000000000002E-5</v>
      </c>
      <c r="FU40" s="4">
        <v>2.7800000000000001E-5</v>
      </c>
      <c r="FV40" s="4">
        <v>2.72E-5</v>
      </c>
      <c r="FW40" s="4">
        <v>2.6599999999999999E-5</v>
      </c>
      <c r="FX40" s="4">
        <v>2.6100000000000001E-5</v>
      </c>
      <c r="FY40" s="4">
        <v>2.5599999999999999E-5</v>
      </c>
      <c r="FZ40" s="4">
        <v>2.5000000000000001E-5</v>
      </c>
      <c r="GA40" s="4">
        <v>2.4600000000000002E-5</v>
      </c>
      <c r="GB40" s="4">
        <v>2.41E-5</v>
      </c>
      <c r="GC40" s="4">
        <v>2.37E-5</v>
      </c>
      <c r="GD40" s="4">
        <v>2.3300000000000001E-5</v>
      </c>
      <c r="GE40" s="4">
        <v>2.2900000000000001E-5</v>
      </c>
      <c r="GF40" s="4">
        <v>2.2500000000000001E-5</v>
      </c>
      <c r="GG40" s="4">
        <v>2.2099999999999998E-5</v>
      </c>
      <c r="GH40" s="4">
        <v>2.1699999999999999E-5</v>
      </c>
      <c r="GI40" s="4">
        <v>2.1399999999999998E-5</v>
      </c>
      <c r="GJ40" s="4">
        <v>2.1100000000000001E-5</v>
      </c>
      <c r="GK40" s="4">
        <v>2.0699999999999998E-5</v>
      </c>
      <c r="GL40" s="4">
        <v>2.0400000000000001E-5</v>
      </c>
      <c r="GM40" s="4">
        <v>2.0100000000000001E-5</v>
      </c>
      <c r="GN40" s="4">
        <v>1.98E-5</v>
      </c>
      <c r="GO40" s="4">
        <v>1.95E-5</v>
      </c>
      <c r="GP40" s="4">
        <v>1.9199999999999999E-5</v>
      </c>
      <c r="GQ40" s="4">
        <v>1.9000000000000001E-5</v>
      </c>
      <c r="GR40" s="4">
        <v>1.8700000000000001E-5</v>
      </c>
      <c r="GS40" s="4">
        <v>1.84E-5</v>
      </c>
      <c r="GT40" s="4">
        <v>1.8199999999999999E-5</v>
      </c>
      <c r="GU40" s="4">
        <v>1.7900000000000001E-5</v>
      </c>
      <c r="GV40" s="4">
        <v>1.77E-5</v>
      </c>
      <c r="GW40" s="4">
        <v>1.7399999999999999E-5</v>
      </c>
      <c r="GX40" s="4">
        <v>1.7200000000000001E-5</v>
      </c>
      <c r="GY40" s="4">
        <v>1.7E-5</v>
      </c>
      <c r="GZ40" s="4">
        <v>1.6699999999999999E-5</v>
      </c>
      <c r="HA40" s="4">
        <v>1.6500000000000001E-5</v>
      </c>
      <c r="HB40" s="4">
        <v>1.63E-5</v>
      </c>
      <c r="HC40" s="4">
        <v>1.6099999999999998E-5</v>
      </c>
      <c r="HD40" s="4">
        <v>1.59E-5</v>
      </c>
      <c r="HE40" s="4">
        <v>1.56E-5</v>
      </c>
      <c r="HF40" s="4">
        <v>1.5400000000000002E-5</v>
      </c>
      <c r="HG40" s="4">
        <v>1.52E-5</v>
      </c>
      <c r="HH40" s="4">
        <v>1.5E-5</v>
      </c>
      <c r="HI40" s="4">
        <v>1.4800000000000001E-5</v>
      </c>
      <c r="HJ40" s="4">
        <v>1.4600000000000001E-5</v>
      </c>
      <c r="HK40" s="4">
        <v>1.4399999999999999E-5</v>
      </c>
      <c r="HL40" s="4">
        <v>1.42E-5</v>
      </c>
      <c r="HM40" s="4">
        <v>1.4E-5</v>
      </c>
      <c r="HN40" s="4">
        <v>1.38E-5</v>
      </c>
      <c r="HO40" s="4">
        <v>1.3699999999999999E-5</v>
      </c>
      <c r="HP40" s="4">
        <v>1.3499999999999999E-5</v>
      </c>
      <c r="HQ40" s="4">
        <v>1.33E-5</v>
      </c>
      <c r="HR40" s="4">
        <v>1.31E-5</v>
      </c>
      <c r="HS40" s="4">
        <v>1.29E-5</v>
      </c>
      <c r="HT40" s="4">
        <v>1.2799999999999999E-5</v>
      </c>
      <c r="HU40" s="4">
        <v>1.26E-5</v>
      </c>
      <c r="HV40" s="4">
        <v>1.24E-5</v>
      </c>
      <c r="HW40" s="4">
        <v>1.22E-5</v>
      </c>
      <c r="HX40" s="4">
        <v>1.2099999999999999E-5</v>
      </c>
      <c r="HY40" s="4">
        <v>1.19E-5</v>
      </c>
      <c r="HZ40" s="4">
        <v>1.17E-5</v>
      </c>
      <c r="IA40" s="4">
        <v>1.1600000000000001E-5</v>
      </c>
      <c r="IB40" s="4">
        <v>1.1399999999999999E-5</v>
      </c>
      <c r="IC40" s="4">
        <v>1.13E-5</v>
      </c>
      <c r="ID40" s="4">
        <v>1.11E-5</v>
      </c>
      <c r="IE40" s="4">
        <v>1.1E-5</v>
      </c>
      <c r="IF40" s="4">
        <v>1.08E-5</v>
      </c>
      <c r="IG40" s="4">
        <v>7.5460000000000002E-4</v>
      </c>
      <c r="IH40" s="4"/>
      <c r="II40" s="4">
        <f t="shared" si="257"/>
        <v>0.11570053449160703</v>
      </c>
      <c r="IL40">
        <f t="shared" si="258"/>
        <v>0.35950049999999956</v>
      </c>
      <c r="IP40" s="4">
        <f t="shared" si="273"/>
        <v>8.3983000000000044E-3</v>
      </c>
      <c r="IQ40" s="4">
        <f t="shared" si="274"/>
        <v>7.6926999999999968E-3</v>
      </c>
      <c r="IR40" s="4">
        <f t="shared" si="261"/>
        <v>5.1213999999999982E-3</v>
      </c>
      <c r="IS40" s="4">
        <f t="shared" si="262"/>
        <v>3.3809999999999986E-3</v>
      </c>
      <c r="IT40" s="4">
        <f t="shared" si="263"/>
        <v>2.3728000000000013E-3</v>
      </c>
      <c r="IU40" s="4">
        <f t="shared" si="264"/>
        <v>5.4640999999999926E-3</v>
      </c>
      <c r="IV40" s="4">
        <f t="shared" si="265"/>
        <v>2.4635000000000004E-3</v>
      </c>
      <c r="IW40" s="4">
        <f t="shared" si="266"/>
        <v>1.6473000000000008E-3</v>
      </c>
      <c r="IX40" s="4">
        <f t="shared" si="267"/>
        <v>5.0533000000000106E-3</v>
      </c>
      <c r="IZ40">
        <f t="shared" si="270"/>
        <v>2015.75</v>
      </c>
      <c r="JA40">
        <f t="shared" si="268"/>
        <v>0.83819580209598121</v>
      </c>
      <c r="JB40">
        <f t="shared" si="268"/>
        <v>0.26814553190636847</v>
      </c>
      <c r="JC40">
        <f t="shared" si="268"/>
        <v>2.8198771514149836</v>
      </c>
      <c r="JD40">
        <f t="shared" si="268"/>
        <v>2.6372520331522025</v>
      </c>
      <c r="JE40">
        <f t="shared" si="268"/>
        <v>3.068342292713905</v>
      </c>
      <c r="JF40">
        <f t="shared" si="268"/>
        <v>-3.2056912922446577</v>
      </c>
      <c r="JG40">
        <f t="shared" si="268"/>
        <v>-2.0649938327906416</v>
      </c>
      <c r="JH40">
        <f t="shared" si="268"/>
        <v>-0.72582427158084606</v>
      </c>
      <c r="JI40">
        <f t="shared" si="268"/>
        <v>-0.12656977858936092</v>
      </c>
    </row>
    <row r="41" spans="1:269" x14ac:dyDescent="0.35">
      <c r="A41" s="1">
        <v>33</v>
      </c>
      <c r="B41" s="4">
        <v>1.0734799999999999E-2</v>
      </c>
      <c r="C41" s="4">
        <v>1.0734799999999999E-2</v>
      </c>
      <c r="D41" s="4">
        <v>1.0684600000000001E-2</v>
      </c>
      <c r="E41" s="4">
        <v>1.0511299999999999E-2</v>
      </c>
      <c r="F41" s="4">
        <v>9.8189000000000002E-3</v>
      </c>
      <c r="G41" s="4">
        <v>9.2017000000000002E-3</v>
      </c>
      <c r="H41" s="4">
        <v>8.6256000000000006E-3</v>
      </c>
      <c r="I41" s="4">
        <v>8.0272E-3</v>
      </c>
      <c r="J41" s="4">
        <v>7.4980000000000003E-3</v>
      </c>
      <c r="K41" s="4">
        <v>7.0146000000000002E-3</v>
      </c>
      <c r="L41" s="4">
        <v>6.5864000000000001E-3</v>
      </c>
      <c r="M41" s="4">
        <v>6.2043000000000003E-3</v>
      </c>
      <c r="N41" s="4">
        <v>5.8640999999999997E-3</v>
      </c>
      <c r="O41" s="4">
        <v>5.6674999999999998E-3</v>
      </c>
      <c r="P41" s="4">
        <v>5.3873000000000002E-3</v>
      </c>
      <c r="Q41" s="4">
        <v>5.1355999999999997E-3</v>
      </c>
      <c r="R41" s="4">
        <v>4.9087999999999996E-3</v>
      </c>
      <c r="S41" s="4">
        <v>4.7036999999999999E-3</v>
      </c>
      <c r="T41" s="4">
        <v>4.5176000000000001E-3</v>
      </c>
      <c r="U41" s="4">
        <v>4.3486999999999996E-3</v>
      </c>
      <c r="V41" s="4">
        <v>4.1938000000000001E-3</v>
      </c>
      <c r="W41" s="4">
        <v>4.0511999999999996E-3</v>
      </c>
      <c r="X41" s="4">
        <v>3.9207000000000001E-3</v>
      </c>
      <c r="Y41" s="4">
        <v>3.8030999999999998E-3</v>
      </c>
      <c r="Z41" s="4">
        <v>3.6922999999999999E-3</v>
      </c>
      <c r="AA41" s="4">
        <v>3.5885000000000001E-3</v>
      </c>
      <c r="AB41" s="4">
        <v>3.4902000000000002E-3</v>
      </c>
      <c r="AC41" s="4">
        <v>3.3952000000000001E-3</v>
      </c>
      <c r="AD41" s="4">
        <v>3.2981E-3</v>
      </c>
      <c r="AE41" s="4">
        <v>3.1928999999999998E-3</v>
      </c>
      <c r="AF41" s="4">
        <v>2.9926000000000002E-3</v>
      </c>
      <c r="AG41" s="4">
        <v>2.7366999999999999E-3</v>
      </c>
      <c r="AH41" s="4">
        <v>2.3040000000000001E-3</v>
      </c>
      <c r="AI41" s="4">
        <v>2.5198E-3</v>
      </c>
      <c r="AJ41" s="4">
        <v>2.4784999999999998E-3</v>
      </c>
      <c r="AK41" s="4">
        <v>2.4432E-3</v>
      </c>
      <c r="AL41" s="4">
        <v>2.4069999999999999E-3</v>
      </c>
      <c r="AM41" s="4">
        <v>2.3739999999999998E-3</v>
      </c>
      <c r="AN41" s="4">
        <v>2.3406E-3</v>
      </c>
      <c r="AO41" s="4">
        <v>2.3080000000000002E-3</v>
      </c>
      <c r="AP41" s="4">
        <v>2.2755000000000002E-3</v>
      </c>
      <c r="AQ41" s="4">
        <v>2.2433000000000002E-3</v>
      </c>
      <c r="AR41" s="4">
        <v>2.2114000000000001E-3</v>
      </c>
      <c r="AS41" s="4">
        <v>2.1798E-3</v>
      </c>
      <c r="AT41" s="4">
        <v>2.1486999999999999E-3</v>
      </c>
      <c r="AU41" s="4">
        <v>2.1180000000000001E-3</v>
      </c>
      <c r="AV41" s="4">
        <v>2.0877000000000001E-3</v>
      </c>
      <c r="AW41" s="4">
        <v>2.0579000000000001E-3</v>
      </c>
      <c r="AX41" s="4">
        <v>2.0287E-3</v>
      </c>
      <c r="AY41" s="4">
        <v>1.9999000000000002E-3</v>
      </c>
      <c r="AZ41" s="4">
        <v>1.9716E-3</v>
      </c>
      <c r="BA41" s="4">
        <v>1.9438000000000001E-3</v>
      </c>
      <c r="BB41" s="4">
        <v>1.9165E-3</v>
      </c>
      <c r="BC41" s="4">
        <v>1.8896E-3</v>
      </c>
      <c r="BD41" s="4">
        <v>1.8632E-3</v>
      </c>
      <c r="BE41" s="4">
        <v>1.8373E-3</v>
      </c>
      <c r="BF41" s="4">
        <v>1.8117999999999999E-3</v>
      </c>
      <c r="BG41" s="4">
        <v>1.7867E-3</v>
      </c>
      <c r="BH41" s="4">
        <v>1.7619999999999999E-3</v>
      </c>
      <c r="BI41" s="4">
        <v>1.7377E-3</v>
      </c>
      <c r="BJ41" s="4">
        <v>1.7137999999999999E-3</v>
      </c>
      <c r="BK41" s="4">
        <v>1.6903E-3</v>
      </c>
      <c r="BL41" s="4">
        <v>1.6670999999999999E-3</v>
      </c>
      <c r="BM41" s="4">
        <v>1.6443E-3</v>
      </c>
      <c r="BN41" s="4">
        <v>1.6218000000000001E-3</v>
      </c>
      <c r="BO41" s="4">
        <v>1.5996999999999999E-3</v>
      </c>
      <c r="BP41" s="4">
        <v>1.5778000000000001E-3</v>
      </c>
      <c r="BQ41" s="4">
        <v>1.5563E-3</v>
      </c>
      <c r="BR41" s="4">
        <v>1.5351E-3</v>
      </c>
      <c r="BS41" s="4">
        <v>1.5142000000000001E-3</v>
      </c>
      <c r="BT41" s="4">
        <v>1.4935E-3</v>
      </c>
      <c r="BU41" s="4">
        <v>1.4732E-3</v>
      </c>
      <c r="BV41" s="4">
        <v>1.4530999999999999E-3</v>
      </c>
      <c r="BW41" s="4">
        <v>1.4333E-3</v>
      </c>
      <c r="BX41" s="4">
        <v>1.4136999999999999E-3</v>
      </c>
      <c r="BY41" s="4">
        <v>1.3944999999999999E-3</v>
      </c>
      <c r="BZ41" s="4">
        <v>1.3753999999999999E-3</v>
      </c>
      <c r="CA41" s="4">
        <v>1.3565999999999999E-3</v>
      </c>
      <c r="CB41" s="4">
        <v>1.3381000000000001E-3</v>
      </c>
      <c r="CC41" s="4">
        <v>1.3198000000000001E-3</v>
      </c>
      <c r="CD41" s="4">
        <v>1.3018000000000001E-3</v>
      </c>
      <c r="CE41" s="4">
        <v>1.2838999999999999E-3</v>
      </c>
      <c r="CF41" s="4">
        <v>1.2662999999999999E-3</v>
      </c>
      <c r="CG41" s="4">
        <v>1.2489999999999999E-3</v>
      </c>
      <c r="CH41" s="4">
        <v>1.2317999999999999E-3</v>
      </c>
      <c r="CI41" s="4">
        <v>1.2149000000000001E-3</v>
      </c>
      <c r="CJ41" s="4">
        <v>1.1982E-3</v>
      </c>
      <c r="CK41" s="4">
        <v>1.1816999999999999E-3</v>
      </c>
      <c r="CL41" s="4">
        <v>1.1654E-3</v>
      </c>
      <c r="CM41" s="4">
        <v>1.1494000000000001E-3</v>
      </c>
      <c r="CN41" s="4">
        <v>1.1335E-3</v>
      </c>
      <c r="CO41" s="4">
        <v>1.1178E-3</v>
      </c>
      <c r="CP41" s="4">
        <v>1.1023999999999999E-3</v>
      </c>
      <c r="CQ41" s="4">
        <v>1.0870999999999999E-3</v>
      </c>
      <c r="CR41" s="4">
        <v>1.0721000000000001E-3</v>
      </c>
      <c r="CS41" s="4">
        <v>1.0571999999999999E-3</v>
      </c>
      <c r="CT41" s="4">
        <v>1.0426000000000001E-3</v>
      </c>
      <c r="CU41" s="4">
        <v>1.0281000000000001E-3</v>
      </c>
      <c r="CV41" s="4">
        <v>1.0138E-3</v>
      </c>
      <c r="CW41" s="4">
        <v>9.9970000000000007E-4</v>
      </c>
      <c r="CX41" s="4">
        <v>9.858E-4</v>
      </c>
      <c r="CY41" s="4">
        <v>9.7210000000000005E-4</v>
      </c>
      <c r="CZ41" s="4">
        <v>9.5850000000000004E-4</v>
      </c>
      <c r="DA41" s="4">
        <v>9.4510000000000004E-4</v>
      </c>
      <c r="DB41" s="4">
        <v>9.3190000000000005E-4</v>
      </c>
      <c r="DC41" s="4">
        <v>9.1889999999999995E-4</v>
      </c>
      <c r="DD41" s="4">
        <v>9.0609999999999996E-4</v>
      </c>
      <c r="DE41" s="4">
        <v>8.9340000000000003E-4</v>
      </c>
      <c r="DF41" s="4">
        <v>8.809E-4</v>
      </c>
      <c r="DG41" s="4">
        <v>8.6859999999999997E-4</v>
      </c>
      <c r="DH41" s="4">
        <v>8.564E-4</v>
      </c>
      <c r="DI41" s="4">
        <v>8.4440000000000003E-4</v>
      </c>
      <c r="DJ41" s="4">
        <v>8.3250000000000002E-4</v>
      </c>
      <c r="DK41" s="4">
        <v>8.208E-4</v>
      </c>
      <c r="DL41" s="4">
        <v>8.0929999999999999E-4</v>
      </c>
      <c r="DM41" s="4">
        <v>7.9790000000000004E-4</v>
      </c>
      <c r="DN41" s="4">
        <v>7.8669999999999999E-4</v>
      </c>
      <c r="DO41" s="4">
        <v>7.7559999999999999E-4</v>
      </c>
      <c r="DP41" s="4">
        <v>7.6469999999999999E-4</v>
      </c>
      <c r="DQ41" s="4">
        <v>5.3150999999999997E-2</v>
      </c>
      <c r="DR41" s="4">
        <v>0</v>
      </c>
      <c r="DS41" s="4">
        <v>5.02E-5</v>
      </c>
      <c r="DT41" s="4">
        <v>1.7340000000000001E-4</v>
      </c>
      <c r="DU41" s="4">
        <v>6.9269999999999998E-4</v>
      </c>
      <c r="DV41" s="4">
        <v>6.1760000000000005E-4</v>
      </c>
      <c r="DW41" s="4">
        <v>5.7680000000000003E-4</v>
      </c>
      <c r="DX41" s="4">
        <v>5.9940000000000004E-4</v>
      </c>
      <c r="DY41" s="4">
        <v>5.3019999999999999E-4</v>
      </c>
      <c r="DZ41" s="4">
        <v>4.8460000000000002E-4</v>
      </c>
      <c r="EA41" s="4">
        <v>4.2949999999999998E-4</v>
      </c>
      <c r="EB41" s="4">
        <v>3.838E-4</v>
      </c>
      <c r="EC41" s="4">
        <v>3.4239999999999997E-4</v>
      </c>
      <c r="ED41" s="4">
        <v>3.0699999999999998E-4</v>
      </c>
      <c r="EE41" s="4">
        <v>2.834E-4</v>
      </c>
      <c r="EF41" s="4">
        <v>2.5559999999999998E-4</v>
      </c>
      <c r="EG41" s="4">
        <v>2.3139999999999999E-4</v>
      </c>
      <c r="EH41" s="4">
        <v>2.1029999999999999E-4</v>
      </c>
      <c r="EI41" s="4">
        <v>1.917E-4</v>
      </c>
      <c r="EJ41" s="4">
        <v>1.7550000000000001E-4</v>
      </c>
      <c r="EK41" s="4">
        <v>1.6119999999999999E-4</v>
      </c>
      <c r="EL41" s="4">
        <v>1.485E-4</v>
      </c>
      <c r="EM41" s="4">
        <v>1.37E-4</v>
      </c>
      <c r="EN41" s="4">
        <v>1.27E-4</v>
      </c>
      <c r="EO41" s="4">
        <v>1.182E-4</v>
      </c>
      <c r="EP41" s="4">
        <v>1.102E-4</v>
      </c>
      <c r="EQ41" s="4">
        <v>1.03E-4</v>
      </c>
      <c r="ER41" s="4">
        <v>9.6600000000000003E-5</v>
      </c>
      <c r="ES41" s="4">
        <v>9.0699999999999996E-5</v>
      </c>
      <c r="ET41" s="4">
        <v>8.53E-5</v>
      </c>
      <c r="EU41" s="4">
        <v>8.0000000000000007E-5</v>
      </c>
      <c r="EV41" s="4">
        <v>7.25E-5</v>
      </c>
      <c r="EW41" s="4">
        <v>6.4399999999999993E-5</v>
      </c>
      <c r="EX41" s="4">
        <v>5.2500000000000002E-5</v>
      </c>
      <c r="EY41" s="4">
        <v>5.6900000000000001E-5</v>
      </c>
      <c r="EZ41" s="4">
        <v>5.4500000000000003E-5</v>
      </c>
      <c r="FA41" s="4">
        <v>5.2299999999999997E-5</v>
      </c>
      <c r="FB41" s="4">
        <v>5.02E-5</v>
      </c>
      <c r="FC41" s="4">
        <v>4.8300000000000002E-5</v>
      </c>
      <c r="FD41" s="4">
        <v>4.6499999999999999E-5</v>
      </c>
      <c r="FE41" s="4">
        <v>4.4799999999999998E-5</v>
      </c>
      <c r="FF41" s="4">
        <v>4.32E-5</v>
      </c>
      <c r="FG41" s="4">
        <v>4.1699999999999997E-5</v>
      </c>
      <c r="FH41" s="4">
        <v>4.0299999999999997E-5</v>
      </c>
      <c r="FI41" s="4">
        <v>3.8899999999999997E-5</v>
      </c>
      <c r="FJ41" s="4">
        <v>3.7700000000000002E-5</v>
      </c>
      <c r="FK41" s="4">
        <v>3.65E-5</v>
      </c>
      <c r="FL41" s="4">
        <v>3.54E-5</v>
      </c>
      <c r="FM41" s="4">
        <v>3.43E-5</v>
      </c>
      <c r="FN41" s="4">
        <v>3.3300000000000003E-5</v>
      </c>
      <c r="FO41" s="4">
        <v>3.2400000000000001E-5</v>
      </c>
      <c r="FP41" s="4">
        <v>3.15E-5</v>
      </c>
      <c r="FQ41" s="4">
        <v>3.0700000000000001E-5</v>
      </c>
      <c r="FR41" s="4">
        <v>2.9899999999999998E-5</v>
      </c>
      <c r="FS41" s="4">
        <v>2.9200000000000002E-5</v>
      </c>
      <c r="FT41" s="4">
        <v>2.8500000000000002E-5</v>
      </c>
      <c r="FU41" s="4">
        <v>2.7800000000000001E-5</v>
      </c>
      <c r="FV41" s="4">
        <v>2.72E-5</v>
      </c>
      <c r="FW41" s="4">
        <v>2.6599999999999999E-5</v>
      </c>
      <c r="FX41" s="4">
        <v>2.6100000000000001E-5</v>
      </c>
      <c r="FY41" s="4">
        <v>2.55E-5</v>
      </c>
      <c r="FZ41" s="4">
        <v>2.5000000000000001E-5</v>
      </c>
      <c r="GA41" s="4">
        <v>2.4600000000000002E-5</v>
      </c>
      <c r="GB41" s="4">
        <v>2.41E-5</v>
      </c>
      <c r="GC41" s="4">
        <v>2.37E-5</v>
      </c>
      <c r="GD41" s="4">
        <v>2.3200000000000001E-5</v>
      </c>
      <c r="GE41" s="4">
        <v>2.2799999999999999E-5</v>
      </c>
      <c r="GF41" s="4">
        <v>2.2500000000000001E-5</v>
      </c>
      <c r="GG41" s="4">
        <v>2.2099999999999998E-5</v>
      </c>
      <c r="GH41" s="4">
        <v>2.1699999999999999E-5</v>
      </c>
      <c r="GI41" s="4">
        <v>2.1399999999999998E-5</v>
      </c>
      <c r="GJ41" s="4">
        <v>2.0999999999999999E-5</v>
      </c>
      <c r="GK41" s="4">
        <v>2.0699999999999998E-5</v>
      </c>
      <c r="GL41" s="4">
        <v>2.0400000000000001E-5</v>
      </c>
      <c r="GM41" s="4">
        <v>2.0100000000000001E-5</v>
      </c>
      <c r="GN41" s="4">
        <v>1.98E-5</v>
      </c>
      <c r="GO41" s="4">
        <v>1.95E-5</v>
      </c>
      <c r="GP41" s="4">
        <v>1.9199999999999999E-5</v>
      </c>
      <c r="GQ41" s="4">
        <v>1.9000000000000001E-5</v>
      </c>
      <c r="GR41" s="4">
        <v>1.8700000000000001E-5</v>
      </c>
      <c r="GS41" s="4">
        <v>1.84E-5</v>
      </c>
      <c r="GT41" s="4">
        <v>1.8199999999999999E-5</v>
      </c>
      <c r="GU41" s="4">
        <v>1.7900000000000001E-5</v>
      </c>
      <c r="GV41" s="4">
        <v>1.77E-5</v>
      </c>
      <c r="GW41" s="4">
        <v>1.7399999999999999E-5</v>
      </c>
      <c r="GX41" s="4">
        <v>1.7200000000000001E-5</v>
      </c>
      <c r="GY41" s="4">
        <v>1.7E-5</v>
      </c>
      <c r="GZ41" s="4">
        <v>1.6699999999999999E-5</v>
      </c>
      <c r="HA41" s="4">
        <v>1.6500000000000001E-5</v>
      </c>
      <c r="HB41" s="4">
        <v>1.63E-5</v>
      </c>
      <c r="HC41" s="4">
        <v>1.6099999999999998E-5</v>
      </c>
      <c r="HD41" s="4">
        <v>1.5800000000000001E-5</v>
      </c>
      <c r="HE41" s="4">
        <v>1.56E-5</v>
      </c>
      <c r="HF41" s="4">
        <v>1.5400000000000002E-5</v>
      </c>
      <c r="HG41" s="4">
        <v>1.52E-5</v>
      </c>
      <c r="HH41" s="4">
        <v>1.5E-5</v>
      </c>
      <c r="HI41" s="4">
        <v>1.4800000000000001E-5</v>
      </c>
      <c r="HJ41" s="4">
        <v>1.4600000000000001E-5</v>
      </c>
      <c r="HK41" s="4">
        <v>1.4399999999999999E-5</v>
      </c>
      <c r="HL41" s="4">
        <v>1.42E-5</v>
      </c>
      <c r="HM41" s="4">
        <v>1.4E-5</v>
      </c>
      <c r="HN41" s="4">
        <v>1.38E-5</v>
      </c>
      <c r="HO41" s="4">
        <v>1.3699999999999999E-5</v>
      </c>
      <c r="HP41" s="4">
        <v>1.3499999999999999E-5</v>
      </c>
      <c r="HQ41" s="4">
        <v>1.33E-5</v>
      </c>
      <c r="HR41" s="4">
        <v>1.31E-5</v>
      </c>
      <c r="HS41" s="4">
        <v>1.29E-5</v>
      </c>
      <c r="HT41" s="4">
        <v>1.2799999999999999E-5</v>
      </c>
      <c r="HU41" s="4">
        <v>1.26E-5</v>
      </c>
      <c r="HV41" s="4">
        <v>1.24E-5</v>
      </c>
      <c r="HW41" s="4">
        <v>1.22E-5</v>
      </c>
      <c r="HX41" s="4">
        <v>1.2099999999999999E-5</v>
      </c>
      <c r="HY41" s="4">
        <v>1.19E-5</v>
      </c>
      <c r="HZ41" s="4">
        <v>1.17E-5</v>
      </c>
      <c r="IA41" s="4">
        <v>1.1600000000000001E-5</v>
      </c>
      <c r="IB41" s="4">
        <v>1.1399999999999999E-5</v>
      </c>
      <c r="IC41" s="4">
        <v>1.13E-5</v>
      </c>
      <c r="ID41" s="4">
        <v>1.11E-5</v>
      </c>
      <c r="IE41" s="4">
        <v>1.1E-5</v>
      </c>
      <c r="IF41" s="4">
        <v>1.08E-5</v>
      </c>
      <c r="IG41" s="4">
        <v>7.5460000000000002E-4</v>
      </c>
      <c r="IH41" s="4"/>
      <c r="II41" s="4">
        <f t="shared" si="257"/>
        <v>0.11576469861774387</v>
      </c>
      <c r="IL41">
        <f t="shared" si="258"/>
        <v>0.35951892499999949</v>
      </c>
      <c r="IP41" s="4">
        <f t="shared" si="273"/>
        <v>8.4010999999999947E-3</v>
      </c>
      <c r="IQ41" s="4">
        <f t="shared" si="274"/>
        <v>7.6972999999999972E-3</v>
      </c>
      <c r="IR41" s="4">
        <f t="shared" si="261"/>
        <v>5.0860000000000037E-3</v>
      </c>
      <c r="IS41" s="4">
        <f t="shared" si="262"/>
        <v>3.3898000000000018E-3</v>
      </c>
      <c r="IT41" s="4">
        <f t="shared" si="263"/>
        <v>2.3787999999999986E-3</v>
      </c>
      <c r="IU41" s="4">
        <f t="shared" si="264"/>
        <v>5.5071000000000078E-3</v>
      </c>
      <c r="IV41" s="4">
        <f t="shared" si="265"/>
        <v>2.4601000000000067E-3</v>
      </c>
      <c r="IW41" s="4">
        <f t="shared" si="266"/>
        <v>1.646600000000005E-3</v>
      </c>
      <c r="IX41" s="4">
        <f t="shared" si="267"/>
        <v>5.0527999999999962E-3</v>
      </c>
      <c r="IZ41">
        <f t="shared" si="270"/>
        <v>2016</v>
      </c>
      <c r="JA41">
        <f t="shared" si="268"/>
        <v>0.871530326256582</v>
      </c>
      <c r="JB41">
        <f t="shared" si="268"/>
        <v>0.32792461100950432</v>
      </c>
      <c r="JC41">
        <f t="shared" si="268"/>
        <v>2.1262599339882162</v>
      </c>
      <c r="JD41">
        <f t="shared" si="268"/>
        <v>2.8971919207591155</v>
      </c>
      <c r="JE41">
        <f t="shared" si="268"/>
        <v>3.3208889375908832</v>
      </c>
      <c r="JF41">
        <f t="shared" si="268"/>
        <v>-2.4218167811424882</v>
      </c>
      <c r="JG41">
        <f t="shared" si="268"/>
        <v>-2.2031041805214384</v>
      </c>
      <c r="JH41">
        <f t="shared" si="268"/>
        <v>-0.76832708044169318</v>
      </c>
      <c r="JI41">
        <f t="shared" si="268"/>
        <v>-0.13646479250020951</v>
      </c>
    </row>
    <row r="42" spans="1:269" x14ac:dyDescent="0.35">
      <c r="A42" s="1">
        <v>34</v>
      </c>
      <c r="B42" s="4">
        <v>1.0654E-2</v>
      </c>
      <c r="C42" s="4">
        <v>1.0734799999999999E-2</v>
      </c>
      <c r="D42" s="4">
        <v>1.0684600000000001E-2</v>
      </c>
      <c r="E42" s="4">
        <v>1.05112E-2</v>
      </c>
      <c r="F42" s="4">
        <v>9.8186000000000002E-3</v>
      </c>
      <c r="G42" s="4">
        <v>9.2013000000000008E-3</v>
      </c>
      <c r="H42" s="4">
        <v>8.6248999999999996E-3</v>
      </c>
      <c r="I42" s="4">
        <v>8.0263000000000001E-3</v>
      </c>
      <c r="J42" s="4">
        <v>7.4968999999999999E-3</v>
      </c>
      <c r="K42" s="4">
        <v>7.0134000000000004E-3</v>
      </c>
      <c r="L42" s="4">
        <v>6.5851E-3</v>
      </c>
      <c r="M42" s="4">
        <v>6.2026E-3</v>
      </c>
      <c r="N42" s="4">
        <v>5.8618999999999997E-3</v>
      </c>
      <c r="O42" s="4">
        <v>5.5570999999999997E-3</v>
      </c>
      <c r="P42" s="4">
        <v>5.3841000000000002E-3</v>
      </c>
      <c r="Q42" s="4">
        <v>5.1316000000000001E-3</v>
      </c>
      <c r="R42" s="4">
        <v>4.9042000000000001E-3</v>
      </c>
      <c r="S42" s="4">
        <v>4.6985999999999998E-3</v>
      </c>
      <c r="T42" s="4">
        <v>4.5120000000000004E-3</v>
      </c>
      <c r="U42" s="4">
        <v>4.3420999999999998E-3</v>
      </c>
      <c r="V42" s="4">
        <v>4.1875000000000002E-3</v>
      </c>
      <c r="W42" s="4">
        <v>4.0454000000000002E-3</v>
      </c>
      <c r="X42" s="4">
        <v>3.9141000000000002E-3</v>
      </c>
      <c r="Y42" s="4">
        <v>3.7937000000000001E-3</v>
      </c>
      <c r="Z42" s="4">
        <v>3.6849000000000001E-3</v>
      </c>
      <c r="AA42" s="4">
        <v>3.5821E-3</v>
      </c>
      <c r="AB42" s="4">
        <v>3.4854999999999999E-3</v>
      </c>
      <c r="AC42" s="4">
        <v>3.3936000000000001E-3</v>
      </c>
      <c r="AD42" s="4">
        <v>3.3045000000000001E-3</v>
      </c>
      <c r="AE42" s="4">
        <v>3.2128E-3</v>
      </c>
      <c r="AF42" s="4">
        <v>3.1129E-3</v>
      </c>
      <c r="AG42" s="4">
        <v>2.9199999999999999E-3</v>
      </c>
      <c r="AH42" s="4">
        <v>2.6722999999999998E-3</v>
      </c>
      <c r="AI42" s="4">
        <v>2.2515E-3</v>
      </c>
      <c r="AJ42" s="4">
        <v>2.4629000000000001E-3</v>
      </c>
      <c r="AK42" s="4">
        <v>2.4241000000000002E-3</v>
      </c>
      <c r="AL42" s="4">
        <v>2.3909000000000001E-3</v>
      </c>
      <c r="AM42" s="4">
        <v>2.3568E-3</v>
      </c>
      <c r="AN42" s="4">
        <v>2.3257E-3</v>
      </c>
      <c r="AO42" s="4">
        <v>2.2940999999999999E-3</v>
      </c>
      <c r="AP42" s="4">
        <v>2.2631999999999999E-3</v>
      </c>
      <c r="AQ42" s="4">
        <v>2.2323E-3</v>
      </c>
      <c r="AR42" s="4">
        <v>2.2016000000000002E-3</v>
      </c>
      <c r="AS42" s="4">
        <v>2.1711E-3</v>
      </c>
      <c r="AT42" s="4">
        <v>2.1408999999999998E-3</v>
      </c>
      <c r="AU42" s="4">
        <v>2.111E-3</v>
      </c>
      <c r="AV42" s="4">
        <v>2.0815E-3</v>
      </c>
      <c r="AW42" s="4">
        <v>2.0523E-3</v>
      </c>
      <c r="AX42" s="4">
        <v>2.0236E-3</v>
      </c>
      <c r="AY42" s="4">
        <v>1.9953000000000002E-3</v>
      </c>
      <c r="AZ42" s="4">
        <v>1.9675000000000001E-3</v>
      </c>
      <c r="BA42" s="4">
        <v>1.9400999999999999E-3</v>
      </c>
      <c r="BB42" s="4">
        <v>1.9131E-3</v>
      </c>
      <c r="BC42" s="4">
        <v>1.8866E-3</v>
      </c>
      <c r="BD42" s="4">
        <v>1.8603999999999999E-3</v>
      </c>
      <c r="BE42" s="4">
        <v>1.8347000000000001E-3</v>
      </c>
      <c r="BF42" s="4">
        <v>1.8094999999999999E-3</v>
      </c>
      <c r="BG42" s="4">
        <v>1.7845999999999999E-3</v>
      </c>
      <c r="BH42" s="4">
        <v>1.7600999999999999E-3</v>
      </c>
      <c r="BI42" s="4">
        <v>1.7359000000000001E-3</v>
      </c>
      <c r="BJ42" s="4">
        <v>1.7122000000000001E-3</v>
      </c>
      <c r="BK42" s="4">
        <v>1.6888000000000001E-3</v>
      </c>
      <c r="BL42" s="4">
        <v>1.6657E-3</v>
      </c>
      <c r="BM42" s="4">
        <v>1.6429999999999999E-3</v>
      </c>
      <c r="BN42" s="4">
        <v>1.6206E-3</v>
      </c>
      <c r="BO42" s="4">
        <v>1.5985999999999999E-3</v>
      </c>
      <c r="BP42" s="4">
        <v>1.5767999999999999E-3</v>
      </c>
      <c r="BQ42" s="4">
        <v>1.5554E-3</v>
      </c>
      <c r="BR42" s="4">
        <v>1.5342000000000001E-3</v>
      </c>
      <c r="BS42" s="4">
        <v>1.5134E-3</v>
      </c>
      <c r="BT42" s="4">
        <v>1.4928000000000001E-3</v>
      </c>
      <c r="BU42" s="4">
        <v>1.4725000000000001E-3</v>
      </c>
      <c r="BV42" s="4">
        <v>1.4525E-3</v>
      </c>
      <c r="BW42" s="4">
        <v>1.4327000000000001E-3</v>
      </c>
      <c r="BX42" s="4">
        <v>1.4132000000000001E-3</v>
      </c>
      <c r="BY42" s="4">
        <v>1.3939E-3</v>
      </c>
      <c r="BZ42" s="4">
        <v>1.3749000000000001E-3</v>
      </c>
      <c r="CA42" s="4">
        <v>1.3561999999999999E-3</v>
      </c>
      <c r="CB42" s="4">
        <v>1.3377E-3</v>
      </c>
      <c r="CC42" s="4">
        <v>1.3194000000000001E-3</v>
      </c>
      <c r="CD42" s="4">
        <v>1.3014000000000001E-3</v>
      </c>
      <c r="CE42" s="4">
        <v>1.2836E-3</v>
      </c>
      <c r="CF42" s="4">
        <v>1.266E-3</v>
      </c>
      <c r="CG42" s="4">
        <v>1.2486999999999999E-3</v>
      </c>
      <c r="CH42" s="4">
        <v>1.2315E-3</v>
      </c>
      <c r="CI42" s="4">
        <v>1.2145999999999999E-3</v>
      </c>
      <c r="CJ42" s="4">
        <v>1.1979E-3</v>
      </c>
      <c r="CK42" s="4">
        <v>1.1815E-3</v>
      </c>
      <c r="CL42" s="4">
        <v>1.1651999999999999E-3</v>
      </c>
      <c r="CM42" s="4">
        <v>1.1490999999999999E-3</v>
      </c>
      <c r="CN42" s="4">
        <v>1.1333000000000001E-3</v>
      </c>
      <c r="CO42" s="4">
        <v>1.1176999999999999E-3</v>
      </c>
      <c r="CP42" s="4">
        <v>1.1022E-3</v>
      </c>
      <c r="CQ42" s="4">
        <v>1.0870000000000001E-3</v>
      </c>
      <c r="CR42" s="4">
        <v>1.0719E-3</v>
      </c>
      <c r="CS42" s="4">
        <v>1.0571000000000001E-3</v>
      </c>
      <c r="CT42" s="4">
        <v>1.0424E-3</v>
      </c>
      <c r="CU42" s="4">
        <v>1.0279E-3</v>
      </c>
      <c r="CV42" s="4">
        <v>1.0137E-3</v>
      </c>
      <c r="CW42" s="4">
        <v>9.9960000000000001E-4</v>
      </c>
      <c r="CX42" s="4">
        <v>9.8569999999999994E-4</v>
      </c>
      <c r="CY42" s="4">
        <v>9.7190000000000004E-4</v>
      </c>
      <c r="CZ42" s="4">
        <v>9.5839999999999999E-4</v>
      </c>
      <c r="DA42" s="4">
        <v>9.4499999999999998E-4</v>
      </c>
      <c r="DB42" s="4">
        <v>9.3179999999999999E-4</v>
      </c>
      <c r="DC42" s="4">
        <v>9.188E-4</v>
      </c>
      <c r="DD42" s="4">
        <v>9.0600000000000001E-4</v>
      </c>
      <c r="DE42" s="4">
        <v>8.9329999999999998E-4</v>
      </c>
      <c r="DF42" s="4">
        <v>8.8080000000000005E-4</v>
      </c>
      <c r="DG42" s="4">
        <v>8.6850000000000002E-4</v>
      </c>
      <c r="DH42" s="4">
        <v>8.5630000000000005E-4</v>
      </c>
      <c r="DI42" s="4">
        <v>8.4429999999999998E-4</v>
      </c>
      <c r="DJ42" s="4">
        <v>8.3250000000000002E-4</v>
      </c>
      <c r="DK42" s="4">
        <v>8.208E-4</v>
      </c>
      <c r="DL42" s="4">
        <v>8.0929999999999999E-4</v>
      </c>
      <c r="DM42" s="4">
        <v>7.9790000000000004E-4</v>
      </c>
      <c r="DN42" s="4">
        <v>7.8669999999999999E-4</v>
      </c>
      <c r="DO42" s="4">
        <v>7.7559999999999999E-4</v>
      </c>
      <c r="DP42" s="4">
        <v>7.6469999999999999E-4</v>
      </c>
      <c r="DQ42" s="4">
        <v>5.31504E-2</v>
      </c>
      <c r="DR42" s="4">
        <v>0</v>
      </c>
      <c r="DS42" s="4">
        <v>5.02E-5</v>
      </c>
      <c r="DT42" s="4">
        <v>1.7349999999999999E-4</v>
      </c>
      <c r="DU42" s="4">
        <v>6.9280000000000003E-4</v>
      </c>
      <c r="DV42" s="4">
        <v>6.1779999999999995E-4</v>
      </c>
      <c r="DW42" s="4">
        <v>5.7700000000000004E-4</v>
      </c>
      <c r="DX42" s="4">
        <v>5.9960000000000005E-4</v>
      </c>
      <c r="DY42" s="4">
        <v>5.3039999999999999E-4</v>
      </c>
      <c r="DZ42" s="4">
        <v>4.8480000000000002E-4</v>
      </c>
      <c r="EA42" s="4">
        <v>4.2959999999999998E-4</v>
      </c>
      <c r="EB42" s="4">
        <v>3.8390000000000001E-4</v>
      </c>
      <c r="EC42" s="4">
        <v>3.4230000000000003E-4</v>
      </c>
      <c r="ED42" s="4">
        <v>3.0669999999999997E-4</v>
      </c>
      <c r="EE42" s="4">
        <v>2.7540000000000003E-4</v>
      </c>
      <c r="EF42" s="4">
        <v>2.5490000000000002E-4</v>
      </c>
      <c r="EG42" s="4">
        <v>2.3039999999999999E-4</v>
      </c>
      <c r="EH42" s="4">
        <v>2.0919999999999999E-4</v>
      </c>
      <c r="EI42" s="4">
        <v>1.906E-4</v>
      </c>
      <c r="EJ42" s="4">
        <v>1.7440000000000001E-4</v>
      </c>
      <c r="EK42" s="4">
        <v>1.6000000000000001E-4</v>
      </c>
      <c r="EL42" s="4">
        <v>1.474E-4</v>
      </c>
      <c r="EM42" s="4">
        <v>1.362E-4</v>
      </c>
      <c r="EN42" s="4">
        <v>1.261E-4</v>
      </c>
      <c r="EO42" s="4">
        <v>1.172E-4</v>
      </c>
      <c r="EP42" s="4">
        <v>1.094E-4</v>
      </c>
      <c r="EQ42" s="4">
        <v>1.024E-4</v>
      </c>
      <c r="ER42" s="4">
        <v>9.6000000000000002E-5</v>
      </c>
      <c r="ES42" s="4">
        <v>9.0299999999999999E-5</v>
      </c>
      <c r="ET42" s="4">
        <v>8.5099999999999995E-5</v>
      </c>
      <c r="EU42" s="4">
        <v>8.0199999999999998E-5</v>
      </c>
      <c r="EV42" s="4">
        <v>7.5400000000000003E-5</v>
      </c>
      <c r="EW42" s="4">
        <v>6.86E-5</v>
      </c>
      <c r="EX42" s="4">
        <v>6.0999999999999999E-5</v>
      </c>
      <c r="EY42" s="4">
        <v>4.99E-5</v>
      </c>
      <c r="EZ42" s="4">
        <v>5.41E-5</v>
      </c>
      <c r="FA42" s="4">
        <v>5.1799999999999999E-5</v>
      </c>
      <c r="FB42" s="4">
        <v>4.9799999999999998E-5</v>
      </c>
      <c r="FC42" s="4">
        <v>4.7899999999999999E-5</v>
      </c>
      <c r="FD42" s="4">
        <v>4.6199999999999998E-5</v>
      </c>
      <c r="FE42" s="4">
        <v>4.4499999999999997E-5</v>
      </c>
      <c r="FF42" s="4">
        <v>4.3000000000000002E-5</v>
      </c>
      <c r="FG42" s="4">
        <v>4.1499999999999999E-5</v>
      </c>
      <c r="FH42" s="4">
        <v>4.0099999999999999E-5</v>
      </c>
      <c r="FI42" s="4">
        <v>3.8800000000000001E-5</v>
      </c>
      <c r="FJ42" s="4">
        <v>3.7599999999999999E-5</v>
      </c>
      <c r="FK42" s="4">
        <v>3.6399999999999997E-5</v>
      </c>
      <c r="FL42" s="4">
        <v>3.5299999999999997E-5</v>
      </c>
      <c r="FM42" s="4">
        <v>3.43E-5</v>
      </c>
      <c r="FN42" s="4">
        <v>3.3300000000000003E-5</v>
      </c>
      <c r="FO42" s="4">
        <v>3.2400000000000001E-5</v>
      </c>
      <c r="FP42" s="4">
        <v>3.15E-5</v>
      </c>
      <c r="FQ42" s="4">
        <v>3.0700000000000001E-5</v>
      </c>
      <c r="FR42" s="4">
        <v>2.9899999999999998E-5</v>
      </c>
      <c r="FS42" s="4">
        <v>2.9200000000000002E-5</v>
      </c>
      <c r="FT42" s="4">
        <v>2.8500000000000002E-5</v>
      </c>
      <c r="FU42" s="4">
        <v>2.7800000000000001E-5</v>
      </c>
      <c r="FV42" s="4">
        <v>2.72E-5</v>
      </c>
      <c r="FW42" s="4">
        <v>2.6599999999999999E-5</v>
      </c>
      <c r="FX42" s="4">
        <v>2.6100000000000001E-5</v>
      </c>
      <c r="FY42" s="4">
        <v>2.55E-5</v>
      </c>
      <c r="FZ42" s="4">
        <v>2.5000000000000001E-5</v>
      </c>
      <c r="GA42" s="4">
        <v>2.4499999999999999E-5</v>
      </c>
      <c r="GB42" s="4">
        <v>2.41E-5</v>
      </c>
      <c r="GC42" s="4">
        <v>2.37E-5</v>
      </c>
      <c r="GD42" s="4">
        <v>2.3200000000000001E-5</v>
      </c>
      <c r="GE42" s="4">
        <v>2.2799999999999999E-5</v>
      </c>
      <c r="GF42" s="4">
        <v>2.2399999999999999E-5</v>
      </c>
      <c r="GG42" s="4">
        <v>2.2099999999999998E-5</v>
      </c>
      <c r="GH42" s="4">
        <v>2.1699999999999999E-5</v>
      </c>
      <c r="GI42" s="4">
        <v>2.1399999999999998E-5</v>
      </c>
      <c r="GJ42" s="4">
        <v>2.0999999999999999E-5</v>
      </c>
      <c r="GK42" s="4">
        <v>2.0699999999999998E-5</v>
      </c>
      <c r="GL42" s="4">
        <v>2.0400000000000001E-5</v>
      </c>
      <c r="GM42" s="4">
        <v>2.0100000000000001E-5</v>
      </c>
      <c r="GN42" s="4">
        <v>1.98E-5</v>
      </c>
      <c r="GO42" s="4">
        <v>1.95E-5</v>
      </c>
      <c r="GP42" s="4">
        <v>1.9199999999999999E-5</v>
      </c>
      <c r="GQ42" s="4">
        <v>1.9000000000000001E-5</v>
      </c>
      <c r="GR42" s="4">
        <v>1.8700000000000001E-5</v>
      </c>
      <c r="GS42" s="4">
        <v>1.84E-5</v>
      </c>
      <c r="GT42" s="4">
        <v>1.8199999999999999E-5</v>
      </c>
      <c r="GU42" s="4">
        <v>1.7900000000000001E-5</v>
      </c>
      <c r="GV42" s="4">
        <v>1.77E-5</v>
      </c>
      <c r="GW42" s="4">
        <v>1.7399999999999999E-5</v>
      </c>
      <c r="GX42" s="4">
        <v>1.7200000000000001E-5</v>
      </c>
      <c r="GY42" s="4">
        <v>1.7E-5</v>
      </c>
      <c r="GZ42" s="4">
        <v>1.6699999999999999E-5</v>
      </c>
      <c r="HA42" s="4">
        <v>1.6500000000000001E-5</v>
      </c>
      <c r="HB42" s="4">
        <v>1.63E-5</v>
      </c>
      <c r="HC42" s="4">
        <v>1.6099999999999998E-5</v>
      </c>
      <c r="HD42" s="4">
        <v>1.5800000000000001E-5</v>
      </c>
      <c r="HE42" s="4">
        <v>1.56E-5</v>
      </c>
      <c r="HF42" s="4">
        <v>1.5400000000000002E-5</v>
      </c>
      <c r="HG42" s="4">
        <v>1.52E-5</v>
      </c>
      <c r="HH42" s="4">
        <v>1.5E-5</v>
      </c>
      <c r="HI42" s="4">
        <v>1.4800000000000001E-5</v>
      </c>
      <c r="HJ42" s="4">
        <v>1.4600000000000001E-5</v>
      </c>
      <c r="HK42" s="4">
        <v>1.4399999999999999E-5</v>
      </c>
      <c r="HL42" s="4">
        <v>1.42E-5</v>
      </c>
      <c r="HM42" s="4">
        <v>1.4E-5</v>
      </c>
      <c r="HN42" s="4">
        <v>1.38E-5</v>
      </c>
      <c r="HO42" s="4">
        <v>1.3699999999999999E-5</v>
      </c>
      <c r="HP42" s="4">
        <v>1.3499999999999999E-5</v>
      </c>
      <c r="HQ42" s="4">
        <v>1.33E-5</v>
      </c>
      <c r="HR42" s="4">
        <v>1.31E-5</v>
      </c>
      <c r="HS42" s="4">
        <v>1.29E-5</v>
      </c>
      <c r="HT42" s="4">
        <v>1.2799999999999999E-5</v>
      </c>
      <c r="HU42" s="4">
        <v>1.26E-5</v>
      </c>
      <c r="HV42" s="4">
        <v>1.24E-5</v>
      </c>
      <c r="HW42" s="4">
        <v>1.22E-5</v>
      </c>
      <c r="HX42" s="4">
        <v>1.2099999999999999E-5</v>
      </c>
      <c r="HY42" s="4">
        <v>1.19E-5</v>
      </c>
      <c r="HZ42" s="4">
        <v>1.17E-5</v>
      </c>
      <c r="IA42" s="4">
        <v>1.1600000000000001E-5</v>
      </c>
      <c r="IB42" s="4">
        <v>1.1399999999999999E-5</v>
      </c>
      <c r="IC42" s="4">
        <v>1.13E-5</v>
      </c>
      <c r="ID42" s="4">
        <v>1.11E-5</v>
      </c>
      <c r="IE42" s="4">
        <v>1.1E-5</v>
      </c>
      <c r="IF42" s="4">
        <v>1.08E-5</v>
      </c>
      <c r="IG42" s="4">
        <v>7.5460000000000002E-4</v>
      </c>
      <c r="IH42" s="4"/>
      <c r="II42" s="4">
        <f t="shared" si="257"/>
        <v>0.11580483760659614</v>
      </c>
      <c r="IL42">
        <f t="shared" si="258"/>
        <v>0.3595316124999996</v>
      </c>
      <c r="IP42" s="4">
        <f t="shared" si="273"/>
        <v>8.4039999999999879E-3</v>
      </c>
      <c r="IQ42" s="4">
        <f t="shared" si="274"/>
        <v>7.7003999999999961E-3</v>
      </c>
      <c r="IR42" s="4">
        <f t="shared" si="261"/>
        <v>5.0530999999999979E-3</v>
      </c>
      <c r="IS42" s="4">
        <f t="shared" si="262"/>
        <v>3.3945000000000017E-3</v>
      </c>
      <c r="IT42" s="4">
        <f t="shared" si="263"/>
        <v>2.3823000000000004E-3</v>
      </c>
      <c r="IU42" s="4">
        <f t="shared" si="264"/>
        <v>5.5464000000000069E-3</v>
      </c>
      <c r="IV42" s="4">
        <f t="shared" si="265"/>
        <v>2.4566000000000032E-3</v>
      </c>
      <c r="IW42" s="4">
        <f t="shared" si="266"/>
        <v>1.6457999999999959E-3</v>
      </c>
      <c r="IX42" s="4">
        <f t="shared" si="267"/>
        <v>5.0523999999999847E-3</v>
      </c>
      <c r="IZ42">
        <f t="shared" si="270"/>
        <v>2016.25</v>
      </c>
      <c r="JA42">
        <f t="shared" si="268"/>
        <v>0.90604365886132099</v>
      </c>
      <c r="JB42">
        <f t="shared" si="268"/>
        <v>0.36819036552977374</v>
      </c>
      <c r="JC42">
        <f t="shared" si="268"/>
        <v>1.4772848677530215</v>
      </c>
      <c r="JD42">
        <f t="shared" si="268"/>
        <v>3.0357471365338879</v>
      </c>
      <c r="JE42">
        <f t="shared" si="268"/>
        <v>3.467913811274602</v>
      </c>
      <c r="JF42">
        <f t="shared" si="268"/>
        <v>-1.7107267987858616</v>
      </c>
      <c r="JG42">
        <f t="shared" si="268"/>
        <v>-2.3454761206928976</v>
      </c>
      <c r="JH42">
        <f t="shared" si="268"/>
        <v>-0.81692384971355136</v>
      </c>
      <c r="JI42">
        <f t="shared" si="268"/>
        <v>-0.14438150865071353</v>
      </c>
    </row>
    <row r="43" spans="1:269" x14ac:dyDescent="0.35">
      <c r="A43" s="1">
        <v>35</v>
      </c>
      <c r="B43" s="4">
        <v>1.0654E-2</v>
      </c>
      <c r="C43" s="4">
        <v>1.0654E-2</v>
      </c>
      <c r="D43" s="4">
        <v>1.0684600000000001E-2</v>
      </c>
      <c r="E43" s="4">
        <v>1.0511100000000001E-2</v>
      </c>
      <c r="F43" s="4">
        <v>9.8183999999999997E-3</v>
      </c>
      <c r="G43" s="4">
        <v>9.2008000000000003E-3</v>
      </c>
      <c r="H43" s="4">
        <v>8.6242000000000003E-3</v>
      </c>
      <c r="I43" s="4">
        <v>8.0254000000000002E-3</v>
      </c>
      <c r="J43" s="4">
        <v>7.4958000000000004E-3</v>
      </c>
      <c r="K43" s="4">
        <v>7.0121999999999997E-3</v>
      </c>
      <c r="L43" s="4">
        <v>6.5837999999999999E-3</v>
      </c>
      <c r="M43" s="4">
        <v>6.2011999999999996E-3</v>
      </c>
      <c r="N43" s="4">
        <v>5.8602999999999997E-3</v>
      </c>
      <c r="O43" s="4">
        <v>5.5551999999999997E-3</v>
      </c>
      <c r="P43" s="4">
        <v>5.2816E-3</v>
      </c>
      <c r="Q43" s="4">
        <v>5.1292000000000004E-3</v>
      </c>
      <c r="R43" s="4">
        <v>4.9011999999999997E-3</v>
      </c>
      <c r="S43" s="4">
        <v>4.6950000000000004E-3</v>
      </c>
      <c r="T43" s="4">
        <v>4.5078999999999996E-3</v>
      </c>
      <c r="U43" s="4">
        <v>4.3375999999999996E-3</v>
      </c>
      <c r="V43" s="4">
        <v>4.1821000000000002E-3</v>
      </c>
      <c r="W43" s="4">
        <v>4.0400999999999996E-3</v>
      </c>
      <c r="X43" s="4">
        <v>3.9091999999999998E-3</v>
      </c>
      <c r="Y43" s="4">
        <v>3.7880000000000001E-3</v>
      </c>
      <c r="Z43" s="4">
        <v>3.6765000000000001E-3</v>
      </c>
      <c r="AA43" s="4">
        <v>3.5755000000000001E-3</v>
      </c>
      <c r="AB43" s="4">
        <v>3.4797999999999999E-3</v>
      </c>
      <c r="AC43" s="4">
        <v>3.3895000000000002E-3</v>
      </c>
      <c r="AD43" s="4">
        <v>3.3032999999999999E-3</v>
      </c>
      <c r="AE43" s="4">
        <v>3.2193999999999999E-3</v>
      </c>
      <c r="AF43" s="4">
        <v>3.1326000000000001E-3</v>
      </c>
      <c r="AG43" s="4">
        <v>3.0374999999999998E-3</v>
      </c>
      <c r="AH43" s="4">
        <v>2.8514999999999999E-3</v>
      </c>
      <c r="AI43" s="4">
        <v>2.6113999999999998E-3</v>
      </c>
      <c r="AJ43" s="4">
        <v>2.2016000000000002E-3</v>
      </c>
      <c r="AK43" s="4">
        <v>2.4088999999999998E-3</v>
      </c>
      <c r="AL43" s="4">
        <v>2.3722000000000001E-3</v>
      </c>
      <c r="AM43" s="4">
        <v>2.3411E-3</v>
      </c>
      <c r="AN43" s="4">
        <v>2.3088000000000002E-3</v>
      </c>
      <c r="AO43" s="4">
        <v>2.2794999999999998E-3</v>
      </c>
      <c r="AP43" s="4">
        <v>2.2495000000000002E-3</v>
      </c>
      <c r="AQ43" s="4">
        <v>2.2201999999999999E-3</v>
      </c>
      <c r="AR43" s="4">
        <v>2.1906999999999999E-3</v>
      </c>
      <c r="AS43" s="4">
        <v>2.1614E-3</v>
      </c>
      <c r="AT43" s="4">
        <v>2.1323000000000002E-3</v>
      </c>
      <c r="AU43" s="4">
        <v>2.1032999999999998E-3</v>
      </c>
      <c r="AV43" s="4">
        <v>2.0745999999999998E-3</v>
      </c>
      <c r="AW43" s="4">
        <v>2.0462000000000002E-3</v>
      </c>
      <c r="AX43" s="4">
        <v>2.0181000000000001E-3</v>
      </c>
      <c r="AY43" s="4">
        <v>1.9903E-3</v>
      </c>
      <c r="AZ43" s="4">
        <v>1.9629999999999999E-3</v>
      </c>
      <c r="BA43" s="4">
        <v>1.936E-3</v>
      </c>
      <c r="BB43" s="4">
        <v>1.9093999999999999E-3</v>
      </c>
      <c r="BC43" s="4">
        <v>1.8832E-3</v>
      </c>
      <c r="BD43" s="4">
        <v>1.8573999999999999E-3</v>
      </c>
      <c r="BE43" s="4">
        <v>1.8320000000000001E-3</v>
      </c>
      <c r="BF43" s="4">
        <v>1.8069E-3</v>
      </c>
      <c r="BG43" s="4">
        <v>1.7822999999999999E-3</v>
      </c>
      <c r="BH43" s="4">
        <v>1.758E-3</v>
      </c>
      <c r="BI43" s="4">
        <v>1.7340000000000001E-3</v>
      </c>
      <c r="BJ43" s="4">
        <v>1.7103999999999999E-3</v>
      </c>
      <c r="BK43" s="4">
        <v>1.6872E-3</v>
      </c>
      <c r="BL43" s="4">
        <v>1.6642E-3</v>
      </c>
      <c r="BM43" s="4">
        <v>1.6416E-3</v>
      </c>
      <c r="BN43" s="4">
        <v>1.6194E-3</v>
      </c>
      <c r="BO43" s="4">
        <v>1.5973999999999999E-3</v>
      </c>
      <c r="BP43" s="4">
        <v>1.5757E-3</v>
      </c>
      <c r="BQ43" s="4">
        <v>1.5544000000000001E-3</v>
      </c>
      <c r="BR43" s="4">
        <v>1.5333E-3</v>
      </c>
      <c r="BS43" s="4">
        <v>1.5125E-3</v>
      </c>
      <c r="BT43" s="4">
        <v>1.4920000000000001E-3</v>
      </c>
      <c r="BU43" s="4">
        <v>1.4718000000000001E-3</v>
      </c>
      <c r="BV43" s="4">
        <v>1.4518000000000001E-3</v>
      </c>
      <c r="BW43" s="4">
        <v>1.4321E-3</v>
      </c>
      <c r="BX43" s="4">
        <v>1.4126E-3</v>
      </c>
      <c r="BY43" s="4">
        <v>1.3933999999999999E-3</v>
      </c>
      <c r="BZ43" s="4">
        <v>1.3744E-3</v>
      </c>
      <c r="CA43" s="4">
        <v>1.3557E-3</v>
      </c>
      <c r="CB43" s="4">
        <v>1.3372E-3</v>
      </c>
      <c r="CC43" s="4">
        <v>1.3190000000000001E-3</v>
      </c>
      <c r="CD43" s="4">
        <v>1.3010000000000001E-3</v>
      </c>
      <c r="CE43" s="4">
        <v>1.2832E-3</v>
      </c>
      <c r="CF43" s="4">
        <v>1.2657E-3</v>
      </c>
      <c r="CG43" s="4">
        <v>1.2482999999999999E-3</v>
      </c>
      <c r="CH43" s="4">
        <v>1.2312E-3</v>
      </c>
      <c r="CI43" s="4">
        <v>1.2143E-3</v>
      </c>
      <c r="CJ43" s="4">
        <v>1.1976999999999999E-3</v>
      </c>
      <c r="CK43" s="4">
        <v>1.1812000000000001E-3</v>
      </c>
      <c r="CL43" s="4">
        <v>1.165E-3</v>
      </c>
      <c r="CM43" s="4">
        <v>1.1489E-3</v>
      </c>
      <c r="CN43" s="4">
        <v>1.1330999999999999E-3</v>
      </c>
      <c r="CO43" s="4">
        <v>1.1175E-3</v>
      </c>
      <c r="CP43" s="4">
        <v>1.1019999999999999E-3</v>
      </c>
      <c r="CQ43" s="4">
        <v>1.0868E-3</v>
      </c>
      <c r="CR43" s="4">
        <v>1.0717999999999999E-3</v>
      </c>
      <c r="CS43" s="4">
        <v>1.0568999999999999E-3</v>
      </c>
      <c r="CT43" s="4">
        <v>1.0422999999999999E-3</v>
      </c>
      <c r="CU43" s="4">
        <v>1.0277999999999999E-3</v>
      </c>
      <c r="CV43" s="4">
        <v>1.0135000000000001E-3</v>
      </c>
      <c r="CW43" s="4">
        <v>9.9949999999999995E-4</v>
      </c>
      <c r="CX43" s="4">
        <v>9.8550000000000005E-4</v>
      </c>
      <c r="CY43" s="4">
        <v>9.7179999999999999E-4</v>
      </c>
      <c r="CZ43" s="4">
        <v>9.5830000000000004E-4</v>
      </c>
      <c r="DA43" s="4">
        <v>9.4490000000000004E-4</v>
      </c>
      <c r="DB43" s="4">
        <v>9.3179999999999999E-4</v>
      </c>
      <c r="DC43" s="4">
        <v>9.1870000000000005E-4</v>
      </c>
      <c r="DD43" s="4">
        <v>9.0589999999999996E-4</v>
      </c>
      <c r="DE43" s="4">
        <v>8.9320000000000003E-4</v>
      </c>
      <c r="DF43" s="4">
        <v>8.8069999999999999E-4</v>
      </c>
      <c r="DG43" s="4">
        <v>8.6839999999999997E-4</v>
      </c>
      <c r="DH43" s="4">
        <v>8.5619999999999999E-4</v>
      </c>
      <c r="DI43" s="4">
        <v>8.4420000000000003E-4</v>
      </c>
      <c r="DJ43" s="4">
        <v>8.3239999999999996E-4</v>
      </c>
      <c r="DK43" s="4">
        <v>8.2070000000000005E-4</v>
      </c>
      <c r="DL43" s="4">
        <v>8.0920000000000005E-4</v>
      </c>
      <c r="DM43" s="4">
        <v>7.9779999999999998E-4</v>
      </c>
      <c r="DN43" s="4">
        <v>7.8660000000000004E-4</v>
      </c>
      <c r="DO43" s="4">
        <v>7.7559999999999999E-4</v>
      </c>
      <c r="DP43" s="4">
        <v>7.6460000000000005E-4</v>
      </c>
      <c r="DQ43" s="4">
        <v>5.3149700000000001E-2</v>
      </c>
      <c r="DR43" s="4">
        <v>0</v>
      </c>
      <c r="DS43" s="4">
        <v>4.8199999999999999E-5</v>
      </c>
      <c r="DT43" s="4">
        <v>1.7359999999999999E-4</v>
      </c>
      <c r="DU43" s="4">
        <v>6.9300000000000004E-4</v>
      </c>
      <c r="DV43" s="4">
        <v>6.1799999999999995E-4</v>
      </c>
      <c r="DW43" s="4">
        <v>5.7729999999999999E-4</v>
      </c>
      <c r="DX43" s="4">
        <v>5.9969999999999999E-4</v>
      </c>
      <c r="DY43" s="4">
        <v>5.306E-4</v>
      </c>
      <c r="DZ43" s="4">
        <v>4.8490000000000002E-4</v>
      </c>
      <c r="EA43" s="4">
        <v>4.2979999999999998E-4</v>
      </c>
      <c r="EB43" s="4">
        <v>3.8410000000000001E-4</v>
      </c>
      <c r="EC43" s="4">
        <v>3.4239999999999997E-4</v>
      </c>
      <c r="ED43" s="4">
        <v>3.0669999999999997E-4</v>
      </c>
      <c r="EE43" s="4">
        <v>2.7530000000000002E-4</v>
      </c>
      <c r="EF43" s="4">
        <v>2.4820000000000002E-4</v>
      </c>
      <c r="EG43" s="4">
        <v>2.3010000000000001E-4</v>
      </c>
      <c r="EH43" s="4">
        <v>2.0880000000000001E-4</v>
      </c>
      <c r="EI43" s="4">
        <v>1.9010000000000001E-4</v>
      </c>
      <c r="EJ43" s="4">
        <v>1.738E-4</v>
      </c>
      <c r="EK43" s="4">
        <v>1.594E-4</v>
      </c>
      <c r="EL43" s="4">
        <v>1.4679999999999999E-4</v>
      </c>
      <c r="EM43" s="4">
        <v>1.3559999999999999E-4</v>
      </c>
      <c r="EN43" s="4">
        <v>1.2559999999999999E-4</v>
      </c>
      <c r="EO43" s="4">
        <v>1.166E-4</v>
      </c>
      <c r="EP43" s="4">
        <v>1.087E-4</v>
      </c>
      <c r="EQ43" s="4">
        <v>1.0179999999999999E-4</v>
      </c>
      <c r="ER43" s="4">
        <v>9.5500000000000004E-5</v>
      </c>
      <c r="ES43" s="4">
        <v>8.9800000000000001E-5</v>
      </c>
      <c r="ET43" s="4">
        <v>8.4699999999999999E-5</v>
      </c>
      <c r="EU43" s="4">
        <v>8.0000000000000007E-5</v>
      </c>
      <c r="EV43" s="4">
        <v>7.5500000000000006E-5</v>
      </c>
      <c r="EW43" s="4">
        <v>7.1199999999999996E-5</v>
      </c>
      <c r="EX43" s="4">
        <v>6.4800000000000003E-5</v>
      </c>
      <c r="EY43" s="4">
        <v>5.7800000000000002E-5</v>
      </c>
      <c r="EZ43" s="4">
        <v>4.7299999999999998E-5</v>
      </c>
      <c r="FA43" s="4">
        <v>5.13E-5</v>
      </c>
      <c r="FB43" s="4">
        <v>4.9299999999999999E-5</v>
      </c>
      <c r="FC43" s="4">
        <v>4.7500000000000003E-5</v>
      </c>
      <c r="FD43" s="4">
        <v>4.57E-5</v>
      </c>
      <c r="FE43" s="4">
        <v>4.4100000000000001E-5</v>
      </c>
      <c r="FF43" s="4">
        <v>4.2599999999999999E-5</v>
      </c>
      <c r="FG43" s="4">
        <v>4.1199999999999999E-5</v>
      </c>
      <c r="FH43" s="4">
        <v>3.9799999999999998E-5</v>
      </c>
      <c r="FI43" s="4">
        <v>3.8500000000000001E-5</v>
      </c>
      <c r="FJ43" s="4">
        <v>3.7299999999999999E-5</v>
      </c>
      <c r="FK43" s="4">
        <v>3.6199999999999999E-5</v>
      </c>
      <c r="FL43" s="4">
        <v>3.5099999999999999E-5</v>
      </c>
      <c r="FM43" s="4">
        <v>3.4100000000000002E-5</v>
      </c>
      <c r="FN43" s="4">
        <v>3.3099999999999998E-5</v>
      </c>
      <c r="FO43" s="4">
        <v>3.2199999999999997E-5</v>
      </c>
      <c r="FP43" s="4">
        <v>3.1300000000000002E-5</v>
      </c>
      <c r="FQ43" s="4">
        <v>3.0499999999999999E-5</v>
      </c>
      <c r="FR43" s="4">
        <v>2.9799999999999999E-5</v>
      </c>
      <c r="FS43" s="4">
        <v>2.9099999999999999E-5</v>
      </c>
      <c r="FT43" s="4">
        <v>2.8399999999999999E-5</v>
      </c>
      <c r="FU43" s="4">
        <v>2.7699999999999999E-5</v>
      </c>
      <c r="FV43" s="4">
        <v>2.7100000000000001E-5</v>
      </c>
      <c r="FW43" s="4">
        <v>2.65E-5</v>
      </c>
      <c r="FX43" s="4">
        <v>2.5999999999999998E-5</v>
      </c>
      <c r="FY43" s="4">
        <v>2.55E-5</v>
      </c>
      <c r="FZ43" s="4">
        <v>2.5000000000000001E-5</v>
      </c>
      <c r="GA43" s="4">
        <v>2.4499999999999999E-5</v>
      </c>
      <c r="GB43" s="4">
        <v>2.4000000000000001E-5</v>
      </c>
      <c r="GC43" s="4">
        <v>2.3600000000000001E-5</v>
      </c>
      <c r="GD43" s="4">
        <v>2.3200000000000001E-5</v>
      </c>
      <c r="GE43" s="4">
        <v>2.2799999999999999E-5</v>
      </c>
      <c r="GF43" s="4">
        <v>2.2399999999999999E-5</v>
      </c>
      <c r="GG43" s="4">
        <v>2.1999999999999999E-5</v>
      </c>
      <c r="GH43" s="4">
        <v>2.1699999999999999E-5</v>
      </c>
      <c r="GI43" s="4">
        <v>2.1299999999999999E-5</v>
      </c>
      <c r="GJ43" s="4">
        <v>2.0999999999999999E-5</v>
      </c>
      <c r="GK43" s="4">
        <v>2.0699999999999998E-5</v>
      </c>
      <c r="GL43" s="4">
        <v>2.0400000000000001E-5</v>
      </c>
      <c r="GM43" s="4">
        <v>2.0100000000000001E-5</v>
      </c>
      <c r="GN43" s="4">
        <v>1.98E-5</v>
      </c>
      <c r="GO43" s="4">
        <v>1.95E-5</v>
      </c>
      <c r="GP43" s="4">
        <v>1.9199999999999999E-5</v>
      </c>
      <c r="GQ43" s="4">
        <v>1.8899999999999999E-5</v>
      </c>
      <c r="GR43" s="4">
        <v>1.8700000000000001E-5</v>
      </c>
      <c r="GS43" s="4">
        <v>1.84E-5</v>
      </c>
      <c r="GT43" s="4">
        <v>1.8199999999999999E-5</v>
      </c>
      <c r="GU43" s="4">
        <v>1.7900000000000001E-5</v>
      </c>
      <c r="GV43" s="4">
        <v>1.77E-5</v>
      </c>
      <c r="GW43" s="4">
        <v>1.7399999999999999E-5</v>
      </c>
      <c r="GX43" s="4">
        <v>1.7200000000000001E-5</v>
      </c>
      <c r="GY43" s="4">
        <v>1.7E-5</v>
      </c>
      <c r="GZ43" s="4">
        <v>1.6699999999999999E-5</v>
      </c>
      <c r="HA43" s="4">
        <v>1.6500000000000001E-5</v>
      </c>
      <c r="HB43" s="4">
        <v>1.63E-5</v>
      </c>
      <c r="HC43" s="4">
        <v>1.6099999999999998E-5</v>
      </c>
      <c r="HD43" s="4">
        <v>1.5800000000000001E-5</v>
      </c>
      <c r="HE43" s="4">
        <v>1.56E-5</v>
      </c>
      <c r="HF43" s="4">
        <v>1.5400000000000002E-5</v>
      </c>
      <c r="HG43" s="4">
        <v>1.52E-5</v>
      </c>
      <c r="HH43" s="4">
        <v>1.5E-5</v>
      </c>
      <c r="HI43" s="4">
        <v>1.4800000000000001E-5</v>
      </c>
      <c r="HJ43" s="4">
        <v>1.4600000000000001E-5</v>
      </c>
      <c r="HK43" s="4">
        <v>1.4399999999999999E-5</v>
      </c>
      <c r="HL43" s="4">
        <v>1.42E-5</v>
      </c>
      <c r="HM43" s="4">
        <v>1.4E-5</v>
      </c>
      <c r="HN43" s="4">
        <v>1.38E-5</v>
      </c>
      <c r="HO43" s="4">
        <v>1.36E-5</v>
      </c>
      <c r="HP43" s="4">
        <v>1.3499999999999999E-5</v>
      </c>
      <c r="HQ43" s="4">
        <v>1.33E-5</v>
      </c>
      <c r="HR43" s="4">
        <v>1.31E-5</v>
      </c>
      <c r="HS43" s="4">
        <v>1.29E-5</v>
      </c>
      <c r="HT43" s="4">
        <v>1.2799999999999999E-5</v>
      </c>
      <c r="HU43" s="4">
        <v>1.26E-5</v>
      </c>
      <c r="HV43" s="4">
        <v>1.24E-5</v>
      </c>
      <c r="HW43" s="4">
        <v>1.22E-5</v>
      </c>
      <c r="HX43" s="4">
        <v>1.2099999999999999E-5</v>
      </c>
      <c r="HY43" s="4">
        <v>1.19E-5</v>
      </c>
      <c r="HZ43" s="4">
        <v>1.17E-5</v>
      </c>
      <c r="IA43" s="4">
        <v>1.1600000000000001E-5</v>
      </c>
      <c r="IB43" s="4">
        <v>1.1399999999999999E-5</v>
      </c>
      <c r="IC43" s="4">
        <v>1.13E-5</v>
      </c>
      <c r="ID43" s="4">
        <v>1.11E-5</v>
      </c>
      <c r="IE43" s="4">
        <v>1.1E-5</v>
      </c>
      <c r="IF43" s="4">
        <v>1.08E-5</v>
      </c>
      <c r="IG43" s="4">
        <v>7.5449999999999996E-4</v>
      </c>
      <c r="IH43" s="4"/>
      <c r="II43" s="4">
        <f t="shared" si="257"/>
        <v>0.11582899444184051</v>
      </c>
      <c r="IL43">
        <f t="shared" si="258"/>
        <v>0.35954123749999983</v>
      </c>
      <c r="IP43" s="4">
        <f t="shared" si="273"/>
        <v>8.4067000000000031E-3</v>
      </c>
      <c r="IQ43" s="4">
        <f t="shared" si="274"/>
        <v>7.7037000000000078E-3</v>
      </c>
      <c r="IR43" s="4">
        <f t="shared" si="261"/>
        <v>5.023699999999999E-3</v>
      </c>
      <c r="IS43" s="4">
        <f t="shared" si="262"/>
        <v>3.3977000000000035E-3</v>
      </c>
      <c r="IT43" s="4">
        <f t="shared" si="263"/>
        <v>2.3841000000000001E-3</v>
      </c>
      <c r="IU43" s="4">
        <f t="shared" si="264"/>
        <v>5.5802000000000143E-3</v>
      </c>
      <c r="IV43" s="4">
        <f t="shared" si="265"/>
        <v>2.4518999999999999E-3</v>
      </c>
      <c r="IW43" s="4">
        <f t="shared" si="266"/>
        <v>1.6451E-3</v>
      </c>
      <c r="IX43" s="4">
        <f t="shared" si="267"/>
        <v>5.0522000000000067E-3</v>
      </c>
      <c r="IZ43">
        <f t="shared" si="270"/>
        <v>2016.5</v>
      </c>
      <c r="JA43">
        <f t="shared" si="268"/>
        <v>0.93816605737217229</v>
      </c>
      <c r="JB43">
        <f t="shared" si="268"/>
        <v>0.41103610206089231</v>
      </c>
      <c r="JC43">
        <f t="shared" si="268"/>
        <v>0.89376463471401346</v>
      </c>
      <c r="JD43">
        <f t="shared" si="268"/>
        <v>3.129972873018704</v>
      </c>
      <c r="JE43">
        <f t="shared" si="268"/>
        <v>3.5434425157714209</v>
      </c>
      <c r="JF43">
        <f t="shared" si="268"/>
        <v>-1.1031718589194166</v>
      </c>
      <c r="JG43">
        <f t="shared" si="268"/>
        <v>-2.5369807121730643</v>
      </c>
      <c r="JH43">
        <f t="shared" si="268"/>
        <v>-0.85946540433708574</v>
      </c>
      <c r="JI43">
        <f t="shared" si="268"/>
        <v>-0.14834010176681109</v>
      </c>
    </row>
    <row r="44" spans="1:269" x14ac:dyDescent="0.35">
      <c r="A44" s="1">
        <v>36</v>
      </c>
      <c r="B44" s="4">
        <v>1.0654E-2</v>
      </c>
      <c r="C44" s="4">
        <v>1.0654E-2</v>
      </c>
      <c r="D44" s="4">
        <v>1.06058E-2</v>
      </c>
      <c r="E44" s="4">
        <v>1.0511100000000001E-2</v>
      </c>
      <c r="F44" s="4">
        <v>9.8180999999999997E-3</v>
      </c>
      <c r="G44" s="4">
        <v>9.2002999999999998E-3</v>
      </c>
      <c r="H44" s="4">
        <v>8.6234999999999992E-3</v>
      </c>
      <c r="I44" s="4">
        <v>8.0245000000000004E-3</v>
      </c>
      <c r="J44" s="4">
        <v>7.4948000000000002E-3</v>
      </c>
      <c r="K44" s="4">
        <v>7.0108999999999996E-3</v>
      </c>
      <c r="L44" s="4">
        <v>6.5823000000000001E-3</v>
      </c>
      <c r="M44" s="4">
        <v>6.1996999999999998E-3</v>
      </c>
      <c r="N44" s="4">
        <v>5.8586999999999997E-3</v>
      </c>
      <c r="O44" s="4">
        <v>5.5535999999999997E-3</v>
      </c>
      <c r="P44" s="4">
        <v>5.2798999999999997E-3</v>
      </c>
      <c r="Q44" s="4">
        <v>5.0334999999999998E-3</v>
      </c>
      <c r="R44" s="4">
        <v>4.8991E-3</v>
      </c>
      <c r="S44" s="4">
        <v>4.6924000000000002E-3</v>
      </c>
      <c r="T44" s="4">
        <v>4.5049000000000001E-3</v>
      </c>
      <c r="U44" s="4">
        <v>4.3340999999999996E-3</v>
      </c>
      <c r="V44" s="4">
        <v>4.1782E-3</v>
      </c>
      <c r="W44" s="4">
        <v>4.0353000000000003E-3</v>
      </c>
      <c r="X44" s="4">
        <v>3.9045999999999998E-3</v>
      </c>
      <c r="Y44" s="4">
        <v>3.7835999999999998E-3</v>
      </c>
      <c r="Z44" s="4">
        <v>3.6714E-3</v>
      </c>
      <c r="AA44" s="4">
        <v>3.5677999999999999E-3</v>
      </c>
      <c r="AB44" s="4">
        <v>3.4737000000000001E-3</v>
      </c>
      <c r="AC44" s="4">
        <v>3.3842999999999998E-3</v>
      </c>
      <c r="AD44" s="4">
        <v>3.2997E-3</v>
      </c>
      <c r="AE44" s="4">
        <v>3.2185999999999998E-3</v>
      </c>
      <c r="AF44" s="4">
        <v>3.1394000000000001E-3</v>
      </c>
      <c r="AG44" s="4">
        <v>3.0571000000000001E-3</v>
      </c>
      <c r="AH44" s="4">
        <v>2.9662999999999998E-3</v>
      </c>
      <c r="AI44" s="4">
        <v>2.7866000000000002E-3</v>
      </c>
      <c r="AJ44" s="4">
        <v>2.5536000000000001E-3</v>
      </c>
      <c r="AK44" s="4">
        <v>2.1543000000000001E-3</v>
      </c>
      <c r="AL44" s="4">
        <v>2.3574999999999998E-3</v>
      </c>
      <c r="AM44" s="4">
        <v>2.323E-3</v>
      </c>
      <c r="AN44" s="4">
        <v>2.2935999999999998E-3</v>
      </c>
      <c r="AO44" s="4">
        <v>2.2631000000000001E-3</v>
      </c>
      <c r="AP44" s="4">
        <v>2.2353999999999998E-3</v>
      </c>
      <c r="AQ44" s="4">
        <v>2.2068999999999999E-3</v>
      </c>
      <c r="AR44" s="4">
        <v>2.1789999999999999E-3</v>
      </c>
      <c r="AS44" s="4">
        <v>2.1508999999999999E-3</v>
      </c>
      <c r="AT44" s="4">
        <v>2.1229E-3</v>
      </c>
      <c r="AU44" s="4">
        <v>2.0948999999999998E-3</v>
      </c>
      <c r="AV44" s="4">
        <v>2.0671000000000001E-3</v>
      </c>
      <c r="AW44" s="4">
        <v>2.0395000000000001E-3</v>
      </c>
      <c r="AX44" s="4">
        <v>2.0121000000000002E-3</v>
      </c>
      <c r="AY44" s="4">
        <v>1.9849999999999998E-3</v>
      </c>
      <c r="AZ44" s="4">
        <v>1.9580999999999999E-3</v>
      </c>
      <c r="BA44" s="4">
        <v>1.9315999999999999E-3</v>
      </c>
      <c r="BB44" s="4">
        <v>1.9055000000000001E-3</v>
      </c>
      <c r="BC44" s="4">
        <v>1.8795999999999999E-3</v>
      </c>
      <c r="BD44" s="4">
        <v>1.8542000000000001E-3</v>
      </c>
      <c r="BE44" s="4">
        <v>1.8289999999999999E-3</v>
      </c>
      <c r="BF44" s="4">
        <v>1.8043E-3</v>
      </c>
      <c r="BG44" s="4">
        <v>1.7798E-3</v>
      </c>
      <c r="BH44" s="4">
        <v>1.7557E-3</v>
      </c>
      <c r="BI44" s="4">
        <v>1.732E-3</v>
      </c>
      <c r="BJ44" s="4">
        <v>1.7084999999999999E-3</v>
      </c>
      <c r="BK44" s="4">
        <v>1.6854000000000001E-3</v>
      </c>
      <c r="BL44" s="4">
        <v>1.6627E-3</v>
      </c>
      <c r="BM44" s="4">
        <v>1.6402000000000001E-3</v>
      </c>
      <c r="BN44" s="4">
        <v>1.6180000000000001E-3</v>
      </c>
      <c r="BO44" s="4">
        <v>1.5962000000000001E-3</v>
      </c>
      <c r="BP44" s="4">
        <v>1.5746E-3</v>
      </c>
      <c r="BQ44" s="4">
        <v>1.5533000000000001E-3</v>
      </c>
      <c r="BR44" s="4">
        <v>1.5322999999999999E-3</v>
      </c>
      <c r="BS44" s="4">
        <v>1.5116000000000001E-3</v>
      </c>
      <c r="BT44" s="4">
        <v>1.4912E-3</v>
      </c>
      <c r="BU44" s="4">
        <v>1.4710000000000001E-3</v>
      </c>
      <c r="BV44" s="4">
        <v>1.4511000000000001E-3</v>
      </c>
      <c r="BW44" s="4">
        <v>1.4314E-3</v>
      </c>
      <c r="BX44" s="4">
        <v>1.4120000000000001E-3</v>
      </c>
      <c r="BY44" s="4">
        <v>1.3928E-3</v>
      </c>
      <c r="BZ44" s="4">
        <v>1.3738999999999999E-3</v>
      </c>
      <c r="CA44" s="4">
        <v>1.3552E-3</v>
      </c>
      <c r="CB44" s="4">
        <v>1.3368E-3</v>
      </c>
      <c r="CC44" s="4">
        <v>1.3186000000000001E-3</v>
      </c>
      <c r="CD44" s="4">
        <v>1.3006000000000001E-3</v>
      </c>
      <c r="CE44" s="4">
        <v>1.2828E-3</v>
      </c>
      <c r="CF44" s="4">
        <v>1.2653E-3</v>
      </c>
      <c r="CG44" s="4">
        <v>1.248E-3</v>
      </c>
      <c r="CH44" s="4">
        <v>1.2309E-3</v>
      </c>
      <c r="CI44" s="4">
        <v>1.214E-3</v>
      </c>
      <c r="CJ44" s="4">
        <v>1.1973999999999999E-3</v>
      </c>
      <c r="CK44" s="4">
        <v>1.1808999999999999E-3</v>
      </c>
      <c r="CL44" s="4">
        <v>1.1647000000000001E-3</v>
      </c>
      <c r="CM44" s="4">
        <v>1.1486999999999999E-3</v>
      </c>
      <c r="CN44" s="4">
        <v>1.1329000000000001E-3</v>
      </c>
      <c r="CO44" s="4">
        <v>1.1172000000000001E-3</v>
      </c>
      <c r="CP44" s="4">
        <v>1.1018E-3</v>
      </c>
      <c r="CQ44" s="4">
        <v>1.0866000000000001E-3</v>
      </c>
      <c r="CR44" s="4">
        <v>1.0716E-3</v>
      </c>
      <c r="CS44" s="4">
        <v>1.0567E-3</v>
      </c>
      <c r="CT44" s="4">
        <v>1.0421E-3</v>
      </c>
      <c r="CU44" s="4">
        <v>1.0277000000000001E-3</v>
      </c>
      <c r="CV44" s="4">
        <v>1.0134E-3</v>
      </c>
      <c r="CW44" s="4">
        <v>9.9930000000000006E-4</v>
      </c>
      <c r="CX44" s="4">
        <v>9.8539999999999999E-4</v>
      </c>
      <c r="CY44" s="4">
        <v>9.7170000000000004E-4</v>
      </c>
      <c r="CZ44" s="4">
        <v>9.5819999999999998E-4</v>
      </c>
      <c r="DA44" s="4">
        <v>9.4479999999999998E-4</v>
      </c>
      <c r="DB44" s="4">
        <v>9.3170000000000004E-4</v>
      </c>
      <c r="DC44" s="4">
        <v>9.1859999999999999E-4</v>
      </c>
      <c r="DD44" s="4">
        <v>9.0580000000000001E-4</v>
      </c>
      <c r="DE44" s="4">
        <v>8.9320000000000003E-4</v>
      </c>
      <c r="DF44" s="4">
        <v>8.8069999999999999E-4</v>
      </c>
      <c r="DG44" s="4">
        <v>8.6830000000000002E-4</v>
      </c>
      <c r="DH44" s="4">
        <v>8.5619999999999999E-4</v>
      </c>
      <c r="DI44" s="4">
        <v>8.4420000000000003E-4</v>
      </c>
      <c r="DJ44" s="4">
        <v>8.3230000000000001E-4</v>
      </c>
      <c r="DK44" s="4">
        <v>8.2070000000000005E-4</v>
      </c>
      <c r="DL44" s="4">
        <v>8.0909999999999999E-4</v>
      </c>
      <c r="DM44" s="4">
        <v>7.9779999999999998E-4</v>
      </c>
      <c r="DN44" s="4">
        <v>7.8660000000000004E-4</v>
      </c>
      <c r="DO44" s="4">
        <v>7.7550000000000004E-4</v>
      </c>
      <c r="DP44" s="4">
        <v>7.6460000000000005E-4</v>
      </c>
      <c r="DQ44" s="4">
        <v>5.3149000000000002E-2</v>
      </c>
      <c r="DR44" s="4">
        <v>0</v>
      </c>
      <c r="DS44" s="4">
        <v>4.8199999999999999E-5</v>
      </c>
      <c r="DT44" s="4">
        <v>1.6899999999999999E-4</v>
      </c>
      <c r="DU44" s="4">
        <v>6.9309999999999999E-4</v>
      </c>
      <c r="DV44" s="4">
        <v>6.1819999999999996E-4</v>
      </c>
      <c r="DW44" s="4">
        <v>5.775E-4</v>
      </c>
      <c r="DX44" s="4">
        <v>5.999E-4</v>
      </c>
      <c r="DY44" s="4">
        <v>5.308E-4</v>
      </c>
      <c r="DZ44" s="4">
        <v>4.8509999999999997E-4</v>
      </c>
      <c r="EA44" s="4">
        <v>4.3009999999999999E-4</v>
      </c>
      <c r="EB44" s="4">
        <v>3.8430000000000002E-4</v>
      </c>
      <c r="EC44" s="4">
        <v>3.4249999999999998E-4</v>
      </c>
      <c r="ED44" s="4">
        <v>3.0679999999999998E-4</v>
      </c>
      <c r="EE44" s="4">
        <v>2.7540000000000003E-4</v>
      </c>
      <c r="EF44" s="4">
        <v>2.4820000000000002E-4</v>
      </c>
      <c r="EG44" s="4">
        <v>2.2440000000000001E-4</v>
      </c>
      <c r="EH44" s="4">
        <v>2.087E-4</v>
      </c>
      <c r="EI44" s="4">
        <v>1.9000000000000001E-4</v>
      </c>
      <c r="EJ44" s="4">
        <v>1.7369999999999999E-4</v>
      </c>
      <c r="EK44" s="4">
        <v>1.593E-4</v>
      </c>
      <c r="EL44" s="4">
        <v>1.4660000000000001E-4</v>
      </c>
      <c r="EM44" s="4">
        <v>1.3540000000000001E-4</v>
      </c>
      <c r="EN44" s="4">
        <v>1.2540000000000001E-4</v>
      </c>
      <c r="EO44" s="4">
        <v>1.165E-4</v>
      </c>
      <c r="EP44" s="4">
        <v>1.086E-4</v>
      </c>
      <c r="EQ44" s="4">
        <v>1.015E-4</v>
      </c>
      <c r="ER44" s="4">
        <v>9.5299999999999999E-5</v>
      </c>
      <c r="ES44" s="4">
        <v>8.9699999999999998E-5</v>
      </c>
      <c r="ET44" s="4">
        <v>8.4499999999999994E-5</v>
      </c>
      <c r="EU44" s="4">
        <v>7.9900000000000004E-5</v>
      </c>
      <c r="EV44" s="4">
        <v>7.5599999999999994E-5</v>
      </c>
      <c r="EW44" s="4">
        <v>7.1600000000000006E-5</v>
      </c>
      <c r="EX44" s="4">
        <v>6.7500000000000001E-5</v>
      </c>
      <c r="EY44" s="4">
        <v>6.1600000000000007E-5</v>
      </c>
      <c r="EZ44" s="4">
        <v>5.5000000000000002E-5</v>
      </c>
      <c r="FA44" s="4">
        <v>4.5099999999999998E-5</v>
      </c>
      <c r="FB44" s="4">
        <v>4.8999999999999998E-5</v>
      </c>
      <c r="FC44" s="4">
        <v>4.71E-5</v>
      </c>
      <c r="FD44" s="4">
        <v>4.5399999999999999E-5</v>
      </c>
      <c r="FE44" s="4">
        <v>4.3800000000000001E-5</v>
      </c>
      <c r="FF44" s="4">
        <v>4.2299999999999998E-5</v>
      </c>
      <c r="FG44" s="4">
        <v>4.0899999999999998E-5</v>
      </c>
      <c r="FH44" s="4">
        <v>3.96E-5</v>
      </c>
      <c r="FI44" s="4">
        <v>3.8300000000000003E-5</v>
      </c>
      <c r="FJ44" s="4">
        <v>3.7100000000000001E-5</v>
      </c>
      <c r="FK44" s="4">
        <v>3.6000000000000001E-5</v>
      </c>
      <c r="FL44" s="4">
        <v>3.4999999999999997E-5</v>
      </c>
      <c r="FM44" s="4">
        <v>3.4E-5</v>
      </c>
      <c r="FN44" s="4">
        <v>3.3000000000000003E-5</v>
      </c>
      <c r="FO44" s="4">
        <v>3.2100000000000001E-5</v>
      </c>
      <c r="FP44" s="4">
        <v>3.1300000000000002E-5</v>
      </c>
      <c r="FQ44" s="4">
        <v>3.0499999999999999E-5</v>
      </c>
      <c r="FR44" s="4">
        <v>2.97E-5</v>
      </c>
      <c r="FS44" s="4">
        <v>2.9E-5</v>
      </c>
      <c r="FT44" s="4">
        <v>2.83E-5</v>
      </c>
      <c r="FU44" s="4">
        <v>2.7699999999999999E-5</v>
      </c>
      <c r="FV44" s="4">
        <v>2.7100000000000001E-5</v>
      </c>
      <c r="FW44" s="4">
        <v>2.65E-5</v>
      </c>
      <c r="FX44" s="4">
        <v>2.5999999999999998E-5</v>
      </c>
      <c r="FY44" s="4">
        <v>2.5400000000000001E-5</v>
      </c>
      <c r="FZ44" s="4">
        <v>2.4899999999999999E-5</v>
      </c>
      <c r="GA44" s="4">
        <v>2.4499999999999999E-5</v>
      </c>
      <c r="GB44" s="4">
        <v>2.4000000000000001E-5</v>
      </c>
      <c r="GC44" s="4">
        <v>2.3600000000000001E-5</v>
      </c>
      <c r="GD44" s="4">
        <v>2.3200000000000001E-5</v>
      </c>
      <c r="GE44" s="4">
        <v>2.2799999999999999E-5</v>
      </c>
      <c r="GF44" s="4">
        <v>2.2399999999999999E-5</v>
      </c>
      <c r="GG44" s="4">
        <v>2.1999999999999999E-5</v>
      </c>
      <c r="GH44" s="4">
        <v>2.1699999999999999E-5</v>
      </c>
      <c r="GI44" s="4">
        <v>2.1299999999999999E-5</v>
      </c>
      <c r="GJ44" s="4">
        <v>2.0999999999999999E-5</v>
      </c>
      <c r="GK44" s="4">
        <v>2.0699999999999998E-5</v>
      </c>
      <c r="GL44" s="4">
        <v>2.0400000000000001E-5</v>
      </c>
      <c r="GM44" s="4">
        <v>2.0100000000000001E-5</v>
      </c>
      <c r="GN44" s="4">
        <v>1.98E-5</v>
      </c>
      <c r="GO44" s="4">
        <v>1.95E-5</v>
      </c>
      <c r="GP44" s="4">
        <v>1.9199999999999999E-5</v>
      </c>
      <c r="GQ44" s="4">
        <v>1.8899999999999999E-5</v>
      </c>
      <c r="GR44" s="4">
        <v>1.8700000000000001E-5</v>
      </c>
      <c r="GS44" s="4">
        <v>1.84E-5</v>
      </c>
      <c r="GT44" s="4">
        <v>1.8199999999999999E-5</v>
      </c>
      <c r="GU44" s="4">
        <v>1.7900000000000001E-5</v>
      </c>
      <c r="GV44" s="4">
        <v>1.77E-5</v>
      </c>
      <c r="GW44" s="4">
        <v>1.7399999999999999E-5</v>
      </c>
      <c r="GX44" s="4">
        <v>1.7200000000000001E-5</v>
      </c>
      <c r="GY44" s="4">
        <v>1.6900000000000001E-5</v>
      </c>
      <c r="GZ44" s="4">
        <v>1.6699999999999999E-5</v>
      </c>
      <c r="HA44" s="4">
        <v>1.6500000000000001E-5</v>
      </c>
      <c r="HB44" s="4">
        <v>1.63E-5</v>
      </c>
      <c r="HC44" s="4">
        <v>1.6099999999999998E-5</v>
      </c>
      <c r="HD44" s="4">
        <v>1.5800000000000001E-5</v>
      </c>
      <c r="HE44" s="4">
        <v>1.56E-5</v>
      </c>
      <c r="HF44" s="4">
        <v>1.5400000000000002E-5</v>
      </c>
      <c r="HG44" s="4">
        <v>1.52E-5</v>
      </c>
      <c r="HH44" s="4">
        <v>1.5E-5</v>
      </c>
      <c r="HI44" s="4">
        <v>1.4800000000000001E-5</v>
      </c>
      <c r="HJ44" s="4">
        <v>1.4600000000000001E-5</v>
      </c>
      <c r="HK44" s="4">
        <v>1.4399999999999999E-5</v>
      </c>
      <c r="HL44" s="4">
        <v>1.42E-5</v>
      </c>
      <c r="HM44" s="4">
        <v>1.4E-5</v>
      </c>
      <c r="HN44" s="4">
        <v>1.38E-5</v>
      </c>
      <c r="HO44" s="4">
        <v>1.36E-5</v>
      </c>
      <c r="HP44" s="4">
        <v>1.3499999999999999E-5</v>
      </c>
      <c r="HQ44" s="4">
        <v>1.33E-5</v>
      </c>
      <c r="HR44" s="4">
        <v>1.31E-5</v>
      </c>
      <c r="HS44" s="4">
        <v>1.29E-5</v>
      </c>
      <c r="HT44" s="4">
        <v>1.27E-5</v>
      </c>
      <c r="HU44" s="4">
        <v>1.26E-5</v>
      </c>
      <c r="HV44" s="4">
        <v>1.24E-5</v>
      </c>
      <c r="HW44" s="4">
        <v>1.22E-5</v>
      </c>
      <c r="HX44" s="4">
        <v>1.2099999999999999E-5</v>
      </c>
      <c r="HY44" s="4">
        <v>1.19E-5</v>
      </c>
      <c r="HZ44" s="4">
        <v>1.17E-5</v>
      </c>
      <c r="IA44" s="4">
        <v>1.1600000000000001E-5</v>
      </c>
      <c r="IB44" s="4">
        <v>1.1399999999999999E-5</v>
      </c>
      <c r="IC44" s="4">
        <v>1.13E-5</v>
      </c>
      <c r="ID44" s="4">
        <v>1.11E-5</v>
      </c>
      <c r="IE44" s="4">
        <v>1.1E-5</v>
      </c>
      <c r="IF44" s="4">
        <v>1.08E-5</v>
      </c>
      <c r="IG44" s="4">
        <v>7.5449999999999996E-4</v>
      </c>
      <c r="IH44" s="4"/>
      <c r="II44" s="4">
        <f t="shared" si="257"/>
        <v>0.11585820678232617</v>
      </c>
      <c r="IL44">
        <f t="shared" si="258"/>
        <v>0.35954293749999949</v>
      </c>
      <c r="IP44" s="4">
        <f t="shared" si="273"/>
        <v>8.4095000000000003E-3</v>
      </c>
      <c r="IQ44" s="4">
        <f t="shared" si="274"/>
        <v>7.7067999999999998E-3</v>
      </c>
      <c r="IR44" s="4">
        <f t="shared" si="261"/>
        <v>4.9984000000000035E-3</v>
      </c>
      <c r="IS44" s="4">
        <f t="shared" si="262"/>
        <v>3.4003999999999979E-3</v>
      </c>
      <c r="IT44" s="4">
        <f t="shared" si="263"/>
        <v>2.3861000000000004E-3</v>
      </c>
      <c r="IU44" s="4">
        <f t="shared" si="264"/>
        <v>5.6123000000000076E-3</v>
      </c>
      <c r="IV44" s="4">
        <f t="shared" si="265"/>
        <v>2.4466999999999961E-3</v>
      </c>
      <c r="IW44" s="4">
        <f t="shared" si="266"/>
        <v>1.6440999999999921E-3</v>
      </c>
      <c r="IX44" s="4">
        <f t="shared" si="267"/>
        <v>5.0517000000000062E-3</v>
      </c>
      <c r="IZ44">
        <f t="shared" si="270"/>
        <v>2016.75</v>
      </c>
      <c r="JA44">
        <f t="shared" si="268"/>
        <v>0.97146727912112396</v>
      </c>
      <c r="JB44">
        <f t="shared" si="268"/>
        <v>0.45126841174334775</v>
      </c>
      <c r="JC44">
        <f t="shared" si="268"/>
        <v>0.38887935631292558</v>
      </c>
      <c r="JD44">
        <f t="shared" si="268"/>
        <v>3.2094068366839617</v>
      </c>
      <c r="JE44">
        <f t="shared" si="268"/>
        <v>3.627296447145016</v>
      </c>
      <c r="JF44">
        <f t="shared" si="268"/>
        <v>-0.52957189444372499</v>
      </c>
      <c r="JG44">
        <f t="shared" si="268"/>
        <v>-2.7492863486078281</v>
      </c>
      <c r="JH44">
        <f t="shared" si="268"/>
        <v>-0.92027046519190348</v>
      </c>
      <c r="JI44">
        <f t="shared" si="268"/>
        <v>-0.15823727019500752</v>
      </c>
    </row>
    <row r="45" spans="1:269" x14ac:dyDescent="0.35">
      <c r="A45" s="1">
        <v>37</v>
      </c>
      <c r="B45" s="4">
        <v>1.0654E-2</v>
      </c>
      <c r="C45" s="4">
        <v>1.0654E-2</v>
      </c>
      <c r="D45" s="4">
        <v>1.06058E-2</v>
      </c>
      <c r="E45" s="4">
        <v>1.04367E-2</v>
      </c>
      <c r="F45" s="4">
        <v>9.8178999999999992E-3</v>
      </c>
      <c r="G45" s="4">
        <v>9.1999000000000004E-3</v>
      </c>
      <c r="H45" s="4">
        <v>8.6228999999999993E-3</v>
      </c>
      <c r="I45" s="4">
        <v>8.0236000000000005E-3</v>
      </c>
      <c r="J45" s="4">
        <v>7.4936999999999998E-3</v>
      </c>
      <c r="K45" s="4">
        <v>7.0096999999999998E-3</v>
      </c>
      <c r="L45" s="4">
        <v>6.5808000000000004E-3</v>
      </c>
      <c r="M45" s="4">
        <v>6.1980999999999998E-3</v>
      </c>
      <c r="N45" s="4">
        <v>5.8570999999999996E-3</v>
      </c>
      <c r="O45" s="4">
        <v>5.5519999999999996E-3</v>
      </c>
      <c r="P45" s="4">
        <v>5.2782000000000003E-3</v>
      </c>
      <c r="Q45" s="4">
        <v>5.0317000000000001E-3</v>
      </c>
      <c r="R45" s="4">
        <v>4.8091000000000002E-3</v>
      </c>
      <c r="S45" s="4">
        <v>4.6904E-3</v>
      </c>
      <c r="T45" s="4">
        <v>4.5024000000000002E-3</v>
      </c>
      <c r="U45" s="4">
        <v>4.3312000000000003E-3</v>
      </c>
      <c r="V45" s="4">
        <v>4.1748000000000002E-3</v>
      </c>
      <c r="W45" s="4">
        <v>4.0315999999999998E-3</v>
      </c>
      <c r="X45" s="4">
        <v>3.8999E-3</v>
      </c>
      <c r="Y45" s="4">
        <v>3.7791000000000001E-3</v>
      </c>
      <c r="Z45" s="4">
        <v>3.6671E-3</v>
      </c>
      <c r="AA45" s="4">
        <v>3.5628000000000001E-3</v>
      </c>
      <c r="AB45" s="4">
        <v>3.4662999999999999E-3</v>
      </c>
      <c r="AC45" s="4">
        <v>3.3784000000000002E-3</v>
      </c>
      <c r="AD45" s="4">
        <v>3.2946E-3</v>
      </c>
      <c r="AE45" s="4">
        <v>3.2150999999999998E-3</v>
      </c>
      <c r="AF45" s="4">
        <v>3.1386999999999999E-3</v>
      </c>
      <c r="AG45" s="4">
        <v>3.0638000000000002E-3</v>
      </c>
      <c r="AH45" s="4">
        <v>2.9854999999999999E-3</v>
      </c>
      <c r="AI45" s="4">
        <v>2.8987000000000001E-3</v>
      </c>
      <c r="AJ45" s="4">
        <v>2.725E-3</v>
      </c>
      <c r="AK45" s="4">
        <v>2.4986000000000001E-3</v>
      </c>
      <c r="AL45" s="4">
        <v>2.1091999999999999E-3</v>
      </c>
      <c r="AM45" s="4">
        <v>2.3086000000000001E-3</v>
      </c>
      <c r="AN45" s="4">
        <v>2.2759E-3</v>
      </c>
      <c r="AO45" s="4">
        <v>2.2482000000000001E-3</v>
      </c>
      <c r="AP45" s="4">
        <v>2.2193E-3</v>
      </c>
      <c r="AQ45" s="4">
        <v>2.1930999999999999E-3</v>
      </c>
      <c r="AR45" s="4">
        <v>2.166E-3</v>
      </c>
      <c r="AS45" s="4">
        <v>2.1394000000000001E-3</v>
      </c>
      <c r="AT45" s="4">
        <v>2.1126000000000001E-3</v>
      </c>
      <c r="AU45" s="4">
        <v>2.0858000000000001E-3</v>
      </c>
      <c r="AV45" s="4">
        <v>2.0588999999999998E-3</v>
      </c>
      <c r="AW45" s="4">
        <v>2.0322000000000001E-3</v>
      </c>
      <c r="AX45" s="4">
        <v>2.0054999999999999E-3</v>
      </c>
      <c r="AY45" s="4">
        <v>1.9791000000000001E-3</v>
      </c>
      <c r="AZ45" s="4">
        <v>1.9529E-3</v>
      </c>
      <c r="BA45" s="4">
        <v>1.9269000000000001E-3</v>
      </c>
      <c r="BB45" s="4">
        <v>1.9012E-3</v>
      </c>
      <c r="BC45" s="4">
        <v>1.8758E-3</v>
      </c>
      <c r="BD45" s="4">
        <v>1.8506E-3</v>
      </c>
      <c r="BE45" s="4">
        <v>1.8258E-3</v>
      </c>
      <c r="BF45" s="4">
        <v>1.8014000000000001E-3</v>
      </c>
      <c r="BG45" s="4">
        <v>1.7772E-3</v>
      </c>
      <c r="BH45" s="4">
        <v>1.7533E-3</v>
      </c>
      <c r="BI45" s="4">
        <v>1.7298000000000001E-3</v>
      </c>
      <c r="BJ45" s="4">
        <v>1.7064999999999999E-3</v>
      </c>
      <c r="BK45" s="4">
        <v>1.6835999999999999E-3</v>
      </c>
      <c r="BL45" s="4">
        <v>1.6609999999999999E-3</v>
      </c>
      <c r="BM45" s="4">
        <v>1.6386E-3</v>
      </c>
      <c r="BN45" s="4">
        <v>1.6165999999999999E-3</v>
      </c>
      <c r="BO45" s="4">
        <v>1.5949E-3</v>
      </c>
      <c r="BP45" s="4">
        <v>1.5734E-3</v>
      </c>
      <c r="BQ45" s="4">
        <v>1.5522000000000001E-3</v>
      </c>
      <c r="BR45" s="4">
        <v>1.5313E-3</v>
      </c>
      <c r="BS45" s="4">
        <v>1.5107E-3</v>
      </c>
      <c r="BT45" s="4">
        <v>1.4903E-3</v>
      </c>
      <c r="BU45" s="4">
        <v>1.4702000000000001E-3</v>
      </c>
      <c r="BV45" s="4">
        <v>1.4503000000000001E-3</v>
      </c>
      <c r="BW45" s="4">
        <v>1.4307E-3</v>
      </c>
      <c r="BX45" s="4">
        <v>1.4113000000000001E-3</v>
      </c>
      <c r="BY45" s="4">
        <v>1.3921999999999999E-3</v>
      </c>
      <c r="BZ45" s="4">
        <v>1.3733E-3</v>
      </c>
      <c r="CA45" s="4">
        <v>1.3546999999999999E-3</v>
      </c>
      <c r="CB45" s="4">
        <v>1.3362999999999999E-3</v>
      </c>
      <c r="CC45" s="4">
        <v>1.3181E-3</v>
      </c>
      <c r="CD45" s="4">
        <v>1.3001E-3</v>
      </c>
      <c r="CE45" s="4">
        <v>1.2823999999999999E-3</v>
      </c>
      <c r="CF45" s="4">
        <v>1.2649E-3</v>
      </c>
      <c r="CG45" s="4">
        <v>1.2476E-3</v>
      </c>
      <c r="CH45" s="4">
        <v>1.2306000000000001E-3</v>
      </c>
      <c r="CI45" s="4">
        <v>1.2137000000000001E-3</v>
      </c>
      <c r="CJ45" s="4">
        <v>1.1971E-3</v>
      </c>
      <c r="CK45" s="4">
        <v>1.1807E-3</v>
      </c>
      <c r="CL45" s="4">
        <v>1.1645E-3</v>
      </c>
      <c r="CM45" s="4">
        <v>1.1483999999999999E-3</v>
      </c>
      <c r="CN45" s="4">
        <v>1.1326000000000001E-3</v>
      </c>
      <c r="CO45" s="4">
        <v>1.1169999999999999E-3</v>
      </c>
      <c r="CP45" s="4">
        <v>1.1016000000000001E-3</v>
      </c>
      <c r="CQ45" s="4">
        <v>1.0864E-3</v>
      </c>
      <c r="CR45" s="4">
        <v>1.0713999999999999E-3</v>
      </c>
      <c r="CS45" s="4">
        <v>1.0566E-3</v>
      </c>
      <c r="CT45" s="4">
        <v>1.0418999999999999E-3</v>
      </c>
      <c r="CU45" s="4">
        <v>1.0275E-3</v>
      </c>
      <c r="CV45" s="4">
        <v>1.0131999999999999E-3</v>
      </c>
      <c r="CW45" s="4">
        <v>9.992E-4</v>
      </c>
      <c r="CX45" s="4">
        <v>9.8529999999999993E-4</v>
      </c>
      <c r="CY45" s="4">
        <v>9.7159999999999998E-4</v>
      </c>
      <c r="CZ45" s="4">
        <v>9.5810000000000003E-4</v>
      </c>
      <c r="DA45" s="4">
        <v>9.4470000000000003E-4</v>
      </c>
      <c r="DB45" s="4">
        <v>9.3150000000000004E-4</v>
      </c>
      <c r="DC45" s="4">
        <v>9.1850000000000005E-4</v>
      </c>
      <c r="DD45" s="4">
        <v>9.0569999999999995E-4</v>
      </c>
      <c r="DE45" s="4">
        <v>8.9309999999999997E-4</v>
      </c>
      <c r="DF45" s="4">
        <v>8.8060000000000005E-4</v>
      </c>
      <c r="DG45" s="4">
        <v>8.6830000000000002E-4</v>
      </c>
      <c r="DH45" s="4">
        <v>8.5610000000000005E-4</v>
      </c>
      <c r="DI45" s="4">
        <v>8.4409999999999997E-4</v>
      </c>
      <c r="DJ45" s="4">
        <v>8.3230000000000001E-4</v>
      </c>
      <c r="DK45" s="4">
        <v>8.206E-4</v>
      </c>
      <c r="DL45" s="4">
        <v>8.0909999999999999E-4</v>
      </c>
      <c r="DM45" s="4">
        <v>7.9770000000000004E-4</v>
      </c>
      <c r="DN45" s="4">
        <v>7.8649999999999998E-4</v>
      </c>
      <c r="DO45" s="4">
        <v>7.7550000000000004E-4</v>
      </c>
      <c r="DP45" s="4">
        <v>7.6449999999999999E-4</v>
      </c>
      <c r="DQ45" s="4">
        <v>5.31482E-2</v>
      </c>
      <c r="DR45" s="4">
        <v>0</v>
      </c>
      <c r="DS45" s="4">
        <v>4.8199999999999999E-5</v>
      </c>
      <c r="DT45" s="4">
        <v>1.6909999999999999E-4</v>
      </c>
      <c r="DU45" s="4">
        <v>6.8110000000000002E-4</v>
      </c>
      <c r="DV45" s="4">
        <v>6.1830000000000001E-4</v>
      </c>
      <c r="DW45" s="4">
        <v>5.7760000000000005E-4</v>
      </c>
      <c r="DX45" s="4">
        <v>5.9999999999999995E-4</v>
      </c>
      <c r="DY45" s="4">
        <v>5.3089999999999995E-4</v>
      </c>
      <c r="DZ45" s="4">
        <v>4.8509999999999997E-4</v>
      </c>
      <c r="EA45" s="4">
        <v>4.3009999999999999E-4</v>
      </c>
      <c r="EB45" s="4">
        <v>3.8430000000000002E-4</v>
      </c>
      <c r="EC45" s="4">
        <v>3.4259999999999998E-4</v>
      </c>
      <c r="ED45" s="4">
        <v>3.0679999999999998E-4</v>
      </c>
      <c r="EE45" s="4">
        <v>2.7540000000000003E-4</v>
      </c>
      <c r="EF45" s="4">
        <v>2.4820000000000002E-4</v>
      </c>
      <c r="EG45" s="4">
        <v>2.2440000000000001E-4</v>
      </c>
      <c r="EH45" s="4">
        <v>2.0369999999999999E-4</v>
      </c>
      <c r="EI45" s="4">
        <v>1.9000000000000001E-4</v>
      </c>
      <c r="EJ45" s="4">
        <v>1.7359999999999999E-4</v>
      </c>
      <c r="EK45" s="4">
        <v>1.5919999999999999E-4</v>
      </c>
      <c r="EL45" s="4">
        <v>1.4650000000000001E-4</v>
      </c>
      <c r="EM45" s="4">
        <v>1.3520000000000001E-4</v>
      </c>
      <c r="EN45" s="4">
        <v>1.2520000000000001E-4</v>
      </c>
      <c r="EO45" s="4">
        <v>1.164E-4</v>
      </c>
      <c r="EP45" s="4">
        <v>1.0849999999999999E-4</v>
      </c>
      <c r="EQ45" s="4">
        <v>1.014E-4</v>
      </c>
      <c r="ER45" s="4">
        <v>9.5000000000000005E-5</v>
      </c>
      <c r="ES45" s="4">
        <v>8.9499999999999994E-5</v>
      </c>
      <c r="ET45" s="4">
        <v>8.4400000000000005E-5</v>
      </c>
      <c r="EU45" s="4">
        <v>7.9800000000000002E-5</v>
      </c>
      <c r="EV45" s="4">
        <v>7.5599999999999994E-5</v>
      </c>
      <c r="EW45" s="4">
        <v>7.1699999999999995E-5</v>
      </c>
      <c r="EX45" s="4">
        <v>6.7899999999999997E-5</v>
      </c>
      <c r="EY45" s="4">
        <v>6.4200000000000002E-5</v>
      </c>
      <c r="EZ45" s="4">
        <v>5.8699999999999997E-5</v>
      </c>
      <c r="FA45" s="4">
        <v>5.2500000000000002E-5</v>
      </c>
      <c r="FB45" s="4">
        <v>4.3099999999999997E-5</v>
      </c>
      <c r="FC45" s="4">
        <v>4.6799999999999999E-5</v>
      </c>
      <c r="FD45" s="4">
        <v>4.5099999999999998E-5</v>
      </c>
      <c r="FE45" s="4">
        <v>4.35E-5</v>
      </c>
      <c r="FF45" s="4">
        <v>4.1999999999999998E-5</v>
      </c>
      <c r="FG45" s="4">
        <v>4.07E-5</v>
      </c>
      <c r="FH45" s="4">
        <v>3.93E-5</v>
      </c>
      <c r="FI45" s="4">
        <v>3.8099999999999998E-5</v>
      </c>
      <c r="FJ45" s="4">
        <v>3.6999999999999998E-5</v>
      </c>
      <c r="FK45" s="4">
        <v>3.5899999999999998E-5</v>
      </c>
      <c r="FL45" s="4">
        <v>3.4799999999999999E-5</v>
      </c>
      <c r="FM45" s="4">
        <v>3.3800000000000002E-5</v>
      </c>
      <c r="FN45" s="4">
        <v>3.29E-5</v>
      </c>
      <c r="FO45" s="4">
        <v>3.1999999999999999E-5</v>
      </c>
      <c r="FP45" s="4">
        <v>3.1199999999999999E-5</v>
      </c>
      <c r="FQ45" s="4">
        <v>3.04E-5</v>
      </c>
      <c r="FR45" s="4">
        <v>2.9600000000000001E-5</v>
      </c>
      <c r="FS45" s="4">
        <v>2.8900000000000001E-5</v>
      </c>
      <c r="FT45" s="4">
        <v>2.83E-5</v>
      </c>
      <c r="FU45" s="4">
        <v>2.76E-5</v>
      </c>
      <c r="FV45" s="4">
        <v>2.6999999999999999E-5</v>
      </c>
      <c r="FW45" s="4">
        <v>2.65E-5</v>
      </c>
      <c r="FX45" s="4">
        <v>2.5899999999999999E-5</v>
      </c>
      <c r="FY45" s="4">
        <v>2.5400000000000001E-5</v>
      </c>
      <c r="FZ45" s="4">
        <v>2.4899999999999999E-5</v>
      </c>
      <c r="GA45" s="4">
        <v>2.44E-5</v>
      </c>
      <c r="GB45" s="4">
        <v>2.4000000000000001E-5</v>
      </c>
      <c r="GC45" s="4">
        <v>2.3600000000000001E-5</v>
      </c>
      <c r="GD45" s="4">
        <v>2.3200000000000001E-5</v>
      </c>
      <c r="GE45" s="4">
        <v>2.2799999999999999E-5</v>
      </c>
      <c r="GF45" s="4">
        <v>2.2399999999999999E-5</v>
      </c>
      <c r="GG45" s="4">
        <v>2.1999999999999999E-5</v>
      </c>
      <c r="GH45" s="4">
        <v>2.1699999999999999E-5</v>
      </c>
      <c r="GI45" s="4">
        <v>2.1299999999999999E-5</v>
      </c>
      <c r="GJ45" s="4">
        <v>2.0999999999999999E-5</v>
      </c>
      <c r="GK45" s="4">
        <v>2.0699999999999998E-5</v>
      </c>
      <c r="GL45" s="4">
        <v>2.0400000000000001E-5</v>
      </c>
      <c r="GM45" s="4">
        <v>2.0100000000000001E-5</v>
      </c>
      <c r="GN45" s="4">
        <v>1.98E-5</v>
      </c>
      <c r="GO45" s="4">
        <v>1.95E-5</v>
      </c>
      <c r="GP45" s="4">
        <v>1.9199999999999999E-5</v>
      </c>
      <c r="GQ45" s="4">
        <v>1.8899999999999999E-5</v>
      </c>
      <c r="GR45" s="4">
        <v>1.8700000000000001E-5</v>
      </c>
      <c r="GS45" s="4">
        <v>1.84E-5</v>
      </c>
      <c r="GT45" s="4">
        <v>1.8199999999999999E-5</v>
      </c>
      <c r="GU45" s="4">
        <v>1.7900000000000001E-5</v>
      </c>
      <c r="GV45" s="4">
        <v>1.77E-5</v>
      </c>
      <c r="GW45" s="4">
        <v>1.7399999999999999E-5</v>
      </c>
      <c r="GX45" s="4">
        <v>1.7200000000000001E-5</v>
      </c>
      <c r="GY45" s="4">
        <v>1.6900000000000001E-5</v>
      </c>
      <c r="GZ45" s="4">
        <v>1.6699999999999999E-5</v>
      </c>
      <c r="HA45" s="4">
        <v>1.6500000000000001E-5</v>
      </c>
      <c r="HB45" s="4">
        <v>1.63E-5</v>
      </c>
      <c r="HC45" s="4">
        <v>1.6099999999999998E-5</v>
      </c>
      <c r="HD45" s="4">
        <v>1.5800000000000001E-5</v>
      </c>
      <c r="HE45" s="4">
        <v>1.56E-5</v>
      </c>
      <c r="HF45" s="4">
        <v>1.5400000000000002E-5</v>
      </c>
      <c r="HG45" s="4">
        <v>1.52E-5</v>
      </c>
      <c r="HH45" s="4">
        <v>1.5E-5</v>
      </c>
      <c r="HI45" s="4">
        <v>1.4800000000000001E-5</v>
      </c>
      <c r="HJ45" s="4">
        <v>1.4600000000000001E-5</v>
      </c>
      <c r="HK45" s="4">
        <v>1.4399999999999999E-5</v>
      </c>
      <c r="HL45" s="4">
        <v>1.42E-5</v>
      </c>
      <c r="HM45" s="4">
        <v>1.4E-5</v>
      </c>
      <c r="HN45" s="4">
        <v>1.38E-5</v>
      </c>
      <c r="HO45" s="4">
        <v>1.36E-5</v>
      </c>
      <c r="HP45" s="4">
        <v>1.3499999999999999E-5</v>
      </c>
      <c r="HQ45" s="4">
        <v>1.33E-5</v>
      </c>
      <c r="HR45" s="4">
        <v>1.31E-5</v>
      </c>
      <c r="HS45" s="4">
        <v>1.29E-5</v>
      </c>
      <c r="HT45" s="4">
        <v>1.27E-5</v>
      </c>
      <c r="HU45" s="4">
        <v>1.26E-5</v>
      </c>
      <c r="HV45" s="4">
        <v>1.24E-5</v>
      </c>
      <c r="HW45" s="4">
        <v>1.22E-5</v>
      </c>
      <c r="HX45" s="4">
        <v>1.2099999999999999E-5</v>
      </c>
      <c r="HY45" s="4">
        <v>1.19E-5</v>
      </c>
      <c r="HZ45" s="4">
        <v>1.17E-5</v>
      </c>
      <c r="IA45" s="4">
        <v>1.1600000000000001E-5</v>
      </c>
      <c r="IB45" s="4">
        <v>1.1399999999999999E-5</v>
      </c>
      <c r="IC45" s="4">
        <v>1.13E-5</v>
      </c>
      <c r="ID45" s="4">
        <v>1.11E-5</v>
      </c>
      <c r="IE45" s="4">
        <v>1.1E-5</v>
      </c>
      <c r="IF45" s="4">
        <v>1.08E-5</v>
      </c>
      <c r="IG45" s="4">
        <v>7.5449999999999996E-4</v>
      </c>
      <c r="IH45" s="4"/>
      <c r="II45" s="4">
        <f t="shared" si="257"/>
        <v>0.11577965441064651</v>
      </c>
      <c r="IL45">
        <f t="shared" si="258"/>
        <v>0.35953726249999968</v>
      </c>
      <c r="IP45" s="4">
        <f t="shared" si="273"/>
        <v>8.4117999999999971E-3</v>
      </c>
      <c r="IQ45" s="4">
        <f t="shared" si="274"/>
        <v>7.7091000000000034E-3</v>
      </c>
      <c r="IR45" s="4">
        <f t="shared" si="261"/>
        <v>4.9987999999999977E-3</v>
      </c>
      <c r="IS45" s="4">
        <f t="shared" si="262"/>
        <v>3.3702999999999962E-3</v>
      </c>
      <c r="IT45" s="4">
        <f t="shared" si="263"/>
        <v>2.3780999999999976E-3</v>
      </c>
      <c r="IU45" s="4">
        <f t="shared" si="264"/>
        <v>5.6242999999999987E-3</v>
      </c>
      <c r="IV45" s="4">
        <f t="shared" si="265"/>
        <v>2.4399000000000018E-3</v>
      </c>
      <c r="IW45" s="4">
        <f t="shared" si="266"/>
        <v>1.6434000000000032E-3</v>
      </c>
      <c r="IX45" s="4">
        <f t="shared" si="267"/>
        <v>5.0513999999999837E-3</v>
      </c>
      <c r="IZ45">
        <f t="shared" si="270"/>
        <v>2017</v>
      </c>
      <c r="JA45">
        <f t="shared" si="268"/>
        <v>0.99881356049448322</v>
      </c>
      <c r="JB45">
        <f t="shared" si="268"/>
        <v>0.48110773370403259</v>
      </c>
      <c r="JC45">
        <f t="shared" si="268"/>
        <v>0.39688159694446473</v>
      </c>
      <c r="JD45">
        <f t="shared" si="268"/>
        <v>2.3202757779442442</v>
      </c>
      <c r="JE45">
        <f t="shared" si="268"/>
        <v>3.2914580054689702</v>
      </c>
      <c r="JF45">
        <f t="shared" si="268"/>
        <v>-0.31598407318165578</v>
      </c>
      <c r="JG45">
        <f t="shared" si="268"/>
        <v>-3.0275986471084382</v>
      </c>
      <c r="JH45">
        <f t="shared" si="268"/>
        <v>-0.96285601716562097</v>
      </c>
      <c r="JI45">
        <f t="shared" si="268"/>
        <v>-0.16417604146542836</v>
      </c>
    </row>
    <row r="46" spans="1:269" x14ac:dyDescent="0.35">
      <c r="A46" s="1">
        <v>38</v>
      </c>
      <c r="B46" s="4">
        <v>1.0654E-2</v>
      </c>
      <c r="C46" s="4">
        <v>1.0654E-2</v>
      </c>
      <c r="D46" s="4">
        <v>1.06058E-2</v>
      </c>
      <c r="E46" s="4">
        <v>1.04367E-2</v>
      </c>
      <c r="F46" s="4">
        <v>9.7555999999999997E-3</v>
      </c>
      <c r="G46" s="4">
        <v>9.1996000000000005E-3</v>
      </c>
      <c r="H46" s="4">
        <v>8.6222999999999994E-3</v>
      </c>
      <c r="I46" s="4">
        <v>8.0228000000000001E-3</v>
      </c>
      <c r="J46" s="4">
        <v>7.4926999999999997E-3</v>
      </c>
      <c r="K46" s="4">
        <v>7.0086000000000002E-3</v>
      </c>
      <c r="L46" s="4">
        <v>6.5795999999999997E-3</v>
      </c>
      <c r="M46" s="4">
        <v>6.1966E-3</v>
      </c>
      <c r="N46" s="4">
        <v>5.8554999999999996E-3</v>
      </c>
      <c r="O46" s="4">
        <v>5.5503000000000002E-3</v>
      </c>
      <c r="P46" s="4">
        <v>5.2766000000000002E-3</v>
      </c>
      <c r="Q46" s="4">
        <v>5.0299999999999997E-3</v>
      </c>
      <c r="R46" s="4">
        <v>4.8072999999999996E-3</v>
      </c>
      <c r="S46" s="4">
        <v>4.6053999999999999E-3</v>
      </c>
      <c r="T46" s="4">
        <v>4.5005000000000002E-3</v>
      </c>
      <c r="U46" s="4">
        <v>4.3287999999999998E-3</v>
      </c>
      <c r="V46" s="4">
        <v>4.1720000000000004E-3</v>
      </c>
      <c r="W46" s="4">
        <v>4.0283000000000003E-3</v>
      </c>
      <c r="X46" s="4">
        <v>3.8963000000000001E-3</v>
      </c>
      <c r="Y46" s="4">
        <v>3.7747000000000002E-3</v>
      </c>
      <c r="Z46" s="4">
        <v>3.6627999999999999E-3</v>
      </c>
      <c r="AA46" s="4">
        <v>3.5585999999999999E-3</v>
      </c>
      <c r="AB46" s="4">
        <v>3.4615000000000002E-3</v>
      </c>
      <c r="AC46" s="4">
        <v>3.3712E-3</v>
      </c>
      <c r="AD46" s="4">
        <v>3.2889999999999998E-3</v>
      </c>
      <c r="AE46" s="4">
        <v>3.2101999999999999E-3</v>
      </c>
      <c r="AF46" s="4">
        <v>3.1353000000000002E-3</v>
      </c>
      <c r="AG46" s="4">
        <v>3.0631999999999999E-3</v>
      </c>
      <c r="AH46" s="4">
        <v>2.9921000000000001E-3</v>
      </c>
      <c r="AI46" s="4">
        <v>2.9175999999999998E-3</v>
      </c>
      <c r="AJ46" s="4">
        <v>2.8345000000000002E-3</v>
      </c>
      <c r="AK46" s="4">
        <v>2.6662999999999999E-3</v>
      </c>
      <c r="AL46" s="4">
        <v>2.4461000000000001E-3</v>
      </c>
      <c r="AM46" s="4">
        <v>2.0661E-3</v>
      </c>
      <c r="AN46" s="4">
        <v>2.2618E-3</v>
      </c>
      <c r="AO46" s="4">
        <v>2.2307999999999998E-3</v>
      </c>
      <c r="AP46" s="4">
        <v>2.2047E-3</v>
      </c>
      <c r="AQ46" s="4">
        <v>2.1773000000000001E-3</v>
      </c>
      <c r="AR46" s="4">
        <v>2.1524000000000001E-3</v>
      </c>
      <c r="AS46" s="4">
        <v>2.1267E-3</v>
      </c>
      <c r="AT46" s="4">
        <v>2.1013E-3</v>
      </c>
      <c r="AU46" s="4">
        <v>2.0755999999999999E-3</v>
      </c>
      <c r="AV46" s="4">
        <v>2.0498999999999999E-3</v>
      </c>
      <c r="AW46" s="4">
        <v>2.0241E-3</v>
      </c>
      <c r="AX46" s="4">
        <v>1.9983000000000002E-3</v>
      </c>
      <c r="AY46" s="4">
        <v>1.9726000000000001E-3</v>
      </c>
      <c r="AZ46" s="4">
        <v>1.9471E-3</v>
      </c>
      <c r="BA46" s="4">
        <v>1.9216999999999999E-3</v>
      </c>
      <c r="BB46" s="4">
        <v>1.8965E-3</v>
      </c>
      <c r="BC46" s="4">
        <v>1.8714999999999999E-3</v>
      </c>
      <c r="BD46" s="4">
        <v>1.8468E-3</v>
      </c>
      <c r="BE46" s="4">
        <v>1.8224000000000001E-3</v>
      </c>
      <c r="BF46" s="4">
        <v>1.7982E-3</v>
      </c>
      <c r="BG46" s="4">
        <v>1.7742999999999999E-3</v>
      </c>
      <c r="BH46" s="4">
        <v>1.7507E-3</v>
      </c>
      <c r="BI46" s="4">
        <v>1.7274E-3</v>
      </c>
      <c r="BJ46" s="4">
        <v>1.7044E-3</v>
      </c>
      <c r="BK46" s="4">
        <v>1.6815999999999999E-3</v>
      </c>
      <c r="BL46" s="4">
        <v>1.6592E-3</v>
      </c>
      <c r="BM46" s="4">
        <v>1.637E-3</v>
      </c>
      <c r="BN46" s="4">
        <v>1.6151E-3</v>
      </c>
      <c r="BO46" s="4">
        <v>1.5935000000000001E-3</v>
      </c>
      <c r="BP46" s="4">
        <v>1.5721000000000001E-3</v>
      </c>
      <c r="BQ46" s="4">
        <v>1.5510000000000001E-3</v>
      </c>
      <c r="BR46" s="4">
        <v>1.5302E-3</v>
      </c>
      <c r="BS46" s="4">
        <v>1.5096E-3</v>
      </c>
      <c r="BT46" s="4">
        <v>1.4893E-3</v>
      </c>
      <c r="BU46" s="4">
        <v>1.4693E-3</v>
      </c>
      <c r="BV46" s="4">
        <v>1.4495000000000001E-3</v>
      </c>
      <c r="BW46" s="4">
        <v>1.4299E-3</v>
      </c>
      <c r="BX46" s="4">
        <v>1.4105999999999999E-3</v>
      </c>
      <c r="BY46" s="4">
        <v>1.3914999999999999E-3</v>
      </c>
      <c r="BZ46" s="4">
        <v>1.3726999999999999E-3</v>
      </c>
      <c r="CA46" s="4">
        <v>1.3541E-3</v>
      </c>
      <c r="CB46" s="4">
        <v>1.3357E-3</v>
      </c>
      <c r="CC46" s="4">
        <v>1.3175999999999999E-3</v>
      </c>
      <c r="CD46" s="4">
        <v>1.2997E-3</v>
      </c>
      <c r="CE46" s="4">
        <v>1.2819999999999999E-3</v>
      </c>
      <c r="CF46" s="4">
        <v>1.2645E-3</v>
      </c>
      <c r="CG46" s="4">
        <v>1.2473E-3</v>
      </c>
      <c r="CH46" s="4">
        <v>1.2302000000000001E-3</v>
      </c>
      <c r="CI46" s="4">
        <v>1.2133999999999999E-3</v>
      </c>
      <c r="CJ46" s="4">
        <v>1.1968E-3</v>
      </c>
      <c r="CK46" s="4">
        <v>1.1804000000000001E-3</v>
      </c>
      <c r="CL46" s="4">
        <v>1.1642E-3</v>
      </c>
      <c r="CM46" s="4">
        <v>1.1482E-3</v>
      </c>
      <c r="CN46" s="4">
        <v>1.1324E-3</v>
      </c>
      <c r="CO46" s="4">
        <v>1.1168E-3</v>
      </c>
      <c r="CP46" s="4">
        <v>1.1014E-3</v>
      </c>
      <c r="CQ46" s="4">
        <v>1.0862000000000001E-3</v>
      </c>
      <c r="CR46" s="4">
        <v>1.0712E-3</v>
      </c>
      <c r="CS46" s="4">
        <v>1.0564000000000001E-3</v>
      </c>
      <c r="CT46" s="4">
        <v>1.0418000000000001E-3</v>
      </c>
      <c r="CU46" s="4">
        <v>1.0273000000000001E-3</v>
      </c>
      <c r="CV46" s="4">
        <v>1.0131000000000001E-3</v>
      </c>
      <c r="CW46" s="4">
        <v>9.990000000000001E-4</v>
      </c>
      <c r="CX46" s="4">
        <v>9.8520000000000009E-4</v>
      </c>
      <c r="CY46" s="4">
        <v>9.7150000000000003E-4</v>
      </c>
      <c r="CZ46" s="4">
        <v>9.5790000000000003E-4</v>
      </c>
      <c r="DA46" s="4">
        <v>9.4459999999999998E-4</v>
      </c>
      <c r="DB46" s="4">
        <v>9.3139999999999998E-4</v>
      </c>
      <c r="DC46" s="4">
        <v>9.1839999999999999E-4</v>
      </c>
      <c r="DD46" s="4">
        <v>9.056E-4</v>
      </c>
      <c r="DE46" s="4">
        <v>8.9300000000000002E-4</v>
      </c>
      <c r="DF46" s="4">
        <v>8.8049999999999999E-4</v>
      </c>
      <c r="DG46" s="4">
        <v>8.6819999999999996E-4</v>
      </c>
      <c r="DH46" s="4">
        <v>8.5599999999999999E-4</v>
      </c>
      <c r="DI46" s="4">
        <v>8.4400000000000002E-4</v>
      </c>
      <c r="DJ46" s="4">
        <v>8.3219999999999995E-4</v>
      </c>
      <c r="DK46" s="4">
        <v>8.2050000000000005E-4</v>
      </c>
      <c r="DL46" s="4">
        <v>8.0900000000000004E-4</v>
      </c>
      <c r="DM46" s="4">
        <v>7.9770000000000004E-4</v>
      </c>
      <c r="DN46" s="4">
        <v>7.8649999999999998E-4</v>
      </c>
      <c r="DO46" s="4">
        <v>7.7539999999999998E-4</v>
      </c>
      <c r="DP46" s="4">
        <v>7.6449999999999999E-4</v>
      </c>
      <c r="DQ46" s="4">
        <v>5.31475E-2</v>
      </c>
      <c r="DR46" s="4">
        <v>0</v>
      </c>
      <c r="DS46" s="4">
        <v>4.8199999999999999E-5</v>
      </c>
      <c r="DT46" s="4">
        <v>1.6909999999999999E-4</v>
      </c>
      <c r="DU46" s="4">
        <v>6.8119999999999997E-4</v>
      </c>
      <c r="DV46" s="4">
        <v>6.1039999999999998E-4</v>
      </c>
      <c r="DW46" s="4">
        <v>5.7779999999999995E-4</v>
      </c>
      <c r="DX46" s="4">
        <v>6.001E-4</v>
      </c>
      <c r="DY46" s="4">
        <v>5.31E-4</v>
      </c>
      <c r="DZ46" s="4">
        <v>4.8519999999999998E-4</v>
      </c>
      <c r="EA46" s="4">
        <v>4.3019999999999999E-4</v>
      </c>
      <c r="EB46" s="4">
        <v>3.8430000000000002E-4</v>
      </c>
      <c r="EC46" s="4">
        <v>3.4269999999999998E-4</v>
      </c>
      <c r="ED46" s="4">
        <v>3.0689999999999998E-4</v>
      </c>
      <c r="EE46" s="4">
        <v>2.7549999999999997E-4</v>
      </c>
      <c r="EF46" s="4">
        <v>2.4820000000000002E-4</v>
      </c>
      <c r="EG46" s="4">
        <v>2.2440000000000001E-4</v>
      </c>
      <c r="EH46" s="4">
        <v>2.0369999999999999E-4</v>
      </c>
      <c r="EI46" s="4">
        <v>1.8550000000000001E-4</v>
      </c>
      <c r="EJ46" s="4">
        <v>1.7359999999999999E-4</v>
      </c>
      <c r="EK46" s="4">
        <v>1.5909999999999999E-4</v>
      </c>
      <c r="EL46" s="4">
        <v>1.4640000000000001E-4</v>
      </c>
      <c r="EM46" s="4">
        <v>1.351E-4</v>
      </c>
      <c r="EN46" s="4">
        <v>1.2510000000000001E-4</v>
      </c>
      <c r="EO46" s="4">
        <v>1.1629999999999999E-4</v>
      </c>
      <c r="EP46" s="4">
        <v>1.0840000000000001E-4</v>
      </c>
      <c r="EQ46" s="4">
        <v>1.013E-4</v>
      </c>
      <c r="ER46" s="4">
        <v>9.4900000000000003E-5</v>
      </c>
      <c r="ES46" s="4">
        <v>8.9300000000000002E-5</v>
      </c>
      <c r="ET46" s="4">
        <v>8.42E-5</v>
      </c>
      <c r="EU46" s="4">
        <v>7.9699999999999999E-5</v>
      </c>
      <c r="EV46" s="4">
        <v>7.5500000000000006E-5</v>
      </c>
      <c r="EW46" s="4">
        <v>7.1600000000000006E-5</v>
      </c>
      <c r="EX46" s="4">
        <v>6.7999999999999999E-5</v>
      </c>
      <c r="EY46" s="4">
        <v>6.4599999999999998E-5</v>
      </c>
      <c r="EZ46" s="4">
        <v>6.1099999999999994E-5</v>
      </c>
      <c r="FA46" s="4">
        <v>5.5999999999999999E-5</v>
      </c>
      <c r="FB46" s="4">
        <v>5.0099999999999998E-5</v>
      </c>
      <c r="FC46" s="4">
        <v>4.1199999999999999E-5</v>
      </c>
      <c r="FD46" s="4">
        <v>4.4799999999999998E-5</v>
      </c>
      <c r="FE46" s="4">
        <v>4.3099999999999997E-5</v>
      </c>
      <c r="FF46" s="4">
        <v>4.1699999999999997E-5</v>
      </c>
      <c r="FG46" s="4">
        <v>4.0299999999999997E-5</v>
      </c>
      <c r="FH46" s="4">
        <v>3.9100000000000002E-5</v>
      </c>
      <c r="FI46" s="4">
        <v>3.79E-5</v>
      </c>
      <c r="FJ46" s="4">
        <v>3.6699999999999998E-5</v>
      </c>
      <c r="FK46" s="4">
        <v>3.57E-5</v>
      </c>
      <c r="FL46" s="4">
        <v>3.4600000000000001E-5</v>
      </c>
      <c r="FM46" s="4">
        <v>3.3699999999999999E-5</v>
      </c>
      <c r="FN46" s="4">
        <v>3.2700000000000002E-5</v>
      </c>
      <c r="FO46" s="4">
        <v>3.1900000000000003E-5</v>
      </c>
      <c r="FP46" s="4">
        <v>3.1099999999999997E-5</v>
      </c>
      <c r="FQ46" s="4">
        <v>3.0300000000000001E-5</v>
      </c>
      <c r="FR46" s="4">
        <v>2.9499999999999999E-5</v>
      </c>
      <c r="FS46" s="4">
        <v>2.8799999999999999E-5</v>
      </c>
      <c r="FT46" s="4">
        <v>2.8200000000000001E-5</v>
      </c>
      <c r="FU46" s="4">
        <v>2.76E-5</v>
      </c>
      <c r="FV46" s="4">
        <v>2.6999999999999999E-5</v>
      </c>
      <c r="FW46" s="4">
        <v>2.6400000000000001E-5</v>
      </c>
      <c r="FX46" s="4">
        <v>2.5899999999999999E-5</v>
      </c>
      <c r="FY46" s="4">
        <v>2.5299999999999998E-5</v>
      </c>
      <c r="FZ46" s="4">
        <v>2.4899999999999999E-5</v>
      </c>
      <c r="GA46" s="4">
        <v>2.44E-5</v>
      </c>
      <c r="GB46" s="4">
        <v>2.3900000000000002E-5</v>
      </c>
      <c r="GC46" s="4">
        <v>2.3499999999999999E-5</v>
      </c>
      <c r="GD46" s="4">
        <v>2.3099999999999999E-5</v>
      </c>
      <c r="GE46" s="4">
        <v>2.27E-5</v>
      </c>
      <c r="GF46" s="4">
        <v>2.23E-5</v>
      </c>
      <c r="GG46" s="4">
        <v>2.1999999999999999E-5</v>
      </c>
      <c r="GH46" s="4">
        <v>2.16E-5</v>
      </c>
      <c r="GI46" s="4">
        <v>2.1299999999999999E-5</v>
      </c>
      <c r="GJ46" s="4">
        <v>2.0999999999999999E-5</v>
      </c>
      <c r="GK46" s="4">
        <v>2.0599999999999999E-5</v>
      </c>
      <c r="GL46" s="4">
        <v>2.0299999999999999E-5</v>
      </c>
      <c r="GM46" s="4">
        <v>2.0000000000000002E-5</v>
      </c>
      <c r="GN46" s="4">
        <v>1.9700000000000001E-5</v>
      </c>
      <c r="GO46" s="4">
        <v>1.95E-5</v>
      </c>
      <c r="GP46" s="4">
        <v>1.9199999999999999E-5</v>
      </c>
      <c r="GQ46" s="4">
        <v>1.8899999999999999E-5</v>
      </c>
      <c r="GR46" s="4">
        <v>1.8600000000000001E-5</v>
      </c>
      <c r="GS46" s="4">
        <v>1.84E-5</v>
      </c>
      <c r="GT46" s="4">
        <v>1.8099999999999999E-5</v>
      </c>
      <c r="GU46" s="4">
        <v>1.7900000000000001E-5</v>
      </c>
      <c r="GV46" s="4">
        <v>1.7600000000000001E-5</v>
      </c>
      <c r="GW46" s="4">
        <v>1.7399999999999999E-5</v>
      </c>
      <c r="GX46" s="4">
        <v>1.7200000000000001E-5</v>
      </c>
      <c r="GY46" s="4">
        <v>1.6900000000000001E-5</v>
      </c>
      <c r="GZ46" s="4">
        <v>1.6699999999999999E-5</v>
      </c>
      <c r="HA46" s="4">
        <v>1.6500000000000001E-5</v>
      </c>
      <c r="HB46" s="4">
        <v>1.63E-5</v>
      </c>
      <c r="HC46" s="4">
        <v>1.5999999999999999E-5</v>
      </c>
      <c r="HD46" s="4">
        <v>1.5800000000000001E-5</v>
      </c>
      <c r="HE46" s="4">
        <v>1.56E-5</v>
      </c>
      <c r="HF46" s="4">
        <v>1.5400000000000002E-5</v>
      </c>
      <c r="HG46" s="4">
        <v>1.52E-5</v>
      </c>
      <c r="HH46" s="4">
        <v>1.5E-5</v>
      </c>
      <c r="HI46" s="4">
        <v>1.4800000000000001E-5</v>
      </c>
      <c r="HJ46" s="4">
        <v>1.4600000000000001E-5</v>
      </c>
      <c r="HK46" s="4">
        <v>1.4399999999999999E-5</v>
      </c>
      <c r="HL46" s="4">
        <v>1.42E-5</v>
      </c>
      <c r="HM46" s="4">
        <v>1.4E-5</v>
      </c>
      <c r="HN46" s="4">
        <v>1.38E-5</v>
      </c>
      <c r="HO46" s="4">
        <v>1.36E-5</v>
      </c>
      <c r="HP46" s="4">
        <v>1.3499999999999999E-5</v>
      </c>
      <c r="HQ46" s="4">
        <v>1.33E-5</v>
      </c>
      <c r="HR46" s="4">
        <v>1.31E-5</v>
      </c>
      <c r="HS46" s="4">
        <v>1.29E-5</v>
      </c>
      <c r="HT46" s="4">
        <v>1.27E-5</v>
      </c>
      <c r="HU46" s="4">
        <v>1.26E-5</v>
      </c>
      <c r="HV46" s="4">
        <v>1.24E-5</v>
      </c>
      <c r="HW46" s="4">
        <v>1.22E-5</v>
      </c>
      <c r="HX46" s="4">
        <v>1.2099999999999999E-5</v>
      </c>
      <c r="HY46" s="4">
        <v>1.19E-5</v>
      </c>
      <c r="HZ46" s="4">
        <v>1.17E-5</v>
      </c>
      <c r="IA46" s="4">
        <v>1.1600000000000001E-5</v>
      </c>
      <c r="IB46" s="4">
        <v>1.1399999999999999E-5</v>
      </c>
      <c r="IC46" s="4">
        <v>1.13E-5</v>
      </c>
      <c r="ID46" s="4">
        <v>1.11E-5</v>
      </c>
      <c r="IE46" s="4">
        <v>1.1E-5</v>
      </c>
      <c r="IF46" s="4">
        <v>1.08E-5</v>
      </c>
      <c r="IG46" s="4">
        <v>7.5449999999999996E-4</v>
      </c>
      <c r="IH46" s="4"/>
      <c r="II46" s="4">
        <f t="shared" si="257"/>
        <v>0.11266048205777976</v>
      </c>
      <c r="IL46">
        <f t="shared" si="258"/>
        <v>0.35965761249999989</v>
      </c>
      <c r="IP46" s="4">
        <f t="shared" si="273"/>
        <v>8.5468999999999962E-3</v>
      </c>
      <c r="IQ46" s="4">
        <f t="shared" si="274"/>
        <v>7.8971000000000041E-3</v>
      </c>
      <c r="IR46" s="4">
        <f t="shared" si="261"/>
        <v>5.1874000000000017E-3</v>
      </c>
      <c r="IS46" s="4">
        <f t="shared" si="262"/>
        <v>3.6901000000000017E-3</v>
      </c>
      <c r="IT46" s="4">
        <f t="shared" si="263"/>
        <v>2.8466000000000029E-3</v>
      </c>
      <c r="IU46" s="4">
        <f t="shared" si="264"/>
        <v>5.0940999999999764E-3</v>
      </c>
      <c r="IV46" s="4">
        <f t="shared" si="265"/>
        <v>1.031100000000007E-3</v>
      </c>
      <c r="IW46" s="4">
        <f t="shared" si="266"/>
        <v>1.318200000000002E-3</v>
      </c>
      <c r="IX46" s="4">
        <f t="shared" si="267"/>
        <v>4.907700000000001E-3</v>
      </c>
      <c r="IZ46">
        <f t="shared" si="270"/>
        <v>2017.25</v>
      </c>
      <c r="JA46">
        <f t="shared" si="268"/>
        <v>2.5921297709595401</v>
      </c>
      <c r="JB46">
        <f t="shared" si="268"/>
        <v>2.8905231564830376</v>
      </c>
      <c r="JC46">
        <f t="shared" si="268"/>
        <v>4.1003540602530819</v>
      </c>
      <c r="JD46">
        <f t="shared" si="268"/>
        <v>11.385455456200681</v>
      </c>
      <c r="JE46">
        <f t="shared" si="268"/>
        <v>21.273803017999686</v>
      </c>
      <c r="JF46">
        <f t="shared" si="268"/>
        <v>-10.217332933106823</v>
      </c>
      <c r="JG46">
        <f t="shared" si="268"/>
        <v>-89.160684778801951</v>
      </c>
      <c r="JH46">
        <f t="shared" si="268"/>
        <v>-23.012865705012452</v>
      </c>
      <c r="JI46">
        <f t="shared" si="268"/>
        <v>-3.0501792718088909</v>
      </c>
    </row>
    <row r="47" spans="1:269" x14ac:dyDescent="0.35">
      <c r="A47" s="1">
        <v>39</v>
      </c>
      <c r="B47" s="4">
        <v>1.0654E-2</v>
      </c>
      <c r="C47" s="4">
        <v>1.0654E-2</v>
      </c>
      <c r="D47" s="4">
        <v>1.06058E-2</v>
      </c>
      <c r="E47" s="4">
        <v>1.04361E-2</v>
      </c>
      <c r="F47" s="4">
        <v>9.7535E-3</v>
      </c>
      <c r="G47" s="4">
        <v>9.1403999999999999E-3</v>
      </c>
      <c r="H47" s="4">
        <v>8.5669000000000006E-3</v>
      </c>
      <c r="I47" s="4">
        <v>7.9711000000000001E-3</v>
      </c>
      <c r="J47" s="4">
        <v>7.4428000000000003E-3</v>
      </c>
      <c r="K47" s="4">
        <v>6.9601000000000003E-3</v>
      </c>
      <c r="L47" s="4">
        <v>6.5317999999999999E-3</v>
      </c>
      <c r="M47" s="4">
        <v>6.1491999999999996E-3</v>
      </c>
      <c r="N47" s="4">
        <v>5.8079999999999998E-3</v>
      </c>
      <c r="O47" s="4">
        <v>5.5024999999999996E-3</v>
      </c>
      <c r="P47" s="4">
        <v>5.2283E-3</v>
      </c>
      <c r="Q47" s="4">
        <v>4.9813000000000001E-3</v>
      </c>
      <c r="R47" s="4">
        <v>4.7580000000000001E-3</v>
      </c>
      <c r="S47" s="4">
        <v>4.5554000000000002E-3</v>
      </c>
      <c r="T47" s="4">
        <v>4.3709999999999999E-3</v>
      </c>
      <c r="U47" s="4">
        <v>4.2025999999999999E-3</v>
      </c>
      <c r="V47" s="4">
        <v>4.0480999999999998E-3</v>
      </c>
      <c r="W47" s="4">
        <v>3.9061E-3</v>
      </c>
      <c r="X47" s="4">
        <v>3.7750000000000001E-3</v>
      </c>
      <c r="Y47" s="4">
        <v>3.6537000000000002E-3</v>
      </c>
      <c r="Z47" s="4">
        <v>3.5412E-3</v>
      </c>
      <c r="AA47" s="4">
        <v>3.4364E-3</v>
      </c>
      <c r="AB47" s="4">
        <v>3.3384999999999999E-3</v>
      </c>
      <c r="AC47" s="4">
        <v>3.2468000000000002E-3</v>
      </c>
      <c r="AD47" s="4">
        <v>3.1606999999999998E-3</v>
      </c>
      <c r="AE47" s="4">
        <v>3.0796999999999999E-3</v>
      </c>
      <c r="AF47" s="4">
        <v>3.0030999999999999E-3</v>
      </c>
      <c r="AG47" s="4">
        <v>2.9307000000000001E-3</v>
      </c>
      <c r="AH47" s="4">
        <v>2.8620999999999998E-3</v>
      </c>
      <c r="AI47" s="4">
        <v>2.7969000000000002E-3</v>
      </c>
      <c r="AJ47" s="4">
        <v>2.7349000000000002E-3</v>
      </c>
      <c r="AK47" s="4">
        <v>2.6759000000000002E-3</v>
      </c>
      <c r="AL47" s="4">
        <v>2.6194999999999999E-3</v>
      </c>
      <c r="AM47" s="4">
        <v>2.5657000000000002E-3</v>
      </c>
      <c r="AN47" s="4">
        <v>2.5143000000000001E-3</v>
      </c>
      <c r="AO47" s="4">
        <v>2.4650000000000002E-3</v>
      </c>
      <c r="AP47" s="4">
        <v>2.4177000000000001E-3</v>
      </c>
      <c r="AQ47" s="4">
        <v>2.3722999999999999E-3</v>
      </c>
      <c r="AR47" s="4">
        <v>2.3287E-3</v>
      </c>
      <c r="AS47" s="4">
        <v>2.2867E-3</v>
      </c>
      <c r="AT47" s="4">
        <v>2.2461999999999998E-3</v>
      </c>
      <c r="AU47" s="4">
        <v>2.2071999999999999E-3</v>
      </c>
      <c r="AV47" s="4">
        <v>2.1695E-3</v>
      </c>
      <c r="AW47" s="4">
        <v>2.1329999999999999E-3</v>
      </c>
      <c r="AX47" s="4">
        <v>2.0977000000000001E-3</v>
      </c>
      <c r="AY47" s="4">
        <v>2.0634E-3</v>
      </c>
      <c r="AZ47" s="4">
        <v>2.0301999999999998E-3</v>
      </c>
      <c r="BA47" s="4">
        <v>1.9980000000000002E-3</v>
      </c>
      <c r="BB47" s="4">
        <v>1.9666000000000002E-3</v>
      </c>
      <c r="BC47" s="4">
        <v>1.9361000000000001E-3</v>
      </c>
      <c r="BD47" s="4">
        <v>1.9063000000000001E-3</v>
      </c>
      <c r="BE47" s="4">
        <v>1.8772999999999999E-3</v>
      </c>
      <c r="BF47" s="4">
        <v>1.8489999999999999E-3</v>
      </c>
      <c r="BG47" s="4">
        <v>1.8213000000000001E-3</v>
      </c>
      <c r="BH47" s="4">
        <v>1.7943E-3</v>
      </c>
      <c r="BI47" s="4">
        <v>1.7677999999999999E-3</v>
      </c>
      <c r="BJ47" s="4">
        <v>1.7419E-3</v>
      </c>
      <c r="BK47" s="4">
        <v>1.7166E-3</v>
      </c>
      <c r="BL47" s="4">
        <v>1.6917E-3</v>
      </c>
      <c r="BM47" s="4">
        <v>1.6673E-3</v>
      </c>
      <c r="BN47" s="4">
        <v>1.6433999999999999E-3</v>
      </c>
      <c r="BO47" s="4">
        <v>1.6199000000000001E-3</v>
      </c>
      <c r="BP47" s="4">
        <v>1.5968E-3</v>
      </c>
      <c r="BQ47" s="4">
        <v>1.5740999999999999E-3</v>
      </c>
      <c r="BR47" s="4">
        <v>1.5518000000000001E-3</v>
      </c>
      <c r="BS47" s="4">
        <v>1.5299000000000001E-3</v>
      </c>
      <c r="BT47" s="4">
        <v>1.5083E-3</v>
      </c>
      <c r="BU47" s="4">
        <v>1.4871000000000001E-3</v>
      </c>
      <c r="BV47" s="4">
        <v>1.4662E-3</v>
      </c>
      <c r="BW47" s="4">
        <v>1.4457000000000001E-3</v>
      </c>
      <c r="BX47" s="4">
        <v>1.4254000000000001E-3</v>
      </c>
      <c r="BY47" s="4">
        <v>1.4055000000000001E-3</v>
      </c>
      <c r="BZ47" s="4">
        <v>1.3858E-3</v>
      </c>
      <c r="CA47" s="4">
        <v>1.3664E-3</v>
      </c>
      <c r="CB47" s="4">
        <v>1.3473999999999999E-3</v>
      </c>
      <c r="CC47" s="4">
        <v>1.3285E-3</v>
      </c>
      <c r="CD47" s="4">
        <v>1.31E-3</v>
      </c>
      <c r="CE47" s="4">
        <v>1.2917E-3</v>
      </c>
      <c r="CF47" s="4">
        <v>1.2737E-3</v>
      </c>
      <c r="CG47" s="4">
        <v>1.2558999999999999E-3</v>
      </c>
      <c r="CH47" s="4">
        <v>1.2384E-3</v>
      </c>
      <c r="CI47" s="4">
        <v>1.2210999999999999E-3</v>
      </c>
      <c r="CJ47" s="4">
        <v>1.2041E-3</v>
      </c>
      <c r="CK47" s="4">
        <v>1.1873000000000001E-3</v>
      </c>
      <c r="CL47" s="4">
        <v>1.1707E-3</v>
      </c>
      <c r="CM47" s="4">
        <v>1.1543E-3</v>
      </c>
      <c r="CN47" s="4">
        <v>1.1382E-3</v>
      </c>
      <c r="CO47" s="4">
        <v>1.1222999999999999E-3</v>
      </c>
      <c r="CP47" s="4">
        <v>1.1065999999999999E-3</v>
      </c>
      <c r="CQ47" s="4">
        <v>1.0911E-3</v>
      </c>
      <c r="CR47" s="4">
        <v>1.0759000000000001E-3</v>
      </c>
      <c r="CS47" s="4">
        <v>1.0608E-3</v>
      </c>
      <c r="CT47" s="4">
        <v>1.0459E-3</v>
      </c>
      <c r="CU47" s="4">
        <v>1.0313E-3</v>
      </c>
      <c r="CV47" s="4">
        <v>1.0168E-3</v>
      </c>
      <c r="CW47" s="4">
        <v>1.0026E-3</v>
      </c>
      <c r="CX47" s="4">
        <v>9.8850000000000001E-4</v>
      </c>
      <c r="CY47" s="4">
        <v>9.7460000000000005E-4</v>
      </c>
      <c r="CZ47" s="4">
        <v>9.6089999999999999E-4</v>
      </c>
      <c r="DA47" s="4">
        <v>9.4740000000000004E-4</v>
      </c>
      <c r="DB47" s="4">
        <v>9.3409999999999999E-4</v>
      </c>
      <c r="DC47" s="4">
        <v>9.2100000000000005E-4</v>
      </c>
      <c r="DD47" s="4">
        <v>9.0799999999999995E-4</v>
      </c>
      <c r="DE47" s="4">
        <v>8.9519999999999997E-4</v>
      </c>
      <c r="DF47" s="4">
        <v>8.8259999999999999E-4</v>
      </c>
      <c r="DG47" s="4">
        <v>8.7020000000000001E-4</v>
      </c>
      <c r="DH47" s="4">
        <v>8.5789999999999998E-4</v>
      </c>
      <c r="DI47" s="4">
        <v>8.4579999999999996E-4</v>
      </c>
      <c r="DJ47" s="4">
        <v>8.3390000000000005E-4</v>
      </c>
      <c r="DK47" s="4">
        <v>8.2209999999999998E-4</v>
      </c>
      <c r="DL47" s="4">
        <v>8.1050000000000002E-4</v>
      </c>
      <c r="DM47" s="4">
        <v>7.9909999999999996E-4</v>
      </c>
      <c r="DN47" s="4">
        <v>7.8779999999999996E-4</v>
      </c>
      <c r="DO47" s="4">
        <v>7.7669999999999996E-4</v>
      </c>
      <c r="DP47" s="4">
        <v>7.6570000000000002E-4</v>
      </c>
      <c r="DQ47" s="4">
        <v>5.3164200000000002E-2</v>
      </c>
      <c r="DR47" s="4">
        <v>0</v>
      </c>
      <c r="DS47" s="4">
        <v>4.8199999999999999E-5</v>
      </c>
      <c r="DT47" s="4">
        <v>1.697E-4</v>
      </c>
      <c r="DU47" s="4">
        <v>6.826E-4</v>
      </c>
      <c r="DV47" s="4">
        <v>6.1309999999999999E-4</v>
      </c>
      <c r="DW47" s="4">
        <v>5.7359999999999996E-4</v>
      </c>
      <c r="DX47" s="4">
        <v>5.9579999999999995E-4</v>
      </c>
      <c r="DY47" s="4">
        <v>5.2820000000000005E-4</v>
      </c>
      <c r="DZ47" s="4">
        <v>4.8280000000000003E-4</v>
      </c>
      <c r="EA47" s="4">
        <v>4.283E-4</v>
      </c>
      <c r="EB47" s="4">
        <v>3.8259999999999998E-4</v>
      </c>
      <c r="EC47" s="4">
        <v>3.412E-4</v>
      </c>
      <c r="ED47" s="4">
        <v>3.055E-4</v>
      </c>
      <c r="EE47" s="4">
        <v>2.742E-4</v>
      </c>
      <c r="EF47" s="4">
        <v>2.4699999999999999E-4</v>
      </c>
      <c r="EG47" s="4">
        <v>2.2330000000000001E-4</v>
      </c>
      <c r="EH47" s="4">
        <v>2.0259999999999999E-4</v>
      </c>
      <c r="EI47" s="4">
        <v>1.8440000000000001E-4</v>
      </c>
      <c r="EJ47" s="4">
        <v>1.685E-4</v>
      </c>
      <c r="EK47" s="4">
        <v>1.5440000000000001E-4</v>
      </c>
      <c r="EL47" s="4">
        <v>1.4200000000000001E-4</v>
      </c>
      <c r="EM47" s="4">
        <v>1.3100000000000001E-4</v>
      </c>
      <c r="EN47" s="4">
        <v>1.2129999999999999E-4</v>
      </c>
      <c r="EO47" s="4">
        <v>1.126E-4</v>
      </c>
      <c r="EP47" s="4">
        <v>1.048E-4</v>
      </c>
      <c r="EQ47" s="4">
        <v>9.7899999999999994E-5</v>
      </c>
      <c r="ER47" s="4">
        <v>9.1700000000000006E-5</v>
      </c>
      <c r="ES47" s="4">
        <v>8.6100000000000006E-5</v>
      </c>
      <c r="ET47" s="4">
        <v>8.1100000000000006E-5</v>
      </c>
      <c r="EU47" s="4">
        <v>7.6500000000000003E-5</v>
      </c>
      <c r="EV47" s="4">
        <v>7.2399999999999998E-5</v>
      </c>
      <c r="EW47" s="4">
        <v>6.86E-5</v>
      </c>
      <c r="EX47" s="4">
        <v>6.5199999999999999E-5</v>
      </c>
      <c r="EY47" s="4">
        <v>6.2000000000000003E-5</v>
      </c>
      <c r="EZ47" s="4">
        <v>5.8999999999999998E-5</v>
      </c>
      <c r="FA47" s="4">
        <v>5.63E-5</v>
      </c>
      <c r="FB47" s="4">
        <v>5.38E-5</v>
      </c>
      <c r="FC47" s="4">
        <v>5.1499999999999998E-5</v>
      </c>
      <c r="FD47" s="4">
        <v>4.9299999999999999E-5</v>
      </c>
      <c r="FE47" s="4">
        <v>4.7299999999999998E-5</v>
      </c>
      <c r="FF47" s="4">
        <v>4.5399999999999999E-5</v>
      </c>
      <c r="FG47" s="4">
        <v>4.3600000000000003E-5</v>
      </c>
      <c r="FH47" s="4">
        <v>4.1999999999999998E-5</v>
      </c>
      <c r="FI47" s="4">
        <v>4.0500000000000002E-5</v>
      </c>
      <c r="FJ47" s="4">
        <v>3.8999999999999999E-5</v>
      </c>
      <c r="FK47" s="4">
        <v>3.7700000000000002E-5</v>
      </c>
      <c r="FL47" s="4">
        <v>3.65E-5</v>
      </c>
      <c r="FM47" s="4">
        <v>3.5299999999999997E-5</v>
      </c>
      <c r="FN47" s="4">
        <v>3.4199999999999998E-5</v>
      </c>
      <c r="FO47" s="4">
        <v>3.3200000000000001E-5</v>
      </c>
      <c r="FP47" s="4">
        <v>3.2299999999999999E-5</v>
      </c>
      <c r="FQ47" s="4">
        <v>3.1399999999999998E-5</v>
      </c>
      <c r="FR47" s="4">
        <v>3.0499999999999999E-5</v>
      </c>
      <c r="FS47" s="4">
        <v>2.9799999999999999E-5</v>
      </c>
      <c r="FT47" s="4">
        <v>2.9E-5</v>
      </c>
      <c r="FU47" s="4">
        <v>2.83E-5</v>
      </c>
      <c r="FV47" s="4">
        <v>2.7699999999999999E-5</v>
      </c>
      <c r="FW47" s="4">
        <v>2.6999999999999999E-5</v>
      </c>
      <c r="FX47" s="4">
        <v>2.65E-5</v>
      </c>
      <c r="FY47" s="4">
        <v>2.5899999999999999E-5</v>
      </c>
      <c r="FZ47" s="4">
        <v>2.5400000000000001E-5</v>
      </c>
      <c r="GA47" s="4">
        <v>2.4899999999999999E-5</v>
      </c>
      <c r="GB47" s="4">
        <v>2.44E-5</v>
      </c>
      <c r="GC47" s="4">
        <v>2.3900000000000002E-5</v>
      </c>
      <c r="GD47" s="4">
        <v>2.3499999999999999E-5</v>
      </c>
      <c r="GE47" s="4">
        <v>2.3099999999999999E-5</v>
      </c>
      <c r="GF47" s="4">
        <v>2.27E-5</v>
      </c>
      <c r="GG47" s="4">
        <v>2.23E-5</v>
      </c>
      <c r="GH47" s="4">
        <v>2.19E-5</v>
      </c>
      <c r="GI47" s="4">
        <v>2.16E-5</v>
      </c>
      <c r="GJ47" s="4">
        <v>2.12E-5</v>
      </c>
      <c r="GK47" s="4">
        <v>2.09E-5</v>
      </c>
      <c r="GL47" s="4">
        <v>2.0599999999999999E-5</v>
      </c>
      <c r="GM47" s="4">
        <v>2.0299999999999999E-5</v>
      </c>
      <c r="GN47" s="4">
        <v>1.9899999999999999E-5</v>
      </c>
      <c r="GO47" s="4">
        <v>1.9700000000000001E-5</v>
      </c>
      <c r="GP47" s="4">
        <v>1.9400000000000001E-5</v>
      </c>
      <c r="GQ47" s="4">
        <v>1.91E-5</v>
      </c>
      <c r="GR47" s="4">
        <v>1.88E-5</v>
      </c>
      <c r="GS47" s="4">
        <v>1.8499999999999999E-5</v>
      </c>
      <c r="GT47" s="4">
        <v>1.8300000000000001E-5</v>
      </c>
      <c r="GU47" s="4">
        <v>1.8E-5</v>
      </c>
      <c r="GV47" s="4">
        <v>1.7799999999999999E-5</v>
      </c>
      <c r="GW47" s="4">
        <v>1.7499999999999998E-5</v>
      </c>
      <c r="GX47" s="4">
        <v>1.73E-5</v>
      </c>
      <c r="GY47" s="4">
        <v>1.7E-5</v>
      </c>
      <c r="GZ47" s="4">
        <v>1.6799999999999998E-5</v>
      </c>
      <c r="HA47" s="4">
        <v>1.66E-5</v>
      </c>
      <c r="HB47" s="4">
        <v>1.6399999999999999E-5</v>
      </c>
      <c r="HC47" s="4">
        <v>1.6099999999999998E-5</v>
      </c>
      <c r="HD47" s="4">
        <v>1.59E-5</v>
      </c>
      <c r="HE47" s="4">
        <v>1.5699999999999999E-5</v>
      </c>
      <c r="HF47" s="4">
        <v>1.5500000000000001E-5</v>
      </c>
      <c r="HG47" s="4">
        <v>1.5299999999999999E-5</v>
      </c>
      <c r="HH47" s="4">
        <v>1.5099999999999999E-5</v>
      </c>
      <c r="HI47" s="4">
        <v>1.49E-5</v>
      </c>
      <c r="HJ47" s="4">
        <v>1.47E-5</v>
      </c>
      <c r="HK47" s="4">
        <v>1.45E-5</v>
      </c>
      <c r="HL47" s="4">
        <v>1.43E-5</v>
      </c>
      <c r="HM47" s="4">
        <v>1.4100000000000001E-5</v>
      </c>
      <c r="HN47" s="4">
        <v>1.3900000000000001E-5</v>
      </c>
      <c r="HO47" s="4">
        <v>1.3699999999999999E-5</v>
      </c>
      <c r="HP47" s="4">
        <v>1.3499999999999999E-5</v>
      </c>
      <c r="HQ47" s="4">
        <v>1.33E-5</v>
      </c>
      <c r="HR47" s="4">
        <v>1.31E-5</v>
      </c>
      <c r="HS47" s="4">
        <v>1.2999999999999999E-5</v>
      </c>
      <c r="HT47" s="4">
        <v>1.2799999999999999E-5</v>
      </c>
      <c r="HU47" s="4">
        <v>1.26E-5</v>
      </c>
      <c r="HV47" s="4">
        <v>1.24E-5</v>
      </c>
      <c r="HW47" s="4">
        <v>1.2300000000000001E-5</v>
      </c>
      <c r="HX47" s="4">
        <v>1.2099999999999999E-5</v>
      </c>
      <c r="HY47" s="4">
        <v>1.19E-5</v>
      </c>
      <c r="HZ47" s="4">
        <v>1.1800000000000001E-5</v>
      </c>
      <c r="IA47" s="4">
        <v>1.1600000000000001E-5</v>
      </c>
      <c r="IB47" s="4">
        <v>1.1399999999999999E-5</v>
      </c>
      <c r="IC47" s="4">
        <v>1.13E-5</v>
      </c>
      <c r="ID47" s="4">
        <v>1.11E-5</v>
      </c>
      <c r="IE47" s="4">
        <v>1.1E-5</v>
      </c>
      <c r="IF47" s="4">
        <v>1.08E-5</v>
      </c>
      <c r="IG47" s="4">
        <v>7.5480000000000002E-4</v>
      </c>
      <c r="IH47" s="4"/>
      <c r="II47" s="4">
        <f t="shared" si="257"/>
        <v>1.1423473794118941</v>
      </c>
      <c r="IL47">
        <f t="shared" si="258"/>
        <v>0.31471180000000004</v>
      </c>
      <c r="IP47" s="4">
        <f t="shared" si="273"/>
        <v>4.1589000000000001E-2</v>
      </c>
      <c r="IQ47" s="4">
        <f t="shared" si="274"/>
        <v>3.3343100000000001E-2</v>
      </c>
      <c r="IR47" s="4">
        <f t="shared" si="261"/>
        <v>2.5651599999999997E-2</v>
      </c>
      <c r="IS47" s="4">
        <f t="shared" si="262"/>
        <v>2.0766099999999999E-2</v>
      </c>
      <c r="IT47" s="4">
        <f t="shared" si="263"/>
        <v>1.7709599999999999E-2</v>
      </c>
      <c r="IU47" s="4">
        <f t="shared" si="264"/>
        <v>6.0468899999999992E-2</v>
      </c>
      <c r="IV47" s="4">
        <f t="shared" si="265"/>
        <v>3.8996599999999999E-2</v>
      </c>
      <c r="IW47" s="4">
        <f t="shared" si="266"/>
        <v>2.9708900000000003E-2</v>
      </c>
      <c r="IX47" s="4">
        <f t="shared" si="267"/>
        <v>9.1276400000000008E-2</v>
      </c>
      <c r="IZ47">
        <f t="shared" si="270"/>
        <v>2017.5</v>
      </c>
      <c r="JA47">
        <f t="shared" si="268"/>
        <v>160.81883628302094</v>
      </c>
      <c r="JB47">
        <f t="shared" si="268"/>
        <v>146.92604824968299</v>
      </c>
      <c r="JC47">
        <f t="shared" si="268"/>
        <v>163.93768801789363</v>
      </c>
      <c r="JD47">
        <f t="shared" si="268"/>
        <v>184.15228460393433</v>
      </c>
      <c r="JE47">
        <f t="shared" si="268"/>
        <v>204.07195959557373</v>
      </c>
      <c r="JF47">
        <f t="shared" si="268"/>
        <v>237.18728466472302</v>
      </c>
      <c r="JG47">
        <f t="shared" si="268"/>
        <v>274.12414215123272</v>
      </c>
      <c r="JH47">
        <f t="shared" si="268"/>
        <v>288.50508375316298</v>
      </c>
      <c r="JI47">
        <f t="shared" si="268"/>
        <v>289.25850726833733</v>
      </c>
    </row>
    <row r="48" spans="1:269" x14ac:dyDescent="0.35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L48">
        <f t="shared" si="258"/>
        <v>0.26976041249999999</v>
      </c>
    </row>
    <row r="49" spans="2:246" x14ac:dyDescent="0.35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L49">
        <f t="shared" si="258"/>
        <v>0.22480823750000026</v>
      </c>
    </row>
    <row r="50" spans="2:246" x14ac:dyDescent="0.35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L50">
        <f t="shared" si="258"/>
        <v>0.17986363750000017</v>
      </c>
    </row>
    <row r="51" spans="2:246" x14ac:dyDescent="0.35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L51">
        <f t="shared" si="258"/>
        <v>0.13492486249999996</v>
      </c>
    </row>
    <row r="52" spans="2:246" x14ac:dyDescent="0.35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L52">
        <f t="shared" si="258"/>
        <v>8.9991175000000007E-2</v>
      </c>
    </row>
    <row r="53" spans="2:246" x14ac:dyDescent="0.35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L53">
        <f t="shared" si="258"/>
        <v>4.5060874999999986E-2</v>
      </c>
    </row>
    <row r="54" spans="2:246" x14ac:dyDescent="0.35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L54">
        <f t="shared" si="258"/>
        <v>0</v>
      </c>
    </row>
    <row r="55" spans="2:246" x14ac:dyDescent="0.35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L55">
        <f t="shared" si="258"/>
        <v>0</v>
      </c>
    </row>
    <row r="56" spans="2:246" x14ac:dyDescent="0.35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L56">
        <f t="shared" si="258"/>
        <v>0</v>
      </c>
    </row>
    <row r="57" spans="2:246" x14ac:dyDescent="0.35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L57">
        <f t="shared" si="258"/>
        <v>0</v>
      </c>
    </row>
    <row r="58" spans="2:246" x14ac:dyDescent="0.35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L58">
        <f t="shared" si="258"/>
        <v>0</v>
      </c>
    </row>
    <row r="59" spans="2:246" x14ac:dyDescent="0.35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L59">
        <f t="shared" si="258"/>
        <v>0</v>
      </c>
    </row>
    <row r="60" spans="2:246" x14ac:dyDescent="0.35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L60">
        <f t="shared" si="258"/>
        <v>0</v>
      </c>
    </row>
    <row r="61" spans="2:246" x14ac:dyDescent="0.35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L61">
        <f t="shared" si="258"/>
        <v>0</v>
      </c>
    </row>
    <row r="62" spans="2:246" x14ac:dyDescent="0.35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L62">
        <f t="shared" si="258"/>
        <v>0</v>
      </c>
    </row>
    <row r="63" spans="2:246" x14ac:dyDescent="0.35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L63">
        <f t="shared" si="258"/>
        <v>0</v>
      </c>
    </row>
    <row r="64" spans="2:246" x14ac:dyDescent="0.35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</row>
    <row r="65" spans="2:242" x14ac:dyDescent="0.35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</row>
    <row r="66" spans="2:242" x14ac:dyDescent="0.35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</row>
    <row r="67" spans="2:242" x14ac:dyDescent="0.35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42"/>
  <sheetViews>
    <sheetView tabSelected="1" zoomScale="60" zoomScaleNormal="60" workbookViewId="0">
      <selection activeCell="A2" sqref="A2:L42"/>
    </sheetView>
  </sheetViews>
  <sheetFormatPr defaultRowHeight="14.5" x14ac:dyDescent="0.35"/>
  <sheetData>
    <row r="1" spans="1:12" x14ac:dyDescent="0.35">
      <c r="A1" t="s">
        <v>56</v>
      </c>
      <c r="B1" t="s">
        <v>344</v>
      </c>
      <c r="C1" t="s">
        <v>361</v>
      </c>
      <c r="D1" t="s">
        <v>362</v>
      </c>
      <c r="E1" t="s">
        <v>363</v>
      </c>
      <c r="F1" t="s">
        <v>364</v>
      </c>
      <c r="G1" t="s">
        <v>365</v>
      </c>
      <c r="H1" t="s">
        <v>366</v>
      </c>
      <c r="I1" t="s">
        <v>367</v>
      </c>
      <c r="J1" t="s">
        <v>342</v>
      </c>
      <c r="K1" s="6" t="s">
        <v>368</v>
      </c>
      <c r="L1" t="s">
        <v>57</v>
      </c>
    </row>
    <row r="2" spans="1:12" x14ac:dyDescent="0.35">
      <c r="A2" s="12">
        <v>2020</v>
      </c>
      <c r="B2" s="13">
        <f>output_transition_aggregates!AK2</f>
        <v>2.7535205706949997</v>
      </c>
      <c r="C2" s="13">
        <f>aggregates_normalized!R2</f>
        <v>0</v>
      </c>
      <c r="D2" s="12">
        <f>aggregates_normalized!K2</f>
        <v>0</v>
      </c>
      <c r="E2" s="13">
        <f>aggregates_normalized!AA2</f>
        <v>0</v>
      </c>
      <c r="F2" s="14">
        <f>100*(output_transition_aggregates!AM2-output_transition_aggregates!AM$2)</f>
        <v>0</v>
      </c>
      <c r="G2" s="12">
        <f>100*(output_transition_firms_age!II8-output_transition_firms_age!II$8)</f>
        <v>0</v>
      </c>
      <c r="H2" s="13">
        <f>aggregates_normalized!J2</f>
        <v>0</v>
      </c>
      <c r="I2" s="13">
        <f>aggregates_normalized!S2</f>
        <v>0</v>
      </c>
      <c r="J2" s="13">
        <f>aggregates_normalized!C2</f>
        <v>0</v>
      </c>
      <c r="K2" s="13">
        <f>output_transition_aggregates!AL2</f>
        <v>0</v>
      </c>
      <c r="L2" s="12">
        <v>0</v>
      </c>
    </row>
    <row r="3" spans="1:12" x14ac:dyDescent="0.35">
      <c r="A3" s="12">
        <f>A2+0.25</f>
        <v>2020.25</v>
      </c>
      <c r="B3" s="13">
        <f>output_transition_aggregates!AK3</f>
        <v>1.3767602853474998</v>
      </c>
      <c r="C3" s="13">
        <f>aggregates_normalized!R3</f>
        <v>-11.395421102216796</v>
      </c>
      <c r="D3" s="12">
        <f>aggregates_normalized!K3</f>
        <v>-14.494619999999991</v>
      </c>
      <c r="E3" s="13">
        <f>aggregates_normalized!AA3</f>
        <v>0</v>
      </c>
      <c r="F3" s="14">
        <f>100*(output_transition_aggregates!AM3-output_transition_aggregates!AM$2)</f>
        <v>-1.2073835572613503</v>
      </c>
      <c r="G3" s="12">
        <f>100*(output_transition_firms_age!II9-output_transition_firms_age!II$8)</f>
        <v>2.6483922965866284</v>
      </c>
      <c r="H3" s="13">
        <f>aggregates_normalized!J3</f>
        <v>-1.0388521883754054</v>
      </c>
      <c r="I3" s="13">
        <f>aggregates_normalized!S3</f>
        <v>-57.327975263327779</v>
      </c>
      <c r="J3" s="13">
        <f>aggregates_normalized!C3</f>
        <v>18.842231689916055</v>
      </c>
      <c r="K3" s="13">
        <f>output_transition_aggregates!AL3</f>
        <v>11.363586034215434</v>
      </c>
      <c r="L3" s="12">
        <v>0</v>
      </c>
    </row>
    <row r="4" spans="1:12" x14ac:dyDescent="0.35">
      <c r="A4" s="12">
        <f t="shared" ref="A4:A42" si="0">A3+0.25</f>
        <v>2020.5</v>
      </c>
      <c r="B4" s="13">
        <f>output_transition_aggregates!AK4</f>
        <v>0.68838014267374992</v>
      </c>
      <c r="C4" s="13">
        <f>aggregates_normalized!R4</f>
        <v>-6.4583833895548342</v>
      </c>
      <c r="D4" s="12">
        <f>aggregates_normalized!K4</f>
        <v>-8.1076399999999929</v>
      </c>
      <c r="E4" s="13">
        <f>aggregates_normalized!AA4</f>
        <v>-0.90299453192124179</v>
      </c>
      <c r="F4" s="14">
        <f>100*(output_transition_aggregates!AM4-output_transition_aggregates!AM$2)</f>
        <v>-1.302636189463019</v>
      </c>
      <c r="G4" s="12">
        <f>100*(output_transition_firms_age!II10-output_transition_firms_age!II$8)</f>
        <v>2.2138048092998868</v>
      </c>
      <c r="H4" s="13">
        <f>aggregates_normalized!J4</f>
        <v>-1.217135929943769</v>
      </c>
      <c r="I4" s="13">
        <f>aggregates_normalized!S4</f>
        <v>-28.934427503570504</v>
      </c>
      <c r="J4" s="13">
        <f>aggregates_normalized!C4</f>
        <v>9.4211221530158262</v>
      </c>
      <c r="K4" s="13">
        <f>output_transition_aggregates!AL4</f>
        <v>5.6290282836031214</v>
      </c>
      <c r="L4" s="12">
        <v>0</v>
      </c>
    </row>
    <row r="5" spans="1:12" x14ac:dyDescent="0.35">
      <c r="A5" s="12">
        <f t="shared" si="0"/>
        <v>2020.75</v>
      </c>
      <c r="B5" s="13">
        <f>output_transition_aggregates!AK5</f>
        <v>0.34419007133687496</v>
      </c>
      <c r="C5" s="13">
        <f>aggregates_normalized!R5</f>
        <v>-3.959525043490264</v>
      </c>
      <c r="D5" s="12">
        <f>aggregates_normalized!K5</f>
        <v>-4.524499999999998</v>
      </c>
      <c r="E5" s="13">
        <f>aggregates_normalized!AA5</f>
        <v>-1.6581327816584279</v>
      </c>
      <c r="F5" s="14">
        <f>100*(output_transition_aggregates!AM5-output_transition_aggregates!AM$2)</f>
        <v>-1.0243865804788075</v>
      </c>
      <c r="G5" s="12">
        <f>100*(output_transition_firms_age!II11-output_transition_firms_age!II$8)</f>
        <v>1.9649790195536934</v>
      </c>
      <c r="H5" s="13">
        <f>aggregates_normalized!J5</f>
        <v>-1.2742015967471931</v>
      </c>
      <c r="I5" s="13">
        <f>aggregates_normalized!S5</f>
        <v>-14.714799168166504</v>
      </c>
      <c r="J5" s="13">
        <f>aggregates_normalized!C5</f>
        <v>4.7105673845656781</v>
      </c>
      <c r="K5" s="13">
        <f>output_transition_aggregates!AL5</f>
        <v>1.8696655510475058</v>
      </c>
      <c r="L5" s="12">
        <v>0</v>
      </c>
    </row>
    <row r="6" spans="1:12" x14ac:dyDescent="0.35">
      <c r="A6" s="12">
        <f t="shared" si="0"/>
        <v>2021</v>
      </c>
      <c r="B6" s="13">
        <f>output_transition_aggregates!AK6</f>
        <v>0.17209503566843748</v>
      </c>
      <c r="C6" s="13">
        <f>aggregates_normalized!R6</f>
        <v>-2.6840175631898999</v>
      </c>
      <c r="D6" s="12">
        <f>aggregates_normalized!K6</f>
        <v>-2.6040300000000016</v>
      </c>
      <c r="E6" s="13">
        <f>aggregates_normalized!AA6</f>
        <v>-2.2032153119215248</v>
      </c>
      <c r="F6" s="14">
        <f>100*(output_transition_aggregates!AM6-output_transition_aggregates!AM$2)</f>
        <v>-0.64534186409583583</v>
      </c>
      <c r="G6" s="12">
        <f>100*(output_transition_firms_age!II12-output_transition_firms_age!II$8)</f>
        <v>1.947378363282394</v>
      </c>
      <c r="H6" s="13">
        <f>aggregates_normalized!J6</f>
        <v>-1.256631066074454</v>
      </c>
      <c r="I6" s="13">
        <f>aggregates_normalized!S6</f>
        <v>-7.6700058812493648</v>
      </c>
      <c r="J6" s="13">
        <f>aggregates_normalized!C6</f>
        <v>2.3552900003406263</v>
      </c>
      <c r="K6" s="13">
        <f>output_transition_aggregates!AL6</f>
        <v>-0.23412846923518416</v>
      </c>
      <c r="L6" s="12">
        <v>0</v>
      </c>
    </row>
    <row r="7" spans="1:12" x14ac:dyDescent="0.35">
      <c r="A7" s="12">
        <f t="shared" si="0"/>
        <v>2021.25</v>
      </c>
      <c r="B7" s="13">
        <f>output_transition_aggregates!AK7</f>
        <v>8.604751783421874E-2</v>
      </c>
      <c r="C7" s="13">
        <f>aggregates_normalized!R7</f>
        <v>-2.0352630482616152</v>
      </c>
      <c r="D7" s="12">
        <f>aggregates_normalized!K7</f>
        <v>-1.6036999999999968</v>
      </c>
      <c r="E7" s="13">
        <f>aggregates_normalized!AA7</f>
        <v>-2.5472862777887517</v>
      </c>
      <c r="F7" s="14">
        <f>100*(output_transition_aggregates!AM7-output_transition_aggregates!AM$2)</f>
        <v>0.18241825335466311</v>
      </c>
      <c r="G7" s="12">
        <f>100*(output_transition_firms_age!II13-output_transition_firms_age!II$8)</f>
        <v>-1.4641403395275878</v>
      </c>
      <c r="H7" s="13">
        <f>aggregates_normalized!J7</f>
        <v>-1.2600043865029553</v>
      </c>
      <c r="I7" s="13">
        <f>aggregates_normalized!S7</f>
        <v>-4.0305897262851387</v>
      </c>
      <c r="J7" s="13">
        <f>aggregates_normalized!C7</f>
        <v>1.177638692112537</v>
      </c>
      <c r="K7" s="13">
        <f>output_transition_aggregates!AL7</f>
        <v>-1.3465521944823422</v>
      </c>
      <c r="L7" s="12">
        <v>0</v>
      </c>
    </row>
    <row r="8" spans="1:12" x14ac:dyDescent="0.35">
      <c r="A8" s="12">
        <f t="shared" si="0"/>
        <v>2021.5</v>
      </c>
      <c r="B8" s="13">
        <f>output_transition_aggregates!AK8</f>
        <v>4.302375891710937E-2</v>
      </c>
      <c r="C8" s="13">
        <f>aggregates_normalized!R8</f>
        <v>-1.6890039555550573</v>
      </c>
      <c r="D8" s="12">
        <f>aggregates_normalized!K8</f>
        <v>-1.0749599999999915</v>
      </c>
      <c r="E8" s="13">
        <f>aggregates_normalized!AA8</f>
        <v>-2.6977288404730682</v>
      </c>
      <c r="F8" s="14">
        <f>100*(output_transition_aggregates!AM8-output_transition_aggregates!AM$2)</f>
        <v>0.56475046458427802</v>
      </c>
      <c r="G8" s="12">
        <f>100*(output_transition_firms_age!II14-output_transition_firms_age!II$8)</f>
        <v>-0.97200338064830638</v>
      </c>
      <c r="H8" s="13">
        <f>aggregates_normalized!J8</f>
        <v>-1.2415084666388188</v>
      </c>
      <c r="I8" s="13">
        <f>aggregates_normalized!S8</f>
        <v>-2.1809060738810837</v>
      </c>
      <c r="J8" s="13">
        <f>aggregates_normalized!C8</f>
        <v>0.58881934605625741</v>
      </c>
      <c r="K8" s="13">
        <f>output_transition_aggregates!AL8</f>
        <v>-1.9149384205090048</v>
      </c>
      <c r="L8" s="12">
        <v>0</v>
      </c>
    </row>
    <row r="9" spans="1:12" x14ac:dyDescent="0.35">
      <c r="A9" s="12">
        <f t="shared" si="0"/>
        <v>2021.75</v>
      </c>
      <c r="B9" s="13">
        <f>output_transition_aggregates!AK9</f>
        <v>2.1511879458554685E-2</v>
      </c>
      <c r="C9" s="13">
        <f>aggregates_normalized!R9</f>
        <v>-1.4989849843954017</v>
      </c>
      <c r="D9" s="12">
        <f>aggregates_normalized!K9</f>
        <v>-0.78945999999999739</v>
      </c>
      <c r="E9" s="13">
        <f>aggregates_normalized!AA9</f>
        <v>-2.7530355880371449</v>
      </c>
      <c r="F9" s="14">
        <f>100*(output_transition_aggregates!AM9-output_transition_aggregates!AM$2)</f>
        <v>0.73535389229439918</v>
      </c>
      <c r="G9" s="12">
        <f>100*(output_transition_firms_age!II15-output_transition_firms_age!II$8)</f>
        <v>-0.46026054044522174</v>
      </c>
      <c r="H9" s="13">
        <f>aggregates_normalized!J9</f>
        <v>-1.2154749749848426</v>
      </c>
      <c r="I9" s="13">
        <f>aggregates_normalized!S9</f>
        <v>-1.2384060404443509</v>
      </c>
      <c r="J9" s="13">
        <f>aggregates_normalized!C9</f>
        <v>0.2944096730281176</v>
      </c>
      <c r="K9" s="13">
        <f>output_transition_aggregates!AL9</f>
        <v>-2.209789774690174</v>
      </c>
      <c r="L9" s="12">
        <v>0</v>
      </c>
    </row>
    <row r="10" spans="1:12" x14ac:dyDescent="0.35">
      <c r="A10" s="12">
        <f t="shared" si="0"/>
        <v>2022</v>
      </c>
      <c r="B10" s="13">
        <f>output_transition_aggregates!AK10</f>
        <v>1.0755939729277342E-2</v>
      </c>
      <c r="C10" s="13">
        <f>aggregates_normalized!R10</f>
        <v>-1.3617664966486087</v>
      </c>
      <c r="D10" s="12">
        <f>aggregates_normalized!K10</f>
        <v>-0.59095999999999593</v>
      </c>
      <c r="E10" s="13">
        <f>aggregates_normalized!AA10</f>
        <v>-2.7538026019581996</v>
      </c>
      <c r="F10" s="14">
        <f>100*(output_transition_aggregates!AM10-output_transition_aggregates!AM$2)</f>
        <v>0.79046027223499271</v>
      </c>
      <c r="G10" s="12">
        <f>100*(output_transition_firms_age!II16-output_transition_firms_age!II$8)</f>
        <v>-0.25624462507684437</v>
      </c>
      <c r="H10" s="13">
        <f>aggregates_normalized!J10</f>
        <v>-1.1616442156966778</v>
      </c>
      <c r="I10" s="13">
        <f>aggregates_normalized!S10</f>
        <v>-0.71791366383762156</v>
      </c>
      <c r="J10" s="13">
        <f>aggregates_normalized!C10</f>
        <v>0.1472048365140477</v>
      </c>
      <c r="K10" s="13">
        <f>output_transition_aggregates!AL10</f>
        <v>-2.3978839443820288</v>
      </c>
      <c r="L10" s="12">
        <v>0</v>
      </c>
    </row>
    <row r="11" spans="1:12" x14ac:dyDescent="0.35">
      <c r="A11" s="12">
        <f t="shared" si="0"/>
        <v>2022.25</v>
      </c>
      <c r="B11" s="13">
        <f>output_transition_aggregates!AK11</f>
        <v>5.3779698646386712E-3</v>
      </c>
      <c r="C11" s="13">
        <f>aggregates_normalized!R11</f>
        <v>-1.2787300602059459</v>
      </c>
      <c r="D11" s="12">
        <f>aggregates_normalized!K11</f>
        <v>-0.47682999999999476</v>
      </c>
      <c r="E11" s="13">
        <f>aggregates_normalized!AA11</f>
        <v>-2.7296755790263805</v>
      </c>
      <c r="F11" s="14">
        <f>100*(output_transition_aggregates!AM11-output_transition_aggregates!AM$2)</f>
        <v>0.75705985043100354</v>
      </c>
      <c r="G11" s="12">
        <f>100*(output_transition_firms_age!II17-output_transition_firms_age!II$8)</f>
        <v>-0.14724385936832757</v>
      </c>
      <c r="H11" s="13">
        <f>aggregates_normalized!J11</f>
        <v>-1.1452482174591827</v>
      </c>
      <c r="I11" s="13">
        <f>aggregates_normalized!S11</f>
        <v>-0.32898125699685199</v>
      </c>
      <c r="J11" s="13">
        <f>aggregates_normalized!C11</f>
        <v>7.3602418257023849E-2</v>
      </c>
      <c r="K11" s="13">
        <f>output_transition_aggregates!AL11</f>
        <v>-2.4927988608891116</v>
      </c>
      <c r="L11" s="12">
        <v>0</v>
      </c>
    </row>
    <row r="12" spans="1:12" x14ac:dyDescent="0.35">
      <c r="A12" s="12">
        <f t="shared" si="0"/>
        <v>2022.5</v>
      </c>
      <c r="B12" s="13">
        <f>output_transition_aggregates!AK12</f>
        <v>2.6889849323193356E-3</v>
      </c>
      <c r="C12" s="13">
        <f>aggregates_normalized!R12</f>
        <v>-1.2318473465192992</v>
      </c>
      <c r="D12" s="12">
        <f>aggregates_normalized!K12</f>
        <v>-0.42250999999999816</v>
      </c>
      <c r="E12" s="13">
        <f>aggregates_normalized!AA12</f>
        <v>-2.6858583869328601</v>
      </c>
      <c r="F12" s="14">
        <f>100*(output_transition_aggregates!AM12-output_transition_aggregates!AM$2)</f>
        <v>0.72421222693691423</v>
      </c>
      <c r="G12" s="12">
        <f>100*(output_transition_firms_age!II18-output_transition_firms_age!II$8)</f>
        <v>-5.6022753817287774E-2</v>
      </c>
      <c r="H12" s="13">
        <f>aggregates_normalized!J12</f>
        <v>-1.1212474183025845</v>
      </c>
      <c r="I12" s="13">
        <f>aggregates_normalized!S12</f>
        <v>-0.1767989592321384</v>
      </c>
      <c r="J12" s="13">
        <f>aggregates_normalized!C12</f>
        <v>3.6801209128523027E-2</v>
      </c>
      <c r="K12" s="13">
        <f>output_transition_aggregates!AL12</f>
        <v>-2.5149914077481572</v>
      </c>
      <c r="L12" s="12">
        <v>0</v>
      </c>
    </row>
    <row r="13" spans="1:12" x14ac:dyDescent="0.35">
      <c r="A13" s="12">
        <f t="shared" si="0"/>
        <v>2022.75</v>
      </c>
      <c r="B13" s="13">
        <f>output_transition_aggregates!AK13</f>
        <v>1.3444924661596678E-3</v>
      </c>
      <c r="C13" s="13">
        <f>aggregates_normalized!R13</f>
        <v>-1.1814702690795986</v>
      </c>
      <c r="D13" s="12">
        <f>aggregates_normalized!K13</f>
        <v>-0.36279000000000172</v>
      </c>
      <c r="E13" s="13">
        <f>aggregates_normalized!AA13</f>
        <v>-2.6314977971308107</v>
      </c>
      <c r="F13" s="14">
        <f>100*(output_transition_aggregates!AM13-output_transition_aggregates!AM$2)</f>
        <v>0.6958985923591704</v>
      </c>
      <c r="G13" s="12">
        <f>100*(output_transition_firms_age!II19-output_transition_firms_age!II$8)</f>
        <v>-4.1563806019251359E-2</v>
      </c>
      <c r="H13" s="13">
        <f>aggregates_normalized!J13</f>
        <v>-1.0935964728909675</v>
      </c>
      <c r="I13" s="13">
        <f>aggregates_normalized!S13</f>
        <v>-2.1760984145935414E-2</v>
      </c>
      <c r="J13" s="13">
        <f>aggregates_normalized!C13</f>
        <v>1.8406912622026539E-2</v>
      </c>
      <c r="K13" s="13">
        <f>output_transition_aggregates!AL13</f>
        <v>-2.5429888193347683</v>
      </c>
      <c r="L13" s="12">
        <v>0</v>
      </c>
    </row>
    <row r="14" spans="1:12" x14ac:dyDescent="0.35">
      <c r="A14" s="12">
        <f t="shared" si="0"/>
        <v>2023</v>
      </c>
      <c r="B14" s="13">
        <f>output_transition_aggregates!AK14</f>
        <v>6.722462330798339E-4</v>
      </c>
      <c r="C14" s="13">
        <f>aggregates_normalized!R14</f>
        <v>-1.1364253318852824</v>
      </c>
      <c r="D14" s="12">
        <f>aggregates_normalized!K14</f>
        <v>-0.31170999999999838</v>
      </c>
      <c r="E14" s="13">
        <f>aggregates_normalized!AA14</f>
        <v>-2.5682704568308901</v>
      </c>
      <c r="F14" s="14">
        <f>100*(output_transition_aggregates!AM14-output_transition_aggregates!AM$2)</f>
        <v>0.6709112402129167</v>
      </c>
      <c r="G14" s="12">
        <f>100*(output_transition_firms_age!II20-output_transition_firms_age!II$8)</f>
        <v>3.9558538815824551E-2</v>
      </c>
      <c r="H14" s="13">
        <f>aggregates_normalized!J14</f>
        <v>-1.0552402773035596</v>
      </c>
      <c r="I14" s="13">
        <f>aggregates_normalized!S14</f>
        <v>5.4565125528704961E-2</v>
      </c>
      <c r="J14" s="13">
        <f>aggregates_normalized!C14</f>
        <v>9.2097643688004993E-3</v>
      </c>
      <c r="K14" s="13">
        <f>output_transition_aggregates!AL14</f>
        <v>-2.5608292579978542</v>
      </c>
      <c r="L14" s="12">
        <v>0</v>
      </c>
    </row>
    <row r="15" spans="1:12" x14ac:dyDescent="0.35">
      <c r="A15" s="12">
        <f t="shared" si="0"/>
        <v>2023.25</v>
      </c>
      <c r="B15" s="13">
        <f>output_transition_aggregates!AK15</f>
        <v>3.3612311653991695E-4</v>
      </c>
      <c r="C15" s="13">
        <f>aggregates_normalized!R15</f>
        <v>-1.1040409922517647</v>
      </c>
      <c r="D15" s="12">
        <f>aggregates_normalized!K15</f>
        <v>-0.28017000000000181</v>
      </c>
      <c r="E15" s="13">
        <f>aggregates_normalized!AA15</f>
        <v>-2.5074172072390044</v>
      </c>
      <c r="F15" s="14">
        <f>100*(output_transition_aggregates!AM15-output_transition_aggregates!AM$2)</f>
        <v>0.63044376863826135</v>
      </c>
      <c r="G15" s="12">
        <f>100*(output_transition_firms_age!II21-output_transition_firms_age!II$8)</f>
        <v>9.3334203171729913E-2</v>
      </c>
      <c r="H15" s="13">
        <f>aggregates_normalized!J15</f>
        <v>-1.0226222856338008</v>
      </c>
      <c r="I15" s="13">
        <f>aggregates_normalized!S15</f>
        <v>8.6411349835291418E-2</v>
      </c>
      <c r="J15" s="13">
        <f>aggregates_normalized!C15</f>
        <v>4.6048821844113519E-3</v>
      </c>
      <c r="K15" s="13">
        <f>output_transition_aggregates!AL15</f>
        <v>-2.5576345201961725</v>
      </c>
      <c r="L15" s="12">
        <v>0</v>
      </c>
    </row>
    <row r="16" spans="1:12" x14ac:dyDescent="0.35">
      <c r="A16" s="12">
        <f t="shared" si="0"/>
        <v>2023.5</v>
      </c>
      <c r="B16" s="13">
        <f>output_transition_aggregates!AK16</f>
        <v>1.6806155826995848E-4</v>
      </c>
      <c r="C16" s="13">
        <f>aggregates_normalized!R16</f>
        <v>-1.0695632698884183</v>
      </c>
      <c r="D16" s="12">
        <f>aggregates_normalized!K16</f>
        <v>-0.24811000000000138</v>
      </c>
      <c r="E16" s="13">
        <f>aggregates_normalized!AA16</f>
        <v>-2.4599858316353806</v>
      </c>
      <c r="F16" s="14">
        <f>100*(output_transition_aggregates!AM16-output_transition_aggregates!AM$2)</f>
        <v>0.59761066351394776</v>
      </c>
      <c r="G16" s="12">
        <f>100*(output_transition_firms_age!II22-output_transition_firms_age!II$8)</f>
        <v>8.3596006742406304E-2</v>
      </c>
      <c r="H16" s="13">
        <f>aggregates_normalized!J16</f>
        <v>-0.99168897685096846</v>
      </c>
      <c r="I16" s="13">
        <f>aggregates_normalized!S16</f>
        <v>0.13761472864377566</v>
      </c>
      <c r="J16" s="13">
        <f>aggregates_normalized!C16</f>
        <v>2.3087491499707014E-3</v>
      </c>
      <c r="K16" s="13">
        <f>output_transition_aggregates!AL16</f>
        <v>-2.5495454903233128</v>
      </c>
      <c r="L16" s="12">
        <v>0</v>
      </c>
    </row>
    <row r="17" spans="1:12" x14ac:dyDescent="0.35">
      <c r="A17" s="12">
        <f t="shared" si="0"/>
        <v>2023.75</v>
      </c>
      <c r="B17" s="13">
        <f>output_transition_aggregates!AK17</f>
        <v>8.4030779134979238E-5</v>
      </c>
      <c r="C17" s="13">
        <f>aggregates_normalized!R17</f>
        <v>-1.0364477022843488</v>
      </c>
      <c r="D17" s="12">
        <f>aggregates_normalized!K17</f>
        <v>-0.21572999999999176</v>
      </c>
      <c r="E17" s="13">
        <f>aggregates_normalized!AA17</f>
        <v>-2.4018214789186754</v>
      </c>
      <c r="F17" s="14">
        <f>100*(output_transition_aggregates!AM17-output_transition_aggregates!AM$2)</f>
        <v>0.57939883265377967</v>
      </c>
      <c r="G17" s="12">
        <f>100*(output_transition_firms_age!II23-output_transition_firms_age!II$8)</f>
        <v>0.11648747841248863</v>
      </c>
      <c r="H17" s="13">
        <f>aggregates_normalized!J17</f>
        <v>-0.96770399631299631</v>
      </c>
      <c r="I17" s="13">
        <f>aggregates_normalized!S17</f>
        <v>0.21298292124223295</v>
      </c>
      <c r="J17" s="13">
        <f>aggregates_normalized!C17</f>
        <v>1.1606826327836828E-3</v>
      </c>
      <c r="K17" s="13">
        <f>output_transition_aggregates!AL17</f>
        <v>-2.5466790204613066</v>
      </c>
      <c r="L17" s="12">
        <v>0</v>
      </c>
    </row>
    <row r="18" spans="1:12" x14ac:dyDescent="0.35">
      <c r="A18" s="12">
        <f t="shared" si="0"/>
        <v>2024</v>
      </c>
      <c r="B18" s="13">
        <f>output_transition_aggregates!AK18</f>
        <v>4.2015389567489619E-5</v>
      </c>
      <c r="C18" s="13">
        <f>aggregates_normalized!R18</f>
        <v>-1.0043577951522442</v>
      </c>
      <c r="D18" s="12">
        <f>aggregates_normalized!K18</f>
        <v>-0.18505999999999245</v>
      </c>
      <c r="E18" s="13">
        <f>aggregates_normalized!AA18</f>
        <v>-2.3413786948265125</v>
      </c>
      <c r="F18" s="14">
        <f>100*(output_transition_aggregates!AM18-output_transition_aggregates!AM$2)</f>
        <v>0.56340004715063619</v>
      </c>
      <c r="G18" s="12">
        <f>100*(output_transition_firms_age!II24-output_transition_firms_age!II$8)</f>
        <v>0.14965361441736102</v>
      </c>
      <c r="H18" s="13">
        <f>aggregates_normalized!J18</f>
        <v>-0.93684187131410912</v>
      </c>
      <c r="I18" s="13">
        <f>aggregates_normalized!S18</f>
        <v>0.2511911608472861</v>
      </c>
      <c r="J18" s="13">
        <f>aggregates_normalized!C18</f>
        <v>5.8034131638073916E-4</v>
      </c>
      <c r="K18" s="13">
        <f>output_transition_aggregates!AL18</f>
        <v>-2.5417208554310289</v>
      </c>
      <c r="L18" s="12">
        <v>0</v>
      </c>
    </row>
    <row r="19" spans="1:12" x14ac:dyDescent="0.35">
      <c r="A19" s="12">
        <f t="shared" si="0"/>
        <v>2024.25</v>
      </c>
      <c r="B19" s="13">
        <f>output_transition_aggregates!AK19</f>
        <v>2.1007694783744809E-5</v>
      </c>
      <c r="C19" s="13">
        <f>aggregates_normalized!R19</f>
        <v>-0.9733582589319667</v>
      </c>
      <c r="D19" s="12">
        <f>aggregates_normalized!K19</f>
        <v>-0.15558999999999434</v>
      </c>
      <c r="E19" s="13">
        <f>aggregates_normalized!AA19</f>
        <v>-2.2827743091800468</v>
      </c>
      <c r="F19" s="14">
        <f>100*(output_transition_aggregates!AM19-output_transition_aggregates!AM$2)</f>
        <v>0.54886463638433169</v>
      </c>
      <c r="G19" s="12">
        <f>100*(output_transition_firms_age!II25-output_transition_firms_age!II$8)</f>
        <v>0.1392965671497548</v>
      </c>
      <c r="H19" s="13">
        <f>aggregates_normalized!J19</f>
        <v>-0.91021518146051639</v>
      </c>
      <c r="I19" s="13">
        <f>aggregates_normalized!S19</f>
        <v>0.30268372216935013</v>
      </c>
      <c r="J19" s="13">
        <f>aggregates_normalized!C19</f>
        <v>2.9017065819036958E-4</v>
      </c>
      <c r="K19" s="13">
        <f>output_transition_aggregates!AL19</f>
        <v>-2.536446973574602</v>
      </c>
      <c r="L19" s="12">
        <v>0</v>
      </c>
    </row>
    <row r="20" spans="1:12" x14ac:dyDescent="0.35">
      <c r="A20" s="12">
        <f t="shared" si="0"/>
        <v>2024.5</v>
      </c>
      <c r="B20" s="13">
        <f>output_transition_aggregates!AK20</f>
        <v>1.0503847391872405E-5</v>
      </c>
      <c r="C20" s="13">
        <f>aggregates_normalized!R20</f>
        <v>-0.94467535645906819</v>
      </c>
      <c r="D20" s="12">
        <f>aggregates_normalized!K20</f>
        <v>-0.13033999999999546</v>
      </c>
      <c r="E20" s="13">
        <f>aggregates_normalized!AA20</f>
        <v>-2.2276275735904294</v>
      </c>
      <c r="F20" s="14">
        <f>100*(output_transition_aggregates!AM20-output_transition_aggregates!AM$2)</f>
        <v>0.53500210547075266</v>
      </c>
      <c r="G20" s="12">
        <f>100*(output_transition_firms_age!II26-output_transition_firms_age!II$8)</f>
        <v>0.14438240964962101</v>
      </c>
      <c r="H20" s="13">
        <f>aggregates_normalized!J20</f>
        <v>-0.87628424444227138</v>
      </c>
      <c r="I20" s="13">
        <f>aggregates_normalized!S20</f>
        <v>0.30781671178514713</v>
      </c>
      <c r="J20" s="13">
        <f>aggregates_normalized!C20</f>
        <v>1.5139338687131243E-4</v>
      </c>
      <c r="K20" s="13">
        <f>output_transition_aggregates!AL20</f>
        <v>-2.525346413881957</v>
      </c>
      <c r="L20" s="12">
        <v>0</v>
      </c>
    </row>
    <row r="21" spans="1:12" x14ac:dyDescent="0.35">
      <c r="A21" s="12">
        <f t="shared" si="0"/>
        <v>2024.75</v>
      </c>
      <c r="B21" s="13">
        <f>output_transition_aggregates!AK21</f>
        <v>5.2519236959362024E-6</v>
      </c>
      <c r="C21" s="13">
        <f>aggregates_normalized!R21</f>
        <v>-0.91772669377472305</v>
      </c>
      <c r="D21" s="12">
        <f>aggregates_normalized!K21</f>
        <v>-0.10801999999999756</v>
      </c>
      <c r="E21" s="13">
        <f>aggregates_normalized!AA21</f>
        <v>-2.1720825473252381</v>
      </c>
      <c r="F21" s="14">
        <f>100*(output_transition_aggregates!AM21-output_transition_aggregates!AM$2)</f>
        <v>0.52247638422676235</v>
      </c>
      <c r="G21" s="12">
        <f>100*(output_transition_firms_age!II27-output_transition_firms_age!II$8)</f>
        <v>0.16905028130715649</v>
      </c>
      <c r="H21" s="13">
        <f>aggregates_normalized!J21</f>
        <v>-0.85337097531829054</v>
      </c>
      <c r="I21" s="13">
        <f>aggregates_normalized!S21</f>
        <v>0.35363406627846317</v>
      </c>
      <c r="J21" s="13">
        <f>aggregates_normalized!C21</f>
        <v>7.5696693446758445E-5</v>
      </c>
      <c r="K21" s="13">
        <f>output_transition_aggregates!AL21</f>
        <v>-2.5105942825282668</v>
      </c>
      <c r="L21" s="12">
        <v>0</v>
      </c>
    </row>
    <row r="22" spans="1:12" x14ac:dyDescent="0.35">
      <c r="A22" s="12">
        <f t="shared" si="0"/>
        <v>2025</v>
      </c>
      <c r="B22" s="13">
        <f>output_transition_aggregates!AK22</f>
        <v>2.6259618479681012E-6</v>
      </c>
      <c r="C22" s="13">
        <f>aggregates_normalized!R22</f>
        <v>-0.88135619104514618</v>
      </c>
      <c r="D22" s="12">
        <f>aggregates_normalized!K22</f>
        <v>-7.0019999999992866E-2</v>
      </c>
      <c r="E22" s="13">
        <f>aggregates_normalized!AA22</f>
        <v>-2.1119267412307519</v>
      </c>
      <c r="F22" s="14">
        <f>100*(output_transition_aggregates!AM22-output_transition_aggregates!AM$2)</f>
        <v>0.5110985693643294</v>
      </c>
      <c r="G22" s="12">
        <f>100*(output_transition_firms_age!II28-output_transition_firms_age!II$8)</f>
        <v>0.1844206608638238</v>
      </c>
      <c r="H22" s="13">
        <f>aggregates_normalized!J22</f>
        <v>-0.89235991565196349</v>
      </c>
      <c r="I22" s="13">
        <f>aggregates_normalized!S22</f>
        <v>0.73497543213807415</v>
      </c>
      <c r="J22" s="13">
        <f>aggregates_normalized!C22</f>
        <v>3.7848346723379223E-5</v>
      </c>
      <c r="K22" s="13">
        <f>output_transition_aggregates!AL22</f>
        <v>-2.514978669259893</v>
      </c>
      <c r="L22" s="12">
        <v>0</v>
      </c>
    </row>
    <row r="23" spans="1:12" x14ac:dyDescent="0.35">
      <c r="A23" s="12">
        <f t="shared" si="0"/>
        <v>2025.25</v>
      </c>
      <c r="B23" s="13">
        <f>output_transition_aggregates!AK23</f>
        <v>1.3129809239840506E-6</v>
      </c>
      <c r="C23" s="13">
        <f>aggregates_normalized!R23</f>
        <v>-0.89048359858896475</v>
      </c>
      <c r="D23" s="12">
        <f>aggregates_normalized!K23</f>
        <v>-0.10582000000000091</v>
      </c>
      <c r="E23" s="13">
        <f>aggregates_normalized!AA23</f>
        <v>-2.0442416760336091</v>
      </c>
      <c r="F23" s="14">
        <f>100*(output_transition_aggregates!AM23-output_transition_aggregates!AM$2)</f>
        <v>0.40010261262109909</v>
      </c>
      <c r="G23" s="12">
        <f>100*(output_transition_firms_age!II29-output_transition_firms_age!II$8)</f>
        <v>0.20052953913939214</v>
      </c>
      <c r="H23" s="13">
        <f>aggregates_normalized!J23</f>
        <v>-0.78584524692824065</v>
      </c>
      <c r="I23" s="13">
        <f>aggregates_normalized!S23</f>
        <v>0.19718632643861422</v>
      </c>
      <c r="J23" s="13">
        <f>aggregates_normalized!C23</f>
        <v>2.5232231148919482E-5</v>
      </c>
      <c r="K23" s="13">
        <f>output_transition_aggregates!AL23</f>
        <v>-2.4328827134269648</v>
      </c>
      <c r="L23" s="12">
        <v>0</v>
      </c>
    </row>
    <row r="24" spans="1:12" x14ac:dyDescent="0.35">
      <c r="A24" s="12">
        <f t="shared" si="0"/>
        <v>2025.5</v>
      </c>
      <c r="B24" s="13">
        <f>output_transition_aggregates!AK24</f>
        <v>6.564904619920253E-7</v>
      </c>
      <c r="C24" s="13">
        <f>aggregates_normalized!R24</f>
        <v>-0.88095175079595522</v>
      </c>
      <c r="D24" s="12">
        <f>aggregates_normalized!K24</f>
        <v>-0.11280999999999652</v>
      </c>
      <c r="E24" s="13">
        <f>aggregates_normalized!AA24</f>
        <v>-1.9917403558043723</v>
      </c>
      <c r="F24" s="14">
        <f>100*(output_transition_aggregates!AM24-output_transition_aggregates!AM$2)</f>
        <v>0.29381280865583698</v>
      </c>
      <c r="G24" s="12">
        <f>100*(output_transition_firms_age!II30-output_transition_firms_age!II$8)</f>
        <v>0.20633244120358135</v>
      </c>
      <c r="H24" s="13">
        <f>aggregates_normalized!J24</f>
        <v>-0.7449501630464761</v>
      </c>
      <c r="I24" s="13">
        <f>aggregates_normalized!S24</f>
        <v>6.354785735638302E-2</v>
      </c>
      <c r="J24" s="13">
        <f>aggregates_normalized!C24</f>
        <v>1.2616115574459741E-5</v>
      </c>
      <c r="K24" s="13">
        <f>output_transition_aggregates!AL24</f>
        <v>-2.3817529046822994</v>
      </c>
      <c r="L24" s="12">
        <v>0</v>
      </c>
    </row>
    <row r="25" spans="1:12" x14ac:dyDescent="0.35">
      <c r="A25" s="12">
        <f t="shared" si="0"/>
        <v>2025.75</v>
      </c>
      <c r="B25" s="13">
        <f>output_transition_aggregates!AK25</f>
        <v>3.2824523099601265E-7</v>
      </c>
      <c r="C25" s="13">
        <f>aggregates_normalized!R25</f>
        <v>-0.8732932702371965</v>
      </c>
      <c r="D25" s="12">
        <f>aggregates_normalized!K25</f>
        <v>-0.12033999999999656</v>
      </c>
      <c r="E25" s="13">
        <f>aggregates_normalized!AA25</f>
        <v>-1.9490171586232008</v>
      </c>
      <c r="F25" s="14">
        <f>100*(output_transition_aggregates!AM25-output_transition_aggregates!AM$2)</f>
        <v>0.19554476877740173</v>
      </c>
      <c r="G25" s="12">
        <f>100*(output_transition_firms_age!II31-output_transition_firms_age!II$8)</f>
        <v>0.20430852208849909</v>
      </c>
      <c r="H25" s="13">
        <f>aggregates_normalized!J25</f>
        <v>-0.71732294556283716</v>
      </c>
      <c r="I25" s="13">
        <f>aggregates_normalized!S25</f>
        <v>-1.9917445621930874E-2</v>
      </c>
      <c r="J25" s="13">
        <f>aggregates_normalized!C25</f>
        <v>1.2616115574459741E-5</v>
      </c>
      <c r="K25" s="13">
        <f>output_transition_aggregates!AL25</f>
        <v>-2.3347605743750943</v>
      </c>
      <c r="L25" s="12">
        <v>0</v>
      </c>
    </row>
    <row r="26" spans="1:12" x14ac:dyDescent="0.35">
      <c r="A26" s="12">
        <f t="shared" si="0"/>
        <v>2026</v>
      </c>
      <c r="B26" s="13">
        <f>output_transition_aggregates!AK26</f>
        <v>1.6412261549800632E-7</v>
      </c>
      <c r="C26" s="13">
        <f>aggregates_normalized!R26</f>
        <v>-0.86448617937072703</v>
      </c>
      <c r="D26" s="12">
        <f>aggregates_normalized!K26</f>
        <v>-0.1244299999999976</v>
      </c>
      <c r="E26" s="13">
        <f>aggregates_normalized!AA26</f>
        <v>-1.9075166616381756</v>
      </c>
      <c r="F26" s="14">
        <f>100*(output_transition_aggregates!AM26-output_transition_aggregates!AM$2)</f>
        <v>0.11448115506398904</v>
      </c>
      <c r="G26" s="12">
        <f>100*(output_transition_firms_age!II32-output_transition_firms_age!II$8)</f>
        <v>0.213024487551014</v>
      </c>
      <c r="H26" s="13">
        <f>aggregates_normalized!J26</f>
        <v>-0.6913725016568173</v>
      </c>
      <c r="I26" s="13">
        <f>aggregates_normalized!S26</f>
        <v>-8.9339322785153552E-2</v>
      </c>
      <c r="J26" s="13">
        <f>aggregates_normalized!C26</f>
        <v>1.2616115574459741E-5</v>
      </c>
      <c r="K26" s="13">
        <f>output_transition_aggregates!AL26</f>
        <v>-2.2948165794665965</v>
      </c>
      <c r="L26" s="12">
        <v>0</v>
      </c>
    </row>
    <row r="27" spans="1:12" x14ac:dyDescent="0.35">
      <c r="A27" s="12">
        <f t="shared" si="0"/>
        <v>2026.25</v>
      </c>
      <c r="B27" s="13">
        <f>output_transition_aggregates!AK27</f>
        <v>8.2061307749003162E-8</v>
      </c>
      <c r="C27" s="13">
        <f>aggregates_normalized!R27</f>
        <v>-0.85558525836646471</v>
      </c>
      <c r="D27" s="12">
        <f>aggregates_normalized!K27</f>
        <v>-0.1269899999999935</v>
      </c>
      <c r="E27" s="13">
        <f>aggregates_normalized!AA27</f>
        <v>-1.8685850525475112</v>
      </c>
      <c r="F27" s="14">
        <f>100*(output_transition_aggregates!AM27-output_transition_aggregates!AM$2)</f>
        <v>0.11266515084531054</v>
      </c>
      <c r="G27" s="12">
        <f>100*(output_transition_firms_age!II33-output_transition_firms_age!II$8)</f>
        <v>0.19258930632576332</v>
      </c>
      <c r="H27" s="13">
        <f>aggregates_normalized!J27</f>
        <v>-0.67533242233909219</v>
      </c>
      <c r="I27" s="13">
        <f>aggregates_normalized!S27</f>
        <v>-0.11292577154797812</v>
      </c>
      <c r="J27" s="13">
        <f>aggregates_normalized!C27</f>
        <v>1.2616115574459741E-5</v>
      </c>
      <c r="K27" s="13">
        <f>output_transition_aggregates!AL27</f>
        <v>-2.2593016558628776</v>
      </c>
      <c r="L27" s="12">
        <v>0</v>
      </c>
    </row>
    <row r="28" spans="1:12" x14ac:dyDescent="0.35">
      <c r="A28" s="12">
        <f t="shared" si="0"/>
        <v>2026.5</v>
      </c>
      <c r="B28" s="13">
        <f>output_transition_aggregates!AK28</f>
        <v>4.1030653874501581E-8</v>
      </c>
      <c r="C28" s="13">
        <f>aggregates_normalized!R28</f>
        <v>-0.84624430637105785</v>
      </c>
      <c r="D28" s="12">
        <f>aggregates_normalized!K28</f>
        <v>-0.12774999999999315</v>
      </c>
      <c r="E28" s="13">
        <f>aggregates_normalized!AA28</f>
        <v>-1.8294551677493387</v>
      </c>
      <c r="F28" s="14">
        <f>100*(output_transition_aggregates!AM28-output_transition_aggregates!AM$2)</f>
        <v>0.11213046603210652</v>
      </c>
      <c r="G28" s="12">
        <f>100*(output_transition_firms_age!II34-output_transition_firms_age!II$8)</f>
        <v>0.1665233671468036</v>
      </c>
      <c r="H28" s="13">
        <f>aggregates_normalized!J28</f>
        <v>-0.6557529270969642</v>
      </c>
      <c r="I28" s="13">
        <f>aggregates_normalized!S28</f>
        <v>-0.15023031579814994</v>
      </c>
      <c r="J28" s="13">
        <f>aggregates_normalized!C28</f>
        <v>1.2616115574459741E-5</v>
      </c>
      <c r="K28" s="13">
        <f>output_transition_aggregates!AL28</f>
        <v>-2.2279774046282341</v>
      </c>
      <c r="L28" s="12">
        <v>0</v>
      </c>
    </row>
    <row r="29" spans="1:12" x14ac:dyDescent="0.35">
      <c r="A29" s="12">
        <f t="shared" si="0"/>
        <v>2026.75</v>
      </c>
      <c r="B29" s="13">
        <f>output_transition_aggregates!AK29</f>
        <v>2.0515326937250791E-8</v>
      </c>
      <c r="C29" s="13">
        <f>aggregates_normalized!R29</f>
        <v>-0.83832698405281736</v>
      </c>
      <c r="D29" s="12">
        <f>aggregates_normalized!K29</f>
        <v>-0.12989999999999391</v>
      </c>
      <c r="E29" s="13">
        <f>aggregates_normalized!AA29</f>
        <v>-1.7892469413841483</v>
      </c>
      <c r="F29" s="14">
        <f>100*(output_transition_aggregates!AM29-output_transition_aggregates!AM$2)</f>
        <v>0.11267745882303781</v>
      </c>
      <c r="G29" s="12">
        <f>100*(output_transition_firms_age!II35-output_transition_firms_age!II$8)</f>
        <v>0.14735620659764581</v>
      </c>
      <c r="H29" s="13">
        <f>aggregates_normalized!J29</f>
        <v>-0.63367804476178735</v>
      </c>
      <c r="I29" s="13">
        <f>aggregates_normalized!S29</f>
        <v>-0.20691008845730163</v>
      </c>
      <c r="J29" s="13">
        <f>aggregates_normalized!C29</f>
        <v>0</v>
      </c>
      <c r="K29" s="13">
        <f>output_transition_aggregates!AL29</f>
        <v>-2.1967770672441489</v>
      </c>
      <c r="L29" s="12">
        <v>0</v>
      </c>
    </row>
    <row r="30" spans="1:12" x14ac:dyDescent="0.35">
      <c r="A30" s="12">
        <f t="shared" si="0"/>
        <v>2027</v>
      </c>
      <c r="B30" s="13">
        <f>output_transition_aggregates!AK30</f>
        <v>1.0257663468625395E-8</v>
      </c>
      <c r="C30" s="13">
        <f>aggregates_normalized!R30</f>
        <v>-0.82830657243877504</v>
      </c>
      <c r="D30" s="12">
        <f>aggregates_normalized!K30</f>
        <v>-0.12786000000000186</v>
      </c>
      <c r="E30" s="13">
        <f>aggregates_normalized!AA30</f>
        <v>-1.7466402746626475</v>
      </c>
      <c r="F30" s="14">
        <f>100*(output_transition_aggregates!AM30-output_transition_aggregates!AM$2)</f>
        <v>0.1142518708592194</v>
      </c>
      <c r="G30" s="12">
        <f>100*(output_transition_firms_age!II36-output_transition_firms_age!II$8)</f>
        <v>0.12801962552621698</v>
      </c>
      <c r="H30" s="13">
        <f>aggregates_normalized!J30</f>
        <v>-0.60955465131058428</v>
      </c>
      <c r="I30" s="13">
        <f>aggregates_normalized!S30</f>
        <v>-0.26118603147244901</v>
      </c>
      <c r="J30" s="13">
        <f>aggregates_normalized!C30</f>
        <v>0</v>
      </c>
      <c r="K30" s="13">
        <f>output_transition_aggregates!AL30</f>
        <v>-2.1719903473492508</v>
      </c>
      <c r="L30" s="12">
        <v>0</v>
      </c>
    </row>
    <row r="31" spans="1:12" x14ac:dyDescent="0.35">
      <c r="A31" s="12">
        <f t="shared" si="0"/>
        <v>2027.25</v>
      </c>
      <c r="B31" s="13">
        <f>output_transition_aggregates!AK31</f>
        <v>5.1288317343126976E-9</v>
      </c>
      <c r="C31" s="13">
        <f>aggregates_normalized!R31</f>
        <v>-0.81830880947868501</v>
      </c>
      <c r="D31" s="12">
        <f>aggregates_normalized!K31</f>
        <v>-0.12512000000000079</v>
      </c>
      <c r="E31" s="13">
        <f>aggregates_normalized!AA31</f>
        <v>-1.7032265910264521</v>
      </c>
      <c r="F31" s="14">
        <f>100*(output_transition_aggregates!AM31-output_transition_aggregates!AM$2)</f>
        <v>0.11525697929027634</v>
      </c>
      <c r="G31" s="12">
        <f>100*(output_transition_firms_age!II37-output_transition_firms_age!II$8)</f>
        <v>0.11030568624479514</v>
      </c>
      <c r="H31" s="13">
        <f>aggregates_normalized!J31</f>
        <v>-0.58510302152227078</v>
      </c>
      <c r="I31" s="13">
        <f>aggregates_normalized!S31</f>
        <v>-0.3170705522193118</v>
      </c>
      <c r="J31" s="13">
        <f>aggregates_normalized!C31</f>
        <v>0</v>
      </c>
      <c r="K31" s="13">
        <f>output_transition_aggregates!AL31</f>
        <v>-2.1494366663776354</v>
      </c>
      <c r="L31" s="12">
        <v>0</v>
      </c>
    </row>
    <row r="32" spans="1:12" x14ac:dyDescent="0.35">
      <c r="A32" s="12">
        <f t="shared" si="0"/>
        <v>2027.5</v>
      </c>
      <c r="B32" s="13">
        <f>output_transition_aggregates!AK32</f>
        <v>2.5644158671563488E-9</v>
      </c>
      <c r="C32" s="13">
        <f>aggregates_normalized!R32</f>
        <v>-0.80867342498185391</v>
      </c>
      <c r="D32" s="12">
        <f>aggregates_normalized!K32</f>
        <v>-0.12211999999999223</v>
      </c>
      <c r="E32" s="13">
        <f>aggregates_normalized!AA32</f>
        <v>-1.6586615168783903</v>
      </c>
      <c r="F32" s="14">
        <f>100*(output_transition_aggregates!AM32-output_transition_aggregates!AM$2)</f>
        <v>0.11568516710081522</v>
      </c>
      <c r="G32" s="12">
        <f>100*(output_transition_firms_age!II38-output_transition_firms_age!II$8)</f>
        <v>9.6518924389879523E-2</v>
      </c>
      <c r="H32" s="13">
        <f>aggregates_normalized!J32</f>
        <v>-0.57104817884594539</v>
      </c>
      <c r="I32" s="13">
        <f>aggregates_normalized!S32</f>
        <v>-0.327481122707729</v>
      </c>
      <c r="J32" s="13">
        <f>aggregates_normalized!C32</f>
        <v>0</v>
      </c>
      <c r="K32" s="13">
        <f>output_transition_aggregates!AL32</f>
        <v>-2.1288113213929094</v>
      </c>
      <c r="L32" s="12">
        <v>0</v>
      </c>
    </row>
    <row r="33" spans="1:12" x14ac:dyDescent="0.35">
      <c r="A33" s="12">
        <f t="shared" si="0"/>
        <v>2027.75</v>
      </c>
      <c r="B33" s="13">
        <f>output_transition_aggregates!AK33</f>
        <v>1.2822079335781744E-9</v>
      </c>
      <c r="C33" s="13">
        <f>aggregates_normalized!R33</f>
        <v>-0.79937777029437385</v>
      </c>
      <c r="D33" s="12">
        <f>aggregates_normalized!K33</f>
        <v>-0.11883999999999784</v>
      </c>
      <c r="E33" s="13">
        <f>aggregates_normalized!AA33</f>
        <v>-1.6155330719792915</v>
      </c>
      <c r="F33" s="14">
        <f>100*(output_transition_aggregates!AM33-output_transition_aggregates!AM$2)</f>
        <v>0.11553916780205481</v>
      </c>
      <c r="G33" s="12">
        <f>100*(output_transition_firms_age!II39-output_transition_firms_age!II$8)</f>
        <v>7.8458579799303707E-2</v>
      </c>
      <c r="H33" s="13">
        <f>aggregates_normalized!J33</f>
        <v>-0.54495932202667241</v>
      </c>
      <c r="I33" s="13">
        <f>aggregates_normalized!S33</f>
        <v>-0.39478835274049384</v>
      </c>
      <c r="J33" s="13">
        <f>aggregates_normalized!C33</f>
        <v>0</v>
      </c>
      <c r="K33" s="13">
        <f>output_transition_aggregates!AL33</f>
        <v>-2.1101058123634164</v>
      </c>
      <c r="L33" s="12">
        <v>0</v>
      </c>
    </row>
    <row r="34" spans="1:12" x14ac:dyDescent="0.35">
      <c r="A34" s="12">
        <f t="shared" si="0"/>
        <v>2028</v>
      </c>
      <c r="B34" s="13">
        <f>output_transition_aggregates!AK34</f>
        <v>6.411039667890872E-10</v>
      </c>
      <c r="C34" s="13">
        <f>aggregates_normalized!R34</f>
        <v>-0.79040890332823244</v>
      </c>
      <c r="D34" s="12">
        <f>aggregates_normalized!K34</f>
        <v>-0.11548000000000114</v>
      </c>
      <c r="E34" s="13">
        <f>aggregates_normalized!AA34</f>
        <v>-1.5705610108527002</v>
      </c>
      <c r="F34" s="14">
        <f>100*(output_transition_aggregates!AM34-output_transition_aggregates!AM$2)</f>
        <v>0.11505670365323795</v>
      </c>
      <c r="G34" s="12">
        <f>100*(output_transition_firms_age!II40-output_transition_firms_age!II$8)</f>
        <v>7.1885692764521447E-2</v>
      </c>
      <c r="H34" s="13">
        <f>aggregates_normalized!J34</f>
        <v>-0.52294375951144056</v>
      </c>
      <c r="I34" s="13">
        <f>aggregates_normalized!S34</f>
        <v>-0.4453049230792594</v>
      </c>
      <c r="J34" s="13">
        <f>aggregates_normalized!C34</f>
        <v>0</v>
      </c>
      <c r="K34" s="13">
        <f>output_transition_aggregates!AL34</f>
        <v>-2.0926622674882989</v>
      </c>
      <c r="L34" s="12">
        <v>0</v>
      </c>
    </row>
    <row r="35" spans="1:12" x14ac:dyDescent="0.35">
      <c r="A35" s="12">
        <f t="shared" si="0"/>
        <v>2028.25</v>
      </c>
      <c r="B35" s="13">
        <f>output_transition_aggregates!AK35</f>
        <v>3.205519833945436E-10</v>
      </c>
      <c r="C35" s="13">
        <f>aggregates_normalized!R35</f>
        <v>-0.78455584404187872</v>
      </c>
      <c r="D35" s="12">
        <f>aggregates_normalized!K35</f>
        <v>-0.11700000000000044</v>
      </c>
      <c r="E35" s="13">
        <f>aggregates_normalized!AA35</f>
        <v>-1.5310606635484336</v>
      </c>
      <c r="F35" s="14">
        <f>100*(output_transition_aggregates!AM35-output_transition_aggregates!AM$2)</f>
        <v>0.1143502772511365</v>
      </c>
      <c r="G35" s="12">
        <f>100*(output_transition_firms_age!II41-output_transition_firms_age!II$8)</f>
        <v>7.83021053782057E-2</v>
      </c>
      <c r="H35" s="13">
        <f>aggregates_normalized!J35</f>
        <v>-0.51099674777110859</v>
      </c>
      <c r="I35" s="13">
        <f>aggregates_normalized!S35</f>
        <v>-0.4672104984819625</v>
      </c>
      <c r="J35" s="13">
        <f>aggregates_normalized!C35</f>
        <v>0</v>
      </c>
      <c r="K35" s="13">
        <f>output_transition_aggregates!AL35</f>
        <v>-2.0698119966144901</v>
      </c>
      <c r="L35" s="12">
        <v>0</v>
      </c>
    </row>
    <row r="36" spans="1:12" x14ac:dyDescent="0.35">
      <c r="A36" s="12">
        <f t="shared" si="0"/>
        <v>2028.5</v>
      </c>
      <c r="B36" s="13">
        <f>output_transition_aggregates!AK36</f>
        <v>1.602759916972718E-10</v>
      </c>
      <c r="C36" s="13">
        <f>aggregates_normalized!R36</f>
        <v>-0.78843199939017117</v>
      </c>
      <c r="D36" s="12">
        <f>aggregates_normalized!K36</f>
        <v>-0.13311999999999768</v>
      </c>
      <c r="E36" s="13">
        <f>aggregates_normalized!AA36</f>
        <v>-1.4898993223788626</v>
      </c>
      <c r="F36" s="14">
        <f>100*(output_transition_aggregates!AM36-output_transition_aggregates!AM$2)</f>
        <v>9.1383357137669874E-2</v>
      </c>
      <c r="G36" s="12">
        <f>100*(output_transition_firms_age!II42-output_transition_firms_age!II$8)</f>
        <v>8.2316004263432996E-2</v>
      </c>
      <c r="H36" s="13">
        <f>aggregates_normalized!J36</f>
        <v>-0.48780269816598443</v>
      </c>
      <c r="I36" s="13">
        <f>aggregates_normalized!S36</f>
        <v>-0.59486650431478383</v>
      </c>
      <c r="J36" s="13">
        <f>aggregates_normalized!C36</f>
        <v>0</v>
      </c>
      <c r="K36" s="13">
        <f>output_transition_aggregates!AL36</f>
        <v>-2.0320386004582858</v>
      </c>
      <c r="L36" s="12">
        <v>0</v>
      </c>
    </row>
    <row r="37" spans="1:12" x14ac:dyDescent="0.35">
      <c r="A37" s="12">
        <f t="shared" si="0"/>
        <v>2028.75</v>
      </c>
      <c r="B37" s="13">
        <f>output_transition_aggregates!AK37</f>
        <v>8.01379958486359E-11</v>
      </c>
      <c r="C37" s="13">
        <f>aggregates_normalized!R37</f>
        <v>-0.78375019906549159</v>
      </c>
      <c r="D37" s="12">
        <f>aggregates_normalized!K37</f>
        <v>-0.13528999999999902</v>
      </c>
      <c r="E37" s="13">
        <f>aggregates_normalized!AA37</f>
        <v>-1.4521486712301357</v>
      </c>
      <c r="F37" s="14">
        <f>100*(output_transition_aggregates!AM37-output_transition_aggregates!AM$2)</f>
        <v>6.9072844203892092E-2</v>
      </c>
      <c r="G37" s="12">
        <f>100*(output_transition_firms_age!II43-output_transition_firms_age!II$8)</f>
        <v>8.4731687787870102E-2</v>
      </c>
      <c r="H37" s="13">
        <f>aggregates_normalized!J37</f>
        <v>-0.47636583687731271</v>
      </c>
      <c r="I37" s="13">
        <f>aggregates_normalized!S37</f>
        <v>-0.62098330007132052</v>
      </c>
      <c r="J37" s="13">
        <f>aggregates_normalized!C37</f>
        <v>0</v>
      </c>
      <c r="K37" s="13">
        <f>output_transition_aggregates!AL37</f>
        <v>-2.0108087161834209</v>
      </c>
      <c r="L37" s="12">
        <v>0</v>
      </c>
    </row>
    <row r="38" spans="1:12" x14ac:dyDescent="0.35">
      <c r="A38" s="12">
        <f t="shared" si="0"/>
        <v>2029</v>
      </c>
      <c r="B38" s="13">
        <f>output_transition_aggregates!AK38</f>
        <v>4.006899792431795E-11</v>
      </c>
      <c r="C38" s="13">
        <f>aggregates_normalized!R38</f>
        <v>-0.78086411344723272</v>
      </c>
      <c r="D38" s="12">
        <f>aggregates_normalized!K38</f>
        <v>-0.13949999999999241</v>
      </c>
      <c r="E38" s="13">
        <f>aggregates_normalized!AA38</f>
        <v>-1.4209619895555026</v>
      </c>
      <c r="F38" s="14">
        <f>100*(output_transition_aggregates!AM38-output_transition_aggregates!AM$2)</f>
        <v>4.8269586709737133E-2</v>
      </c>
      <c r="G38" s="12">
        <f>100*(output_transition_firms_age!II44-output_transition_firms_age!II$8)</f>
        <v>8.7652921836435527E-2</v>
      </c>
      <c r="H38" s="13">
        <f>aggregates_normalized!J38</f>
        <v>-0.45319156054548504</v>
      </c>
      <c r="I38" s="13">
        <f>aggregates_normalized!S38</f>
        <v>-0.71077447053391474</v>
      </c>
      <c r="J38" s="13">
        <f>aggregates_normalized!C38</f>
        <v>0</v>
      </c>
      <c r="K38" s="13">
        <f>output_transition_aggregates!AL38</f>
        <v>-1.9888451884800151</v>
      </c>
      <c r="L38" s="12">
        <v>0</v>
      </c>
    </row>
    <row r="39" spans="1:12" x14ac:dyDescent="0.35">
      <c r="A39" s="12">
        <f t="shared" si="0"/>
        <v>2029.25</v>
      </c>
      <c r="B39" s="13">
        <f>output_transition_aggregates!AK39</f>
        <v>2.0034498962158975E-11</v>
      </c>
      <c r="C39" s="13">
        <f>aggregates_normalized!R39</f>
        <v>-0.77846982717200142</v>
      </c>
      <c r="D39" s="12">
        <f>aggregates_normalized!K39</f>
        <v>-0.14320999999999362</v>
      </c>
      <c r="E39" s="13">
        <f>aggregates_normalized!AA39</f>
        <v>-1.3979776608326056</v>
      </c>
      <c r="F39" s="14">
        <f>100*(output_transition_aggregates!AM39-output_transition_aggregates!AM$2)</f>
        <v>3.1124009293879984E-2</v>
      </c>
      <c r="G39" s="12">
        <f>100*(output_transition_firms_age!II45-output_transition_firms_age!II$8)</f>
        <v>7.9797684668470037E-2</v>
      </c>
      <c r="H39" s="13">
        <f>aggregates_normalized!J39</f>
        <v>-0.43382957130990718</v>
      </c>
      <c r="I39" s="13">
        <f>aggregates_normalized!S39</f>
        <v>-0.78590770234009399</v>
      </c>
      <c r="J39" s="13">
        <f>aggregates_normalized!C39</f>
        <v>0</v>
      </c>
      <c r="K39" s="13">
        <f>output_transition_aggregates!AL39</f>
        <v>-1.9699510291074418</v>
      </c>
      <c r="L39" s="12">
        <v>0</v>
      </c>
    </row>
    <row r="40" spans="1:12" x14ac:dyDescent="0.35">
      <c r="A40" s="12">
        <f t="shared" si="0"/>
        <v>2029.5</v>
      </c>
      <c r="B40" s="13">
        <f>output_transition_aggregates!AK40</f>
        <v>1.0017249481079488E-11</v>
      </c>
      <c r="C40" s="13">
        <f>aggregates_normalized!R40</f>
        <v>-0.77889044503116622</v>
      </c>
      <c r="D40" s="12">
        <f>aggregates_normalized!K40</f>
        <v>-0.15001999999999516</v>
      </c>
      <c r="E40" s="13">
        <f>aggregates_normalized!AA40</f>
        <v>-1.3825469408606406</v>
      </c>
      <c r="F40" s="14">
        <f>100*(output_transition_aggregates!AM40-output_transition_aggregates!AM$2)</f>
        <v>2.651531978920818E-2</v>
      </c>
      <c r="G40" s="12">
        <f>100*(output_transition_firms_age!II46-output_transition_firms_age!II$8)</f>
        <v>-0.23211955061820527</v>
      </c>
      <c r="H40" s="13">
        <f>aggregates_normalized!J40</f>
        <v>-0.40595716523711411</v>
      </c>
      <c r="I40" s="13">
        <f>aggregates_normalized!S40</f>
        <v>2.6536110401208068</v>
      </c>
      <c r="J40" s="13">
        <f>aggregates_normalized!C40</f>
        <v>0</v>
      </c>
      <c r="K40" s="13">
        <f>output_transition_aggregates!AL40</f>
        <v>-1.9502079327643251</v>
      </c>
      <c r="L40" s="12">
        <v>0</v>
      </c>
    </row>
    <row r="41" spans="1:12" x14ac:dyDescent="0.35">
      <c r="A41" s="12">
        <f t="shared" si="0"/>
        <v>2029.75</v>
      </c>
      <c r="B41" s="13">
        <f>output_transition_aggregates!AK41</f>
        <v>5.0086247405397438E-12</v>
      </c>
      <c r="C41" s="13">
        <f>aggregates_normalized!R41</f>
        <v>0</v>
      </c>
      <c r="D41" s="12">
        <f>aggregates_normalized!K41</f>
        <v>0</v>
      </c>
      <c r="E41" s="13">
        <f>aggregates_normalized!AA41</f>
        <v>0</v>
      </c>
      <c r="F41" s="14">
        <f>100*(output_transition_aggregates!AM41-output_transition_aggregates!AM$2)</f>
        <v>-11.498167756396205</v>
      </c>
      <c r="G41" s="12">
        <f>100*(output_transition_firms_age!II47-output_transition_firms_age!II$8)</f>
        <v>102.73657018479324</v>
      </c>
      <c r="H41" s="13">
        <f>aggregates_normalized!J41</f>
        <v>0</v>
      </c>
      <c r="I41" s="13">
        <f>aggregates_normalized!S41</f>
        <v>0</v>
      </c>
      <c r="J41" s="13">
        <f>aggregates_normalized!C41</f>
        <v>0</v>
      </c>
      <c r="K41" s="13">
        <f>output_transition_aggregates!AL41</f>
        <v>0</v>
      </c>
      <c r="L41" s="12">
        <v>0</v>
      </c>
    </row>
    <row r="42" spans="1:12" x14ac:dyDescent="0.35">
      <c r="A42" s="12">
        <f t="shared" si="0"/>
        <v>2030</v>
      </c>
      <c r="B42" s="13">
        <f>output_transition_aggregates!AK42</f>
        <v>0</v>
      </c>
      <c r="C42" s="13">
        <f>aggregates_normalized!R42</f>
        <v>-100</v>
      </c>
      <c r="D42" s="12">
        <f>aggregates_normalized!K42</f>
        <v>-99.755099999999999</v>
      </c>
      <c r="E42" s="13">
        <f>aggregates_normalized!AA42</f>
        <v>-100</v>
      </c>
      <c r="F42" s="14">
        <f>100*(output_transition_aggregates!AM42-output_transition_aggregates!AM$2)</f>
        <v>-11.498167756396205</v>
      </c>
      <c r="G42" s="12">
        <f>100*(output_transition_firms_age!II48-output_transition_firms_age!II$8)</f>
        <v>-11.498167756396182</v>
      </c>
      <c r="H42" s="13">
        <f>aggregates_normalized!J42</f>
        <v>-100</v>
      </c>
      <c r="I42" s="13">
        <f>aggregates_normalized!S42</f>
        <v>-100</v>
      </c>
      <c r="J42" s="13">
        <f>aggregates_normalized!C42</f>
        <v>0</v>
      </c>
      <c r="K42" s="13">
        <f>output_transition_aggregates!AL42</f>
        <v>0</v>
      </c>
      <c r="L42" s="12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7363F-B458-4F2F-8C2D-5F113D747B1D}">
  <dimension ref="A1:CM121"/>
  <sheetViews>
    <sheetView zoomScale="40" zoomScaleNormal="40" workbookViewId="0">
      <pane xSplit="1" ySplit="2" topLeftCell="BH3" activePane="bottomRight" state="frozen"/>
      <selection pane="topRight" activeCell="B1" sqref="B1"/>
      <selection pane="bottomLeft" activeCell="A2" sqref="A2"/>
      <selection pane="bottomRight" activeCell="BW15" sqref="BW15"/>
    </sheetView>
  </sheetViews>
  <sheetFormatPr defaultRowHeight="14.5" x14ac:dyDescent="0.35"/>
  <cols>
    <col min="27" max="34" width="10.08984375" bestFit="1" customWidth="1"/>
    <col min="35" max="48" width="10.08984375" customWidth="1"/>
    <col min="49" max="60" width="10.08984375" bestFit="1" customWidth="1"/>
    <col min="61" max="64" width="10.08984375" customWidth="1"/>
  </cols>
  <sheetData>
    <row r="1" spans="1:91" x14ac:dyDescent="0.35">
      <c r="AW1" s="1" t="s">
        <v>299</v>
      </c>
      <c r="AX1" s="1" t="s">
        <v>300</v>
      </c>
      <c r="AY1" s="1" t="s">
        <v>301</v>
      </c>
      <c r="AZ1" s="1" t="s">
        <v>302</v>
      </c>
      <c r="BA1" t="s">
        <v>303</v>
      </c>
      <c r="BB1" t="s">
        <v>304</v>
      </c>
      <c r="BC1" t="s">
        <v>34</v>
      </c>
      <c r="BD1" t="s">
        <v>37</v>
      </c>
      <c r="BE1" t="s">
        <v>305</v>
      </c>
      <c r="BF1" t="s">
        <v>306</v>
      </c>
      <c r="BG1" t="s">
        <v>307</v>
      </c>
      <c r="BH1" t="s">
        <v>308</v>
      </c>
      <c r="BI1" s="1" t="s">
        <v>309</v>
      </c>
      <c r="BJ1" s="1" t="s">
        <v>310</v>
      </c>
      <c r="BK1" s="1" t="s">
        <v>311</v>
      </c>
      <c r="BL1" s="1" t="s">
        <v>312</v>
      </c>
    </row>
    <row r="2" spans="1:91" x14ac:dyDescent="0.35">
      <c r="A2" t="s">
        <v>0</v>
      </c>
      <c r="B2" t="s">
        <v>313</v>
      </c>
      <c r="C2" t="s">
        <v>314</v>
      </c>
      <c r="D2" t="s">
        <v>315</v>
      </c>
      <c r="E2" t="s">
        <v>316</v>
      </c>
      <c r="F2" t="s">
        <v>317</v>
      </c>
      <c r="G2" t="s">
        <v>318</v>
      </c>
      <c r="H2" t="s">
        <v>319</v>
      </c>
      <c r="I2" t="s">
        <v>320</v>
      </c>
      <c r="J2" t="s">
        <v>321</v>
      </c>
      <c r="K2" t="s">
        <v>322</v>
      </c>
      <c r="L2" t="s">
        <v>323</v>
      </c>
      <c r="M2" t="s">
        <v>324</v>
      </c>
      <c r="N2" t="s">
        <v>325</v>
      </c>
      <c r="O2" t="s">
        <v>326</v>
      </c>
      <c r="P2" t="s">
        <v>327</v>
      </c>
      <c r="Q2" t="s">
        <v>328</v>
      </c>
      <c r="R2" t="s">
        <v>329</v>
      </c>
      <c r="S2" t="s">
        <v>330</v>
      </c>
      <c r="T2" t="s">
        <v>331</v>
      </c>
      <c r="U2" t="s">
        <v>332</v>
      </c>
      <c r="V2" t="s">
        <v>333</v>
      </c>
      <c r="W2" t="s">
        <v>334</v>
      </c>
      <c r="X2" t="s">
        <v>335</v>
      </c>
      <c r="Y2" t="s">
        <v>336</v>
      </c>
      <c r="AA2" t="s">
        <v>345</v>
      </c>
      <c r="AB2" t="s">
        <v>346</v>
      </c>
      <c r="AC2" t="s">
        <v>347</v>
      </c>
      <c r="AD2" t="s">
        <v>348</v>
      </c>
      <c r="AE2" t="s">
        <v>349</v>
      </c>
      <c r="AF2" t="s">
        <v>350</v>
      </c>
      <c r="AG2" t="s">
        <v>351</v>
      </c>
      <c r="AH2" t="s">
        <v>352</v>
      </c>
      <c r="AI2" t="s">
        <v>353</v>
      </c>
      <c r="AJ2" t="s">
        <v>354</v>
      </c>
      <c r="AK2" t="s">
        <v>355</v>
      </c>
      <c r="AL2" t="s">
        <v>356</v>
      </c>
      <c r="AV2" t="s">
        <v>337</v>
      </c>
      <c r="AW2" s="1" t="s">
        <v>338</v>
      </c>
      <c r="AX2" s="1" t="s">
        <v>338</v>
      </c>
      <c r="AY2" s="1" t="s">
        <v>338</v>
      </c>
      <c r="AZ2" s="1" t="s">
        <v>338</v>
      </c>
      <c r="BA2" t="s">
        <v>339</v>
      </c>
      <c r="BB2" t="s">
        <v>339</v>
      </c>
      <c r="BC2" t="s">
        <v>339</v>
      </c>
      <c r="BD2" t="s">
        <v>339</v>
      </c>
      <c r="BE2" t="s">
        <v>340</v>
      </c>
      <c r="BF2" t="s">
        <v>340</v>
      </c>
      <c r="BG2" t="s">
        <v>340</v>
      </c>
      <c r="BH2" t="s">
        <v>340</v>
      </c>
      <c r="BI2" t="s">
        <v>341</v>
      </c>
      <c r="BJ2" t="s">
        <v>341</v>
      </c>
      <c r="BK2" t="s">
        <v>341</v>
      </c>
      <c r="BL2" t="s">
        <v>341</v>
      </c>
      <c r="BM2" t="s">
        <v>57</v>
      </c>
    </row>
    <row r="3" spans="1:91" x14ac:dyDescent="0.3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3.0906913999999999</v>
      </c>
      <c r="S3">
        <v>1.0019087</v>
      </c>
      <c r="T3">
        <v>0.55328379999999999</v>
      </c>
      <c r="U3">
        <v>5.7495697000000003</v>
      </c>
      <c r="V3">
        <v>3.0906913999999999</v>
      </c>
      <c r="W3">
        <v>1.0019087</v>
      </c>
      <c r="X3">
        <v>0.55328379999999999</v>
      </c>
      <c r="Y3">
        <v>5.7495697000000003</v>
      </c>
      <c r="AA3" s="5">
        <f>F3-B3</f>
        <v>0</v>
      </c>
      <c r="AB3" s="5">
        <f>G3-C3</f>
        <v>0</v>
      </c>
      <c r="AC3" s="5">
        <f>H3-D3</f>
        <v>0</v>
      </c>
      <c r="AD3" s="5">
        <f>I3-E3</f>
        <v>0</v>
      </c>
      <c r="AE3" s="5">
        <f>N3-J3</f>
        <v>0</v>
      </c>
      <c r="AF3" s="5">
        <f>O3-K3</f>
        <v>0</v>
      </c>
      <c r="AG3" s="5">
        <f>P3-L3</f>
        <v>0</v>
      </c>
      <c r="AH3" s="5">
        <f>Q3-M3</f>
        <v>0</v>
      </c>
      <c r="AI3" s="5">
        <f>((V3-R3)-(AA3+AE3))</f>
        <v>0</v>
      </c>
      <c r="AJ3" s="5">
        <f t="shared" ref="AJ3:AL18" si="0">((W3-S3)-(AB3+AF3))</f>
        <v>0</v>
      </c>
      <c r="AK3" s="5">
        <f t="shared" si="0"/>
        <v>0</v>
      </c>
      <c r="AL3" s="5">
        <f t="shared" si="0"/>
        <v>0</v>
      </c>
      <c r="AM3" s="5"/>
      <c r="AN3" s="5"/>
      <c r="AO3" s="5"/>
      <c r="AP3" s="5"/>
      <c r="AQ3" s="5"/>
      <c r="AR3" s="5"/>
      <c r="AS3" s="5"/>
      <c r="AT3" s="5"/>
      <c r="AU3" s="5"/>
      <c r="AV3" s="5">
        <v>2020</v>
      </c>
      <c r="AW3" s="3">
        <f t="shared" ref="AW3:AW34" si="1">100*(AA3+AE3)/R3</f>
        <v>0</v>
      </c>
      <c r="AX3" s="3">
        <f t="shared" ref="AX3:AX34" si="2">100*(AB3+AF3)/S3</f>
        <v>0</v>
      </c>
      <c r="AY3" s="3">
        <f t="shared" ref="AY3:AY34" si="3">100*(AC3+AG3)/T3</f>
        <v>0</v>
      </c>
      <c r="AZ3" s="3">
        <f t="shared" ref="AZ3:AZ34" si="4">100*(AD3+AH3)/U3</f>
        <v>0</v>
      </c>
      <c r="BA3" s="3">
        <f t="shared" ref="BA3:BA34" si="5">100*(V3-R3)/R3</f>
        <v>0</v>
      </c>
      <c r="BB3" s="3">
        <f t="shared" ref="BB3:BB34" si="6">100*(W3-S3)/S3</f>
        <v>0</v>
      </c>
      <c r="BC3" s="3">
        <f t="shared" ref="BC3:BC34" si="7">100*(X3-T3)/T3</f>
        <v>0</v>
      </c>
      <c r="BD3" s="3">
        <f t="shared" ref="BD3:BD34" si="8">100*(Y3-U3)/U3</f>
        <v>0</v>
      </c>
      <c r="BE3" s="3">
        <f t="shared" ref="BE3:BE34" si="9">100*(V3-AA3-V$3)/R3</f>
        <v>0</v>
      </c>
      <c r="BF3" s="3">
        <f t="shared" ref="BF3:BF34" si="10">100*(W3-AB3-W$3)/S3</f>
        <v>0</v>
      </c>
      <c r="BG3" s="3">
        <f t="shared" ref="BG3:BG34" si="11">100*(X3-AC3-X$3)/T3</f>
        <v>0</v>
      </c>
      <c r="BH3" s="3">
        <f t="shared" ref="BH3:BH34" si="12">100*(Y3-AD3-Y$3)/U3</f>
        <v>0</v>
      </c>
      <c r="BI3" s="3">
        <f t="shared" ref="BI3:BI34" si="13">100*(AE3/R3)</f>
        <v>0</v>
      </c>
      <c r="BJ3" s="3">
        <f t="shared" ref="BJ3:BJ34" si="14">100*(AF3/S3)</f>
        <v>0</v>
      </c>
      <c r="BK3" s="3">
        <f t="shared" ref="BK3:BK34" si="15">100*(AG3/T3)</f>
        <v>0</v>
      </c>
      <c r="BL3" s="3">
        <f t="shared" ref="BL3:BL34" si="16">100*(AH3/U3)</f>
        <v>0</v>
      </c>
      <c r="BM3" s="2">
        <v>0</v>
      </c>
      <c r="BN3">
        <v>10.37</v>
      </c>
      <c r="BO3">
        <v>13.42</v>
      </c>
    </row>
    <row r="4" spans="1:91" x14ac:dyDescent="0.35">
      <c r="A4">
        <f>A3+1</f>
        <v>1</v>
      </c>
      <c r="B4">
        <v>1.2087199999999999E-2</v>
      </c>
      <c r="C4">
        <v>6.0755000000000002E-3</v>
      </c>
      <c r="D4">
        <v>5.1372000000000001E-2</v>
      </c>
      <c r="E4">
        <v>1.3063999999999999E-2</v>
      </c>
      <c r="F4">
        <v>1.07E-4</v>
      </c>
      <c r="G4">
        <v>9.5099999999999994E-5</v>
      </c>
      <c r="H4">
        <v>1.0131999999999999E-3</v>
      </c>
      <c r="I4">
        <v>2.8049999999999999E-4</v>
      </c>
      <c r="J4">
        <v>3.0415087000000001</v>
      </c>
      <c r="K4">
        <v>0.97836060000000002</v>
      </c>
      <c r="L4">
        <v>0.66278490000000001</v>
      </c>
      <c r="M4">
        <v>5.6947932999999997</v>
      </c>
      <c r="N4">
        <v>2.7383871000000002</v>
      </c>
      <c r="O4">
        <v>0.85250970000000004</v>
      </c>
      <c r="P4">
        <v>0.50435039999999998</v>
      </c>
      <c r="Q4">
        <v>5.6973707999999998</v>
      </c>
      <c r="R4">
        <v>3.0906913999999999</v>
      </c>
      <c r="S4">
        <v>1.0019087</v>
      </c>
      <c r="T4">
        <v>0.55328379999999999</v>
      </c>
      <c r="U4">
        <v>5.7495697000000003</v>
      </c>
      <c r="V4">
        <v>2.7384941</v>
      </c>
      <c r="W4">
        <v>0.85260480000000005</v>
      </c>
      <c r="X4">
        <v>0.23609740000000001</v>
      </c>
      <c r="Y4">
        <v>5.6976513999999998</v>
      </c>
      <c r="AA4" s="5">
        <f t="shared" ref="AA4:AD67" si="17">F4-B4</f>
        <v>-1.19802E-2</v>
      </c>
      <c r="AB4" s="5">
        <f t="shared" si="17"/>
        <v>-5.9804000000000003E-3</v>
      </c>
      <c r="AC4" s="5">
        <f t="shared" si="17"/>
        <v>-5.0358800000000002E-2</v>
      </c>
      <c r="AD4" s="5">
        <f t="shared" si="17"/>
        <v>-1.27835E-2</v>
      </c>
      <c r="AE4" s="5">
        <f t="shared" ref="AE4:AH67" si="18">N4-J4</f>
        <v>-0.30312159999999988</v>
      </c>
      <c r="AF4" s="5">
        <f t="shared" si="18"/>
        <v>-0.12585089999999999</v>
      </c>
      <c r="AG4" s="5">
        <f t="shared" si="18"/>
        <v>-0.15843450000000003</v>
      </c>
      <c r="AH4" s="5">
        <f t="shared" si="18"/>
        <v>2.5775000000001214E-3</v>
      </c>
      <c r="AI4" s="5">
        <f>((V4-R4)-(AA4+AE4))</f>
        <v>-3.7095499999999948E-2</v>
      </c>
      <c r="AJ4" s="5">
        <f t="shared" si="0"/>
        <v>-1.7472599999999949E-2</v>
      </c>
      <c r="AK4" s="5">
        <f t="shared" si="0"/>
        <v>-0.10839309999999994</v>
      </c>
      <c r="AL4" s="5">
        <f t="shared" si="0"/>
        <v>-4.1712300000000646E-2</v>
      </c>
      <c r="AM4" s="5">
        <f>-(AA4+AI4)</f>
        <v>4.9075699999999944E-2</v>
      </c>
      <c r="AN4" s="5">
        <f t="shared" ref="AN4:AP4" si="19">-(AB4+AJ4)</f>
        <v>2.345299999999995E-2</v>
      </c>
      <c r="AO4" s="5">
        <f t="shared" si="19"/>
        <v>0.15875189999999995</v>
      </c>
      <c r="AP4" s="5">
        <f t="shared" si="19"/>
        <v>5.4495800000000649E-2</v>
      </c>
      <c r="AQ4" s="5">
        <f t="shared" ref="AQ4" si="20">R4-V4</f>
        <v>0.35219729999999982</v>
      </c>
      <c r="AR4" s="5">
        <f t="shared" ref="AR4:AT4" si="21">S4-W4</f>
        <v>0.14930389999999993</v>
      </c>
      <c r="AS4" s="5">
        <f t="shared" si="21"/>
        <v>0.31718639999999998</v>
      </c>
      <c r="AT4" s="5">
        <f t="shared" si="21"/>
        <v>5.1918300000000528E-2</v>
      </c>
      <c r="AU4" s="5"/>
      <c r="AV4" s="5">
        <f>AV3+0.25</f>
        <v>2020.25</v>
      </c>
      <c r="AW4" s="3">
        <f t="shared" si="1"/>
        <v>-10.195188041096561</v>
      </c>
      <c r="AX4" s="3">
        <f t="shared" si="2"/>
        <v>-13.158015296204134</v>
      </c>
      <c r="AY4" s="3">
        <f t="shared" si="3"/>
        <v>-37.737107068741217</v>
      </c>
      <c r="AZ4" s="3">
        <f t="shared" si="4"/>
        <v>-0.1775089360165488</v>
      </c>
      <c r="BA4" s="3">
        <f t="shared" si="5"/>
        <v>-11.395421102216801</v>
      </c>
      <c r="BB4" s="3">
        <f t="shared" si="6"/>
        <v>-14.901946654420701</v>
      </c>
      <c r="BC4" s="3">
        <f t="shared" si="7"/>
        <v>-57.327975263327787</v>
      </c>
      <c r="BD4" s="3">
        <f t="shared" si="8"/>
        <v>-0.90299453192124146</v>
      </c>
      <c r="BE4" s="3">
        <f t="shared" si="9"/>
        <v>-11.007799096344586</v>
      </c>
      <c r="BF4" s="3">
        <f t="shared" si="10"/>
        <v>-14.305045958778475</v>
      </c>
      <c r="BG4" s="3">
        <f t="shared" si="11"/>
        <v>-48.226172535686025</v>
      </c>
      <c r="BH4" s="3">
        <f t="shared" si="12"/>
        <v>-0.68065615414663549</v>
      </c>
      <c r="BI4" s="3">
        <f t="shared" si="13"/>
        <v>-9.8075660352243474</v>
      </c>
      <c r="BJ4" s="3">
        <f t="shared" si="14"/>
        <v>-12.561114600561908</v>
      </c>
      <c r="BK4" s="3">
        <f t="shared" si="15"/>
        <v>-28.635304341099456</v>
      </c>
      <c r="BL4" s="3">
        <f t="shared" si="16"/>
        <v>4.4829441758052278E-2</v>
      </c>
      <c r="BM4" s="2">
        <v>0</v>
      </c>
      <c r="BN4">
        <v>11.71</v>
      </c>
      <c r="BO4">
        <v>15.37</v>
      </c>
    </row>
    <row r="5" spans="1:91" x14ac:dyDescent="0.35">
      <c r="A5">
        <f t="shared" ref="A5:A68" si="22">A4+1</f>
        <v>2</v>
      </c>
      <c r="B5">
        <v>1.29681E-2</v>
      </c>
      <c r="C5">
        <v>6.1231000000000002E-3</v>
      </c>
      <c r="D5">
        <v>2.2627399999999999E-2</v>
      </c>
      <c r="E5">
        <v>2.1950600000000001E-2</v>
      </c>
      <c r="F5">
        <v>1.6190000000000001E-4</v>
      </c>
      <c r="G5">
        <v>1.075E-4</v>
      </c>
      <c r="H5">
        <v>4.2400000000000001E-4</v>
      </c>
      <c r="I5">
        <v>4.2709999999999997E-4</v>
      </c>
      <c r="J5">
        <v>3.0436836999999999</v>
      </c>
      <c r="K5">
        <v>0.97992250000000003</v>
      </c>
      <c r="L5">
        <v>0.67263530000000005</v>
      </c>
      <c r="M5">
        <v>5.680911</v>
      </c>
      <c r="N5">
        <v>2.8883158999999998</v>
      </c>
      <c r="O5">
        <v>0.91502729999999999</v>
      </c>
      <c r="P5">
        <v>0.51709300000000002</v>
      </c>
      <c r="Q5">
        <v>5.6464347999999998</v>
      </c>
      <c r="R5">
        <v>3.0906913999999999</v>
      </c>
      <c r="S5">
        <v>1.0019087</v>
      </c>
      <c r="T5">
        <v>0.55328379999999999</v>
      </c>
      <c r="U5">
        <v>5.7495697000000003</v>
      </c>
      <c r="V5">
        <v>2.8910827000000001</v>
      </c>
      <c r="W5">
        <v>0.91647460000000003</v>
      </c>
      <c r="X5">
        <v>0.3931943</v>
      </c>
      <c r="Y5">
        <v>5.6542342000000003</v>
      </c>
      <c r="AA5" s="5">
        <f t="shared" si="17"/>
        <v>-1.28062E-2</v>
      </c>
      <c r="AB5" s="5">
        <f t="shared" si="17"/>
        <v>-6.0156000000000003E-3</v>
      </c>
      <c r="AC5" s="5">
        <f t="shared" si="17"/>
        <v>-2.2203399999999998E-2</v>
      </c>
      <c r="AD5" s="5">
        <f t="shared" si="17"/>
        <v>-2.1523500000000001E-2</v>
      </c>
      <c r="AE5" s="5">
        <f t="shared" si="18"/>
        <v>-0.15536780000000006</v>
      </c>
      <c r="AF5" s="5">
        <f t="shared" si="18"/>
        <v>-6.4895200000000042E-2</v>
      </c>
      <c r="AG5" s="5">
        <f t="shared" si="18"/>
        <v>-0.15554230000000002</v>
      </c>
      <c r="AH5" s="5">
        <f t="shared" si="18"/>
        <v>-3.447620000000029E-2</v>
      </c>
      <c r="AI5" s="5">
        <f t="shared" ref="AI5:AL68" si="23">((V5-R5)-(AA5+AE5))</f>
        <v>-3.1434699999999705E-2</v>
      </c>
      <c r="AJ5" s="5">
        <f t="shared" si="0"/>
        <v>-1.452329999999992E-2</v>
      </c>
      <c r="AK5" s="5">
        <f t="shared" si="0"/>
        <v>1.7656200000000011E-2</v>
      </c>
      <c r="AL5" s="5">
        <f t="shared" si="0"/>
        <v>-3.9335799999999727E-2</v>
      </c>
      <c r="AM5" s="5">
        <f t="shared" ref="AM5:AM7" si="24">-(AA5+AI5)</f>
        <v>4.4240899999999708E-2</v>
      </c>
      <c r="AN5" s="5">
        <f t="shared" ref="AN5:AN7" si="25">-(AB5+AJ5)</f>
        <v>2.0538899999999919E-2</v>
      </c>
      <c r="AO5" s="5">
        <f t="shared" ref="AO5:AO7" si="26">-(AC5+AK5)</f>
        <v>4.5471999999999874E-3</v>
      </c>
      <c r="AP5" s="5">
        <f t="shared" ref="AP5:AP7" si="27">-(AD5+AL5)</f>
        <v>6.0859299999999728E-2</v>
      </c>
      <c r="AQ5" s="5">
        <f t="shared" ref="AQ5:AQ7" si="28">R5-V5</f>
        <v>0.19960869999999975</v>
      </c>
      <c r="AR5" s="5">
        <f t="shared" ref="AR5:AR7" si="29">S5-W5</f>
        <v>8.5434099999999957E-2</v>
      </c>
      <c r="AS5" s="5">
        <f t="shared" ref="AS5:AS7" si="30">T5-X5</f>
        <v>0.1600895</v>
      </c>
      <c r="AT5" s="5">
        <f t="shared" ref="AT5:AT7" si="31">U5-Y5</f>
        <v>9.5335500000000017E-2</v>
      </c>
      <c r="AU5" s="5"/>
      <c r="AV5" s="5">
        <f t="shared" ref="AV5:AV68" si="32">AV4+0.25</f>
        <v>2020.5</v>
      </c>
      <c r="AW5" s="3">
        <f t="shared" si="1"/>
        <v>-5.4413067574459255</v>
      </c>
      <c r="AX5" s="3">
        <f t="shared" si="2"/>
        <v>-7.0775710401556582</v>
      </c>
      <c r="AY5" s="3">
        <f t="shared" si="3"/>
        <v>-32.125592688598509</v>
      </c>
      <c r="AZ5" s="3">
        <f t="shared" si="4"/>
        <v>-0.97398071372193795</v>
      </c>
      <c r="BA5" s="3">
        <f t="shared" si="5"/>
        <v>-6.4583833895548342</v>
      </c>
      <c r="BB5" s="3">
        <f t="shared" si="6"/>
        <v>-8.5271342588401478</v>
      </c>
      <c r="BC5" s="3">
        <f t="shared" si="7"/>
        <v>-28.934427503570497</v>
      </c>
      <c r="BD5" s="3">
        <f t="shared" si="8"/>
        <v>-1.6581327816584259</v>
      </c>
      <c r="BE5" s="3">
        <f t="shared" si="9"/>
        <v>-6.0440359720158332</v>
      </c>
      <c r="BF5" s="3">
        <f t="shared" si="10"/>
        <v>-7.9267202690225123</v>
      </c>
      <c r="BG5" s="3">
        <f t="shared" si="11"/>
        <v>-24.921405614984575</v>
      </c>
      <c r="BH5" s="3">
        <f t="shared" si="12"/>
        <v>-1.2837830281455707</v>
      </c>
      <c r="BI5" s="3">
        <f t="shared" si="13"/>
        <v>-5.0269593399069237</v>
      </c>
      <c r="BJ5" s="3">
        <f t="shared" si="14"/>
        <v>-6.4771570503380245</v>
      </c>
      <c r="BK5" s="3">
        <f t="shared" si="15"/>
        <v>-28.11257080001258</v>
      </c>
      <c r="BL5" s="3">
        <f t="shared" si="16"/>
        <v>-0.59963096020907947</v>
      </c>
      <c r="BM5" s="2">
        <v>0</v>
      </c>
      <c r="BN5" s="3">
        <f>BN3-BN4</f>
        <v>-1.3400000000000016</v>
      </c>
      <c r="BO5" s="3">
        <f>BO3-BO4</f>
        <v>-1.9499999999999993</v>
      </c>
    </row>
    <row r="6" spans="1:91" x14ac:dyDescent="0.35">
      <c r="A6">
        <f t="shared" si="22"/>
        <v>3</v>
      </c>
      <c r="B6">
        <v>1.2613299999999999E-2</v>
      </c>
      <c r="C6">
        <v>5.6804999999999998E-3</v>
      </c>
      <c r="D6">
        <v>2.3497000000000001E-3</v>
      </c>
      <c r="E6">
        <v>2.38674E-2</v>
      </c>
      <c r="F6">
        <v>2.4679999999999998E-4</v>
      </c>
      <c r="G6">
        <v>1.317E-4</v>
      </c>
      <c r="H6">
        <v>2.9359999999999998E-4</v>
      </c>
      <c r="I6">
        <v>5.2209999999999995E-4</v>
      </c>
      <c r="J6">
        <v>3.0391354000000002</v>
      </c>
      <c r="K6">
        <v>0.97841869999999997</v>
      </c>
      <c r="L6">
        <v>0.67355489999999996</v>
      </c>
      <c r="M6">
        <v>5.6575315000000002</v>
      </c>
      <c r="N6">
        <v>2.9553262</v>
      </c>
      <c r="O6">
        <v>0.94617439999999997</v>
      </c>
      <c r="P6">
        <v>0.56303340000000002</v>
      </c>
      <c r="Q6">
        <v>5.5977674999999998</v>
      </c>
      <c r="R6">
        <v>3.0906913999999999</v>
      </c>
      <c r="S6">
        <v>1.0019087</v>
      </c>
      <c r="T6">
        <v>0.55328379999999999</v>
      </c>
      <c r="U6">
        <v>5.7495697000000003</v>
      </c>
      <c r="V6">
        <v>2.9683147000000001</v>
      </c>
      <c r="W6">
        <v>0.95230599999999999</v>
      </c>
      <c r="X6">
        <v>0.47186919999999999</v>
      </c>
      <c r="Y6">
        <v>5.6228942999999996</v>
      </c>
      <c r="AA6" s="5">
        <f t="shared" si="17"/>
        <v>-1.2366499999999999E-2</v>
      </c>
      <c r="AB6" s="5">
        <f t="shared" si="17"/>
        <v>-5.5487999999999996E-3</v>
      </c>
      <c r="AC6" s="5">
        <f t="shared" si="17"/>
        <v>-2.0560999999999999E-3</v>
      </c>
      <c r="AD6" s="5">
        <f t="shared" si="17"/>
        <v>-2.3345299999999999E-2</v>
      </c>
      <c r="AE6" s="5">
        <f t="shared" si="18"/>
        <v>-8.3809200000000139E-2</v>
      </c>
      <c r="AF6" s="5">
        <f t="shared" si="18"/>
        <v>-3.2244300000000004E-2</v>
      </c>
      <c r="AG6" s="5">
        <f t="shared" si="18"/>
        <v>-0.11052149999999994</v>
      </c>
      <c r="AH6" s="5">
        <f t="shared" si="18"/>
        <v>-5.9764000000000372E-2</v>
      </c>
      <c r="AI6" s="5">
        <f t="shared" si="23"/>
        <v>-2.6200999999999641E-2</v>
      </c>
      <c r="AJ6" s="5">
        <f t="shared" si="0"/>
        <v>-1.1809599999999996E-2</v>
      </c>
      <c r="AK6" s="5">
        <f t="shared" si="0"/>
        <v>3.1162999999999941E-2</v>
      </c>
      <c r="AL6" s="5">
        <f t="shared" si="0"/>
        <v>-4.3566100000000399E-2</v>
      </c>
      <c r="AM6" s="5">
        <f t="shared" si="24"/>
        <v>3.8567499999999644E-2</v>
      </c>
      <c r="AN6" s="5">
        <f t="shared" si="25"/>
        <v>1.7358399999999996E-2</v>
      </c>
      <c r="AO6" s="5">
        <f t="shared" si="26"/>
        <v>-2.9106899999999943E-2</v>
      </c>
      <c r="AP6" s="5">
        <f t="shared" si="27"/>
        <v>6.6911400000000398E-2</v>
      </c>
      <c r="AQ6" s="5">
        <f t="shared" si="28"/>
        <v>0.12237669999999978</v>
      </c>
      <c r="AR6" s="5">
        <f t="shared" si="29"/>
        <v>4.96027E-2</v>
      </c>
      <c r="AS6" s="5">
        <f t="shared" si="30"/>
        <v>8.1414600000000004E-2</v>
      </c>
      <c r="AT6" s="5">
        <f t="shared" si="31"/>
        <v>0.12667540000000077</v>
      </c>
      <c r="AU6" s="5"/>
      <c r="AV6" s="5">
        <f t="shared" si="32"/>
        <v>2020.75</v>
      </c>
      <c r="AW6" s="3">
        <f t="shared" si="1"/>
        <v>-3.1117859259581904</v>
      </c>
      <c r="AX6" s="3">
        <f t="shared" si="2"/>
        <v>-3.7721101733121993</v>
      </c>
      <c r="AY6" s="3">
        <f t="shared" si="3"/>
        <v>-20.347170837100226</v>
      </c>
      <c r="AZ6" s="3">
        <f t="shared" si="4"/>
        <v>-1.4454873031628848</v>
      </c>
      <c r="BA6" s="3">
        <f t="shared" si="5"/>
        <v>-3.9595250434902622</v>
      </c>
      <c r="BB6" s="3">
        <f t="shared" si="6"/>
        <v>-4.9508203691613817</v>
      </c>
      <c r="BC6" s="3">
        <f t="shared" si="7"/>
        <v>-14.7147991681665</v>
      </c>
      <c r="BD6" s="3">
        <f t="shared" si="8"/>
        <v>-2.2032153119215296</v>
      </c>
      <c r="BE6" s="3">
        <f t="shared" si="9"/>
        <v>-3.559404216156929</v>
      </c>
      <c r="BF6" s="3">
        <f t="shared" si="10"/>
        <v>-4.3969974509653404</v>
      </c>
      <c r="BG6" s="3">
        <f t="shared" si="11"/>
        <v>-14.343181564325578</v>
      </c>
      <c r="BH6" s="3">
        <f t="shared" si="12"/>
        <v>-1.797179708944147</v>
      </c>
      <c r="BI6" s="3">
        <f t="shared" si="13"/>
        <v>-2.7116650986248625</v>
      </c>
      <c r="BJ6" s="3">
        <f t="shared" si="14"/>
        <v>-3.2182872551161603</v>
      </c>
      <c r="BK6" s="3">
        <f t="shared" si="15"/>
        <v>-19.975553233259305</v>
      </c>
      <c r="BL6" s="3">
        <f t="shared" si="16"/>
        <v>-1.0394517001855004</v>
      </c>
      <c r="BM6" s="2">
        <v>0</v>
      </c>
      <c r="BN6" s="3">
        <f>BN5/BN4</f>
        <v>-0.11443210930828365</v>
      </c>
      <c r="BO6" s="3">
        <f>BO5/BO4</f>
        <v>-0.12687052700065057</v>
      </c>
    </row>
    <row r="7" spans="1:91" x14ac:dyDescent="0.35">
      <c r="A7">
        <f t="shared" si="22"/>
        <v>4</v>
      </c>
      <c r="B7">
        <v>1.1728499999999999E-2</v>
      </c>
      <c r="C7">
        <v>5.1527999999999999E-3</v>
      </c>
      <c r="D7">
        <v>-3.4510999999999999E-3</v>
      </c>
      <c r="E7">
        <v>2.2748399999999998E-2</v>
      </c>
      <c r="F7">
        <v>2.4068000000000002E-3</v>
      </c>
      <c r="G7">
        <v>1.2109E-3</v>
      </c>
      <c r="H7">
        <v>9.2788999999999996E-3</v>
      </c>
      <c r="I7">
        <v>2.9115E-3</v>
      </c>
      <c r="J7">
        <v>3.0190448000000001</v>
      </c>
      <c r="K7">
        <v>0.96960290000000005</v>
      </c>
      <c r="L7">
        <v>0.68341090000000004</v>
      </c>
      <c r="M7">
        <v>5.6067194999999996</v>
      </c>
      <c r="N7">
        <v>2.9703344999999999</v>
      </c>
      <c r="O7">
        <v>0.95412980000000003</v>
      </c>
      <c r="P7">
        <v>0.61145839999999996</v>
      </c>
      <c r="Q7">
        <v>5.5330443000000002</v>
      </c>
      <c r="R7">
        <v>3.0906913999999999</v>
      </c>
      <c r="S7">
        <v>1.0019087</v>
      </c>
      <c r="T7">
        <v>0.55328379999999999</v>
      </c>
      <c r="U7">
        <v>5.7495697000000003</v>
      </c>
      <c r="V7">
        <v>3.0077367000000002</v>
      </c>
      <c r="W7">
        <v>0.97151069999999995</v>
      </c>
      <c r="X7">
        <v>0.51084689999999999</v>
      </c>
      <c r="Y7">
        <v>5.6031117000000004</v>
      </c>
      <c r="AA7" s="5">
        <f t="shared" si="17"/>
        <v>-9.3216999999999987E-3</v>
      </c>
      <c r="AB7" s="5">
        <f t="shared" si="17"/>
        <v>-3.9418999999999999E-3</v>
      </c>
      <c r="AC7" s="5">
        <f t="shared" si="17"/>
        <v>1.273E-2</v>
      </c>
      <c r="AD7" s="5">
        <f t="shared" si="17"/>
        <v>-1.9836899999999998E-2</v>
      </c>
      <c r="AE7" s="5">
        <f t="shared" si="18"/>
        <v>-4.8710300000000206E-2</v>
      </c>
      <c r="AF7" s="5">
        <f t="shared" si="18"/>
        <v>-1.5473100000000017E-2</v>
      </c>
      <c r="AG7" s="5">
        <f t="shared" si="18"/>
        <v>-7.1952500000000086E-2</v>
      </c>
      <c r="AH7" s="5">
        <f t="shared" si="18"/>
        <v>-7.3675199999999386E-2</v>
      </c>
      <c r="AI7" s="5">
        <f t="shared" si="23"/>
        <v>-2.4922699999999506E-2</v>
      </c>
      <c r="AJ7" s="5">
        <f t="shared" si="0"/>
        <v>-1.0983000000000021E-2</v>
      </c>
      <c r="AK7" s="5">
        <f t="shared" si="0"/>
        <v>1.6785600000000088E-2</v>
      </c>
      <c r="AL7" s="5">
        <f t="shared" si="0"/>
        <v>-5.2945900000000601E-2</v>
      </c>
      <c r="AM7" s="5">
        <f t="shared" si="24"/>
        <v>3.4244399999999509E-2</v>
      </c>
      <c r="AN7" s="5">
        <f t="shared" si="25"/>
        <v>1.492490000000002E-2</v>
      </c>
      <c r="AO7" s="5">
        <f t="shared" si="26"/>
        <v>-2.9515600000000086E-2</v>
      </c>
      <c r="AP7" s="5">
        <f t="shared" si="27"/>
        <v>7.2782800000000591E-2</v>
      </c>
      <c r="AQ7" s="5">
        <f t="shared" si="28"/>
        <v>8.2954699999999715E-2</v>
      </c>
      <c r="AR7" s="5">
        <f t="shared" si="29"/>
        <v>3.0398000000000036E-2</v>
      </c>
      <c r="AS7" s="5">
        <f t="shared" si="30"/>
        <v>4.24369E-2</v>
      </c>
      <c r="AT7" s="5">
        <f t="shared" si="31"/>
        <v>0.14645799999999998</v>
      </c>
      <c r="AU7" s="5"/>
      <c r="AV7" s="5">
        <f t="shared" si="32"/>
        <v>2021</v>
      </c>
      <c r="AW7" s="3">
        <f t="shared" si="1"/>
        <v>-1.8776381233014792</v>
      </c>
      <c r="AX7" s="3">
        <f t="shared" si="2"/>
        <v>-1.9378013186231455</v>
      </c>
      <c r="AY7" s="3">
        <f t="shared" si="3"/>
        <v>-10.703819631082654</v>
      </c>
      <c r="AZ7" s="3">
        <f t="shared" si="4"/>
        <v>-1.6264191040244171</v>
      </c>
      <c r="BA7" s="3">
        <f t="shared" si="5"/>
        <v>-2.6840175631898973</v>
      </c>
      <c r="BB7" s="3">
        <f t="shared" si="6"/>
        <v>-3.0340089870464282</v>
      </c>
      <c r="BC7" s="3">
        <f t="shared" si="7"/>
        <v>-7.6700058812493701</v>
      </c>
      <c r="BD7" s="3">
        <f t="shared" si="8"/>
        <v>-2.5472862777887531</v>
      </c>
      <c r="BE7" s="3">
        <f t="shared" si="9"/>
        <v>-2.3824119095164149</v>
      </c>
      <c r="BF7" s="3">
        <f t="shared" si="10"/>
        <v>-2.6405699441476038</v>
      </c>
      <c r="BG7" s="3">
        <f t="shared" si="11"/>
        <v>-9.9708142548182366</v>
      </c>
      <c r="BH7" s="3">
        <f t="shared" si="12"/>
        <v>-2.2022708934200828</v>
      </c>
      <c r="BI7" s="3">
        <f t="shared" si="13"/>
        <v>-1.5760324696280001</v>
      </c>
      <c r="BJ7" s="3">
        <f t="shared" si="14"/>
        <v>-1.5443622757243267</v>
      </c>
      <c r="BK7" s="3">
        <f t="shared" si="15"/>
        <v>-13.004628004651517</v>
      </c>
      <c r="BL7" s="3">
        <f t="shared" si="16"/>
        <v>-1.2814037196557402</v>
      </c>
      <c r="BM7" s="2">
        <v>0</v>
      </c>
      <c r="BN7" s="3">
        <f>100*BN6</f>
        <v>-11.443210930828366</v>
      </c>
      <c r="BO7" s="3">
        <f>100*BO6</f>
        <v>-12.687052700065058</v>
      </c>
    </row>
    <row r="8" spans="1:91" x14ac:dyDescent="0.35">
      <c r="A8">
        <f t="shared" si="22"/>
        <v>5</v>
      </c>
      <c r="B8">
        <v>1.0755300000000001E-2</v>
      </c>
      <c r="C8">
        <v>4.6550000000000003E-3</v>
      </c>
      <c r="D8">
        <v>-3.5642999999999998E-3</v>
      </c>
      <c r="E8">
        <v>2.1169799999999999E-2</v>
      </c>
      <c r="F8">
        <v>3.9033000000000002E-3</v>
      </c>
      <c r="G8">
        <v>1.8943E-3</v>
      </c>
      <c r="H8">
        <v>9.6740000000000003E-3</v>
      </c>
      <c r="I8">
        <v>5.9096000000000001E-3</v>
      </c>
      <c r="J8">
        <v>3.0355808</v>
      </c>
      <c r="K8">
        <v>0.97757570000000005</v>
      </c>
      <c r="L8">
        <v>0.61418640000000002</v>
      </c>
      <c r="M8">
        <v>5.6330708999999999</v>
      </c>
      <c r="N8">
        <v>2.9995818999999999</v>
      </c>
      <c r="O8">
        <v>0.96861549999999996</v>
      </c>
      <c r="P8">
        <v>0.56201869999999998</v>
      </c>
      <c r="Q8">
        <v>5.5388149000000002</v>
      </c>
      <c r="R8">
        <v>3.0906913999999999</v>
      </c>
      <c r="S8">
        <v>1.0019087</v>
      </c>
      <c r="T8">
        <v>0.55328379999999999</v>
      </c>
      <c r="U8">
        <v>5.7495697000000003</v>
      </c>
      <c r="V8">
        <v>3.0277877000000002</v>
      </c>
      <c r="W8">
        <v>0.981514</v>
      </c>
      <c r="X8">
        <v>0.53098319999999999</v>
      </c>
      <c r="Y8">
        <v>5.5944618999999998</v>
      </c>
      <c r="AA8" s="5">
        <f t="shared" si="17"/>
        <v>-6.8520000000000005E-3</v>
      </c>
      <c r="AB8" s="5">
        <f t="shared" si="17"/>
        <v>-2.7607000000000005E-3</v>
      </c>
      <c r="AC8" s="5">
        <f t="shared" si="17"/>
        <v>1.32383E-2</v>
      </c>
      <c r="AD8" s="5">
        <f t="shared" si="17"/>
        <v>-1.5260199999999998E-2</v>
      </c>
      <c r="AE8" s="5">
        <f t="shared" si="18"/>
        <v>-3.5998900000000056E-2</v>
      </c>
      <c r="AF8" s="5">
        <f t="shared" si="18"/>
        <v>-8.9602000000000848E-3</v>
      </c>
      <c r="AG8" s="5">
        <f t="shared" si="18"/>
        <v>-5.2167700000000039E-2</v>
      </c>
      <c r="AH8" s="5">
        <f t="shared" si="18"/>
        <v>-9.4255999999999673E-2</v>
      </c>
      <c r="AI8" s="5">
        <f t="shared" si="23"/>
        <v>-2.0052799999999621E-2</v>
      </c>
      <c r="AJ8" s="5">
        <f t="shared" si="0"/>
        <v>-8.6737999999999017E-3</v>
      </c>
      <c r="AK8" s="5">
        <f t="shared" si="0"/>
        <v>1.6628800000000034E-2</v>
      </c>
      <c r="AL8" s="5">
        <f t="shared" si="0"/>
        <v>-4.5591600000000898E-2</v>
      </c>
      <c r="AM8" s="11">
        <f>SUM(AM3:AM7)</f>
        <v>0.16612849999999879</v>
      </c>
      <c r="AN8" s="11">
        <f t="shared" ref="AN8:AT8" si="33">SUM(AN3:AN7)</f>
        <v>7.627519999999989E-2</v>
      </c>
      <c r="AO8" s="11">
        <f t="shared" si="33"/>
        <v>0.1046765999999999</v>
      </c>
      <c r="AP8" s="11">
        <f t="shared" si="33"/>
        <v>0.25504930000000137</v>
      </c>
      <c r="AQ8" s="11">
        <f t="shared" si="33"/>
        <v>0.75713739999999907</v>
      </c>
      <c r="AR8" s="11">
        <f t="shared" si="33"/>
        <v>0.31473869999999993</v>
      </c>
      <c r="AS8" s="11">
        <f t="shared" si="33"/>
        <v>0.60112739999999998</v>
      </c>
      <c r="AT8" s="11">
        <f t="shared" si="33"/>
        <v>0.42038720000000129</v>
      </c>
      <c r="AU8" s="5"/>
      <c r="AV8" s="5">
        <f t="shared" si="32"/>
        <v>2021.25</v>
      </c>
      <c r="AW8" s="3">
        <f t="shared" si="1"/>
        <v>-1.3864502939374683</v>
      </c>
      <c r="AX8" s="3">
        <f t="shared" si="2"/>
        <v>-1.1698570937651389</v>
      </c>
      <c r="AY8" s="3">
        <f t="shared" si="3"/>
        <v>-7.036063589788828</v>
      </c>
      <c r="AZ8" s="3">
        <f t="shared" si="4"/>
        <v>-1.9047721084240388</v>
      </c>
      <c r="BA8" s="3">
        <f t="shared" si="5"/>
        <v>-2.0352630482616179</v>
      </c>
      <c r="BB8" s="3">
        <f t="shared" si="6"/>
        <v>-2.035584679522195</v>
      </c>
      <c r="BC8" s="3">
        <f t="shared" si="7"/>
        <v>-4.0305897262851369</v>
      </c>
      <c r="BD8" s="3">
        <f t="shared" si="8"/>
        <v>-2.6977288404730628</v>
      </c>
      <c r="BE8" s="3">
        <f t="shared" si="9"/>
        <v>-1.8135650812630411</v>
      </c>
      <c r="BF8" s="3">
        <f t="shared" si="10"/>
        <v>-1.7600406104867679</v>
      </c>
      <c r="BG8" s="3">
        <f t="shared" si="11"/>
        <v>-6.4232677696328793</v>
      </c>
      <c r="BH8" s="3">
        <f t="shared" si="12"/>
        <v>-2.4323141956171153</v>
      </c>
      <c r="BI8" s="3">
        <f t="shared" si="13"/>
        <v>-1.1647523269388869</v>
      </c>
      <c r="BJ8" s="3">
        <f t="shared" si="14"/>
        <v>-0.89431302472970686</v>
      </c>
      <c r="BK8" s="3">
        <f t="shared" si="15"/>
        <v>-9.4287416331365641</v>
      </c>
      <c r="BL8" s="3">
        <f t="shared" si="16"/>
        <v>-1.6393574635680939</v>
      </c>
      <c r="BM8" s="2">
        <v>0</v>
      </c>
    </row>
    <row r="9" spans="1:91" x14ac:dyDescent="0.35">
      <c r="A9">
        <f t="shared" si="22"/>
        <v>6</v>
      </c>
      <c r="B9">
        <v>9.8844999999999992E-3</v>
      </c>
      <c r="C9">
        <v>4.2296E-3</v>
      </c>
      <c r="D9">
        <v>-3.3246E-3</v>
      </c>
      <c r="E9">
        <v>1.9539899999999999E-2</v>
      </c>
      <c r="F9">
        <v>5.3801999999999999E-3</v>
      </c>
      <c r="G9">
        <v>2.5542999999999998E-3</v>
      </c>
      <c r="H9">
        <v>9.103E-3</v>
      </c>
      <c r="I9">
        <v>8.7524000000000005E-3</v>
      </c>
      <c r="J9">
        <v>3.0444537999999999</v>
      </c>
      <c r="K9">
        <v>0.98180290000000003</v>
      </c>
      <c r="L9">
        <v>0.59110320000000005</v>
      </c>
      <c r="M9">
        <v>5.6500778</v>
      </c>
      <c r="N9">
        <v>3.0139708999999999</v>
      </c>
      <c r="O9">
        <v>0.97571039999999998</v>
      </c>
      <c r="P9">
        <v>0.55403409999999997</v>
      </c>
      <c r="Q9">
        <v>5.5424411999999998</v>
      </c>
      <c r="R9">
        <v>3.0906913999999999</v>
      </c>
      <c r="S9">
        <v>1.0019087</v>
      </c>
      <c r="T9">
        <v>0.55328379999999999</v>
      </c>
      <c r="U9">
        <v>5.7495697000000003</v>
      </c>
      <c r="V9">
        <v>3.0384894999999998</v>
      </c>
      <c r="W9">
        <v>0.98680140000000005</v>
      </c>
      <c r="X9">
        <v>0.54121719999999995</v>
      </c>
      <c r="Y9">
        <v>5.5912819999999996</v>
      </c>
      <c r="AA9" s="5">
        <f t="shared" si="17"/>
        <v>-4.5042999999999993E-3</v>
      </c>
      <c r="AB9" s="5">
        <f t="shared" si="17"/>
        <v>-1.6753000000000002E-3</v>
      </c>
      <c r="AC9" s="5">
        <f t="shared" si="17"/>
        <v>1.24276E-2</v>
      </c>
      <c r="AD9" s="5">
        <f t="shared" si="17"/>
        <v>-1.0787499999999998E-2</v>
      </c>
      <c r="AE9" s="5">
        <f t="shared" si="18"/>
        <v>-3.0482899999999979E-2</v>
      </c>
      <c r="AF9" s="5">
        <f t="shared" si="18"/>
        <v>-6.0925000000000562E-3</v>
      </c>
      <c r="AG9" s="5">
        <f t="shared" si="18"/>
        <v>-3.7069100000000077E-2</v>
      </c>
      <c r="AH9" s="5">
        <f t="shared" si="18"/>
        <v>-0.10763660000000019</v>
      </c>
      <c r="AI9" s="5">
        <f t="shared" si="23"/>
        <v>-1.7214700000000041E-2</v>
      </c>
      <c r="AJ9" s="5">
        <f t="shared" si="0"/>
        <v>-7.3394999999998782E-3</v>
      </c>
      <c r="AK9" s="5">
        <f t="shared" si="0"/>
        <v>1.2574900000000038E-2</v>
      </c>
      <c r="AL9" s="5">
        <f t="shared" si="0"/>
        <v>-3.9863600000000499E-2</v>
      </c>
      <c r="AM9" s="7">
        <f>100*AM8/AQ8</f>
        <v>21.941658145535936</v>
      </c>
      <c r="AN9" s="7">
        <f t="shared" ref="AN9:AP9" si="34">100*AN8/AR8</f>
        <v>24.234452261510867</v>
      </c>
      <c r="AO9" s="7">
        <f t="shared" si="34"/>
        <v>17.413380258494271</v>
      </c>
      <c r="AP9" s="7">
        <f t="shared" si="34"/>
        <v>60.67009176302242</v>
      </c>
      <c r="AQ9" s="5"/>
      <c r="AR9" s="5"/>
      <c r="AS9" s="5"/>
      <c r="AT9" s="5"/>
      <c r="AU9" s="5"/>
      <c r="AV9" s="5">
        <f t="shared" si="32"/>
        <v>2021.5</v>
      </c>
      <c r="AW9" s="3">
        <f t="shared" si="1"/>
        <v>-1.13201855093006</v>
      </c>
      <c r="AX9" s="3">
        <f t="shared" si="2"/>
        <v>-0.77530018453777849</v>
      </c>
      <c r="AY9" s="3">
        <f t="shared" si="3"/>
        <v>-4.45368181754103</v>
      </c>
      <c r="AZ9" s="3">
        <f t="shared" si="4"/>
        <v>-2.0597037026962242</v>
      </c>
      <c r="BA9" s="3">
        <f t="shared" si="5"/>
        <v>-1.6890039555550589</v>
      </c>
      <c r="BB9" s="3">
        <f t="shared" si="6"/>
        <v>-1.5078519629582949</v>
      </c>
      <c r="BC9" s="3">
        <f t="shared" si="7"/>
        <v>-2.1809060738810784</v>
      </c>
      <c r="BD9" s="3">
        <f t="shared" si="8"/>
        <v>-2.753035588037148</v>
      </c>
      <c r="BE9" s="3">
        <f t="shared" si="9"/>
        <v>-1.5432663383992407</v>
      </c>
      <c r="BF9" s="3">
        <f t="shared" si="10"/>
        <v>-1.3406411182974944</v>
      </c>
      <c r="BG9" s="3">
        <f t="shared" si="11"/>
        <v>-4.4270589523857415</v>
      </c>
      <c r="BH9" s="3">
        <f t="shared" si="12"/>
        <v>-2.5654128516782833</v>
      </c>
      <c r="BI9" s="3">
        <f t="shared" si="13"/>
        <v>-0.9862809337742352</v>
      </c>
      <c r="BJ9" s="3">
        <f t="shared" si="14"/>
        <v>-0.60808933987698244</v>
      </c>
      <c r="BK9" s="3">
        <f t="shared" si="15"/>
        <v>-6.6998346960456967</v>
      </c>
      <c r="BL9" s="3">
        <f t="shared" si="16"/>
        <v>-1.8720809663373625</v>
      </c>
      <c r="BM9" s="2">
        <v>0</v>
      </c>
      <c r="CM9">
        <v>9.99</v>
      </c>
    </row>
    <row r="10" spans="1:91" x14ac:dyDescent="0.35">
      <c r="A10">
        <f t="shared" si="22"/>
        <v>7</v>
      </c>
      <c r="B10">
        <v>9.0775999999999999E-3</v>
      </c>
      <c r="C10">
        <v>3.8427999999999999E-3</v>
      </c>
      <c r="D10">
        <v>-2.7139E-3</v>
      </c>
      <c r="E10">
        <v>1.81178E-2</v>
      </c>
      <c r="F10">
        <v>6.6703999999999999E-3</v>
      </c>
      <c r="G10">
        <v>3.1218999999999999E-3</v>
      </c>
      <c r="H10">
        <v>8.3809000000000002E-3</v>
      </c>
      <c r="I10">
        <v>1.1329000000000001E-2</v>
      </c>
      <c r="J10">
        <v>3.0504665000000002</v>
      </c>
      <c r="K10">
        <v>0.98464620000000003</v>
      </c>
      <c r="L10">
        <v>0.57868620000000004</v>
      </c>
      <c r="M10">
        <v>5.6618928000000004</v>
      </c>
      <c r="N10">
        <v>3.0218302000000001</v>
      </c>
      <c r="O10">
        <v>0.97955409999999998</v>
      </c>
      <c r="P10">
        <v>0.55194089999999996</v>
      </c>
      <c r="Q10">
        <v>5.546081</v>
      </c>
      <c r="R10">
        <v>3.0906913999999999</v>
      </c>
      <c r="S10">
        <v>1.0019087</v>
      </c>
      <c r="T10">
        <v>0.55328379999999999</v>
      </c>
      <c r="U10">
        <v>5.7495697000000003</v>
      </c>
      <c r="V10">
        <v>3.0443623999999998</v>
      </c>
      <c r="W10">
        <v>0.98965639999999999</v>
      </c>
      <c r="X10">
        <v>0.54643189999999997</v>
      </c>
      <c r="Y10">
        <v>5.5912379000000003</v>
      </c>
      <c r="AA10" s="5">
        <f t="shared" si="17"/>
        <v>-2.4072E-3</v>
      </c>
      <c r="AB10" s="5">
        <f t="shared" si="17"/>
        <v>-7.2090000000000001E-4</v>
      </c>
      <c r="AC10" s="5">
        <f t="shared" si="17"/>
        <v>1.10948E-2</v>
      </c>
      <c r="AD10" s="5">
        <f t="shared" si="17"/>
        <v>-6.7887999999999993E-3</v>
      </c>
      <c r="AE10" s="5">
        <f t="shared" si="18"/>
        <v>-2.8636300000000059E-2</v>
      </c>
      <c r="AF10" s="5">
        <f t="shared" si="18"/>
        <v>-5.0921000000000438E-3</v>
      </c>
      <c r="AG10" s="5">
        <f t="shared" si="18"/>
        <v>-2.6745300000000083E-2</v>
      </c>
      <c r="AH10" s="5">
        <f t="shared" si="18"/>
        <v>-0.11581180000000035</v>
      </c>
      <c r="AI10" s="5">
        <f t="shared" si="23"/>
        <v>-1.5285500000000007E-2</v>
      </c>
      <c r="AJ10" s="5">
        <f t="shared" si="0"/>
        <v>-6.4392999999999499E-3</v>
      </c>
      <c r="AK10" s="5">
        <f t="shared" si="0"/>
        <v>8.7986000000000592E-3</v>
      </c>
      <c r="AL10" s="5">
        <f t="shared" si="0"/>
        <v>-3.5731199999999672E-2</v>
      </c>
      <c r="AM10" s="5"/>
      <c r="AN10" s="5"/>
      <c r="AO10" s="5"/>
      <c r="AP10" s="5"/>
      <c r="AQ10" s="5"/>
      <c r="AR10" s="5"/>
      <c r="AS10" s="5"/>
      <c r="AT10" s="5"/>
      <c r="AU10" s="5"/>
      <c r="AV10" s="5">
        <f t="shared" si="32"/>
        <v>2021.75</v>
      </c>
      <c r="AW10" s="3">
        <f t="shared" si="1"/>
        <v>-1.0044192700701227</v>
      </c>
      <c r="AX10" s="3">
        <f t="shared" si="2"/>
        <v>-0.58019258641032301</v>
      </c>
      <c r="AY10" s="3">
        <f t="shared" si="3"/>
        <v>-2.8286568303644675</v>
      </c>
      <c r="AZ10" s="3">
        <f t="shared" si="4"/>
        <v>-2.132343921319892</v>
      </c>
      <c r="BA10" s="3">
        <f t="shared" si="5"/>
        <v>-1.4989849843954031</v>
      </c>
      <c r="BB10" s="3">
        <f t="shared" si="6"/>
        <v>-1.2228958586745473</v>
      </c>
      <c r="BC10" s="3">
        <f t="shared" si="7"/>
        <v>-1.2384060404443473</v>
      </c>
      <c r="BD10" s="3">
        <f t="shared" si="8"/>
        <v>-2.7538026019581956</v>
      </c>
      <c r="BE10" s="3">
        <f t="shared" si="9"/>
        <v>-1.4210994989664811</v>
      </c>
      <c r="BF10" s="3">
        <f t="shared" si="10"/>
        <v>-1.1509431947242268</v>
      </c>
      <c r="BG10" s="3">
        <f t="shared" si="11"/>
        <v>-3.2436698851475469</v>
      </c>
      <c r="BH10" s="3">
        <f t="shared" si="12"/>
        <v>-2.6357276788904778</v>
      </c>
      <c r="BI10" s="3">
        <f t="shared" si="13"/>
        <v>-0.92653378464119907</v>
      </c>
      <c r="BJ10" s="3">
        <f t="shared" si="14"/>
        <v>-0.50823992246000504</v>
      </c>
      <c r="BK10" s="3">
        <f t="shared" si="15"/>
        <v>-4.8339206750676746</v>
      </c>
      <c r="BL10" s="3">
        <f t="shared" si="16"/>
        <v>-2.0142689982521707</v>
      </c>
      <c r="BM10" s="2">
        <v>0</v>
      </c>
      <c r="CM10">
        <v>11.71</v>
      </c>
    </row>
    <row r="11" spans="1:91" x14ac:dyDescent="0.35">
      <c r="A11">
        <f t="shared" si="22"/>
        <v>8</v>
      </c>
      <c r="B11">
        <v>8.3829000000000004E-3</v>
      </c>
      <c r="C11">
        <v>3.5122E-3</v>
      </c>
      <c r="D11">
        <v>-2.1746999999999999E-3</v>
      </c>
      <c r="E11">
        <v>1.6914200000000001E-2</v>
      </c>
      <c r="F11">
        <v>7.8484999999999996E-3</v>
      </c>
      <c r="G11">
        <v>3.6354999999999998E-3</v>
      </c>
      <c r="H11">
        <v>7.8188000000000007E-3</v>
      </c>
      <c r="I11">
        <v>1.36431E-2</v>
      </c>
      <c r="J11">
        <v>3.0548503</v>
      </c>
      <c r="K11">
        <v>0.98671189999999998</v>
      </c>
      <c r="L11">
        <v>0.57137919999999998</v>
      </c>
      <c r="M11">
        <v>5.6706184000000004</v>
      </c>
      <c r="N11">
        <v>3.0270885000000001</v>
      </c>
      <c r="O11">
        <v>0.98206329999999997</v>
      </c>
      <c r="P11">
        <v>0.55096109999999998</v>
      </c>
      <c r="Q11">
        <v>5.5495349999999997</v>
      </c>
      <c r="R11">
        <v>3.0906913999999999</v>
      </c>
      <c r="S11">
        <v>1.0019087</v>
      </c>
      <c r="T11">
        <v>0.55328379999999999</v>
      </c>
      <c r="U11">
        <v>5.7495697000000003</v>
      </c>
      <c r="V11">
        <v>3.0486034000000002</v>
      </c>
      <c r="W11">
        <v>0.99164140000000001</v>
      </c>
      <c r="X11">
        <v>0.54931169999999996</v>
      </c>
      <c r="Y11">
        <v>5.5926251000000002</v>
      </c>
      <c r="AA11" s="5">
        <f t="shared" si="17"/>
        <v>-5.3440000000000085E-4</v>
      </c>
      <c r="AB11" s="5">
        <f t="shared" si="17"/>
        <v>1.232999999999998E-4</v>
      </c>
      <c r="AC11" s="5">
        <f t="shared" si="17"/>
        <v>9.9935000000000006E-3</v>
      </c>
      <c r="AD11" s="5">
        <f t="shared" si="17"/>
        <v>-3.2711000000000007E-3</v>
      </c>
      <c r="AE11" s="5">
        <f t="shared" si="18"/>
        <v>-2.7761799999999948E-2</v>
      </c>
      <c r="AF11" s="5">
        <f t="shared" si="18"/>
        <v>-4.6486000000000027E-3</v>
      </c>
      <c r="AG11" s="5">
        <f t="shared" si="18"/>
        <v>-2.0418099999999995E-2</v>
      </c>
      <c r="AH11" s="5">
        <f t="shared" si="18"/>
        <v>-0.12108340000000073</v>
      </c>
      <c r="AI11" s="5">
        <f t="shared" si="23"/>
        <v>-1.3791799999999733E-2</v>
      </c>
      <c r="AJ11" s="5">
        <f t="shared" si="0"/>
        <v>-5.7419999999999763E-3</v>
      </c>
      <c r="AK11" s="5">
        <f t="shared" si="0"/>
        <v>6.45249999999996E-3</v>
      </c>
      <c r="AL11" s="5">
        <f t="shared" si="0"/>
        <v>-3.2590099999999372E-2</v>
      </c>
      <c r="AM11" s="5">
        <f>-SUM(AI4:AI7)</f>
        <v>0.1196538999999988</v>
      </c>
      <c r="AN11" s="5">
        <f t="shared" ref="AN11:AP11" si="35">-SUM(AJ4:AJ7)</f>
        <v>5.4788499999999886E-2</v>
      </c>
      <c r="AO11" s="5">
        <f t="shared" si="35"/>
        <v>4.2788299999999897E-2</v>
      </c>
      <c r="AP11" s="5">
        <f t="shared" si="35"/>
        <v>0.17756010000000139</v>
      </c>
      <c r="AQ11" s="5"/>
      <c r="AR11" s="5"/>
      <c r="AS11" s="5"/>
      <c r="AT11" s="5"/>
      <c r="AU11" s="5"/>
      <c r="AV11" s="5">
        <f t="shared" si="32"/>
        <v>2022</v>
      </c>
      <c r="AW11" s="3">
        <f t="shared" si="1"/>
        <v>-0.91552977434110538</v>
      </c>
      <c r="AX11" s="3">
        <f t="shared" si="2"/>
        <v>-0.45166790147645225</v>
      </c>
      <c r="AY11" s="3">
        <f t="shared" si="3"/>
        <v>-1.8841325193327538</v>
      </c>
      <c r="AZ11" s="3">
        <f t="shared" si="4"/>
        <v>-2.1628488128424763</v>
      </c>
      <c r="BA11" s="3">
        <f t="shared" si="5"/>
        <v>-1.3617664966486036</v>
      </c>
      <c r="BB11" s="3">
        <f t="shared" si="6"/>
        <v>-1.0247740138397818</v>
      </c>
      <c r="BC11" s="3">
        <f t="shared" si="7"/>
        <v>-0.71791366383762434</v>
      </c>
      <c r="BD11" s="3">
        <f t="shared" si="8"/>
        <v>-2.7296755790263765</v>
      </c>
      <c r="BE11" s="3">
        <f t="shared" si="9"/>
        <v>-1.3444758671150365</v>
      </c>
      <c r="BF11" s="3">
        <f t="shared" si="10"/>
        <v>-1.0370805244030745</v>
      </c>
      <c r="BG11" s="3">
        <f t="shared" si="11"/>
        <v>-2.5241295696711203</v>
      </c>
      <c r="BH11" s="3">
        <f t="shared" si="12"/>
        <v>-2.6727826258024145</v>
      </c>
      <c r="BI11" s="3">
        <f t="shared" si="13"/>
        <v>-0.89823914480753231</v>
      </c>
      <c r="BJ11" s="3">
        <f t="shared" si="14"/>
        <v>-0.46397441203973999</v>
      </c>
      <c r="BK11" s="3">
        <f t="shared" si="15"/>
        <v>-3.6903484251662517</v>
      </c>
      <c r="BL11" s="3">
        <f t="shared" si="16"/>
        <v>-2.1059558596185157</v>
      </c>
      <c r="BM11" s="2">
        <v>0</v>
      </c>
      <c r="CM11">
        <f>CM10-CM9</f>
        <v>1.7200000000000006</v>
      </c>
    </row>
    <row r="12" spans="1:91" x14ac:dyDescent="0.35">
      <c r="A12">
        <f t="shared" si="22"/>
        <v>9</v>
      </c>
      <c r="B12">
        <v>7.7888000000000002E-3</v>
      </c>
      <c r="C12">
        <v>3.2299999999999998E-3</v>
      </c>
      <c r="D12">
        <v>-1.6823000000000001E-3</v>
      </c>
      <c r="E12">
        <v>1.5923400000000001E-2</v>
      </c>
      <c r="F12">
        <v>8.8964000000000005E-3</v>
      </c>
      <c r="G12">
        <v>4.0870999999999998E-3</v>
      </c>
      <c r="H12">
        <v>7.3534999999999998E-3</v>
      </c>
      <c r="I12">
        <v>1.5732800000000002E-2</v>
      </c>
      <c r="J12">
        <v>3.0582107000000001</v>
      </c>
      <c r="K12">
        <v>0.98829389999999995</v>
      </c>
      <c r="L12">
        <v>0.5664979</v>
      </c>
      <c r="M12">
        <v>5.6772385999999999</v>
      </c>
      <c r="N12">
        <v>3.0302375000000001</v>
      </c>
      <c r="O12">
        <v>0.98352300000000004</v>
      </c>
      <c r="P12">
        <v>0.55090050000000002</v>
      </c>
      <c r="Q12">
        <v>5.5531879999999996</v>
      </c>
      <c r="R12">
        <v>3.0906913999999999</v>
      </c>
      <c r="S12">
        <v>1.0019087</v>
      </c>
      <c r="T12">
        <v>0.55328379999999999</v>
      </c>
      <c r="U12">
        <v>5.7495697000000003</v>
      </c>
      <c r="V12">
        <v>3.0511697999999998</v>
      </c>
      <c r="W12">
        <v>0.99278270000000002</v>
      </c>
      <c r="X12">
        <v>0.55146360000000005</v>
      </c>
      <c r="Y12">
        <v>5.5951443999999997</v>
      </c>
      <c r="AA12" s="5">
        <f t="shared" si="17"/>
        <v>1.1076000000000003E-3</v>
      </c>
      <c r="AB12" s="5">
        <f t="shared" si="17"/>
        <v>8.5709999999999996E-4</v>
      </c>
      <c r="AC12" s="5">
        <f t="shared" si="17"/>
        <v>9.0358000000000001E-3</v>
      </c>
      <c r="AD12" s="5">
        <f t="shared" si="17"/>
        <v>-1.905999999999991E-4</v>
      </c>
      <c r="AE12" s="5">
        <f t="shared" si="18"/>
        <v>-2.797319999999992E-2</v>
      </c>
      <c r="AF12" s="5">
        <f t="shared" si="18"/>
        <v>-4.7708999999999113E-3</v>
      </c>
      <c r="AG12" s="5">
        <f t="shared" si="18"/>
        <v>-1.5597399999999983E-2</v>
      </c>
      <c r="AH12" s="5">
        <f t="shared" si="18"/>
        <v>-0.12405060000000034</v>
      </c>
      <c r="AI12" s="5">
        <f t="shared" si="23"/>
        <v>-1.2656000000000125E-2</v>
      </c>
      <c r="AJ12" s="5">
        <f t="shared" si="0"/>
        <v>-5.2122000000000557E-3</v>
      </c>
      <c r="AK12" s="5">
        <f t="shared" si="0"/>
        <v>4.7414000000000449E-3</v>
      </c>
      <c r="AL12" s="5">
        <f t="shared" si="0"/>
        <v>-3.0184100000000311E-2</v>
      </c>
      <c r="AM12" s="11">
        <f>100*AM11/AQ8</f>
        <v>15.803459187196268</v>
      </c>
      <c r="AN12" s="11">
        <f t="shared" ref="AN12:AP12" si="36">100*AN11/AR8</f>
        <v>17.407614633980472</v>
      </c>
      <c r="AO12" s="5">
        <f t="shared" si="36"/>
        <v>7.1180085951829675</v>
      </c>
      <c r="AP12" s="5">
        <f t="shared" si="36"/>
        <v>42.237275540264029</v>
      </c>
      <c r="AQ12" s="5"/>
      <c r="AR12" s="5"/>
      <c r="AS12" s="5"/>
      <c r="AT12" s="5"/>
      <c r="AU12" s="5"/>
      <c r="AV12" s="5">
        <f t="shared" si="32"/>
        <v>2022.25</v>
      </c>
      <c r="AW12" s="3">
        <f t="shared" si="1"/>
        <v>-0.86924239670126635</v>
      </c>
      <c r="AX12" s="3">
        <f t="shared" si="2"/>
        <v>-0.39063439612810147</v>
      </c>
      <c r="AY12" s="3">
        <f t="shared" si="3"/>
        <v>-1.1859374881389955</v>
      </c>
      <c r="AZ12" s="3">
        <f t="shared" si="4"/>
        <v>-2.1608782305917664</v>
      </c>
      <c r="BA12" s="3">
        <f t="shared" si="5"/>
        <v>-1.2787300602059477</v>
      </c>
      <c r="BB12" s="3">
        <f t="shared" si="6"/>
        <v>-0.91086143877181303</v>
      </c>
      <c r="BC12" s="3">
        <f t="shared" si="7"/>
        <v>-0.32898125699685016</v>
      </c>
      <c r="BD12" s="3">
        <f t="shared" si="8"/>
        <v>-2.6858583869328627</v>
      </c>
      <c r="BE12" s="3">
        <f t="shared" si="9"/>
        <v>-1.3145667018065972</v>
      </c>
      <c r="BF12" s="3">
        <f t="shared" si="10"/>
        <v>-0.99640815575311625</v>
      </c>
      <c r="BG12" s="3">
        <f t="shared" si="11"/>
        <v>-1.9621033545533011</v>
      </c>
      <c r="BH12" s="3">
        <f t="shared" si="12"/>
        <v>-2.6825433562445693</v>
      </c>
      <c r="BI12" s="3">
        <f t="shared" si="13"/>
        <v>-0.90507903830191261</v>
      </c>
      <c r="BJ12" s="3">
        <f t="shared" si="14"/>
        <v>-0.4761811131093992</v>
      </c>
      <c r="BK12" s="3">
        <f t="shared" si="15"/>
        <v>-2.8190595856954395</v>
      </c>
      <c r="BL12" s="3">
        <f t="shared" si="16"/>
        <v>-2.1575631999034699</v>
      </c>
      <c r="BM12" s="2">
        <v>0</v>
      </c>
    </row>
    <row r="13" spans="1:91" x14ac:dyDescent="0.35">
      <c r="A13">
        <f t="shared" si="22"/>
        <v>10</v>
      </c>
      <c r="B13">
        <v>7.2871000000000003E-3</v>
      </c>
      <c r="C13">
        <v>2.9914E-3</v>
      </c>
      <c r="D13">
        <v>-1.271E-3</v>
      </c>
      <c r="E13">
        <v>1.5114900000000001E-2</v>
      </c>
      <c r="F13">
        <v>9.8296000000000008E-3</v>
      </c>
      <c r="G13">
        <v>4.4841000000000004E-3</v>
      </c>
      <c r="H13">
        <v>6.9924999999999996E-3</v>
      </c>
      <c r="I13">
        <v>1.7638600000000001E-2</v>
      </c>
      <c r="J13">
        <v>3.0608645000000001</v>
      </c>
      <c r="K13">
        <v>0.98954419999999998</v>
      </c>
      <c r="L13">
        <v>0.56309180000000003</v>
      </c>
      <c r="M13">
        <v>5.6823823999999998</v>
      </c>
      <c r="N13">
        <v>3.0320117999999998</v>
      </c>
      <c r="O13">
        <v>0.98426380000000002</v>
      </c>
      <c r="P13">
        <v>0.55030380000000001</v>
      </c>
      <c r="Q13">
        <v>5.5568533000000002</v>
      </c>
      <c r="R13">
        <v>3.0906913999999999</v>
      </c>
      <c r="S13">
        <v>1.0019087</v>
      </c>
      <c r="T13">
        <v>0.55328379999999999</v>
      </c>
      <c r="U13">
        <v>5.7495697000000003</v>
      </c>
      <c r="V13">
        <v>3.0526187999999999</v>
      </c>
      <c r="W13">
        <v>0.99332589999999998</v>
      </c>
      <c r="X13">
        <v>0.55230559999999995</v>
      </c>
      <c r="Y13">
        <v>5.5982699</v>
      </c>
      <c r="AA13" s="5">
        <f t="shared" si="17"/>
        <v>2.5425000000000005E-3</v>
      </c>
      <c r="AB13" s="5">
        <f t="shared" si="17"/>
        <v>1.4927000000000005E-3</v>
      </c>
      <c r="AC13" s="5">
        <f t="shared" si="17"/>
        <v>8.2635E-3</v>
      </c>
      <c r="AD13" s="5">
        <f t="shared" si="17"/>
        <v>2.5237000000000002E-3</v>
      </c>
      <c r="AE13" s="5">
        <f t="shared" si="18"/>
        <v>-2.8852700000000286E-2</v>
      </c>
      <c r="AF13" s="5">
        <f t="shared" si="18"/>
        <v>-5.2803999999999629E-3</v>
      </c>
      <c r="AG13" s="5">
        <f t="shared" si="18"/>
        <v>-1.2788000000000022E-2</v>
      </c>
      <c r="AH13" s="5">
        <f t="shared" si="18"/>
        <v>-0.12552909999999962</v>
      </c>
      <c r="AI13" s="5">
        <f t="shared" si="23"/>
        <v>-1.1762399999999725E-2</v>
      </c>
      <c r="AJ13" s="5">
        <f t="shared" si="0"/>
        <v>-4.7951000000000391E-3</v>
      </c>
      <c r="AK13" s="5">
        <f t="shared" si="0"/>
        <v>3.5462999999999814E-3</v>
      </c>
      <c r="AL13" s="5">
        <f t="shared" si="0"/>
        <v>-2.8294400000000705E-2</v>
      </c>
      <c r="AM13" s="5"/>
      <c r="AN13" s="5"/>
      <c r="AO13" s="5"/>
      <c r="AP13" s="5"/>
      <c r="AQ13" s="5"/>
      <c r="AR13" s="5"/>
      <c r="AS13" s="5"/>
      <c r="AT13" s="5"/>
      <c r="AU13" s="5"/>
      <c r="AV13" s="5">
        <f t="shared" si="32"/>
        <v>2022.5</v>
      </c>
      <c r="AW13" s="3">
        <f t="shared" si="1"/>
        <v>-0.85127230754905803</v>
      </c>
      <c r="AX13" s="3">
        <f t="shared" si="2"/>
        <v>-0.37804841898268399</v>
      </c>
      <c r="AY13" s="3">
        <f t="shared" si="3"/>
        <v>-0.81775392664669044</v>
      </c>
      <c r="AZ13" s="3">
        <f t="shared" si="4"/>
        <v>-2.1393844481961772</v>
      </c>
      <c r="BA13" s="3">
        <f t="shared" si="5"/>
        <v>-1.2318473465192938</v>
      </c>
      <c r="BB13" s="3">
        <f t="shared" si="6"/>
        <v>-0.85664492183768859</v>
      </c>
      <c r="BC13" s="3">
        <f t="shared" si="7"/>
        <v>-0.17679895923214092</v>
      </c>
      <c r="BD13" s="3">
        <f t="shared" si="8"/>
        <v>-2.6314977971308062</v>
      </c>
      <c r="BE13" s="3">
        <f t="shared" si="9"/>
        <v>-1.314110493205505</v>
      </c>
      <c r="BF13" s="3">
        <f t="shared" si="10"/>
        <v>-1.0056305529635601</v>
      </c>
      <c r="BG13" s="3">
        <f t="shared" si="11"/>
        <v>-1.6703362722711237</v>
      </c>
      <c r="BH13" s="3">
        <f t="shared" si="12"/>
        <v>-2.6753915166903801</v>
      </c>
      <c r="BI13" s="3">
        <f t="shared" si="13"/>
        <v>-0.93353545423526552</v>
      </c>
      <c r="BJ13" s="3">
        <f t="shared" si="14"/>
        <v>-0.52703405010855409</v>
      </c>
      <c r="BK13" s="3">
        <f t="shared" si="15"/>
        <v>-2.3112912396856768</v>
      </c>
      <c r="BL13" s="3">
        <f t="shared" si="16"/>
        <v>-2.1832781677557471</v>
      </c>
      <c r="BM13" s="2">
        <v>0</v>
      </c>
    </row>
    <row r="14" spans="1:91" x14ac:dyDescent="0.35">
      <c r="A14">
        <f t="shared" si="22"/>
        <v>11</v>
      </c>
      <c r="B14">
        <v>6.8617000000000001E-3</v>
      </c>
      <c r="C14">
        <v>2.7883999999999999E-3</v>
      </c>
      <c r="D14">
        <v>-9.2559999999999995E-4</v>
      </c>
      <c r="E14">
        <v>1.44613E-2</v>
      </c>
      <c r="F14">
        <v>1.06888E-2</v>
      </c>
      <c r="G14">
        <v>4.8463999999999998E-3</v>
      </c>
      <c r="H14">
        <v>6.7114000000000002E-3</v>
      </c>
      <c r="I14">
        <v>1.93983E-2</v>
      </c>
      <c r="J14">
        <v>3.0630093</v>
      </c>
      <c r="K14">
        <v>0.99055689999999996</v>
      </c>
      <c r="L14">
        <v>0.5605966</v>
      </c>
      <c r="M14">
        <v>5.6864455999999999</v>
      </c>
      <c r="N14">
        <v>3.0336835</v>
      </c>
      <c r="O14">
        <v>0.98495840000000001</v>
      </c>
      <c r="P14">
        <v>0.55017070000000001</v>
      </c>
      <c r="Q14">
        <v>5.5606230999999999</v>
      </c>
      <c r="R14">
        <v>3.0906913999999999</v>
      </c>
      <c r="S14">
        <v>1.0019087</v>
      </c>
      <c r="T14">
        <v>0.55328379999999999</v>
      </c>
      <c r="U14">
        <v>5.7495697000000003</v>
      </c>
      <c r="V14">
        <v>3.0541757999999999</v>
      </c>
      <c r="W14">
        <v>0.99392309999999995</v>
      </c>
      <c r="X14">
        <v>0.55316339999999997</v>
      </c>
      <c r="Y14">
        <v>5.6019052</v>
      </c>
      <c r="AA14" s="5">
        <f t="shared" si="17"/>
        <v>3.8270999999999999E-3</v>
      </c>
      <c r="AB14" s="5">
        <f t="shared" si="17"/>
        <v>2.0579999999999999E-3</v>
      </c>
      <c r="AC14" s="5">
        <f t="shared" si="17"/>
        <v>7.6369999999999997E-3</v>
      </c>
      <c r="AD14" s="5">
        <f t="shared" si="17"/>
        <v>4.9370000000000004E-3</v>
      </c>
      <c r="AE14" s="5">
        <f t="shared" si="18"/>
        <v>-2.9325800000000068E-2</v>
      </c>
      <c r="AF14" s="5">
        <f t="shared" si="18"/>
        <v>-5.5984999999999507E-3</v>
      </c>
      <c r="AG14" s="5">
        <f t="shared" si="18"/>
        <v>-1.0425899999999988E-2</v>
      </c>
      <c r="AH14" s="5">
        <f t="shared" si="18"/>
        <v>-0.12582249999999995</v>
      </c>
      <c r="AI14" s="5">
        <f t="shared" si="23"/>
        <v>-1.1016899999999913E-2</v>
      </c>
      <c r="AJ14" s="5">
        <f t="shared" si="0"/>
        <v>-4.4451000000000863E-3</v>
      </c>
      <c r="AK14" s="5">
        <f t="shared" si="0"/>
        <v>2.6684999999999678E-3</v>
      </c>
      <c r="AL14" s="5">
        <f t="shared" si="0"/>
        <v>-2.6779000000000358E-2</v>
      </c>
      <c r="AM14" s="6">
        <f>100*AM4/AQ4</f>
        <v>13.934149977867511</v>
      </c>
      <c r="AN14" s="6">
        <f t="shared" ref="AN14:AP14" si="37">100*AN4/AR4</f>
        <v>15.708229992652544</v>
      </c>
      <c r="AO14" s="5">
        <f t="shared" si="37"/>
        <v>50.050033671052716</v>
      </c>
      <c r="AP14" s="5">
        <f t="shared" si="37"/>
        <v>104.96453081090885</v>
      </c>
      <c r="AQ14" s="5"/>
      <c r="AR14" s="5"/>
      <c r="AS14" s="5"/>
      <c r="AT14" s="5"/>
      <c r="AU14" s="5"/>
      <c r="AV14" s="5">
        <f t="shared" si="32"/>
        <v>2022.75</v>
      </c>
      <c r="AW14" s="3">
        <f t="shared" si="1"/>
        <v>-0.82501604657132932</v>
      </c>
      <c r="AX14" s="3">
        <f t="shared" si="2"/>
        <v>-0.3533755121599354</v>
      </c>
      <c r="AY14" s="3">
        <f t="shared" si="3"/>
        <v>-0.50406319505468766</v>
      </c>
      <c r="AZ14" s="3">
        <f t="shared" si="4"/>
        <v>-2.1025138629069917</v>
      </c>
      <c r="BA14" s="3">
        <f t="shared" si="5"/>
        <v>-1.1814702690795977</v>
      </c>
      <c r="BB14" s="3">
        <f t="shared" si="6"/>
        <v>-0.79703869224810975</v>
      </c>
      <c r="BC14" s="3">
        <f t="shared" si="7"/>
        <v>-2.1760984145933877E-2</v>
      </c>
      <c r="BD14" s="3">
        <f t="shared" si="8"/>
        <v>-2.5682704568308878</v>
      </c>
      <c r="BE14" s="3">
        <f t="shared" si="9"/>
        <v>-1.3052969312950515</v>
      </c>
      <c r="BF14" s="3">
        <f t="shared" si="10"/>
        <v>-1.0024466301170996</v>
      </c>
      <c r="BG14" s="3">
        <f t="shared" si="11"/>
        <v>-1.4020652692162729</v>
      </c>
      <c r="BH14" s="3">
        <f t="shared" si="12"/>
        <v>-2.6541377522564908</v>
      </c>
      <c r="BI14" s="3">
        <f t="shared" si="13"/>
        <v>-0.94884270878678056</v>
      </c>
      <c r="BJ14" s="3">
        <f t="shared" si="14"/>
        <v>-0.55878345002892493</v>
      </c>
      <c r="BK14" s="3">
        <f t="shared" si="15"/>
        <v>-1.8843674801250259</v>
      </c>
      <c r="BL14" s="3">
        <f t="shared" si="16"/>
        <v>-2.1883811583325956</v>
      </c>
      <c r="BM14" s="2">
        <v>0</v>
      </c>
    </row>
    <row r="15" spans="1:91" x14ac:dyDescent="0.35">
      <c r="A15">
        <f t="shared" si="22"/>
        <v>12</v>
      </c>
      <c r="B15">
        <v>6.5002999999999997E-3</v>
      </c>
      <c r="C15">
        <v>2.6150000000000001E-3</v>
      </c>
      <c r="D15">
        <v>-6.399E-4</v>
      </c>
      <c r="E15">
        <v>1.3936199999999999E-2</v>
      </c>
      <c r="F15">
        <v>1.14789E-2</v>
      </c>
      <c r="G15">
        <v>5.1758999999999998E-3</v>
      </c>
      <c r="H15">
        <v>6.4793000000000003E-3</v>
      </c>
      <c r="I15">
        <v>2.1020899999999999E-2</v>
      </c>
      <c r="J15">
        <v>3.0647723</v>
      </c>
      <c r="K15">
        <v>0.99139189999999999</v>
      </c>
      <c r="L15">
        <v>0.55870730000000002</v>
      </c>
      <c r="M15">
        <v>5.6896922999999999</v>
      </c>
      <c r="N15">
        <v>3.0350659000000002</v>
      </c>
      <c r="O15">
        <v>0.98550850000000001</v>
      </c>
      <c r="P15">
        <v>0.54991710000000005</v>
      </c>
      <c r="Q15">
        <v>5.5640016000000001</v>
      </c>
      <c r="R15">
        <v>3.0906913999999999</v>
      </c>
      <c r="S15">
        <v>1.0019087</v>
      </c>
      <c r="T15">
        <v>0.55328379999999999</v>
      </c>
      <c r="U15">
        <v>5.7495697000000003</v>
      </c>
      <c r="V15">
        <v>3.0555680000000001</v>
      </c>
      <c r="W15">
        <v>0.99443389999999998</v>
      </c>
      <c r="X15">
        <v>0.55358569999999996</v>
      </c>
      <c r="Y15">
        <v>5.6054040000000001</v>
      </c>
      <c r="AA15" s="5">
        <f t="shared" si="17"/>
        <v>4.9786000000000006E-3</v>
      </c>
      <c r="AB15" s="5">
        <f t="shared" si="17"/>
        <v>2.5608999999999996E-3</v>
      </c>
      <c r="AC15" s="5">
        <f t="shared" si="17"/>
        <v>7.1192E-3</v>
      </c>
      <c r="AD15" s="5">
        <f t="shared" si="17"/>
        <v>7.0846999999999993E-3</v>
      </c>
      <c r="AE15" s="5">
        <f t="shared" si="18"/>
        <v>-2.97063999999998E-2</v>
      </c>
      <c r="AF15" s="5">
        <f t="shared" si="18"/>
        <v>-5.8833999999999831E-3</v>
      </c>
      <c r="AG15" s="5">
        <f t="shared" si="18"/>
        <v>-8.7901999999999703E-3</v>
      </c>
      <c r="AH15" s="5">
        <f t="shared" si="18"/>
        <v>-0.12569069999999982</v>
      </c>
      <c r="AI15" s="5">
        <f t="shared" si="23"/>
        <v>-1.0395600000000005E-2</v>
      </c>
      <c r="AJ15" s="5">
        <f t="shared" si="0"/>
        <v>-4.1523000000000202E-3</v>
      </c>
      <c r="AK15" s="5">
        <f t="shared" si="0"/>
        <v>1.9728999999999363E-3</v>
      </c>
      <c r="AL15" s="5">
        <f t="shared" si="0"/>
        <v>-2.5559700000000463E-2</v>
      </c>
      <c r="AM15" s="5"/>
      <c r="AN15" s="5"/>
      <c r="AO15" s="5"/>
      <c r="AP15" s="5"/>
      <c r="AQ15" s="5"/>
      <c r="AR15" s="5"/>
      <c r="AS15" s="5"/>
      <c r="AT15" s="5"/>
      <c r="AU15" s="5"/>
      <c r="AV15" s="5">
        <f t="shared" si="32"/>
        <v>2023</v>
      </c>
      <c r="AW15" s="3">
        <f t="shared" si="1"/>
        <v>-0.80007340752298328</v>
      </c>
      <c r="AX15" s="3">
        <f t="shared" si="2"/>
        <v>-0.33161704255088148</v>
      </c>
      <c r="AY15" s="3">
        <f t="shared" si="3"/>
        <v>-0.30201498760671652</v>
      </c>
      <c r="AZ15" s="3">
        <f t="shared" si="4"/>
        <v>-2.0628674177130129</v>
      </c>
      <c r="BA15" s="3">
        <f t="shared" si="5"/>
        <v>-1.1364253318852799</v>
      </c>
      <c r="BB15" s="3">
        <f t="shared" si="6"/>
        <v>-0.74605600290725127</v>
      </c>
      <c r="BC15" s="3">
        <f t="shared" si="7"/>
        <v>5.4565125528700839E-2</v>
      </c>
      <c r="BD15" s="3">
        <f t="shared" si="8"/>
        <v>-2.5074172072390093</v>
      </c>
      <c r="BE15" s="3">
        <f t="shared" si="9"/>
        <v>-1.2975090298565441</v>
      </c>
      <c r="BF15" s="3">
        <f t="shared" si="10"/>
        <v>-1.0016581351174993</v>
      </c>
      <c r="BG15" s="3">
        <f t="shared" si="11"/>
        <v>-1.2321524685884579</v>
      </c>
      <c r="BH15" s="3">
        <f t="shared" si="12"/>
        <v>-2.6306386023983732</v>
      </c>
      <c r="BI15" s="3">
        <f t="shared" si="13"/>
        <v>-0.96115710549425293</v>
      </c>
      <c r="BJ15" s="3">
        <f t="shared" si="14"/>
        <v>-0.58721917476113172</v>
      </c>
      <c r="BK15" s="3">
        <f t="shared" si="15"/>
        <v>-1.5887325817238767</v>
      </c>
      <c r="BL15" s="3">
        <f t="shared" si="16"/>
        <v>-2.1860888128723754</v>
      </c>
      <c r="BM15" s="2">
        <v>0</v>
      </c>
    </row>
    <row r="16" spans="1:91" x14ac:dyDescent="0.35">
      <c r="A16">
        <f t="shared" si="22"/>
        <v>13</v>
      </c>
      <c r="B16">
        <v>6.1916000000000002E-3</v>
      </c>
      <c r="C16">
        <v>2.4659999999999999E-3</v>
      </c>
      <c r="D16">
        <v>-4.0000000000000002E-4</v>
      </c>
      <c r="E16">
        <v>1.35193E-2</v>
      </c>
      <c r="F16">
        <v>1.2184199999999999E-2</v>
      </c>
      <c r="G16">
        <v>5.4650000000000002E-3</v>
      </c>
      <c r="H16">
        <v>6.0616000000000003E-3</v>
      </c>
      <c r="I16">
        <v>2.24548E-2</v>
      </c>
      <c r="J16">
        <v>3.0662406999999998</v>
      </c>
      <c r="K16">
        <v>0.99209040000000004</v>
      </c>
      <c r="L16">
        <v>0.55723290000000003</v>
      </c>
      <c r="M16">
        <v>5.6922952999999996</v>
      </c>
      <c r="N16">
        <v>3.0360013000000001</v>
      </c>
      <c r="O16">
        <v>0.98583790000000004</v>
      </c>
      <c r="P16">
        <v>0.5498461</v>
      </c>
      <c r="Q16">
        <v>5.5665060999999998</v>
      </c>
      <c r="R16">
        <v>3.0906913999999999</v>
      </c>
      <c r="S16">
        <v>1.0019087</v>
      </c>
      <c r="T16">
        <v>0.55328379999999999</v>
      </c>
      <c r="U16">
        <v>5.7495697000000003</v>
      </c>
      <c r="V16">
        <v>3.0565688999999998</v>
      </c>
      <c r="W16">
        <v>0.99474929999999995</v>
      </c>
      <c r="X16">
        <v>0.55376190000000003</v>
      </c>
      <c r="Y16">
        <v>5.6081310999999996</v>
      </c>
      <c r="AA16" s="5">
        <f t="shared" si="17"/>
        <v>5.992599999999999E-3</v>
      </c>
      <c r="AB16" s="5">
        <f t="shared" si="17"/>
        <v>2.9990000000000004E-3</v>
      </c>
      <c r="AC16" s="5">
        <f t="shared" si="17"/>
        <v>6.4616000000000005E-3</v>
      </c>
      <c r="AD16" s="5">
        <f t="shared" si="17"/>
        <v>8.9355000000000007E-3</v>
      </c>
      <c r="AE16" s="5">
        <f t="shared" si="18"/>
        <v>-3.0239399999999694E-2</v>
      </c>
      <c r="AF16" s="5">
        <f t="shared" si="18"/>
        <v>-6.2524999999999942E-3</v>
      </c>
      <c r="AG16" s="5">
        <f t="shared" si="18"/>
        <v>-7.3868000000000267E-3</v>
      </c>
      <c r="AH16" s="5">
        <f t="shared" si="18"/>
        <v>-0.12578919999999982</v>
      </c>
      <c r="AI16" s="5">
        <f t="shared" si="23"/>
        <v>-9.875700000000362E-3</v>
      </c>
      <c r="AJ16" s="5">
        <f t="shared" si="0"/>
        <v>-3.9059000000000441E-3</v>
      </c>
      <c r="AK16" s="5">
        <f t="shared" si="0"/>
        <v>1.403300000000063E-3</v>
      </c>
      <c r="AL16" s="5">
        <f t="shared" si="0"/>
        <v>-2.4584900000000923E-2</v>
      </c>
      <c r="AM16" s="5"/>
      <c r="AN16" s="5"/>
      <c r="AO16" s="5"/>
      <c r="AP16" s="5"/>
      <c r="AQ16" s="5"/>
      <c r="AR16" s="5"/>
      <c r="AS16" s="5"/>
      <c r="AT16" s="5"/>
      <c r="AU16" s="5"/>
      <c r="AV16" s="5">
        <f t="shared" si="32"/>
        <v>2023.25</v>
      </c>
      <c r="AW16" s="3">
        <f t="shared" si="1"/>
        <v>-0.78451054673396681</v>
      </c>
      <c r="AX16" s="3">
        <f t="shared" si="2"/>
        <v>-0.32473018749113503</v>
      </c>
      <c r="AY16" s="3">
        <f t="shared" si="3"/>
        <v>-0.16721978847022562</v>
      </c>
      <c r="AZ16" s="3">
        <f t="shared" si="4"/>
        <v>-2.0323903543599067</v>
      </c>
      <c r="BA16" s="3">
        <f t="shared" si="5"/>
        <v>-1.104040992251768</v>
      </c>
      <c r="BB16" s="3">
        <f t="shared" si="6"/>
        <v>-0.71457608861965549</v>
      </c>
      <c r="BC16" s="3">
        <f t="shared" si="7"/>
        <v>8.6411349835299148E-2</v>
      </c>
      <c r="BD16" s="3">
        <f t="shared" si="8"/>
        <v>-2.4599858316353784</v>
      </c>
      <c r="BE16" s="3">
        <f t="shared" si="9"/>
        <v>-1.2979328832377106</v>
      </c>
      <c r="BF16" s="3">
        <f t="shared" si="10"/>
        <v>-1.0139047599846185</v>
      </c>
      <c r="BG16" s="3">
        <f t="shared" si="11"/>
        <v>-1.0814522312057429</v>
      </c>
      <c r="BH16" s="3">
        <f t="shared" si="12"/>
        <v>-2.615397461830935</v>
      </c>
      <c r="BI16" s="3">
        <f t="shared" si="13"/>
        <v>-0.97840243771991264</v>
      </c>
      <c r="BJ16" s="3">
        <f t="shared" si="14"/>
        <v>-0.6240588588561008</v>
      </c>
      <c r="BK16" s="3">
        <f t="shared" si="15"/>
        <v>-1.3350833695112756</v>
      </c>
      <c r="BL16" s="3">
        <f t="shared" si="16"/>
        <v>-2.1878019845554668</v>
      </c>
      <c r="BM16" s="2">
        <v>0</v>
      </c>
    </row>
    <row r="17" spans="1:65" x14ac:dyDescent="0.35">
      <c r="A17">
        <f t="shared" si="22"/>
        <v>14</v>
      </c>
      <c r="B17">
        <v>5.9271000000000003E-3</v>
      </c>
      <c r="C17">
        <v>2.3373000000000001E-3</v>
      </c>
      <c r="D17">
        <v>-1.984E-4</v>
      </c>
      <c r="E17">
        <v>1.3193E-2</v>
      </c>
      <c r="F17">
        <v>1.2844299999999999E-2</v>
      </c>
      <c r="G17">
        <v>5.7327999999999997E-3</v>
      </c>
      <c r="H17">
        <v>6.1104999999999996E-3</v>
      </c>
      <c r="I17">
        <v>2.3882899999999999E-2</v>
      </c>
      <c r="J17">
        <v>3.0674765000000002</v>
      </c>
      <c r="K17">
        <v>0.99268160000000005</v>
      </c>
      <c r="L17">
        <v>0.55606109999999997</v>
      </c>
      <c r="M17">
        <v>5.6943894000000004</v>
      </c>
      <c r="N17">
        <v>3.0369364999999999</v>
      </c>
      <c r="O17">
        <v>0.98614230000000003</v>
      </c>
      <c r="P17">
        <v>0.54951779999999995</v>
      </c>
      <c r="Q17">
        <v>5.5693887000000002</v>
      </c>
      <c r="R17">
        <v>3.0906913999999999</v>
      </c>
      <c r="S17">
        <v>1.0019087</v>
      </c>
      <c r="T17">
        <v>0.55328379999999999</v>
      </c>
      <c r="U17">
        <v>5.7495697000000003</v>
      </c>
      <c r="V17">
        <v>3.0576344999999998</v>
      </c>
      <c r="W17">
        <v>0.99506989999999995</v>
      </c>
      <c r="X17">
        <v>0.55404520000000002</v>
      </c>
      <c r="Y17">
        <v>5.6114753000000004</v>
      </c>
      <c r="AA17" s="5">
        <f t="shared" si="17"/>
        <v>6.9171999999999992E-3</v>
      </c>
      <c r="AB17" s="5">
        <f t="shared" si="17"/>
        <v>3.3954999999999996E-3</v>
      </c>
      <c r="AC17" s="5">
        <f t="shared" si="17"/>
        <v>6.3088999999999992E-3</v>
      </c>
      <c r="AD17" s="5">
        <f t="shared" si="17"/>
        <v>1.0689899999999999E-2</v>
      </c>
      <c r="AE17" s="5">
        <f t="shared" si="18"/>
        <v>-3.0540000000000234E-2</v>
      </c>
      <c r="AF17" s="5">
        <f t="shared" si="18"/>
        <v>-6.5393000000000256E-3</v>
      </c>
      <c r="AG17" s="5">
        <f t="shared" si="18"/>
        <v>-6.5433000000000296E-3</v>
      </c>
      <c r="AH17" s="5">
        <f t="shared" si="18"/>
        <v>-0.12500070000000019</v>
      </c>
      <c r="AI17" s="5">
        <f t="shared" si="23"/>
        <v>-9.4340999999998204E-3</v>
      </c>
      <c r="AJ17" s="5">
        <f t="shared" si="0"/>
        <v>-3.6950000000000077E-3</v>
      </c>
      <c r="AK17" s="5">
        <f t="shared" si="0"/>
        <v>9.9580000000005359E-4</v>
      </c>
      <c r="AL17" s="5">
        <f t="shared" si="0"/>
        <v>-2.3783599999999766E-2</v>
      </c>
      <c r="AM17" s="5" t="e">
        <f>-$R$3*#REF!/100</f>
        <v>#REF!</v>
      </c>
      <c r="AN17" s="5" t="e">
        <f>-$S$3*#REF!/100</f>
        <v>#REF!</v>
      </c>
      <c r="AO17" s="5"/>
      <c r="AP17" s="5"/>
      <c r="AQ17" s="5"/>
      <c r="AR17" s="5"/>
      <c r="AS17" s="5"/>
      <c r="AT17" s="5"/>
      <c r="AU17" s="5"/>
      <c r="AV17" s="5">
        <f t="shared" si="32"/>
        <v>2023.5</v>
      </c>
      <c r="AW17" s="3">
        <f t="shared" si="1"/>
        <v>-0.76432088949418364</v>
      </c>
      <c r="AX17" s="3">
        <f t="shared" si="2"/>
        <v>-0.31378108604107602</v>
      </c>
      <c r="AY17" s="3">
        <f t="shared" si="3"/>
        <v>-4.2365238237597129E-2</v>
      </c>
      <c r="AZ17" s="3">
        <f t="shared" si="4"/>
        <v>-1.9881626967666848</v>
      </c>
      <c r="BA17" s="3">
        <f t="shared" si="5"/>
        <v>-1.0695632698884159</v>
      </c>
      <c r="BB17" s="3">
        <f t="shared" si="6"/>
        <v>-0.68257716496523424</v>
      </c>
      <c r="BC17" s="3">
        <f t="shared" si="7"/>
        <v>0.13761472864378518</v>
      </c>
      <c r="BD17" s="3">
        <f t="shared" si="8"/>
        <v>-2.4018214789186736</v>
      </c>
      <c r="BE17" s="3">
        <f t="shared" si="9"/>
        <v>-1.2933707972268029</v>
      </c>
      <c r="BF17" s="3">
        <f t="shared" si="10"/>
        <v>-1.0214803005503426</v>
      </c>
      <c r="BG17" s="3">
        <f t="shared" si="11"/>
        <v>-1.0026499962586881</v>
      </c>
      <c r="BH17" s="3">
        <f t="shared" si="12"/>
        <v>-2.5877466969397722</v>
      </c>
      <c r="BI17" s="3">
        <f t="shared" si="13"/>
        <v>-0.98812841683256492</v>
      </c>
      <c r="BJ17" s="3">
        <f t="shared" si="14"/>
        <v>-0.65268422162618467</v>
      </c>
      <c r="BK17" s="3">
        <f t="shared" si="15"/>
        <v>-1.1826299631400794</v>
      </c>
      <c r="BL17" s="3">
        <f t="shared" si="16"/>
        <v>-2.174087914787783</v>
      </c>
      <c r="BM17" s="2">
        <v>0</v>
      </c>
    </row>
    <row r="18" spans="1:65" x14ac:dyDescent="0.35">
      <c r="A18">
        <f t="shared" si="22"/>
        <v>15</v>
      </c>
      <c r="B18">
        <v>5.6994000000000003E-3</v>
      </c>
      <c r="C18">
        <v>2.2254000000000002E-3</v>
      </c>
      <c r="D18">
        <v>-2.6599999999999999E-5</v>
      </c>
      <c r="E18">
        <v>1.29436E-2</v>
      </c>
      <c r="F18">
        <v>1.34755E-2</v>
      </c>
      <c r="G18">
        <v>5.9870000000000001E-3</v>
      </c>
      <c r="H18">
        <v>6.0432999999999997E-3</v>
      </c>
      <c r="I18">
        <v>2.5257700000000001E-2</v>
      </c>
      <c r="J18">
        <v>3.0685258000000002</v>
      </c>
      <c r="K18">
        <v>0.99318700000000004</v>
      </c>
      <c r="L18">
        <v>0.55511370000000004</v>
      </c>
      <c r="M18">
        <v>5.6960743999999996</v>
      </c>
      <c r="N18">
        <v>3.0377703999999999</v>
      </c>
      <c r="O18">
        <v>0.98642249999999998</v>
      </c>
      <c r="P18">
        <v>0.54957650000000002</v>
      </c>
      <c r="Q18">
        <v>5.5722700999999999</v>
      </c>
      <c r="R18">
        <v>3.0906913999999999</v>
      </c>
      <c r="S18">
        <v>1.0019087</v>
      </c>
      <c r="T18">
        <v>0.55328379999999999</v>
      </c>
      <c r="U18">
        <v>5.7495697000000003</v>
      </c>
      <c r="V18">
        <v>3.0586579999999999</v>
      </c>
      <c r="W18">
        <v>0.99539370000000005</v>
      </c>
      <c r="X18">
        <v>0.55446220000000002</v>
      </c>
      <c r="Y18">
        <v>5.6149505</v>
      </c>
      <c r="AA18" s="5">
        <f t="shared" si="17"/>
        <v>7.7760999999999993E-3</v>
      </c>
      <c r="AB18" s="5">
        <f t="shared" si="17"/>
        <v>3.7615999999999999E-3</v>
      </c>
      <c r="AC18" s="5">
        <f t="shared" si="17"/>
        <v>6.0698999999999996E-3</v>
      </c>
      <c r="AD18" s="5">
        <f t="shared" si="17"/>
        <v>1.2314100000000001E-2</v>
      </c>
      <c r="AE18" s="5">
        <f t="shared" si="18"/>
        <v>-3.0755400000000321E-2</v>
      </c>
      <c r="AF18" s="5">
        <f t="shared" si="18"/>
        <v>-6.7645000000000621E-3</v>
      </c>
      <c r="AG18" s="5">
        <f t="shared" si="18"/>
        <v>-5.5372000000000199E-3</v>
      </c>
      <c r="AH18" s="5">
        <f t="shared" si="18"/>
        <v>-0.12380429999999976</v>
      </c>
      <c r="AI18" s="5">
        <f t="shared" si="23"/>
        <v>-9.0540999999996694E-3</v>
      </c>
      <c r="AJ18" s="5">
        <f t="shared" si="0"/>
        <v>-3.5120999999998753E-3</v>
      </c>
      <c r="AK18" s="5">
        <f t="shared" si="0"/>
        <v>6.4570000000004416E-4</v>
      </c>
      <c r="AL18" s="5">
        <f t="shared" si="0"/>
        <v>-2.3129000000000621E-2</v>
      </c>
      <c r="AM18" s="5" t="e">
        <f>-$R$3*#REF!/100</f>
        <v>#REF!</v>
      </c>
      <c r="AN18" s="5" t="e">
        <f>-$S$3*#REF!/100</f>
        <v>#REF!</v>
      </c>
      <c r="AO18" s="5"/>
      <c r="AP18" s="5"/>
      <c r="AQ18" s="5"/>
      <c r="AR18" s="5"/>
      <c r="AS18" s="5"/>
      <c r="AT18" s="5"/>
      <c r="AU18" s="5"/>
      <c r="AV18" s="5">
        <f t="shared" si="32"/>
        <v>2023.75</v>
      </c>
      <c r="AW18" s="3">
        <f t="shared" si="1"/>
        <v>-0.74350030546564183</v>
      </c>
      <c r="AX18" s="3">
        <f t="shared" si="2"/>
        <v>-0.29971792839008804</v>
      </c>
      <c r="AY18" s="3">
        <f t="shared" si="3"/>
        <v>9.6279703110768777E-2</v>
      </c>
      <c r="AZ18" s="3">
        <f t="shared" si="4"/>
        <v>-1.9391051125095458</v>
      </c>
      <c r="BA18" s="3">
        <f t="shared" si="5"/>
        <v>-1.0364477022843495</v>
      </c>
      <c r="BB18" s="3">
        <f t="shared" si="6"/>
        <v>-0.65025885093122138</v>
      </c>
      <c r="BC18" s="3">
        <f t="shared" si="7"/>
        <v>0.21298292124223117</v>
      </c>
      <c r="BD18" s="3">
        <f t="shared" si="8"/>
        <v>-2.3413786948265081</v>
      </c>
      <c r="BE18" s="3">
        <f t="shared" si="9"/>
        <v>-1.2880451280254008</v>
      </c>
      <c r="BF18" s="3">
        <f t="shared" si="10"/>
        <v>-1.0257022421304425</v>
      </c>
      <c r="BG18" s="3">
        <f t="shared" si="11"/>
        <v>-0.88408516569614681</v>
      </c>
      <c r="BH18" s="3">
        <f t="shared" si="12"/>
        <v>-2.5555529833824013</v>
      </c>
      <c r="BI18" s="3">
        <f t="shared" si="13"/>
        <v>-0.99509773120669121</v>
      </c>
      <c r="BJ18" s="3">
        <f t="shared" si="14"/>
        <v>-0.67516131958930614</v>
      </c>
      <c r="BK18" s="3">
        <f t="shared" si="15"/>
        <v>-1.0007883838276161</v>
      </c>
      <c r="BL18" s="3">
        <f t="shared" si="16"/>
        <v>-2.1532794010654355</v>
      </c>
      <c r="BM18" s="2">
        <v>0</v>
      </c>
    </row>
    <row r="19" spans="1:65" x14ac:dyDescent="0.35">
      <c r="A19">
        <f t="shared" si="22"/>
        <v>16</v>
      </c>
      <c r="B19">
        <v>5.5028000000000004E-3</v>
      </c>
      <c r="C19">
        <v>2.1278E-3</v>
      </c>
      <c r="D19">
        <v>1.206E-4</v>
      </c>
      <c r="E19">
        <v>1.2759700000000001E-2</v>
      </c>
      <c r="F19">
        <v>1.40749E-2</v>
      </c>
      <c r="G19">
        <v>6.2259999999999998E-3</v>
      </c>
      <c r="H19">
        <v>6.0026000000000003E-3</v>
      </c>
      <c r="I19">
        <v>2.6591099999999999E-2</v>
      </c>
      <c r="J19">
        <v>3.0694233</v>
      </c>
      <c r="K19">
        <v>0.99362260000000002</v>
      </c>
      <c r="L19">
        <v>0.5543323</v>
      </c>
      <c r="M19">
        <v>5.6974219000000002</v>
      </c>
      <c r="N19">
        <v>3.0385357000000002</v>
      </c>
      <c r="O19">
        <v>0.98666909999999997</v>
      </c>
      <c r="P19">
        <v>0.54948629999999998</v>
      </c>
      <c r="Q19">
        <v>5.5749380000000004</v>
      </c>
      <c r="R19">
        <v>3.0906913999999999</v>
      </c>
      <c r="S19">
        <v>1.0019087</v>
      </c>
      <c r="T19">
        <v>0.55328379999999999</v>
      </c>
      <c r="U19">
        <v>5.7495697000000003</v>
      </c>
      <c r="V19">
        <v>3.0596497999999999</v>
      </c>
      <c r="W19">
        <v>0.99570040000000004</v>
      </c>
      <c r="X19">
        <v>0.55467359999999999</v>
      </c>
      <c r="Y19">
        <v>5.6183199999999998</v>
      </c>
      <c r="AA19" s="5">
        <f t="shared" si="17"/>
        <v>8.5720999999999992E-3</v>
      </c>
      <c r="AB19" s="5">
        <f t="shared" si="17"/>
        <v>4.0981999999999998E-3</v>
      </c>
      <c r="AC19" s="5">
        <f t="shared" si="17"/>
        <v>5.8820000000000001E-3</v>
      </c>
      <c r="AD19" s="5">
        <f t="shared" si="17"/>
        <v>1.3831399999999999E-2</v>
      </c>
      <c r="AE19" s="5">
        <f t="shared" si="18"/>
        <v>-3.0887599999999793E-2</v>
      </c>
      <c r="AF19" s="5">
        <f t="shared" si="18"/>
        <v>-6.9535000000000569E-3</v>
      </c>
      <c r="AG19" s="5">
        <f t="shared" si="18"/>
        <v>-4.846000000000017E-3</v>
      </c>
      <c r="AH19" s="5">
        <f t="shared" si="18"/>
        <v>-0.12248389999999976</v>
      </c>
      <c r="AI19" s="5">
        <f t="shared" si="23"/>
        <v>-8.7261000000002087E-3</v>
      </c>
      <c r="AJ19" s="5">
        <f t="shared" si="23"/>
        <v>-3.3529999999998873E-3</v>
      </c>
      <c r="AK19" s="5">
        <f t="shared" si="23"/>
        <v>3.5380000000001348E-4</v>
      </c>
      <c r="AL19" s="5">
        <f t="shared" si="23"/>
        <v>-2.2597200000000817E-2</v>
      </c>
      <c r="AM19" s="5" t="e">
        <f>-$R$3*#REF!/100</f>
        <v>#REF!</v>
      </c>
      <c r="AN19" s="5" t="e">
        <f>-$S$3*#REF!/100</f>
        <v>#REF!</v>
      </c>
      <c r="AO19" s="5"/>
      <c r="AP19" s="5"/>
      <c r="AQ19" s="5"/>
      <c r="AR19" s="5"/>
      <c r="AS19" s="5"/>
      <c r="AT19" s="5"/>
      <c r="AU19" s="5"/>
      <c r="AV19" s="5">
        <f t="shared" si="32"/>
        <v>2024</v>
      </c>
      <c r="AW19" s="3">
        <f t="shared" si="1"/>
        <v>-0.72202291047238798</v>
      </c>
      <c r="AX19" s="3">
        <f t="shared" si="2"/>
        <v>-0.28498604713184517</v>
      </c>
      <c r="AY19" s="3">
        <f t="shared" si="3"/>
        <v>0.18724567753474494</v>
      </c>
      <c r="AZ19" s="3">
        <f t="shared" si="4"/>
        <v>-1.8897501146911875</v>
      </c>
      <c r="BA19" s="3">
        <f t="shared" si="5"/>
        <v>-1.0043577951522433</v>
      </c>
      <c r="BB19" s="3">
        <f t="shared" si="6"/>
        <v>-0.61964727923811269</v>
      </c>
      <c r="BC19" s="3">
        <f t="shared" si="7"/>
        <v>0.25119116084728971</v>
      </c>
      <c r="BD19" s="3">
        <f t="shared" si="8"/>
        <v>-2.2827743091800516</v>
      </c>
      <c r="BE19" s="3">
        <f t="shared" si="9"/>
        <v>-1.2817099759620085</v>
      </c>
      <c r="BF19" s="3">
        <f t="shared" si="10"/>
        <v>-1.0286865459896692</v>
      </c>
      <c r="BG19" s="3">
        <f t="shared" si="11"/>
        <v>-0.81191605465405947</v>
      </c>
      <c r="BH19" s="3">
        <f t="shared" si="12"/>
        <v>-2.523338398697915</v>
      </c>
      <c r="BI19" s="3">
        <f t="shared" si="13"/>
        <v>-0.99937509128215762</v>
      </c>
      <c r="BJ19" s="3">
        <f t="shared" si="14"/>
        <v>-0.6940253138833965</v>
      </c>
      <c r="BK19" s="3">
        <f t="shared" si="15"/>
        <v>-0.87586153796659449</v>
      </c>
      <c r="BL19" s="3">
        <f t="shared" si="16"/>
        <v>-2.1303142042090517</v>
      </c>
      <c r="BM19" s="2">
        <v>0</v>
      </c>
    </row>
    <row r="20" spans="1:65" x14ac:dyDescent="0.35">
      <c r="A20">
        <f t="shared" si="22"/>
        <v>17</v>
      </c>
      <c r="B20">
        <v>5.3324999999999996E-3</v>
      </c>
      <c r="C20">
        <v>2.0422000000000001E-3</v>
      </c>
      <c r="D20">
        <v>2.4790000000000001E-4</v>
      </c>
      <c r="E20">
        <v>1.26319E-2</v>
      </c>
      <c r="F20">
        <v>1.46485E-2</v>
      </c>
      <c r="G20">
        <v>6.4526000000000002E-3</v>
      </c>
      <c r="H20">
        <v>5.9553000000000002E-3</v>
      </c>
      <c r="I20">
        <v>2.7879600000000001E-2</v>
      </c>
      <c r="J20">
        <v>3.0701957000000002</v>
      </c>
      <c r="K20">
        <v>0.99400089999999997</v>
      </c>
      <c r="L20">
        <v>0.55367520000000003</v>
      </c>
      <c r="M20">
        <v>5.6984832000000001</v>
      </c>
      <c r="N20">
        <v>3.0392372999999999</v>
      </c>
      <c r="O20">
        <v>0.9868903</v>
      </c>
      <c r="P20">
        <v>0.54955960000000004</v>
      </c>
      <c r="Q20">
        <v>5.5773387999999997</v>
      </c>
      <c r="R20">
        <v>3.0906913999999999</v>
      </c>
      <c r="S20">
        <v>1.0019087</v>
      </c>
      <c r="T20">
        <v>0.55328379999999999</v>
      </c>
      <c r="U20">
        <v>5.7495697000000003</v>
      </c>
      <c r="V20">
        <v>3.0606078999999999</v>
      </c>
      <c r="W20">
        <v>0.99599510000000002</v>
      </c>
      <c r="X20">
        <v>0.55495850000000002</v>
      </c>
      <c r="Y20">
        <v>5.6214906999999998</v>
      </c>
      <c r="AA20" s="5">
        <f t="shared" si="17"/>
        <v>9.3160000000000014E-3</v>
      </c>
      <c r="AB20" s="5">
        <f t="shared" si="17"/>
        <v>4.4104000000000001E-3</v>
      </c>
      <c r="AC20" s="5">
        <f t="shared" si="17"/>
        <v>5.7074000000000005E-3</v>
      </c>
      <c r="AD20" s="5">
        <f t="shared" si="17"/>
        <v>1.5247700000000001E-2</v>
      </c>
      <c r="AE20" s="5">
        <f t="shared" si="18"/>
        <v>-3.0958400000000275E-2</v>
      </c>
      <c r="AF20" s="5">
        <f t="shared" si="18"/>
        <v>-7.1105999999999669E-3</v>
      </c>
      <c r="AG20" s="5">
        <f t="shared" si="18"/>
        <v>-4.115599999999997E-3</v>
      </c>
      <c r="AH20" s="5">
        <f t="shared" si="18"/>
        <v>-0.12114440000000037</v>
      </c>
      <c r="AI20" s="5">
        <f t="shared" si="23"/>
        <v>-8.4410999999996565E-3</v>
      </c>
      <c r="AJ20" s="5">
        <f t="shared" si="23"/>
        <v>-3.2133999999999965E-3</v>
      </c>
      <c r="AK20" s="5">
        <f t="shared" si="23"/>
        <v>8.2900000000025488E-5</v>
      </c>
      <c r="AL20" s="5">
        <f t="shared" si="23"/>
        <v>-2.2182300000000127E-2</v>
      </c>
      <c r="AM20" s="5" t="e">
        <f>-$R$3*#REF!/100</f>
        <v>#REF!</v>
      </c>
      <c r="AN20" s="5" t="e">
        <f>-$S$3*#REF!/100</f>
        <v>#REF!</v>
      </c>
      <c r="AO20" s="5"/>
      <c r="AP20" s="5"/>
      <c r="AQ20" s="5"/>
      <c r="AR20" s="5"/>
      <c r="AS20" s="5"/>
      <c r="AT20" s="5"/>
      <c r="AU20" s="5"/>
      <c r="AV20" s="5">
        <f t="shared" si="32"/>
        <v>2024.25</v>
      </c>
      <c r="AW20" s="3">
        <f t="shared" si="1"/>
        <v>-0.70024461193376586</v>
      </c>
      <c r="AX20" s="3">
        <f t="shared" si="2"/>
        <v>-0.2695055946714473</v>
      </c>
      <c r="AY20" s="3">
        <f t="shared" si="3"/>
        <v>0.2877004531851472</v>
      </c>
      <c r="AZ20" s="3">
        <f t="shared" si="4"/>
        <v>-1.8418195712976637</v>
      </c>
      <c r="BA20" s="3">
        <f t="shared" si="5"/>
        <v>-0.97335825893196359</v>
      </c>
      <c r="BB20" s="3">
        <f t="shared" si="6"/>
        <v>-0.59023342146843949</v>
      </c>
      <c r="BC20" s="3">
        <f t="shared" si="7"/>
        <v>0.30268372216935124</v>
      </c>
      <c r="BD20" s="3">
        <f t="shared" si="8"/>
        <v>-2.2276275735904285</v>
      </c>
      <c r="BE20" s="3">
        <f t="shared" si="9"/>
        <v>-1.2747794878518131</v>
      </c>
      <c r="BF20" s="3">
        <f t="shared" si="10"/>
        <v>-1.0304332121280113</v>
      </c>
      <c r="BG20" s="3">
        <f t="shared" si="11"/>
        <v>-0.72886645153897511</v>
      </c>
      <c r="BH20" s="3">
        <f t="shared" si="12"/>
        <v>-2.4928248108723725</v>
      </c>
      <c r="BI20" s="3">
        <f t="shared" si="13"/>
        <v>-1.0016658408536121</v>
      </c>
      <c r="BJ20" s="3">
        <f t="shared" si="14"/>
        <v>-0.70970538533101546</v>
      </c>
      <c r="BK20" s="3">
        <f t="shared" si="15"/>
        <v>-0.743849720523174</v>
      </c>
      <c r="BL20" s="3">
        <f t="shared" si="16"/>
        <v>-2.1070168085796119</v>
      </c>
      <c r="BM20" s="2">
        <v>0</v>
      </c>
    </row>
    <row r="21" spans="1:65" x14ac:dyDescent="0.35">
      <c r="A21">
        <f t="shared" si="22"/>
        <v>18</v>
      </c>
      <c r="B21">
        <v>5.1846000000000001E-3</v>
      </c>
      <c r="C21">
        <v>1.9667999999999999E-3</v>
      </c>
      <c r="D21">
        <v>3.5859999999999999E-4</v>
      </c>
      <c r="E21">
        <v>1.2552600000000001E-2</v>
      </c>
      <c r="F21">
        <v>1.5196599999999999E-2</v>
      </c>
      <c r="G21">
        <v>6.6667999999999996E-3</v>
      </c>
      <c r="H21">
        <v>5.8913999999999998E-3</v>
      </c>
      <c r="I21">
        <v>2.9117899999999999E-2</v>
      </c>
      <c r="J21">
        <v>3.0708635000000002</v>
      </c>
      <c r="K21">
        <v>0.99433139999999998</v>
      </c>
      <c r="L21">
        <v>0.55311549999999998</v>
      </c>
      <c r="M21">
        <v>5.6993004000000003</v>
      </c>
      <c r="N21">
        <v>3.0398497999999998</v>
      </c>
      <c r="O21">
        <v>0.98706179999999999</v>
      </c>
      <c r="P21">
        <v>0.54941439999999997</v>
      </c>
      <c r="Q21">
        <v>5.5797083000000001</v>
      </c>
      <c r="R21">
        <v>3.0906913999999999</v>
      </c>
      <c r="S21">
        <v>1.0019087</v>
      </c>
      <c r="T21">
        <v>0.55328379999999999</v>
      </c>
      <c r="U21">
        <v>5.7495697000000003</v>
      </c>
      <c r="V21">
        <v>3.0614943999999999</v>
      </c>
      <c r="W21">
        <v>0.99624760000000001</v>
      </c>
      <c r="X21">
        <v>0.55498689999999995</v>
      </c>
      <c r="Y21">
        <v>5.6246843000000002</v>
      </c>
      <c r="AA21" s="5">
        <f t="shared" si="17"/>
        <v>1.0012E-2</v>
      </c>
      <c r="AB21" s="5">
        <f t="shared" si="17"/>
        <v>4.6999999999999993E-3</v>
      </c>
      <c r="AC21" s="5">
        <f t="shared" si="17"/>
        <v>5.5328E-3</v>
      </c>
      <c r="AD21" s="5">
        <f t="shared" si="17"/>
        <v>1.6565299999999998E-2</v>
      </c>
      <c r="AE21" s="5">
        <f t="shared" si="18"/>
        <v>-3.1013700000000366E-2</v>
      </c>
      <c r="AF21" s="5">
        <f t="shared" si="18"/>
        <v>-7.2695999999999872E-3</v>
      </c>
      <c r="AG21" s="5">
        <f t="shared" si="18"/>
        <v>-3.7011000000000127E-3</v>
      </c>
      <c r="AH21" s="5">
        <f t="shared" si="18"/>
        <v>-0.1195921000000002</v>
      </c>
      <c r="AI21" s="5">
        <f t="shared" si="23"/>
        <v>-8.1952999999995516E-3</v>
      </c>
      <c r="AJ21" s="5">
        <f t="shared" si="23"/>
        <v>-3.0914999999999866E-3</v>
      </c>
      <c r="AK21" s="5">
        <f t="shared" si="23"/>
        <v>-1.2860000000002991E-4</v>
      </c>
      <c r="AL21" s="5">
        <f t="shared" si="23"/>
        <v>-2.185859999999995E-2</v>
      </c>
      <c r="AM21" s="11" t="e">
        <f>SUM(AM17:AM20)</f>
        <v>#REF!</v>
      </c>
      <c r="AN21" s="11" t="e">
        <f>SUM(AN17:AN20)</f>
        <v>#REF!</v>
      </c>
      <c r="AO21" s="5"/>
      <c r="AP21" s="5"/>
      <c r="AQ21" s="5"/>
      <c r="AR21" s="5"/>
      <c r="AS21" s="5"/>
      <c r="AT21" s="5"/>
      <c r="AU21" s="5"/>
      <c r="AV21" s="5">
        <f t="shared" si="32"/>
        <v>2024.5</v>
      </c>
      <c r="AW21" s="3">
        <f t="shared" si="1"/>
        <v>-0.67951462252104389</v>
      </c>
      <c r="AX21" s="3">
        <f t="shared" si="2"/>
        <v>-0.256470474804739</v>
      </c>
      <c r="AY21" s="3">
        <f t="shared" si="3"/>
        <v>0.33105975631312307</v>
      </c>
      <c r="AZ21" s="3">
        <f t="shared" si="4"/>
        <v>-1.7919045315686875</v>
      </c>
      <c r="BA21" s="3">
        <f t="shared" si="5"/>
        <v>-0.94467535645907319</v>
      </c>
      <c r="BB21" s="3">
        <f t="shared" si="6"/>
        <v>-0.56503152432950976</v>
      </c>
      <c r="BC21" s="3">
        <f t="shared" si="7"/>
        <v>0.30781671178515574</v>
      </c>
      <c r="BD21" s="3">
        <f t="shared" si="8"/>
        <v>-2.1720825473252394</v>
      </c>
      <c r="BE21" s="3">
        <f t="shared" si="9"/>
        <v>-1.2686158184540861</v>
      </c>
      <c r="BF21" s="3">
        <f t="shared" si="10"/>
        <v>-1.0341361443412971</v>
      </c>
      <c r="BG21" s="3">
        <f t="shared" si="11"/>
        <v>-0.69217642013014791</v>
      </c>
      <c r="BH21" s="3">
        <f t="shared" si="12"/>
        <v>-2.4601962821669949</v>
      </c>
      <c r="BI21" s="3">
        <f t="shared" si="13"/>
        <v>-1.0034550845160524</v>
      </c>
      <c r="BJ21" s="3">
        <f t="shared" si="14"/>
        <v>-0.72557509481652238</v>
      </c>
      <c r="BK21" s="3">
        <f t="shared" si="15"/>
        <v>-0.66893337560217969</v>
      </c>
      <c r="BL21" s="3">
        <f t="shared" si="16"/>
        <v>-2.0800182664104447</v>
      </c>
      <c r="BM21" s="2">
        <v>0</v>
      </c>
    </row>
    <row r="22" spans="1:65" x14ac:dyDescent="0.35">
      <c r="A22">
        <f t="shared" si="22"/>
        <v>19</v>
      </c>
      <c r="B22">
        <v>5.0558000000000001E-3</v>
      </c>
      <c r="C22">
        <v>1.9001000000000001E-3</v>
      </c>
      <c r="D22">
        <v>4.5560000000000002E-4</v>
      </c>
      <c r="E22">
        <v>1.2515200000000001E-2</v>
      </c>
      <c r="F22">
        <v>1.5717200000000001E-2</v>
      </c>
      <c r="G22">
        <v>6.8677E-3</v>
      </c>
      <c r="H22">
        <v>5.9290999999999996E-3</v>
      </c>
      <c r="I22">
        <v>3.0351699999999999E-2</v>
      </c>
      <c r="J22">
        <v>3.0714431000000002</v>
      </c>
      <c r="K22">
        <v>0.99462159999999999</v>
      </c>
      <c r="L22">
        <v>0.55263430000000002</v>
      </c>
      <c r="M22">
        <v>5.6999095000000004</v>
      </c>
      <c r="N22">
        <v>3.0403978999999999</v>
      </c>
      <c r="O22">
        <v>0.98719979999999996</v>
      </c>
      <c r="P22">
        <v>0.54942670000000005</v>
      </c>
      <c r="Q22">
        <v>5.5822582000000001</v>
      </c>
      <c r="R22">
        <v>3.0906913999999999</v>
      </c>
      <c r="S22">
        <v>1.0019087</v>
      </c>
      <c r="T22">
        <v>0.55328379999999999</v>
      </c>
      <c r="U22">
        <v>5.7495697000000003</v>
      </c>
      <c r="V22">
        <v>3.0623273000000002</v>
      </c>
      <c r="W22">
        <v>0.99647079999999999</v>
      </c>
      <c r="X22">
        <v>0.55524039999999997</v>
      </c>
      <c r="Y22">
        <v>5.6281429999999997</v>
      </c>
      <c r="AA22" s="5">
        <f t="shared" si="17"/>
        <v>1.0661400000000001E-2</v>
      </c>
      <c r="AB22" s="5">
        <f t="shared" si="17"/>
        <v>4.9676E-3</v>
      </c>
      <c r="AC22" s="5">
        <f t="shared" si="17"/>
        <v>5.4734999999999992E-3</v>
      </c>
      <c r="AD22" s="5">
        <f t="shared" si="17"/>
        <v>1.7836499999999998E-2</v>
      </c>
      <c r="AE22" s="5">
        <f t="shared" si="18"/>
        <v>-3.1045200000000328E-2</v>
      </c>
      <c r="AF22" s="5">
        <f t="shared" si="18"/>
        <v>-7.4218000000000339E-3</v>
      </c>
      <c r="AG22" s="5">
        <f t="shared" si="18"/>
        <v>-3.2075999999999771E-3</v>
      </c>
      <c r="AH22" s="5">
        <f t="shared" si="18"/>
        <v>-0.11765130000000035</v>
      </c>
      <c r="AI22" s="5">
        <f t="shared" si="23"/>
        <v>-7.9802999999993435E-3</v>
      </c>
      <c r="AJ22" s="5">
        <f t="shared" si="23"/>
        <v>-2.9836999999999616E-3</v>
      </c>
      <c r="AK22" s="5">
        <f t="shared" si="23"/>
        <v>-3.0930000000004704E-4</v>
      </c>
      <c r="AL22" s="5">
        <f t="shared" si="23"/>
        <v>-2.1611900000000323E-2</v>
      </c>
      <c r="AM22" s="7">
        <f>100*SUM(AM4:AM7)</f>
        <v>16.612849999999881</v>
      </c>
      <c r="AN22" s="7">
        <f>100*SUM(AN4:AN7)</f>
        <v>7.627519999999989</v>
      </c>
      <c r="AO22" s="5"/>
      <c r="AP22" s="5"/>
      <c r="AQ22" s="5"/>
      <c r="AR22" s="5"/>
      <c r="AS22" s="5"/>
      <c r="AT22" s="5"/>
      <c r="AU22" s="5"/>
      <c r="AV22" s="5">
        <f t="shared" si="32"/>
        <v>2024.75</v>
      </c>
      <c r="AW22" s="3">
        <f t="shared" si="1"/>
        <v>-0.65952233212284883</v>
      </c>
      <c r="AX22" s="3">
        <f t="shared" si="2"/>
        <v>-0.24495245924105</v>
      </c>
      <c r="AY22" s="3">
        <f t="shared" si="3"/>
        <v>0.40953666093242241</v>
      </c>
      <c r="AZ22" s="3">
        <f t="shared" si="4"/>
        <v>-1.7360394813545845</v>
      </c>
      <c r="BA22" s="3">
        <f t="shared" si="5"/>
        <v>-0.91772669377472205</v>
      </c>
      <c r="BB22" s="3">
        <f t="shared" si="6"/>
        <v>-0.54275404535363303</v>
      </c>
      <c r="BC22" s="3">
        <f t="shared" si="7"/>
        <v>0.35363406627845873</v>
      </c>
      <c r="BD22" s="3">
        <f t="shared" si="8"/>
        <v>-2.111926741230751</v>
      </c>
      <c r="BE22" s="3">
        <f t="shared" si="9"/>
        <v>-1.2626786355958965</v>
      </c>
      <c r="BF22" s="3">
        <f t="shared" si="10"/>
        <v>-1.0385676858579984</v>
      </c>
      <c r="BG22" s="3">
        <f t="shared" si="11"/>
        <v>-0.63564123872776412</v>
      </c>
      <c r="BH22" s="3">
        <f t="shared" si="12"/>
        <v>-2.422149956717635</v>
      </c>
      <c r="BI22" s="3">
        <f t="shared" si="13"/>
        <v>-1.004474273944022</v>
      </c>
      <c r="BJ22" s="3">
        <f t="shared" si="14"/>
        <v>-0.74076609974541929</v>
      </c>
      <c r="BK22" s="3">
        <f t="shared" si="15"/>
        <v>-0.57973864407379672</v>
      </c>
      <c r="BL22" s="3">
        <f t="shared" si="16"/>
        <v>-2.0462626968414757</v>
      </c>
      <c r="BM22" s="2">
        <v>0</v>
      </c>
    </row>
    <row r="23" spans="1:65" x14ac:dyDescent="0.35">
      <c r="A23">
        <f t="shared" si="22"/>
        <v>20</v>
      </c>
      <c r="B23">
        <v>4.9433999999999997E-3</v>
      </c>
      <c r="C23">
        <v>1.8408999999999999E-3</v>
      </c>
      <c r="D23">
        <v>5.4120000000000004E-4</v>
      </c>
      <c r="E23">
        <v>1.2514300000000001E-2</v>
      </c>
      <c r="F23">
        <v>1.6225699999999999E-2</v>
      </c>
      <c r="G23">
        <v>7.0625000000000002E-3</v>
      </c>
      <c r="H23">
        <v>5.9478999999999999E-3</v>
      </c>
      <c r="I23">
        <v>3.1570000000000001E-2</v>
      </c>
      <c r="J23">
        <v>3.0719479000000001</v>
      </c>
      <c r="K23">
        <v>0.99487780000000003</v>
      </c>
      <c r="L23">
        <v>0.55221710000000002</v>
      </c>
      <c r="M23">
        <v>5.7003405000000003</v>
      </c>
      <c r="N23">
        <v>3.0412162</v>
      </c>
      <c r="O23">
        <v>0.98748550000000002</v>
      </c>
      <c r="P23">
        <v>0.55135020000000001</v>
      </c>
      <c r="Q23">
        <v>5.5851838000000003</v>
      </c>
      <c r="R23">
        <v>3.0906913999999999</v>
      </c>
      <c r="S23">
        <v>1.0019087</v>
      </c>
      <c r="T23">
        <v>0.55328379999999999</v>
      </c>
      <c r="U23">
        <v>5.7495697000000003</v>
      </c>
      <c r="V23">
        <v>3.0634513999999999</v>
      </c>
      <c r="W23">
        <v>0.99685080000000004</v>
      </c>
      <c r="X23">
        <v>0.55735029999999997</v>
      </c>
      <c r="Y23">
        <v>5.6320345999999999</v>
      </c>
      <c r="AA23" s="5">
        <f t="shared" si="17"/>
        <v>1.1282299999999999E-2</v>
      </c>
      <c r="AB23" s="5">
        <f t="shared" si="17"/>
        <v>5.2215999999999999E-3</v>
      </c>
      <c r="AC23" s="5">
        <f t="shared" si="17"/>
        <v>5.4066999999999995E-3</v>
      </c>
      <c r="AD23" s="5">
        <f t="shared" si="17"/>
        <v>1.9055700000000002E-2</v>
      </c>
      <c r="AE23" s="5">
        <f t="shared" si="18"/>
        <v>-3.0731700000000028E-2</v>
      </c>
      <c r="AF23" s="5">
        <f t="shared" si="18"/>
        <v>-7.3923000000000183E-3</v>
      </c>
      <c r="AG23" s="5">
        <f t="shared" si="18"/>
        <v>-8.6690000000000378E-4</v>
      </c>
      <c r="AH23" s="5">
        <f t="shared" si="18"/>
        <v>-0.1151567</v>
      </c>
      <c r="AI23" s="5">
        <f t="shared" si="23"/>
        <v>-7.7905999999999011E-3</v>
      </c>
      <c r="AJ23" s="5">
        <f t="shared" si="23"/>
        <v>-2.8871999999999301E-3</v>
      </c>
      <c r="AK23" s="5">
        <f t="shared" si="23"/>
        <v>-4.7330000000002283E-4</v>
      </c>
      <c r="AL23" s="5">
        <f t="shared" si="23"/>
        <v>-2.1434100000000456E-2</v>
      </c>
      <c r="AM23" s="5"/>
      <c r="AN23" s="5"/>
      <c r="AO23" s="5"/>
      <c r="AP23" s="5"/>
      <c r="AQ23" s="5"/>
      <c r="AR23" s="5"/>
      <c r="AS23" s="5"/>
      <c r="AT23" s="5"/>
      <c r="AU23" s="5"/>
      <c r="AV23" s="5">
        <f t="shared" si="32"/>
        <v>2025</v>
      </c>
      <c r="AW23" s="3">
        <f t="shared" si="1"/>
        <v>-0.62928961461503508</v>
      </c>
      <c r="AX23" s="3">
        <f t="shared" si="2"/>
        <v>-0.21665646779991216</v>
      </c>
      <c r="AY23" s="3">
        <f t="shared" si="3"/>
        <v>0.82051923443267194</v>
      </c>
      <c r="AZ23" s="3">
        <f t="shared" si="4"/>
        <v>-1.6714468214899627</v>
      </c>
      <c r="BA23" s="3">
        <f t="shared" si="5"/>
        <v>-0.88135619104514706</v>
      </c>
      <c r="BB23" s="3">
        <f t="shared" si="6"/>
        <v>-0.50482643777820757</v>
      </c>
      <c r="BC23" s="3">
        <f t="shared" si="7"/>
        <v>0.73497543213807692</v>
      </c>
      <c r="BD23" s="3">
        <f t="shared" si="8"/>
        <v>-2.0442416760336073</v>
      </c>
      <c r="BE23" s="3">
        <f t="shared" si="9"/>
        <v>-1.2463974889243197</v>
      </c>
      <c r="BF23" s="3">
        <f t="shared" si="10"/>
        <v>-1.0259916896619419</v>
      </c>
      <c r="BG23" s="3">
        <f t="shared" si="11"/>
        <v>-0.24222650292671025</v>
      </c>
      <c r="BH23" s="3">
        <f t="shared" si="12"/>
        <v>-2.3756699566578079</v>
      </c>
      <c r="BI23" s="3">
        <f t="shared" si="13"/>
        <v>-0.99433091249420857</v>
      </c>
      <c r="BJ23" s="3">
        <f t="shared" si="14"/>
        <v>-0.73782171968364163</v>
      </c>
      <c r="BK23" s="3">
        <f t="shared" si="15"/>
        <v>-0.15668270063211751</v>
      </c>
      <c r="BL23" s="3">
        <f t="shared" si="16"/>
        <v>-2.0028751021141633</v>
      </c>
      <c r="BM23" s="2">
        <v>0</v>
      </c>
    </row>
    <row r="24" spans="1:65" x14ac:dyDescent="0.35">
      <c r="A24">
        <f t="shared" si="22"/>
        <v>21</v>
      </c>
      <c r="B24">
        <v>4.8452E-3</v>
      </c>
      <c r="C24">
        <v>1.7882E-3</v>
      </c>
      <c r="D24">
        <v>6.1720000000000004E-4</v>
      </c>
      <c r="E24">
        <v>1.25451E-2</v>
      </c>
      <c r="F24">
        <v>1.4980800000000001E-2</v>
      </c>
      <c r="G24">
        <v>6.3670999999999997E-3</v>
      </c>
      <c r="H24">
        <v>-1.5494E-3</v>
      </c>
      <c r="I24">
        <v>3.08486E-2</v>
      </c>
      <c r="J24">
        <v>3.0723889</v>
      </c>
      <c r="K24">
        <v>0.99510489999999996</v>
      </c>
      <c r="L24">
        <v>0.55185200000000001</v>
      </c>
      <c r="M24">
        <v>5.7006173999999996</v>
      </c>
      <c r="N24">
        <v>3.0423545000000001</v>
      </c>
      <c r="O24">
        <v>0.98791090000000004</v>
      </c>
      <c r="P24">
        <v>0.55572759999999999</v>
      </c>
      <c r="Q24">
        <v>5.5891139000000001</v>
      </c>
      <c r="R24">
        <v>3.0906913999999999</v>
      </c>
      <c r="S24">
        <v>1.0019087</v>
      </c>
      <c r="T24">
        <v>0.55328379999999999</v>
      </c>
      <c r="U24">
        <v>5.7495697000000003</v>
      </c>
      <c r="V24">
        <v>3.0631693000000002</v>
      </c>
      <c r="W24">
        <v>0.99649279999999996</v>
      </c>
      <c r="X24">
        <v>0.55437479999999995</v>
      </c>
      <c r="Y24">
        <v>5.6350531999999998</v>
      </c>
      <c r="AA24" s="5">
        <f t="shared" si="17"/>
        <v>1.0135600000000002E-2</v>
      </c>
      <c r="AB24" s="5">
        <f t="shared" si="17"/>
        <v>4.5788999999999995E-3</v>
      </c>
      <c r="AC24" s="5">
        <f t="shared" si="17"/>
        <v>-2.1666000000000003E-3</v>
      </c>
      <c r="AD24" s="5">
        <f t="shared" si="17"/>
        <v>1.83035E-2</v>
      </c>
      <c r="AE24" s="5">
        <f t="shared" si="18"/>
        <v>-3.0034399999999906E-2</v>
      </c>
      <c r="AF24" s="5">
        <f t="shared" si="18"/>
        <v>-7.1939999999999227E-3</v>
      </c>
      <c r="AG24" s="5">
        <f t="shared" si="18"/>
        <v>3.8755999999999791E-3</v>
      </c>
      <c r="AH24" s="5">
        <f t="shared" si="18"/>
        <v>-0.11150349999999953</v>
      </c>
      <c r="AI24" s="5">
        <f t="shared" si="23"/>
        <v>-7.6232999999997567E-3</v>
      </c>
      <c r="AJ24" s="5">
        <f t="shared" si="23"/>
        <v>-2.8008000000001058E-3</v>
      </c>
      <c r="AK24" s="5">
        <f t="shared" si="23"/>
        <v>-6.1800000000002565E-4</v>
      </c>
      <c r="AL24" s="5">
        <f t="shared" si="23"/>
        <v>-2.1316500000001043E-2</v>
      </c>
      <c r="AM24" s="5"/>
      <c r="AN24" s="5"/>
      <c r="AO24" s="5"/>
      <c r="AP24" s="5"/>
      <c r="AQ24" s="5"/>
      <c r="AR24" s="5"/>
      <c r="AS24" s="5"/>
      <c r="AT24" s="5"/>
      <c r="AU24" s="5"/>
      <c r="AV24" s="5">
        <f t="shared" si="32"/>
        <v>2025.25</v>
      </c>
      <c r="AW24" s="3">
        <f t="shared" si="1"/>
        <v>-0.64383005045407971</v>
      </c>
      <c r="AX24" s="3">
        <f t="shared" si="2"/>
        <v>-0.26101180676442104</v>
      </c>
      <c r="AY24" s="3">
        <f t="shared" si="3"/>
        <v>0.30888307230393858</v>
      </c>
      <c r="AZ24" s="3">
        <f t="shared" si="4"/>
        <v>-1.6209908717168788</v>
      </c>
      <c r="BA24" s="3">
        <f t="shared" si="5"/>
        <v>-0.89048359858896498</v>
      </c>
      <c r="BB24" s="3">
        <f t="shared" si="6"/>
        <v>-0.54055823649400681</v>
      </c>
      <c r="BC24" s="3">
        <f t="shared" si="7"/>
        <v>0.19718632643861128</v>
      </c>
      <c r="BD24" s="3">
        <f t="shared" si="8"/>
        <v>-1.9917403558043756</v>
      </c>
      <c r="BE24" s="3">
        <f t="shared" si="9"/>
        <v>-1.2184231657680082</v>
      </c>
      <c r="BF24" s="3">
        <f t="shared" si="10"/>
        <v>-0.99757592682847063</v>
      </c>
      <c r="BG24" s="3">
        <f t="shared" si="11"/>
        <v>0.58877559762276999</v>
      </c>
      <c r="BH24" s="3">
        <f t="shared" si="12"/>
        <v>-2.3100859182557714</v>
      </c>
      <c r="BI24" s="3">
        <f t="shared" si="13"/>
        <v>-0.97176961763312597</v>
      </c>
      <c r="BJ24" s="3">
        <f t="shared" si="14"/>
        <v>-0.71802949709887964</v>
      </c>
      <c r="BK24" s="3">
        <f t="shared" si="15"/>
        <v>0.70047234348809406</v>
      </c>
      <c r="BL24" s="3">
        <f t="shared" si="16"/>
        <v>-1.9393364341682742</v>
      </c>
      <c r="BM24" s="2">
        <v>0</v>
      </c>
    </row>
    <row r="25" spans="1:65" x14ac:dyDescent="0.35">
      <c r="A25">
        <f t="shared" si="22"/>
        <v>22</v>
      </c>
      <c r="B25">
        <v>4.7593000000000002E-3</v>
      </c>
      <c r="C25">
        <v>1.7409999999999999E-3</v>
      </c>
      <c r="D25">
        <v>6.8499999999999995E-4</v>
      </c>
      <c r="E25">
        <v>1.26038E-2</v>
      </c>
      <c r="F25">
        <v>1.4260399999999999E-2</v>
      </c>
      <c r="G25">
        <v>5.9921999999999996E-3</v>
      </c>
      <c r="H25">
        <v>-1.8833000000000001E-3</v>
      </c>
      <c r="I25">
        <v>2.95926E-2</v>
      </c>
      <c r="J25">
        <v>3.0727750999999999</v>
      </c>
      <c r="K25">
        <v>0.99530700000000005</v>
      </c>
      <c r="L25">
        <v>0.55152990000000002</v>
      </c>
      <c r="M25">
        <v>5.7007595999999996</v>
      </c>
      <c r="N25">
        <v>3.0435227</v>
      </c>
      <c r="O25">
        <v>0.98829370000000005</v>
      </c>
      <c r="P25">
        <v>0.55519609999999997</v>
      </c>
      <c r="Q25">
        <v>5.5929618000000003</v>
      </c>
      <c r="R25">
        <v>3.0906913999999999</v>
      </c>
      <c r="S25">
        <v>1.0019087</v>
      </c>
      <c r="T25">
        <v>0.55328379999999999</v>
      </c>
      <c r="U25">
        <v>5.7495697000000003</v>
      </c>
      <c r="V25">
        <v>3.0634638999999999</v>
      </c>
      <c r="W25">
        <v>0.9964229</v>
      </c>
      <c r="X25">
        <v>0.5536354</v>
      </c>
      <c r="Y25">
        <v>5.6375095999999996</v>
      </c>
      <c r="AA25" s="5">
        <f t="shared" si="17"/>
        <v>9.5010999999999984E-3</v>
      </c>
      <c r="AB25" s="5">
        <f t="shared" si="17"/>
        <v>4.2512000000000001E-3</v>
      </c>
      <c r="AC25" s="5">
        <f t="shared" si="17"/>
        <v>-2.5682999999999999E-3</v>
      </c>
      <c r="AD25" s="5">
        <f t="shared" si="17"/>
        <v>1.6988799999999998E-2</v>
      </c>
      <c r="AE25" s="5">
        <f t="shared" si="18"/>
        <v>-2.9252399999999845E-2</v>
      </c>
      <c r="AF25" s="5">
        <f t="shared" si="18"/>
        <v>-7.0133000000000001E-3</v>
      </c>
      <c r="AG25" s="5">
        <f t="shared" si="18"/>
        <v>3.6661999999999528E-3</v>
      </c>
      <c r="AH25" s="5">
        <f t="shared" si="18"/>
        <v>-0.10779779999999928</v>
      </c>
      <c r="AI25" s="5">
        <f t="shared" si="23"/>
        <v>-7.4762000000001133E-3</v>
      </c>
      <c r="AJ25" s="5">
        <f t="shared" si="23"/>
        <v>-2.7236999999999852E-3</v>
      </c>
      <c r="AK25" s="5">
        <f t="shared" si="23"/>
        <v>-7.4629999999994544E-4</v>
      </c>
      <c r="AL25" s="5">
        <f t="shared" si="23"/>
        <v>-2.1251100000001494E-2</v>
      </c>
      <c r="AM25" s="5"/>
      <c r="AN25" s="5"/>
      <c r="AO25" s="5"/>
      <c r="AP25" s="5"/>
      <c r="AQ25" s="5"/>
      <c r="AR25" s="5"/>
      <c r="AS25" s="5"/>
      <c r="AT25" s="5"/>
      <c r="AU25" s="5"/>
      <c r="AV25" s="5">
        <f t="shared" si="32"/>
        <v>2025.5</v>
      </c>
      <c r="AW25" s="3">
        <f t="shared" si="1"/>
        <v>-0.63905765551358018</v>
      </c>
      <c r="AX25" s="3">
        <f t="shared" si="2"/>
        <v>-0.27568380232649942</v>
      </c>
      <c r="AY25" s="3">
        <f t="shared" si="3"/>
        <v>0.19843342602836969</v>
      </c>
      <c r="AZ25" s="3">
        <f t="shared" si="4"/>
        <v>-1.5794051509628499</v>
      </c>
      <c r="BA25" s="3">
        <f t="shared" si="5"/>
        <v>-0.88095175079595334</v>
      </c>
      <c r="BB25" s="3">
        <f t="shared" si="6"/>
        <v>-0.54753492009800742</v>
      </c>
      <c r="BC25" s="3">
        <f t="shared" si="7"/>
        <v>6.3547857356388793E-2</v>
      </c>
      <c r="BD25" s="3">
        <f t="shared" si="8"/>
        <v>-1.9490171586232057</v>
      </c>
      <c r="BE25" s="3">
        <f t="shared" si="9"/>
        <v>-1.1883619309258764</v>
      </c>
      <c r="BF25" s="3">
        <f t="shared" si="10"/>
        <v>-0.97184503937334765</v>
      </c>
      <c r="BG25" s="3">
        <f t="shared" si="11"/>
        <v>0.52774001335299814</v>
      </c>
      <c r="BH25" s="3">
        <f t="shared" si="12"/>
        <v>-2.2444966620719597</v>
      </c>
      <c r="BI25" s="3">
        <f t="shared" si="13"/>
        <v>-0.9464678356435019</v>
      </c>
      <c r="BJ25" s="3">
        <f t="shared" si="14"/>
        <v>-0.6999939216018386</v>
      </c>
      <c r="BK25" s="3">
        <f t="shared" si="15"/>
        <v>0.66262558202498478</v>
      </c>
      <c r="BL25" s="3">
        <f t="shared" si="16"/>
        <v>-1.8748846544116036</v>
      </c>
      <c r="BM25" s="2">
        <v>0</v>
      </c>
    </row>
    <row r="26" spans="1:65" x14ac:dyDescent="0.35">
      <c r="A26">
        <f t="shared" si="22"/>
        <v>23</v>
      </c>
      <c r="B26">
        <v>4.6839000000000004E-3</v>
      </c>
      <c r="C26">
        <v>1.6988000000000001E-3</v>
      </c>
      <c r="D26">
        <v>7.4569999999999997E-4</v>
      </c>
      <c r="E26">
        <v>1.26867E-2</v>
      </c>
      <c r="F26">
        <v>1.3532199999999999E-2</v>
      </c>
      <c r="G26">
        <v>5.6287000000000004E-3</v>
      </c>
      <c r="H26">
        <v>-1.2727999999999999E-3</v>
      </c>
      <c r="I26">
        <v>2.84885E-2</v>
      </c>
      <c r="J26">
        <v>3.0731139999999999</v>
      </c>
      <c r="K26">
        <v>0.99548749999999997</v>
      </c>
      <c r="L26">
        <v>0.55124410000000001</v>
      </c>
      <c r="M26">
        <v>5.7007836999999997</v>
      </c>
      <c r="N26">
        <v>3.0446214999999999</v>
      </c>
      <c r="O26">
        <v>0.9886509</v>
      </c>
      <c r="P26">
        <v>0.55401690000000003</v>
      </c>
      <c r="Q26">
        <v>5.5965417999999998</v>
      </c>
      <c r="R26">
        <v>3.0906913999999999</v>
      </c>
      <c r="S26">
        <v>1.0019087</v>
      </c>
      <c r="T26">
        <v>0.55328379999999999</v>
      </c>
      <c r="U26">
        <v>5.7495697000000003</v>
      </c>
      <c r="V26">
        <v>3.0637006000000002</v>
      </c>
      <c r="W26">
        <v>0.9963476</v>
      </c>
      <c r="X26">
        <v>0.55317360000000004</v>
      </c>
      <c r="Y26">
        <v>5.6398957000000003</v>
      </c>
      <c r="AA26" s="5">
        <f t="shared" si="17"/>
        <v>8.8482999999999999E-3</v>
      </c>
      <c r="AB26" s="5">
        <f t="shared" si="17"/>
        <v>3.9299000000000001E-3</v>
      </c>
      <c r="AC26" s="5">
        <f t="shared" si="17"/>
        <v>-2.0184999999999999E-3</v>
      </c>
      <c r="AD26" s="5">
        <f t="shared" si="17"/>
        <v>1.5801799999999998E-2</v>
      </c>
      <c r="AE26" s="5">
        <f t="shared" si="18"/>
        <v>-2.8492500000000032E-2</v>
      </c>
      <c r="AF26" s="5">
        <f t="shared" si="18"/>
        <v>-6.8365999999999705E-3</v>
      </c>
      <c r="AG26" s="5">
        <f t="shared" si="18"/>
        <v>2.7728000000000197E-3</v>
      </c>
      <c r="AH26" s="5">
        <f t="shared" si="18"/>
        <v>-0.10424189999999989</v>
      </c>
      <c r="AI26" s="5">
        <f t="shared" si="23"/>
        <v>-7.3465999999996166E-3</v>
      </c>
      <c r="AJ26" s="5">
        <f t="shared" si="23"/>
        <v>-2.6544000000000151E-3</v>
      </c>
      <c r="AK26" s="5">
        <f t="shared" si="23"/>
        <v>-8.6449999999996903E-4</v>
      </c>
      <c r="AL26" s="5">
        <f t="shared" si="23"/>
        <v>-2.1233900000000167E-2</v>
      </c>
      <c r="AM26" s="5"/>
      <c r="AN26" s="5"/>
      <c r="AO26" s="5"/>
      <c r="AP26" s="5"/>
      <c r="AQ26" s="5"/>
      <c r="AR26" s="5"/>
      <c r="AS26" s="5"/>
      <c r="AT26" s="5"/>
      <c r="AU26" s="5"/>
      <c r="AV26" s="5">
        <f t="shared" si="32"/>
        <v>2025.75</v>
      </c>
      <c r="AW26" s="3">
        <f t="shared" si="1"/>
        <v>-0.63559241145848566</v>
      </c>
      <c r="AX26" s="3">
        <f t="shared" si="2"/>
        <v>-0.29011625510388028</v>
      </c>
      <c r="AY26" s="3">
        <f t="shared" si="3"/>
        <v>0.13633148123983024</v>
      </c>
      <c r="AZ26" s="3">
        <f t="shared" si="4"/>
        <v>-1.5382038067996615</v>
      </c>
      <c r="BA26" s="3">
        <f t="shared" si="5"/>
        <v>-0.87329327023719194</v>
      </c>
      <c r="BB26" s="3">
        <f t="shared" si="6"/>
        <v>-0.55505057496755794</v>
      </c>
      <c r="BC26" s="3">
        <f t="shared" si="7"/>
        <v>-1.9917445621930232E-2</v>
      </c>
      <c r="BD26" s="3">
        <f t="shared" si="8"/>
        <v>-1.9075166616381751</v>
      </c>
      <c r="BE26" s="3">
        <f t="shared" si="9"/>
        <v>-1.1595819627931656</v>
      </c>
      <c r="BF26" s="3">
        <f t="shared" si="10"/>
        <v>-0.94729190394294682</v>
      </c>
      <c r="BG26" s="3">
        <f t="shared" si="11"/>
        <v>0.34490436915016942</v>
      </c>
      <c r="BH26" s="3">
        <f t="shared" si="12"/>
        <v>-2.1823511418602375</v>
      </c>
      <c r="BI26" s="3">
        <f t="shared" si="13"/>
        <v>-0.9218811040144621</v>
      </c>
      <c r="BJ26" s="3">
        <f t="shared" si="14"/>
        <v>-0.68235758407926506</v>
      </c>
      <c r="BK26" s="3">
        <f t="shared" si="15"/>
        <v>0.50115329601192371</v>
      </c>
      <c r="BL26" s="3">
        <f t="shared" si="16"/>
        <v>-1.8130382870217208</v>
      </c>
      <c r="BM26" s="2">
        <v>0</v>
      </c>
    </row>
    <row r="27" spans="1:65" x14ac:dyDescent="0.35">
      <c r="A27">
        <f t="shared" si="22"/>
        <v>24</v>
      </c>
      <c r="B27">
        <v>4.6178E-3</v>
      </c>
      <c r="C27">
        <v>1.6608E-3</v>
      </c>
      <c r="D27">
        <v>8.0000000000000004E-4</v>
      </c>
      <c r="E27">
        <v>1.27908E-2</v>
      </c>
      <c r="F27">
        <v>1.29508E-2</v>
      </c>
      <c r="G27">
        <v>5.3394000000000002E-3</v>
      </c>
      <c r="H27">
        <v>-6.0050000000000001E-4</v>
      </c>
      <c r="I27">
        <v>2.7631699999999999E-2</v>
      </c>
      <c r="J27">
        <v>3.0734118000000001</v>
      </c>
      <c r="K27">
        <v>0.99564940000000002</v>
      </c>
      <c r="L27">
        <v>0.55099010000000004</v>
      </c>
      <c r="M27">
        <v>5.7007050000000001</v>
      </c>
      <c r="N27">
        <v>3.0455925000000001</v>
      </c>
      <c r="O27">
        <v>0.98896099999999998</v>
      </c>
      <c r="P27">
        <v>0.5528651</v>
      </c>
      <c r="Q27">
        <v>5.5996870000000003</v>
      </c>
      <c r="R27">
        <v>3.0906913999999999</v>
      </c>
      <c r="S27">
        <v>1.0019087</v>
      </c>
      <c r="T27">
        <v>0.55328379999999999</v>
      </c>
      <c r="U27">
        <v>5.7495697000000003</v>
      </c>
      <c r="V27">
        <v>3.0639728000000002</v>
      </c>
      <c r="W27">
        <v>0.99630669999999999</v>
      </c>
      <c r="X27">
        <v>0.55278950000000004</v>
      </c>
      <c r="Y27">
        <v>5.6421340999999998</v>
      </c>
      <c r="AA27" s="5">
        <f t="shared" si="17"/>
        <v>8.3330000000000001E-3</v>
      </c>
      <c r="AB27" s="5">
        <f t="shared" si="17"/>
        <v>3.6786000000000002E-3</v>
      </c>
      <c r="AC27" s="5">
        <f t="shared" si="17"/>
        <v>-1.4005000000000001E-3</v>
      </c>
      <c r="AD27" s="5">
        <f t="shared" si="17"/>
        <v>1.4840899999999999E-2</v>
      </c>
      <c r="AE27" s="5">
        <f t="shared" si="18"/>
        <v>-2.7819299999999991E-2</v>
      </c>
      <c r="AF27" s="5">
        <f t="shared" si="18"/>
        <v>-6.6884000000000388E-3</v>
      </c>
      <c r="AG27" s="5">
        <f t="shared" si="18"/>
        <v>1.87499999999996E-3</v>
      </c>
      <c r="AH27" s="5">
        <f t="shared" si="18"/>
        <v>-0.10101799999999983</v>
      </c>
      <c r="AI27" s="5">
        <f t="shared" si="23"/>
        <v>-7.2322999999997126E-3</v>
      </c>
      <c r="AJ27" s="5">
        <f t="shared" si="23"/>
        <v>-2.5921999999999573E-3</v>
      </c>
      <c r="AK27" s="5">
        <f t="shared" si="23"/>
        <v>-9.6879999999990754E-4</v>
      </c>
      <c r="AL27" s="5">
        <f t="shared" si="23"/>
        <v>-2.1258500000000694E-2</v>
      </c>
      <c r="AM27" s="5"/>
      <c r="AN27" s="5"/>
      <c r="AO27" s="5"/>
      <c r="AP27" s="5"/>
      <c r="AQ27" s="5"/>
      <c r="AR27" s="5"/>
      <c r="AS27" s="5"/>
      <c r="AT27" s="5"/>
      <c r="AU27" s="5"/>
      <c r="AV27" s="5">
        <f t="shared" si="32"/>
        <v>2026</v>
      </c>
      <c r="AW27" s="3">
        <f t="shared" si="1"/>
        <v>-0.63048352223065662</v>
      </c>
      <c r="AX27" s="3">
        <f t="shared" si="2"/>
        <v>-0.30040661389606044</v>
      </c>
      <c r="AY27" s="3">
        <f t="shared" si="3"/>
        <v>8.5760689179759098E-2</v>
      </c>
      <c r="AZ27" s="3">
        <f t="shared" si="4"/>
        <v>-1.4988443396033588</v>
      </c>
      <c r="BA27" s="3">
        <f t="shared" si="5"/>
        <v>-0.86448617937072936</v>
      </c>
      <c r="BB27" s="3">
        <f t="shared" si="6"/>
        <v>-0.55913278325659777</v>
      </c>
      <c r="BC27" s="3">
        <f t="shared" si="7"/>
        <v>-8.9339322785150693E-2</v>
      </c>
      <c r="BD27" s="3">
        <f t="shared" si="8"/>
        <v>-1.8685850525475065</v>
      </c>
      <c r="BE27" s="3">
        <f t="shared" si="9"/>
        <v>-1.1341022270938996</v>
      </c>
      <c r="BF27" s="3">
        <f t="shared" si="10"/>
        <v>-0.92629198648539257</v>
      </c>
      <c r="BG27" s="3">
        <f t="shared" si="11"/>
        <v>0.16378574612162494</v>
      </c>
      <c r="BH27" s="3">
        <f t="shared" si="12"/>
        <v>-2.1267069777413217</v>
      </c>
      <c r="BI27" s="3">
        <f t="shared" si="13"/>
        <v>-0.90009956995382945</v>
      </c>
      <c r="BJ27" s="3">
        <f t="shared" si="14"/>
        <v>-0.66756581712485774</v>
      </c>
      <c r="BK27" s="3">
        <f t="shared" si="15"/>
        <v>0.33888575808652993</v>
      </c>
      <c r="BL27" s="3">
        <f t="shared" si="16"/>
        <v>-1.7569662647971693</v>
      </c>
      <c r="BM27" s="2">
        <v>0</v>
      </c>
    </row>
    <row r="28" spans="1:65" x14ac:dyDescent="0.35">
      <c r="A28">
        <f t="shared" si="22"/>
        <v>25</v>
      </c>
      <c r="B28">
        <v>4.5596999999999999E-3</v>
      </c>
      <c r="C28">
        <v>1.6264999999999999E-3</v>
      </c>
      <c r="D28">
        <v>8.4869999999999998E-4</v>
      </c>
      <c r="E28">
        <v>1.29129E-2</v>
      </c>
      <c r="F28">
        <v>1.24706E-2</v>
      </c>
      <c r="G28">
        <v>5.0987000000000003E-3</v>
      </c>
      <c r="H28">
        <v>-9.6000000000000002E-5</v>
      </c>
      <c r="I28">
        <v>2.6979400000000001E-2</v>
      </c>
      <c r="J28">
        <v>3.0736740999999999</v>
      </c>
      <c r="K28">
        <v>0.99579510000000004</v>
      </c>
      <c r="L28">
        <v>0.55076449999999999</v>
      </c>
      <c r="M28">
        <v>5.7005379999999999</v>
      </c>
      <c r="N28">
        <v>3.0464511000000001</v>
      </c>
      <c r="O28">
        <v>0.98923119999999998</v>
      </c>
      <c r="P28">
        <v>0.552145</v>
      </c>
      <c r="Q28">
        <v>5.6026037999999998</v>
      </c>
      <c r="R28">
        <v>3.0906913999999999</v>
      </c>
      <c r="S28">
        <v>1.0019087</v>
      </c>
      <c r="T28">
        <v>0.55328379999999999</v>
      </c>
      <c r="U28">
        <v>5.7495697000000003</v>
      </c>
      <c r="V28">
        <v>3.0642478999999998</v>
      </c>
      <c r="W28">
        <v>0.99628110000000003</v>
      </c>
      <c r="X28">
        <v>0.55265900000000001</v>
      </c>
      <c r="Y28">
        <v>5.6443839000000002</v>
      </c>
      <c r="AA28" s="5">
        <f t="shared" si="17"/>
        <v>7.9109000000000002E-3</v>
      </c>
      <c r="AB28" s="5">
        <f t="shared" si="17"/>
        <v>3.4722000000000004E-3</v>
      </c>
      <c r="AC28" s="5">
        <f t="shared" si="17"/>
        <v>-9.4469999999999992E-4</v>
      </c>
      <c r="AD28" s="5">
        <f t="shared" si="17"/>
        <v>1.4066500000000001E-2</v>
      </c>
      <c r="AE28" s="5">
        <f t="shared" si="18"/>
        <v>-2.7222999999999775E-2</v>
      </c>
      <c r="AF28" s="5">
        <f t="shared" si="18"/>
        <v>-6.5639000000000669E-3</v>
      </c>
      <c r="AG28" s="5">
        <f t="shared" si="18"/>
        <v>1.3805000000000067E-3</v>
      </c>
      <c r="AH28" s="5">
        <f t="shared" si="18"/>
        <v>-9.7934200000000082E-2</v>
      </c>
      <c r="AI28" s="5">
        <f t="shared" si="23"/>
        <v>-7.1314000000002875E-3</v>
      </c>
      <c r="AJ28" s="5">
        <f t="shared" si="23"/>
        <v>-2.5358999999998883E-3</v>
      </c>
      <c r="AK28" s="5">
        <f t="shared" si="23"/>
        <v>-1.0605999999999877E-3</v>
      </c>
      <c r="AL28" s="5">
        <f t="shared" si="23"/>
        <v>-2.131810000000002E-2</v>
      </c>
      <c r="AM28" s="5"/>
      <c r="AN28" s="5"/>
      <c r="AO28" s="5"/>
      <c r="AP28" s="5"/>
      <c r="AQ28" s="5"/>
      <c r="AR28" s="5"/>
      <c r="AS28" s="5"/>
      <c r="AT28" s="5"/>
      <c r="AU28" s="5"/>
      <c r="AV28" s="5">
        <f t="shared" si="32"/>
        <v>2026.25</v>
      </c>
      <c r="AW28" s="3">
        <f t="shared" si="1"/>
        <v>-0.62484724291787197</v>
      </c>
      <c r="AX28" s="3">
        <f t="shared" si="2"/>
        <v>-0.30858101142350264</v>
      </c>
      <c r="AY28" s="3">
        <f t="shared" si="3"/>
        <v>7.8766087132861443E-2</v>
      </c>
      <c r="AZ28" s="3">
        <f t="shared" si="4"/>
        <v>-1.4586778554923874</v>
      </c>
      <c r="BA28" s="3">
        <f t="shared" si="5"/>
        <v>-0.85558525836646337</v>
      </c>
      <c r="BB28" s="3">
        <f t="shared" si="6"/>
        <v>-0.5616879062932536</v>
      </c>
      <c r="BC28" s="3">
        <f t="shared" si="7"/>
        <v>-0.11292577154797971</v>
      </c>
      <c r="BD28" s="3">
        <f t="shared" si="8"/>
        <v>-1.8294551677493378</v>
      </c>
      <c r="BE28" s="3">
        <f t="shared" si="9"/>
        <v>-1.1115441677548341</v>
      </c>
      <c r="BF28" s="3">
        <f t="shared" si="10"/>
        <v>-0.90824643003898375</v>
      </c>
      <c r="BG28" s="3">
        <f t="shared" si="11"/>
        <v>5.7818428806344885E-2</v>
      </c>
      <c r="BH28" s="3">
        <f t="shared" si="12"/>
        <v>-2.0741082589189292</v>
      </c>
      <c r="BI28" s="3">
        <f t="shared" si="13"/>
        <v>-0.88080615230623716</v>
      </c>
      <c r="BJ28" s="3">
        <f t="shared" si="14"/>
        <v>-0.65513953516922918</v>
      </c>
      <c r="BK28" s="3">
        <f t="shared" si="15"/>
        <v>0.24951028748718229</v>
      </c>
      <c r="BL28" s="3">
        <f t="shared" si="16"/>
        <v>-1.703330946661975</v>
      </c>
      <c r="BM28" s="2">
        <v>0</v>
      </c>
    </row>
    <row r="29" spans="1:65" x14ac:dyDescent="0.35">
      <c r="A29">
        <f t="shared" si="22"/>
        <v>26</v>
      </c>
      <c r="B29">
        <v>4.5087E-3</v>
      </c>
      <c r="C29">
        <v>1.5954000000000001E-3</v>
      </c>
      <c r="D29">
        <v>8.9190000000000005E-4</v>
      </c>
      <c r="E29">
        <v>1.3050300000000001E-2</v>
      </c>
      <c r="F29">
        <v>1.20734E-2</v>
      </c>
      <c r="G29">
        <v>4.8970000000000003E-3</v>
      </c>
      <c r="H29">
        <v>3.6440000000000002E-4</v>
      </c>
      <c r="I29">
        <v>2.65221E-2</v>
      </c>
      <c r="J29">
        <v>3.0739055999999998</v>
      </c>
      <c r="K29">
        <v>0.99592650000000005</v>
      </c>
      <c r="L29">
        <v>0.55056430000000001</v>
      </c>
      <c r="M29">
        <v>5.7002959000000004</v>
      </c>
      <c r="N29">
        <v>3.047228</v>
      </c>
      <c r="O29">
        <v>0.98947479999999999</v>
      </c>
      <c r="P29">
        <v>0.55140310000000003</v>
      </c>
      <c r="Q29">
        <v>5.6053572000000003</v>
      </c>
      <c r="R29">
        <v>3.0906913999999999</v>
      </c>
      <c r="S29">
        <v>1.0019087</v>
      </c>
      <c r="T29">
        <v>0.55328379999999999</v>
      </c>
      <c r="U29">
        <v>5.7495697000000003</v>
      </c>
      <c r="V29">
        <v>3.0645365999999998</v>
      </c>
      <c r="W29">
        <v>0.99627350000000003</v>
      </c>
      <c r="X29">
        <v>0.55245259999999996</v>
      </c>
      <c r="Y29">
        <v>5.6466957000000004</v>
      </c>
      <c r="AA29" s="5">
        <f t="shared" si="17"/>
        <v>7.5646999999999997E-3</v>
      </c>
      <c r="AB29" s="5">
        <f t="shared" si="17"/>
        <v>3.3016E-3</v>
      </c>
      <c r="AC29" s="5">
        <f t="shared" si="17"/>
        <v>-5.2749999999999997E-4</v>
      </c>
      <c r="AD29" s="5">
        <f t="shared" si="17"/>
        <v>1.3471799999999999E-2</v>
      </c>
      <c r="AE29" s="5">
        <f t="shared" si="18"/>
        <v>-2.6677599999999746E-2</v>
      </c>
      <c r="AF29" s="5">
        <f t="shared" si="18"/>
        <v>-6.4517000000000602E-3</v>
      </c>
      <c r="AG29" s="5">
        <f t="shared" si="18"/>
        <v>8.3880000000002841E-4</v>
      </c>
      <c r="AH29" s="5">
        <f t="shared" si="18"/>
        <v>-9.4938700000000154E-2</v>
      </c>
      <c r="AI29" s="5">
        <f t="shared" si="23"/>
        <v>-7.0419000000002882E-3</v>
      </c>
      <c r="AJ29" s="5">
        <f t="shared" si="23"/>
        <v>-2.4850999999998912E-3</v>
      </c>
      <c r="AK29" s="5">
        <f t="shared" si="23"/>
        <v>-1.1425000000000604E-3</v>
      </c>
      <c r="AL29" s="5">
        <f t="shared" si="23"/>
        <v>-2.1407099999999762E-2</v>
      </c>
      <c r="AM29" s="5"/>
      <c r="AN29" s="5"/>
      <c r="AO29" s="5"/>
      <c r="AP29" s="5"/>
      <c r="AQ29" s="5"/>
      <c r="AR29" s="5"/>
      <c r="AS29" s="5"/>
      <c r="AT29" s="5"/>
      <c r="AU29" s="5"/>
      <c r="AV29" s="5">
        <f t="shared" si="32"/>
        <v>2026.5</v>
      </c>
      <c r="AW29" s="3">
        <f t="shared" si="1"/>
        <v>-0.61840208310670375</v>
      </c>
      <c r="AX29" s="3">
        <f t="shared" si="2"/>
        <v>-0.31440988585088242</v>
      </c>
      <c r="AY29" s="3">
        <f t="shared" si="3"/>
        <v>5.626407279591928E-2</v>
      </c>
      <c r="AZ29" s="3">
        <f t="shared" si="4"/>
        <v>-1.4169216872003509</v>
      </c>
      <c r="BA29" s="3">
        <f t="shared" si="5"/>
        <v>-0.84624430637106096</v>
      </c>
      <c r="BB29" s="3">
        <f t="shared" si="6"/>
        <v>-0.5624464584447616</v>
      </c>
      <c r="BC29" s="3">
        <f t="shared" si="7"/>
        <v>-0.15023031579815493</v>
      </c>
      <c r="BD29" s="3">
        <f t="shared" si="8"/>
        <v>-1.789246941384151</v>
      </c>
      <c r="BE29" s="3">
        <f t="shared" si="9"/>
        <v>-1.091001838617732</v>
      </c>
      <c r="BF29" s="3">
        <f t="shared" si="10"/>
        <v>-0.89197748257899823</v>
      </c>
      <c r="BG29" s="3">
        <f t="shared" si="11"/>
        <v>-5.4890455856473272E-2</v>
      </c>
      <c r="BH29" s="3">
        <f t="shared" si="12"/>
        <v>-2.0235566498132807</v>
      </c>
      <c r="BI29" s="3">
        <f t="shared" si="13"/>
        <v>-0.86315961535337205</v>
      </c>
      <c r="BJ29" s="3">
        <f t="shared" si="14"/>
        <v>-0.64394090998511744</v>
      </c>
      <c r="BK29" s="3">
        <f t="shared" si="15"/>
        <v>0.1516039327375984</v>
      </c>
      <c r="BL29" s="3">
        <f t="shared" si="16"/>
        <v>-1.6512313956294877</v>
      </c>
      <c r="BM29" s="2">
        <v>0</v>
      </c>
    </row>
    <row r="30" spans="1:65" x14ac:dyDescent="0.35">
      <c r="A30">
        <f t="shared" si="22"/>
        <v>27</v>
      </c>
      <c r="B30">
        <v>4.4637000000000001E-3</v>
      </c>
      <c r="C30">
        <v>1.5671999999999999E-3</v>
      </c>
      <c r="D30">
        <v>9.3000000000000005E-4</v>
      </c>
      <c r="E30">
        <v>1.32E-2</v>
      </c>
      <c r="F30">
        <v>1.1751299999999999E-2</v>
      </c>
      <c r="G30">
        <v>4.7302999999999998E-3</v>
      </c>
      <c r="H30">
        <v>7.2619999999999998E-4</v>
      </c>
      <c r="I30">
        <v>2.62207E-2</v>
      </c>
      <c r="J30">
        <v>3.0741101999999998</v>
      </c>
      <c r="K30">
        <v>0.99604559999999998</v>
      </c>
      <c r="L30">
        <v>0.55038719999999997</v>
      </c>
      <c r="M30">
        <v>5.6999909999999998</v>
      </c>
      <c r="N30">
        <v>3.0478755999999998</v>
      </c>
      <c r="O30">
        <v>0.98966489999999996</v>
      </c>
      <c r="P30">
        <v>0.55066059999999994</v>
      </c>
      <c r="Q30">
        <v>5.6080661999999997</v>
      </c>
      <c r="R30">
        <v>3.0906913999999999</v>
      </c>
      <c r="S30">
        <v>1.0019087</v>
      </c>
      <c r="T30">
        <v>0.55328379999999999</v>
      </c>
      <c r="U30">
        <v>5.7495697000000003</v>
      </c>
      <c r="V30">
        <v>3.0647812999999999</v>
      </c>
      <c r="W30">
        <v>0.99625200000000003</v>
      </c>
      <c r="X30">
        <v>0.55213900000000005</v>
      </c>
      <c r="Y30">
        <v>5.6491454000000001</v>
      </c>
      <c r="AA30" s="5">
        <f t="shared" si="17"/>
        <v>7.2875999999999991E-3</v>
      </c>
      <c r="AB30" s="5">
        <f t="shared" si="17"/>
        <v>3.1630999999999999E-3</v>
      </c>
      <c r="AC30" s="5">
        <f t="shared" si="17"/>
        <v>-2.0380000000000007E-4</v>
      </c>
      <c r="AD30" s="5">
        <f t="shared" si="17"/>
        <v>1.30207E-2</v>
      </c>
      <c r="AE30" s="5">
        <f t="shared" si="18"/>
        <v>-2.6234599999999997E-2</v>
      </c>
      <c r="AF30" s="5">
        <f t="shared" si="18"/>
        <v>-6.3807000000000169E-3</v>
      </c>
      <c r="AG30" s="5">
        <f t="shared" si="18"/>
        <v>2.7339999999997922E-4</v>
      </c>
      <c r="AH30" s="5">
        <f t="shared" si="18"/>
        <v>-9.192480000000014E-2</v>
      </c>
      <c r="AI30" s="5">
        <f t="shared" si="23"/>
        <v>-6.9630999999999374E-3</v>
      </c>
      <c r="AJ30" s="5">
        <f t="shared" si="23"/>
        <v>-2.4390999999999419E-3</v>
      </c>
      <c r="AK30" s="5">
        <f t="shared" si="23"/>
        <v>-1.214399999999925E-3</v>
      </c>
      <c r="AL30" s="5">
        <f t="shared" si="23"/>
        <v>-2.15202000000001E-2</v>
      </c>
      <c r="AM30" s="5"/>
      <c r="AN30" s="5"/>
      <c r="AO30" s="5"/>
      <c r="AP30" s="5"/>
      <c r="AQ30" s="5"/>
      <c r="AR30" s="5"/>
      <c r="AS30" s="5"/>
      <c r="AT30" s="5"/>
      <c r="AU30" s="5"/>
      <c r="AV30" s="5">
        <f t="shared" si="32"/>
        <v>2026.75</v>
      </c>
      <c r="AW30" s="3">
        <f t="shared" si="1"/>
        <v>-0.61303435211939949</v>
      </c>
      <c r="AX30" s="3">
        <f t="shared" si="2"/>
        <v>-0.32114702667019629</v>
      </c>
      <c r="AY30" s="3">
        <f t="shared" si="3"/>
        <v>1.2579439340168488E-2</v>
      </c>
      <c r="AZ30" s="3">
        <f t="shared" si="4"/>
        <v>-1.3723479167493202</v>
      </c>
      <c r="BA30" s="3">
        <f t="shared" si="5"/>
        <v>-0.83832698405282191</v>
      </c>
      <c r="BB30" s="3">
        <f t="shared" si="6"/>
        <v>-0.56459236255758227</v>
      </c>
      <c r="BC30" s="3">
        <f t="shared" si="7"/>
        <v>-0.20691008845730632</v>
      </c>
      <c r="BD30" s="3">
        <f t="shared" si="8"/>
        <v>-1.7466402746626455</v>
      </c>
      <c r="BE30" s="3">
        <f t="shared" si="9"/>
        <v>-1.0741188848553469</v>
      </c>
      <c r="BF30" s="3">
        <f t="shared" si="10"/>
        <v>-0.88029977182551</v>
      </c>
      <c r="BG30" s="3">
        <f t="shared" si="11"/>
        <v>-0.17007546579169128</v>
      </c>
      <c r="BH30" s="3">
        <f t="shared" si="12"/>
        <v>-1.9731041785614054</v>
      </c>
      <c r="BI30" s="3">
        <f t="shared" si="13"/>
        <v>-0.84882625292191893</v>
      </c>
      <c r="BJ30" s="3">
        <f t="shared" si="14"/>
        <v>-0.63685443593812663</v>
      </c>
      <c r="BK30" s="3">
        <f t="shared" si="15"/>
        <v>4.9414062005787844E-2</v>
      </c>
      <c r="BL30" s="3">
        <f t="shared" si="16"/>
        <v>-1.5988118206480761</v>
      </c>
      <c r="BM30" s="2">
        <v>0</v>
      </c>
    </row>
    <row r="31" spans="1:65" x14ac:dyDescent="0.35">
      <c r="A31">
        <f t="shared" si="22"/>
        <v>28</v>
      </c>
      <c r="B31">
        <v>4.424E-3</v>
      </c>
      <c r="C31">
        <v>1.5414999999999999E-3</v>
      </c>
      <c r="D31">
        <v>9.6330000000000005E-4</v>
      </c>
      <c r="E31">
        <v>1.33591E-2</v>
      </c>
      <c r="F31">
        <v>1.1490999999999999E-2</v>
      </c>
      <c r="G31">
        <v>4.5921E-3</v>
      </c>
      <c r="H31">
        <v>1.0300000000000001E-3</v>
      </c>
      <c r="I31">
        <v>2.6049900000000001E-2</v>
      </c>
      <c r="J31">
        <v>3.0742915000000002</v>
      </c>
      <c r="K31">
        <v>0.99615379999999998</v>
      </c>
      <c r="L31">
        <v>0.55023160000000004</v>
      </c>
      <c r="M31">
        <v>5.6996351000000001</v>
      </c>
      <c r="N31">
        <v>3.0485164999999999</v>
      </c>
      <c r="O31">
        <v>0.98986370000000001</v>
      </c>
      <c r="P31">
        <v>0.54999699999999996</v>
      </c>
      <c r="Q31">
        <v>5.6106680999999998</v>
      </c>
      <c r="R31">
        <v>3.0906913999999999</v>
      </c>
      <c r="S31">
        <v>1.0019087</v>
      </c>
      <c r="T31">
        <v>0.55328379999999999</v>
      </c>
      <c r="U31">
        <v>5.7495697000000003</v>
      </c>
      <c r="V31">
        <v>3.0650909999999998</v>
      </c>
      <c r="W31">
        <v>0.99627239999999995</v>
      </c>
      <c r="X31">
        <v>0.55183870000000002</v>
      </c>
      <c r="Y31">
        <v>5.6516415000000002</v>
      </c>
      <c r="AA31" s="5">
        <f t="shared" si="17"/>
        <v>7.0669999999999995E-3</v>
      </c>
      <c r="AB31" s="5">
        <f t="shared" si="17"/>
        <v>3.0506000000000001E-3</v>
      </c>
      <c r="AC31" s="5">
        <f t="shared" si="17"/>
        <v>6.6700000000000049E-5</v>
      </c>
      <c r="AD31" s="5">
        <f t="shared" si="17"/>
        <v>1.26908E-2</v>
      </c>
      <c r="AE31" s="5">
        <f t="shared" si="18"/>
        <v>-2.5775000000000325E-2</v>
      </c>
      <c r="AF31" s="5">
        <f t="shared" si="18"/>
        <v>-6.2900999999999652E-3</v>
      </c>
      <c r="AG31" s="5">
        <f t="shared" si="18"/>
        <v>-2.3460000000008474E-4</v>
      </c>
      <c r="AH31" s="5">
        <f t="shared" si="18"/>
        <v>-8.896700000000024E-2</v>
      </c>
      <c r="AI31" s="5">
        <f t="shared" si="23"/>
        <v>-6.8923999999997536E-3</v>
      </c>
      <c r="AJ31" s="5">
        <f t="shared" si="23"/>
        <v>-2.3968000000000734E-3</v>
      </c>
      <c r="AK31" s="5">
        <f t="shared" si="23"/>
        <v>-1.2771999999998923E-3</v>
      </c>
      <c r="AL31" s="5">
        <f t="shared" si="23"/>
        <v>-2.1651999999999894E-2</v>
      </c>
      <c r="AM31" s="5"/>
      <c r="AN31" s="5"/>
      <c r="AO31" s="5"/>
      <c r="AP31" s="5"/>
      <c r="AQ31" s="5"/>
      <c r="AR31" s="5"/>
      <c r="AS31" s="5"/>
      <c r="AT31" s="5"/>
      <c r="AU31" s="5"/>
      <c r="AV31" s="5">
        <f t="shared" si="32"/>
        <v>2027</v>
      </c>
      <c r="AW31" s="3">
        <f t="shared" si="1"/>
        <v>-0.60530145455480688</v>
      </c>
      <c r="AX31" s="3">
        <f t="shared" si="2"/>
        <v>-0.3233328545804588</v>
      </c>
      <c r="AY31" s="3">
        <f t="shared" si="3"/>
        <v>-3.0346090017471086E-2</v>
      </c>
      <c r="AZ31" s="3">
        <f t="shared" si="4"/>
        <v>-1.3266418876529182</v>
      </c>
      <c r="BA31" s="3">
        <f t="shared" si="5"/>
        <v>-0.82830657243877792</v>
      </c>
      <c r="BB31" s="3">
        <f t="shared" si="6"/>
        <v>-0.5625562488877518</v>
      </c>
      <c r="BC31" s="3">
        <f t="shared" si="7"/>
        <v>-0.26118603147245173</v>
      </c>
      <c r="BD31" s="3">
        <f t="shared" si="8"/>
        <v>-1.7032265910264577</v>
      </c>
      <c r="BE31" s="3">
        <f t="shared" si="9"/>
        <v>-1.0569609117235139</v>
      </c>
      <c r="BF31" s="3">
        <f t="shared" si="10"/>
        <v>-0.86703509012348656</v>
      </c>
      <c r="BG31" s="3">
        <f t="shared" si="11"/>
        <v>-0.27324132750677899</v>
      </c>
      <c r="BH31" s="3">
        <f t="shared" si="12"/>
        <v>-1.9239526742322959</v>
      </c>
      <c r="BI31" s="3">
        <f t="shared" si="13"/>
        <v>-0.83395579383953777</v>
      </c>
      <c r="BJ31" s="3">
        <f t="shared" si="14"/>
        <v>-0.62781169581619212</v>
      </c>
      <c r="BK31" s="3">
        <f t="shared" si="15"/>
        <v>-4.2401386051802846E-2</v>
      </c>
      <c r="BL31" s="3">
        <f t="shared" si="16"/>
        <v>-1.5473679708587624</v>
      </c>
      <c r="BM31" s="2">
        <v>0</v>
      </c>
    </row>
    <row r="32" spans="1:65" x14ac:dyDescent="0.35">
      <c r="A32">
        <f t="shared" si="22"/>
        <v>29</v>
      </c>
      <c r="B32">
        <v>4.3888E-3</v>
      </c>
      <c r="C32">
        <v>1.518E-3</v>
      </c>
      <c r="D32">
        <v>9.9170000000000009E-4</v>
      </c>
      <c r="E32">
        <v>1.35245E-2</v>
      </c>
      <c r="F32">
        <v>1.1280800000000001E-2</v>
      </c>
      <c r="G32">
        <v>4.4770000000000001E-3</v>
      </c>
      <c r="H32">
        <v>1.2834000000000001E-3</v>
      </c>
      <c r="I32">
        <v>2.59869E-2</v>
      </c>
      <c r="J32">
        <v>3.0744525999999999</v>
      </c>
      <c r="K32">
        <v>0.99625260000000004</v>
      </c>
      <c r="L32">
        <v>0.55009600000000003</v>
      </c>
      <c r="M32">
        <v>5.6992399000000002</v>
      </c>
      <c r="N32">
        <v>3.0490984999999999</v>
      </c>
      <c r="O32">
        <v>0.99004289999999995</v>
      </c>
      <c r="P32">
        <v>0.54938129999999996</v>
      </c>
      <c r="Q32">
        <v>5.6132092</v>
      </c>
      <c r="R32">
        <v>3.0906913999999999</v>
      </c>
      <c r="S32">
        <v>1.0019087</v>
      </c>
      <c r="T32">
        <v>0.55328379999999999</v>
      </c>
      <c r="U32">
        <v>5.7495697000000003</v>
      </c>
      <c r="V32">
        <v>3.0653999999999999</v>
      </c>
      <c r="W32">
        <v>0.99629979999999996</v>
      </c>
      <c r="X32">
        <v>0.55152950000000001</v>
      </c>
      <c r="Y32">
        <v>5.6542038000000003</v>
      </c>
      <c r="AA32" s="5">
        <f t="shared" si="17"/>
        <v>6.8920000000000006E-3</v>
      </c>
      <c r="AB32" s="5">
        <f t="shared" si="17"/>
        <v>2.9589999999999998E-3</v>
      </c>
      <c r="AC32" s="5">
        <f t="shared" si="17"/>
        <v>2.9169999999999999E-4</v>
      </c>
      <c r="AD32" s="5">
        <f t="shared" si="17"/>
        <v>1.24624E-2</v>
      </c>
      <c r="AE32" s="5">
        <f t="shared" si="18"/>
        <v>-2.5354099999999935E-2</v>
      </c>
      <c r="AF32" s="5">
        <f t="shared" si="18"/>
        <v>-6.2097000000000957E-3</v>
      </c>
      <c r="AG32" s="5">
        <f t="shared" si="18"/>
        <v>-7.1470000000006806E-4</v>
      </c>
      <c r="AH32" s="5">
        <f t="shared" si="18"/>
        <v>-8.6030700000000238E-2</v>
      </c>
      <c r="AI32" s="5">
        <f t="shared" si="23"/>
        <v>-6.8293000000000312E-3</v>
      </c>
      <c r="AJ32" s="5">
        <f t="shared" si="23"/>
        <v>-2.3581999999999319E-3</v>
      </c>
      <c r="AK32" s="5">
        <f t="shared" si="23"/>
        <v>-1.3312999999999184E-3</v>
      </c>
      <c r="AL32" s="5">
        <f t="shared" si="23"/>
        <v>-2.1797599999999764E-2</v>
      </c>
      <c r="AM32" s="5"/>
      <c r="AN32" s="5"/>
      <c r="AO32" s="5"/>
      <c r="AP32" s="5"/>
      <c r="AQ32" s="5"/>
      <c r="AR32" s="5"/>
      <c r="AS32" s="5"/>
      <c r="AT32" s="5"/>
      <c r="AU32" s="5"/>
      <c r="AV32" s="5">
        <f t="shared" si="32"/>
        <v>2027.25</v>
      </c>
      <c r="AW32" s="3">
        <f t="shared" si="1"/>
        <v>-0.59734530597263558</v>
      </c>
      <c r="AX32" s="3">
        <f t="shared" si="2"/>
        <v>-0.32445072090901056</v>
      </c>
      <c r="AY32" s="3">
        <f t="shared" si="3"/>
        <v>-7.6452627024335085E-2</v>
      </c>
      <c r="AZ32" s="3">
        <f t="shared" si="4"/>
        <v>-1.279544450082938</v>
      </c>
      <c r="BA32" s="3">
        <f t="shared" si="5"/>
        <v>-0.81830880947868057</v>
      </c>
      <c r="BB32" s="3">
        <f t="shared" si="6"/>
        <v>-0.55982146876257566</v>
      </c>
      <c r="BC32" s="3">
        <f t="shared" si="7"/>
        <v>-0.31707055221931069</v>
      </c>
      <c r="BD32" s="3">
        <f t="shared" si="8"/>
        <v>-1.6586615168783847</v>
      </c>
      <c r="BE32" s="3">
        <f t="shared" si="9"/>
        <v>-1.0413009852746893</v>
      </c>
      <c r="BF32" s="3">
        <f t="shared" si="10"/>
        <v>-0.8551577603827647</v>
      </c>
      <c r="BG32" s="3">
        <f t="shared" si="11"/>
        <v>-0.36979213922402793</v>
      </c>
      <c r="BH32" s="3">
        <f t="shared" si="12"/>
        <v>-1.8754151288921748</v>
      </c>
      <c r="BI32" s="3">
        <f t="shared" si="13"/>
        <v>-0.82033748176864041</v>
      </c>
      <c r="BJ32" s="3">
        <f t="shared" si="14"/>
        <v>-0.6197870125291951</v>
      </c>
      <c r="BK32" s="3">
        <f t="shared" si="15"/>
        <v>-0.1291742140290513</v>
      </c>
      <c r="BL32" s="3">
        <f t="shared" si="16"/>
        <v>-1.4962980620967206</v>
      </c>
      <c r="BM32" s="2">
        <v>0</v>
      </c>
    </row>
    <row r="33" spans="1:65" x14ac:dyDescent="0.35">
      <c r="A33">
        <f t="shared" si="22"/>
        <v>30</v>
      </c>
      <c r="B33">
        <v>4.3575000000000003E-3</v>
      </c>
      <c r="C33">
        <v>1.4963999999999999E-3</v>
      </c>
      <c r="D33">
        <v>1.0156E-3</v>
      </c>
      <c r="E33">
        <v>1.3693200000000001E-2</v>
      </c>
      <c r="F33">
        <v>1.11112E-2</v>
      </c>
      <c r="G33">
        <v>4.3804999999999998E-3</v>
      </c>
      <c r="H33">
        <v>1.4965E-3</v>
      </c>
      <c r="I33">
        <v>2.6012199999999999E-2</v>
      </c>
      <c r="J33">
        <v>3.0745963000000001</v>
      </c>
      <c r="K33">
        <v>0.99634299999999998</v>
      </c>
      <c r="L33">
        <v>0.54997969999999996</v>
      </c>
      <c r="M33">
        <v>5.698817</v>
      </c>
      <c r="N33">
        <v>3.0496216999999999</v>
      </c>
      <c r="O33">
        <v>0.99020260000000004</v>
      </c>
      <c r="P33">
        <v>0.5490642</v>
      </c>
      <c r="Q33">
        <v>5.6155638999999997</v>
      </c>
      <c r="R33">
        <v>3.0906913999999999</v>
      </c>
      <c r="S33">
        <v>1.0019087</v>
      </c>
      <c r="T33">
        <v>0.55328379999999999</v>
      </c>
      <c r="U33">
        <v>5.7495697000000003</v>
      </c>
      <c r="V33">
        <v>3.0656978000000001</v>
      </c>
      <c r="W33">
        <v>0.99632980000000004</v>
      </c>
      <c r="X33">
        <v>0.55147190000000001</v>
      </c>
      <c r="Y33">
        <v>5.6566834999999998</v>
      </c>
      <c r="AA33" s="5">
        <f t="shared" si="17"/>
        <v>6.7536999999999996E-3</v>
      </c>
      <c r="AB33" s="5">
        <f t="shared" si="17"/>
        <v>2.8840999999999997E-3</v>
      </c>
      <c r="AC33" s="5">
        <f t="shared" si="17"/>
        <v>4.8090000000000003E-4</v>
      </c>
      <c r="AD33" s="5">
        <f t="shared" si="17"/>
        <v>1.2318999999999998E-2</v>
      </c>
      <c r="AE33" s="5">
        <f t="shared" si="18"/>
        <v>-2.497460000000018E-2</v>
      </c>
      <c r="AF33" s="5">
        <f t="shared" si="18"/>
        <v>-6.1403999999999348E-3</v>
      </c>
      <c r="AG33" s="5">
        <f t="shared" si="18"/>
        <v>-9.1549999999995801E-4</v>
      </c>
      <c r="AH33" s="5">
        <f t="shared" si="18"/>
        <v>-8.3253100000000302E-2</v>
      </c>
      <c r="AI33" s="5">
        <f t="shared" si="23"/>
        <v>-6.7726999999995485E-3</v>
      </c>
      <c r="AJ33" s="5">
        <f t="shared" si="23"/>
        <v>-2.3226000000000071E-3</v>
      </c>
      <c r="AK33" s="5">
        <f t="shared" si="23"/>
        <v>-1.3773000000000194E-3</v>
      </c>
      <c r="AL33" s="5">
        <f t="shared" si="23"/>
        <v>-2.195210000000028E-2</v>
      </c>
      <c r="AM33" s="5"/>
      <c r="AN33" s="5"/>
      <c r="AO33" s="5"/>
      <c r="AP33" s="5"/>
      <c r="AQ33" s="5"/>
      <c r="AR33" s="5"/>
      <c r="AS33" s="5"/>
      <c r="AT33" s="5"/>
      <c r="AU33" s="5"/>
      <c r="AV33" s="5">
        <f t="shared" si="32"/>
        <v>2027.5</v>
      </c>
      <c r="AW33" s="3">
        <f t="shared" si="1"/>
        <v>-0.58954122692418209</v>
      </c>
      <c r="AX33" s="3">
        <f t="shared" si="2"/>
        <v>-0.32500965407326388</v>
      </c>
      <c r="AY33" s="3">
        <f t="shared" si="3"/>
        <v>-7.8549200247677239E-2</v>
      </c>
      <c r="AZ33" s="3">
        <f t="shared" si="4"/>
        <v>-1.2337288475692416</v>
      </c>
      <c r="BA33" s="3">
        <f t="shared" si="5"/>
        <v>-0.80867342498185768</v>
      </c>
      <c r="BB33" s="3">
        <f t="shared" si="6"/>
        <v>-0.55682718395398123</v>
      </c>
      <c r="BC33" s="3">
        <f t="shared" si="7"/>
        <v>-0.32748112270772745</v>
      </c>
      <c r="BD33" s="3">
        <f t="shared" si="8"/>
        <v>-1.6155330719792922</v>
      </c>
      <c r="BE33" s="3">
        <f t="shared" si="9"/>
        <v>-1.0271908738607711</v>
      </c>
      <c r="BF33" s="3">
        <f t="shared" si="10"/>
        <v>-0.84468774450205764</v>
      </c>
      <c r="BG33" s="3">
        <f t="shared" si="11"/>
        <v>-0.41439854194176368</v>
      </c>
      <c r="BH33" s="3">
        <f t="shared" si="12"/>
        <v>-1.829792584304184</v>
      </c>
      <c r="BI33" s="3">
        <f t="shared" si="13"/>
        <v>-0.80805867580309632</v>
      </c>
      <c r="BJ33" s="3">
        <f t="shared" si="14"/>
        <v>-0.61287021462134572</v>
      </c>
      <c r="BK33" s="3">
        <f t="shared" si="15"/>
        <v>-0.16546661948171229</v>
      </c>
      <c r="BL33" s="3">
        <f t="shared" si="16"/>
        <v>-1.4479883598941379</v>
      </c>
      <c r="BM33" s="2">
        <v>0</v>
      </c>
    </row>
    <row r="34" spans="1:65" x14ac:dyDescent="0.35">
      <c r="A34">
        <f t="shared" si="22"/>
        <v>31</v>
      </c>
      <c r="B34">
        <v>4.3295E-3</v>
      </c>
      <c r="C34">
        <v>1.4764999999999999E-3</v>
      </c>
      <c r="D34">
        <v>1.0348E-3</v>
      </c>
      <c r="E34">
        <v>1.38621E-2</v>
      </c>
      <c r="F34">
        <v>1.09753E-2</v>
      </c>
      <c r="G34">
        <v>4.2994000000000001E-3</v>
      </c>
      <c r="H34">
        <v>1.6811E-3</v>
      </c>
      <c r="I34">
        <v>2.6113600000000001E-2</v>
      </c>
      <c r="J34">
        <v>3.0747249999999999</v>
      </c>
      <c r="K34">
        <v>0.99642609999999998</v>
      </c>
      <c r="L34">
        <v>0.54988170000000003</v>
      </c>
      <c r="M34">
        <v>5.6983781999999996</v>
      </c>
      <c r="N34">
        <v>3.0500943999999999</v>
      </c>
      <c r="O34">
        <v>0.99034699999999998</v>
      </c>
      <c r="P34">
        <v>0.54846669999999997</v>
      </c>
      <c r="Q34">
        <v>5.6179363000000002</v>
      </c>
      <c r="R34">
        <v>3.0906913999999999</v>
      </c>
      <c r="S34">
        <v>1.0019087</v>
      </c>
      <c r="T34">
        <v>0.55328379999999999</v>
      </c>
      <c r="U34">
        <v>5.7495697000000003</v>
      </c>
      <c r="V34">
        <v>3.0659850999999998</v>
      </c>
      <c r="W34">
        <v>0.99636259999999999</v>
      </c>
      <c r="X34">
        <v>0.55109949999999996</v>
      </c>
      <c r="Y34">
        <v>5.6592691999999998</v>
      </c>
      <c r="AA34" s="5">
        <f t="shared" si="17"/>
        <v>6.6458000000000003E-3</v>
      </c>
      <c r="AB34" s="5">
        <f t="shared" si="17"/>
        <v>2.8229000000000001E-3</v>
      </c>
      <c r="AC34" s="5">
        <f t="shared" si="17"/>
        <v>6.4630000000000004E-4</v>
      </c>
      <c r="AD34" s="5">
        <f t="shared" si="17"/>
        <v>1.22515E-2</v>
      </c>
      <c r="AE34" s="5">
        <f t="shared" si="18"/>
        <v>-2.4630600000000058E-2</v>
      </c>
      <c r="AF34" s="5">
        <f t="shared" si="18"/>
        <v>-6.0791000000000039E-3</v>
      </c>
      <c r="AG34" s="5">
        <f t="shared" si="18"/>
        <v>-1.4150000000000551E-3</v>
      </c>
      <c r="AH34" s="5">
        <f t="shared" si="18"/>
        <v>-8.04418999999994E-2</v>
      </c>
      <c r="AI34" s="5">
        <f t="shared" si="23"/>
        <v>-6.7215000000000122E-3</v>
      </c>
      <c r="AJ34" s="5">
        <f t="shared" si="23"/>
        <v>-2.2898999999999945E-3</v>
      </c>
      <c r="AK34" s="5">
        <f t="shared" si="23"/>
        <v>-1.4155999999999728E-3</v>
      </c>
      <c r="AL34" s="5">
        <f t="shared" si="23"/>
        <v>-2.2110100000001159E-2</v>
      </c>
      <c r="AM34" s="5"/>
      <c r="AN34" s="5"/>
      <c r="AO34" s="5"/>
      <c r="AP34" s="5"/>
      <c r="AQ34" s="5"/>
      <c r="AR34" s="5"/>
      <c r="AS34" s="5"/>
      <c r="AT34" s="5"/>
      <c r="AU34" s="5"/>
      <c r="AV34" s="5">
        <f t="shared" si="32"/>
        <v>2027.75</v>
      </c>
      <c r="AW34" s="3">
        <f t="shared" si="1"/>
        <v>-0.58190215949738822</v>
      </c>
      <c r="AX34" s="3">
        <f t="shared" si="2"/>
        <v>-0.32499967312390876</v>
      </c>
      <c r="AY34" s="3">
        <f t="shared" si="3"/>
        <v>-0.13893412386194121</v>
      </c>
      <c r="AZ34" s="3">
        <f t="shared" si="4"/>
        <v>-1.1860087547073199</v>
      </c>
      <c r="BA34" s="3">
        <f t="shared" si="5"/>
        <v>-0.79937777029437718</v>
      </c>
      <c r="BB34" s="3">
        <f t="shared" si="6"/>
        <v>-0.55355343256326628</v>
      </c>
      <c r="BC34" s="3">
        <f t="shared" si="7"/>
        <v>-0.39478835274049734</v>
      </c>
      <c r="BD34" s="3">
        <f t="shared" si="8"/>
        <v>-1.5705610108527002</v>
      </c>
      <c r="BE34" s="3">
        <f t="shared" si="9"/>
        <v>-1.0144040909422365</v>
      </c>
      <c r="BF34" s="3">
        <f t="shared" si="10"/>
        <v>-0.83530565210182928</v>
      </c>
      <c r="BG34" s="3">
        <f t="shared" si="11"/>
        <v>-0.51160001431453739</v>
      </c>
      <c r="BH34" s="3">
        <f t="shared" si="12"/>
        <v>-1.7836465222780096</v>
      </c>
      <c r="BI34" s="3">
        <f t="shared" si="13"/>
        <v>-0.79692848014525364</v>
      </c>
      <c r="BJ34" s="3">
        <f t="shared" si="14"/>
        <v>-0.60675189266247553</v>
      </c>
      <c r="BK34" s="3">
        <f t="shared" si="15"/>
        <v>-0.25574578543598331</v>
      </c>
      <c r="BL34" s="3">
        <f t="shared" si="16"/>
        <v>-1.399094266132636</v>
      </c>
      <c r="BM34" s="2">
        <v>0</v>
      </c>
    </row>
    <row r="35" spans="1:65" x14ac:dyDescent="0.35">
      <c r="A35">
        <f t="shared" si="22"/>
        <v>32</v>
      </c>
      <c r="B35">
        <v>4.3042999999999996E-3</v>
      </c>
      <c r="C35">
        <v>1.4580999999999999E-3</v>
      </c>
      <c r="D35">
        <v>1.0497E-3</v>
      </c>
      <c r="E35">
        <v>1.4028000000000001E-2</v>
      </c>
      <c r="F35">
        <v>1.08678E-2</v>
      </c>
      <c r="G35">
        <v>4.2310999999999998E-3</v>
      </c>
      <c r="H35">
        <v>1.8209999999999999E-3</v>
      </c>
      <c r="I35">
        <v>2.62697E-2</v>
      </c>
      <c r="J35">
        <v>3.0748410000000002</v>
      </c>
      <c r="K35">
        <v>0.99650280000000002</v>
      </c>
      <c r="L35">
        <v>0.54980130000000005</v>
      </c>
      <c r="M35">
        <v>5.6979350000000002</v>
      </c>
      <c r="N35">
        <v>3.0505236</v>
      </c>
      <c r="O35">
        <v>0.99047660000000004</v>
      </c>
      <c r="P35">
        <v>0.54801920000000004</v>
      </c>
      <c r="Q35">
        <v>5.6199338000000001</v>
      </c>
      <c r="R35">
        <v>3.0906913999999999</v>
      </c>
      <c r="S35">
        <v>1.0019087</v>
      </c>
      <c r="T35">
        <v>0.55328379999999999</v>
      </c>
      <c r="U35">
        <v>5.7495697000000003</v>
      </c>
      <c r="V35">
        <v>3.0662623</v>
      </c>
      <c r="W35">
        <v>0.99639619999999995</v>
      </c>
      <c r="X35">
        <v>0.55081999999999998</v>
      </c>
      <c r="Y35">
        <v>5.6615403000000004</v>
      </c>
      <c r="AA35" s="5">
        <f t="shared" si="17"/>
        <v>6.5635000000000008E-3</v>
      </c>
      <c r="AB35" s="5">
        <f t="shared" si="17"/>
        <v>2.7729999999999999E-3</v>
      </c>
      <c r="AC35" s="5">
        <f t="shared" si="17"/>
        <v>7.7129999999999994E-4</v>
      </c>
      <c r="AD35" s="5">
        <f t="shared" si="17"/>
        <v>1.2241699999999999E-2</v>
      </c>
      <c r="AE35" s="5">
        <f t="shared" si="18"/>
        <v>-2.4317400000000156E-2</v>
      </c>
      <c r="AF35" s="5">
        <f t="shared" si="18"/>
        <v>-6.0261999999999816E-3</v>
      </c>
      <c r="AG35" s="5">
        <f t="shared" si="18"/>
        <v>-1.7821000000000087E-3</v>
      </c>
      <c r="AH35" s="5">
        <f t="shared" si="18"/>
        <v>-7.8001200000000104E-2</v>
      </c>
      <c r="AI35" s="5">
        <f t="shared" si="23"/>
        <v>-6.6751999999997147E-3</v>
      </c>
      <c r="AJ35" s="5">
        <f t="shared" si="23"/>
        <v>-2.2593000000000495E-3</v>
      </c>
      <c r="AK35" s="5">
        <f t="shared" si="23"/>
        <v>-1.4530000000000072E-3</v>
      </c>
      <c r="AL35" s="5">
        <f t="shared" si="23"/>
        <v>-2.2269899999999815E-2</v>
      </c>
      <c r="AM35" s="5"/>
      <c r="AN35" s="5"/>
      <c r="AO35" s="5"/>
      <c r="AP35" s="5"/>
      <c r="AQ35" s="5"/>
      <c r="AR35" s="5"/>
      <c r="AS35" s="5"/>
      <c r="AT35" s="5"/>
      <c r="AU35" s="5"/>
      <c r="AV35" s="5">
        <f t="shared" si="32"/>
        <v>2028</v>
      </c>
      <c r="AW35" s="3">
        <f t="shared" ref="AW35:AW66" si="38">100*(AA35+AE35)/R35</f>
        <v>-0.57443133921426626</v>
      </c>
      <c r="AX35" s="3">
        <f t="shared" ref="AX35:AX66" si="39">100*(AB35+AF35)/S35</f>
        <v>-0.32470024464304797</v>
      </c>
      <c r="AY35" s="3">
        <f t="shared" ref="AY35:AY66" si="40">100*(AC35+AG35)/T35</f>
        <v>-0.18269105294606652</v>
      </c>
      <c r="AZ35" s="3">
        <f t="shared" ref="AZ35:AZ66" si="41">100*(AD35+AH35)/U35</f>
        <v>-1.1437290689771116</v>
      </c>
      <c r="BA35" s="3">
        <f t="shared" ref="BA35:BA66" si="42">100*(V35-R35)/R35</f>
        <v>-0.79040890332822844</v>
      </c>
      <c r="BB35" s="3">
        <f t="shared" ref="BB35:BB66" si="43">100*(W35-S35)/S35</f>
        <v>-0.55019983357765345</v>
      </c>
      <c r="BC35" s="3">
        <f t="shared" ref="BC35:BC66" si="44">100*(X35-T35)/T35</f>
        <v>-0.44530492307926167</v>
      </c>
      <c r="BD35" s="3">
        <f t="shared" ref="BD35:BD66" si="45">100*(Y35-U35)/U35</f>
        <v>-1.5310606635484376</v>
      </c>
      <c r="BE35" s="3">
        <f t="shared" ref="BE35:BE66" si="46">100*(V35-AA35-V$3)/R35</f>
        <v>-1.0027723893753939</v>
      </c>
      <c r="BF35" s="3">
        <f t="shared" ref="BF35:BF66" si="47">100*(W35-AB35-W$3)/S35</f>
        <v>-0.82697155938460831</v>
      </c>
      <c r="BG35" s="3">
        <f t="shared" ref="BG35:BG66" si="48">100*(X35-AC35-X$3)/T35</f>
        <v>-0.58470896852574505</v>
      </c>
      <c r="BH35" s="3">
        <f t="shared" ref="BH35:BH66" si="49">100*(Y35-AD35-Y$3)/U35</f>
        <v>-1.743975727435735</v>
      </c>
      <c r="BI35" s="3">
        <f t="shared" ref="BI35:BI66" si="50">100*(AE35/R35)</f>
        <v>-0.78679482526143374</v>
      </c>
      <c r="BJ35" s="3">
        <f t="shared" ref="BJ35:BJ66" si="51">100*(AF35/S35)</f>
        <v>-0.60147197045000023</v>
      </c>
      <c r="BK35" s="3">
        <f t="shared" ref="BK35:BK66" si="52">100*(AG35/T35)</f>
        <v>-0.32209509839254441</v>
      </c>
      <c r="BL35" s="3">
        <f t="shared" ref="BL35:BL66" si="53">100*(AH35/U35)</f>
        <v>-1.3566441328644141</v>
      </c>
      <c r="BM35" s="2">
        <v>0</v>
      </c>
    </row>
    <row r="36" spans="1:65" x14ac:dyDescent="0.35">
      <c r="A36">
        <f t="shared" si="22"/>
        <v>33</v>
      </c>
      <c r="B36">
        <v>4.2813E-3</v>
      </c>
      <c r="C36">
        <v>1.4408999999999999E-3</v>
      </c>
      <c r="D36">
        <v>1.0602999999999999E-3</v>
      </c>
      <c r="E36">
        <v>1.41878E-2</v>
      </c>
      <c r="F36">
        <v>1.0781499999999999E-2</v>
      </c>
      <c r="G36">
        <v>4.1726000000000003E-3</v>
      </c>
      <c r="H36">
        <v>1.9692999999999998E-3</v>
      </c>
      <c r="I36">
        <v>2.64841E-2</v>
      </c>
      <c r="J36">
        <v>3.0749461999999999</v>
      </c>
      <c r="K36">
        <v>0.99657399999999996</v>
      </c>
      <c r="L36">
        <v>0.5497377</v>
      </c>
      <c r="M36">
        <v>5.6974988</v>
      </c>
      <c r="N36">
        <v>3.0508313999999999</v>
      </c>
      <c r="O36">
        <v>0.99054600000000004</v>
      </c>
      <c r="P36">
        <v>0.54771789999999998</v>
      </c>
      <c r="Q36">
        <v>5.6219617</v>
      </c>
      <c r="R36">
        <v>3.0906913999999999</v>
      </c>
      <c r="S36">
        <v>1.0019087</v>
      </c>
      <c r="T36">
        <v>0.55328379999999999</v>
      </c>
      <c r="U36">
        <v>5.7495697000000003</v>
      </c>
      <c r="V36">
        <v>3.0664432000000001</v>
      </c>
      <c r="W36">
        <v>0.99638099999999996</v>
      </c>
      <c r="X36">
        <v>0.55069880000000004</v>
      </c>
      <c r="Y36">
        <v>5.6639068999999997</v>
      </c>
      <c r="AA36" s="5">
        <f t="shared" si="17"/>
        <v>6.5001999999999994E-3</v>
      </c>
      <c r="AB36" s="5">
        <f t="shared" si="17"/>
        <v>2.7317000000000001E-3</v>
      </c>
      <c r="AC36" s="5">
        <f t="shared" si="17"/>
        <v>9.0899999999999987E-4</v>
      </c>
      <c r="AD36" s="5">
        <f t="shared" si="17"/>
        <v>1.22963E-2</v>
      </c>
      <c r="AE36" s="5">
        <f t="shared" si="18"/>
        <v>-2.4114799999999992E-2</v>
      </c>
      <c r="AF36" s="5">
        <f t="shared" si="18"/>
        <v>-6.0279999999999223E-3</v>
      </c>
      <c r="AG36" s="5">
        <f t="shared" si="18"/>
        <v>-2.019800000000016E-3</v>
      </c>
      <c r="AH36" s="5">
        <f t="shared" si="18"/>
        <v>-7.5537100000000024E-2</v>
      </c>
      <c r="AI36" s="5">
        <f t="shared" si="23"/>
        <v>-6.6335999999997258E-3</v>
      </c>
      <c r="AJ36" s="5">
        <f t="shared" si="23"/>
        <v>-2.2314000000001021E-3</v>
      </c>
      <c r="AK36" s="5">
        <f t="shared" si="23"/>
        <v>-1.4741999999999323E-3</v>
      </c>
      <c r="AL36" s="5">
        <f t="shared" si="23"/>
        <v>-2.2422000000000566E-2</v>
      </c>
      <c r="AM36" s="5"/>
      <c r="AN36" s="5"/>
      <c r="AO36" s="5"/>
      <c r="AP36" s="5"/>
      <c r="AQ36" s="5"/>
      <c r="AR36" s="5"/>
      <c r="AS36" s="5"/>
      <c r="AT36" s="5"/>
      <c r="AU36" s="5"/>
      <c r="AV36" s="5">
        <f t="shared" si="32"/>
        <v>2028.25</v>
      </c>
      <c r="AW36" s="3">
        <f t="shared" si="38"/>
        <v>-0.56992425707723504</v>
      </c>
      <c r="AX36" s="3">
        <f t="shared" si="39"/>
        <v>-0.32900203381804372</v>
      </c>
      <c r="AY36" s="3">
        <f t="shared" si="40"/>
        <v>-0.2007649600440165</v>
      </c>
      <c r="AZ36" s="3">
        <f t="shared" si="41"/>
        <v>-1.0999223124471389</v>
      </c>
      <c r="BA36" s="3">
        <f t="shared" si="42"/>
        <v>-0.7845558440418775</v>
      </c>
      <c r="BB36" s="3">
        <f t="shared" si="43"/>
        <v>-0.55171693788066956</v>
      </c>
      <c r="BC36" s="3">
        <f t="shared" si="44"/>
        <v>-0.46721049848196322</v>
      </c>
      <c r="BD36" s="3">
        <f t="shared" si="45"/>
        <v>-1.4898993223788659</v>
      </c>
      <c r="BE36" s="3">
        <f t="shared" si="46"/>
        <v>-0.99487124466712495</v>
      </c>
      <c r="BF36" s="3">
        <f t="shared" si="47"/>
        <v>-0.82436653160113571</v>
      </c>
      <c r="BG36" s="3">
        <f t="shared" si="48"/>
        <v>-0.63150231400232526</v>
      </c>
      <c r="BH36" s="3">
        <f t="shared" si="49"/>
        <v>-1.7037640225493853</v>
      </c>
      <c r="BI36" s="3">
        <f t="shared" si="50"/>
        <v>-0.78023965770248016</v>
      </c>
      <c r="BJ36" s="3">
        <f t="shared" si="51"/>
        <v>-0.60165162753850943</v>
      </c>
      <c r="BK36" s="3">
        <f t="shared" si="52"/>
        <v>-0.36505677556436966</v>
      </c>
      <c r="BL36" s="3">
        <f t="shared" si="53"/>
        <v>-1.3137870126176576</v>
      </c>
      <c r="BM36" s="2">
        <v>0</v>
      </c>
    </row>
    <row r="37" spans="1:65" x14ac:dyDescent="0.35">
      <c r="A37">
        <f t="shared" si="22"/>
        <v>34</v>
      </c>
      <c r="B37">
        <v>4.2601999999999996E-3</v>
      </c>
      <c r="C37">
        <v>1.4247999999999999E-3</v>
      </c>
      <c r="D37">
        <v>1.0667000000000001E-3</v>
      </c>
      <c r="E37">
        <v>1.4338399999999999E-2</v>
      </c>
      <c r="F37">
        <v>1.0331E-2</v>
      </c>
      <c r="G37">
        <v>3.9281000000000003E-3</v>
      </c>
      <c r="H37">
        <v>4.304E-4</v>
      </c>
      <c r="I37">
        <v>2.63188E-2</v>
      </c>
      <c r="J37">
        <v>3.0750424999999999</v>
      </c>
      <c r="K37">
        <v>0.99664030000000003</v>
      </c>
      <c r="L37">
        <v>0.54969009999999996</v>
      </c>
      <c r="M37">
        <v>5.6970805999999996</v>
      </c>
      <c r="N37">
        <v>3.0511984000000001</v>
      </c>
      <c r="O37">
        <v>0.99065309999999995</v>
      </c>
      <c r="P37">
        <v>0.54852299999999998</v>
      </c>
      <c r="Q37">
        <v>5.6241702</v>
      </c>
      <c r="R37">
        <v>3.0906913999999999</v>
      </c>
      <c r="S37">
        <v>1.0019087</v>
      </c>
      <c r="T37">
        <v>0.55328379999999999</v>
      </c>
      <c r="U37">
        <v>5.7495697000000003</v>
      </c>
      <c r="V37">
        <v>3.0663233999999999</v>
      </c>
      <c r="W37">
        <v>0.99621979999999999</v>
      </c>
      <c r="X37">
        <v>0.5499925</v>
      </c>
      <c r="Y37">
        <v>5.6660773999999998</v>
      </c>
      <c r="AA37" s="5">
        <f t="shared" si="17"/>
        <v>6.0708000000000003E-3</v>
      </c>
      <c r="AB37" s="5">
        <f t="shared" si="17"/>
        <v>2.5033000000000004E-3</v>
      </c>
      <c r="AC37" s="5">
        <f t="shared" si="17"/>
        <v>-6.3630000000000002E-4</v>
      </c>
      <c r="AD37" s="5">
        <f t="shared" si="17"/>
        <v>1.19804E-2</v>
      </c>
      <c r="AE37" s="5">
        <f t="shared" si="18"/>
        <v>-2.3844099999999813E-2</v>
      </c>
      <c r="AF37" s="5">
        <f t="shared" si="18"/>
        <v>-5.9872000000000813E-3</v>
      </c>
      <c r="AG37" s="5">
        <f t="shared" si="18"/>
        <v>-1.1670999999999765E-3</v>
      </c>
      <c r="AH37" s="5">
        <f t="shared" si="18"/>
        <v>-7.2910399999999598E-2</v>
      </c>
      <c r="AI37" s="5">
        <f t="shared" si="23"/>
        <v>-6.5947000000001338E-3</v>
      </c>
      <c r="AJ37" s="5">
        <f t="shared" si="23"/>
        <v>-2.2049999999999158E-3</v>
      </c>
      <c r="AK37" s="5">
        <f t="shared" si="23"/>
        <v>-1.4879000000000205E-3</v>
      </c>
      <c r="AL37" s="5">
        <f t="shared" si="23"/>
        <v>-2.2562300000000923E-2</v>
      </c>
      <c r="AM37" s="5"/>
      <c r="AN37" s="5"/>
      <c r="AO37" s="5"/>
      <c r="AP37" s="5"/>
      <c r="AQ37" s="5"/>
      <c r="AR37" s="5"/>
      <c r="AS37" s="5"/>
      <c r="AT37" s="5"/>
      <c r="AU37" s="5"/>
      <c r="AV37" s="5">
        <f t="shared" si="32"/>
        <v>2028.5</v>
      </c>
      <c r="AW37" s="3">
        <f t="shared" si="38"/>
        <v>-0.57505903048100537</v>
      </c>
      <c r="AX37" s="3">
        <f t="shared" si="39"/>
        <v>-0.34772629482108308</v>
      </c>
      <c r="AY37" s="3">
        <f t="shared" si="40"/>
        <v>-0.32594484060440165</v>
      </c>
      <c r="AZ37" s="3">
        <f t="shared" si="41"/>
        <v>-1.0597314786878675</v>
      </c>
      <c r="BA37" s="3">
        <f t="shared" si="42"/>
        <v>-0.78843199939016706</v>
      </c>
      <c r="BB37" s="3">
        <f t="shared" si="43"/>
        <v>-0.56780622825213478</v>
      </c>
      <c r="BC37" s="3">
        <f t="shared" si="44"/>
        <v>-0.59486650431478327</v>
      </c>
      <c r="BD37" s="3">
        <f t="shared" si="45"/>
        <v>-1.4521486712301359</v>
      </c>
      <c r="BE37" s="3">
        <f t="shared" si="46"/>
        <v>-0.98485406857506919</v>
      </c>
      <c r="BF37" s="3">
        <f t="shared" si="47"/>
        <v>-0.81765933362989895</v>
      </c>
      <c r="BG37" s="3">
        <f t="shared" si="48"/>
        <v>-0.47986223345052992</v>
      </c>
      <c r="BH37" s="3">
        <f t="shared" si="49"/>
        <v>-1.6605190471906128</v>
      </c>
      <c r="BI37" s="3">
        <f t="shared" si="50"/>
        <v>-0.77148109966591338</v>
      </c>
      <c r="BJ37" s="3">
        <f t="shared" si="51"/>
        <v>-0.59757940019884859</v>
      </c>
      <c r="BK37" s="3">
        <f t="shared" si="52"/>
        <v>-0.2109405697401544</v>
      </c>
      <c r="BL37" s="3">
        <f t="shared" si="53"/>
        <v>-1.2681018546483502</v>
      </c>
      <c r="BM37" s="2">
        <v>0</v>
      </c>
    </row>
    <row r="38" spans="1:65" x14ac:dyDescent="0.35">
      <c r="A38">
        <f t="shared" si="22"/>
        <v>35</v>
      </c>
      <c r="B38">
        <v>4.2405999999999998E-3</v>
      </c>
      <c r="C38">
        <v>1.4097000000000001E-3</v>
      </c>
      <c r="D38">
        <v>1.0690999999999999E-3</v>
      </c>
      <c r="E38">
        <v>1.44768E-2</v>
      </c>
      <c r="F38">
        <v>1.00172E-2</v>
      </c>
      <c r="G38">
        <v>3.7640999999999998E-3</v>
      </c>
      <c r="H38">
        <v>4.5609999999999997E-4</v>
      </c>
      <c r="I38">
        <v>2.6074400000000001E-2</v>
      </c>
      <c r="J38">
        <v>3.0751314000000001</v>
      </c>
      <c r="K38">
        <v>0.99670239999999999</v>
      </c>
      <c r="L38">
        <v>0.54965790000000003</v>
      </c>
      <c r="M38">
        <v>5.6966909000000001</v>
      </c>
      <c r="N38">
        <v>3.0516896</v>
      </c>
      <c r="O38">
        <v>0.99081730000000001</v>
      </c>
      <c r="P38">
        <v>0.54833279999999995</v>
      </c>
      <c r="Q38">
        <v>5.6260816</v>
      </c>
      <c r="R38">
        <v>3.0906913999999999</v>
      </c>
      <c r="S38">
        <v>1.0019087</v>
      </c>
      <c r="T38">
        <v>0.55328379999999999</v>
      </c>
      <c r="U38">
        <v>5.7495697000000003</v>
      </c>
      <c r="V38">
        <v>3.0664680999999998</v>
      </c>
      <c r="W38">
        <v>0.99619809999999998</v>
      </c>
      <c r="X38">
        <v>0.549848</v>
      </c>
      <c r="Y38">
        <v>5.6678705000000003</v>
      </c>
      <c r="AA38" s="5">
        <f t="shared" si="17"/>
        <v>5.7766000000000007E-3</v>
      </c>
      <c r="AB38" s="5">
        <f t="shared" si="17"/>
        <v>2.3543999999999995E-3</v>
      </c>
      <c r="AC38" s="5">
        <f t="shared" si="17"/>
        <v>-6.1299999999999994E-4</v>
      </c>
      <c r="AD38" s="5">
        <f t="shared" si="17"/>
        <v>1.1597600000000001E-2</v>
      </c>
      <c r="AE38" s="5">
        <f t="shared" si="18"/>
        <v>-2.3441800000000068E-2</v>
      </c>
      <c r="AF38" s="5">
        <f t="shared" si="18"/>
        <v>-5.8850999999999765E-3</v>
      </c>
      <c r="AG38" s="5">
        <f t="shared" si="18"/>
        <v>-1.325100000000079E-3</v>
      </c>
      <c r="AH38" s="5">
        <f t="shared" si="18"/>
        <v>-7.0609300000000097E-2</v>
      </c>
      <c r="AI38" s="5">
        <f t="shared" si="23"/>
        <v>-6.5580999999999903E-3</v>
      </c>
      <c r="AJ38" s="5">
        <f t="shared" si="23"/>
        <v>-2.1799000000000332E-3</v>
      </c>
      <c r="AK38" s="5">
        <f t="shared" si="23"/>
        <v>-1.49769999999991E-3</v>
      </c>
      <c r="AL38" s="5">
        <f t="shared" si="23"/>
        <v>-2.2687499999999985E-2</v>
      </c>
      <c r="AM38" s="5"/>
      <c r="AN38" s="5"/>
      <c r="AO38" s="5"/>
      <c r="AP38" s="5"/>
      <c r="AQ38" s="5"/>
      <c r="AR38" s="5"/>
      <c r="AS38" s="5"/>
      <c r="AT38" s="5"/>
      <c r="AU38" s="5"/>
      <c r="AV38" s="5">
        <f t="shared" si="32"/>
        <v>2028.75</v>
      </c>
      <c r="AW38" s="3">
        <f t="shared" si="38"/>
        <v>-0.57156143120597769</v>
      </c>
      <c r="AX38" s="3">
        <f t="shared" si="39"/>
        <v>-0.3523973791224666</v>
      </c>
      <c r="AY38" s="3">
        <f t="shared" si="40"/>
        <v>-0.35029039346535701</v>
      </c>
      <c r="AZ38" s="3">
        <f t="shared" si="41"/>
        <v>-1.0263672427520982</v>
      </c>
      <c r="BA38" s="3">
        <f t="shared" si="42"/>
        <v>-0.78375019906549259</v>
      </c>
      <c r="BB38" s="3">
        <f t="shared" si="43"/>
        <v>-0.5699720942636799</v>
      </c>
      <c r="BC38" s="3">
        <f t="shared" si="44"/>
        <v>-0.62098330007131763</v>
      </c>
      <c r="BD38" s="3">
        <f t="shared" si="45"/>
        <v>-1.4209619895554979</v>
      </c>
      <c r="BE38" s="3">
        <f t="shared" si="46"/>
        <v>-0.97065336254535051</v>
      </c>
      <c r="BF38" s="3">
        <f t="shared" si="47"/>
        <v>-0.80496356604149555</v>
      </c>
      <c r="BG38" s="3">
        <f t="shared" si="48"/>
        <v>-0.51019024956089698</v>
      </c>
      <c r="BH38" s="3">
        <f t="shared" si="49"/>
        <v>-1.6226744759699159</v>
      </c>
      <c r="BI38" s="3">
        <f t="shared" si="50"/>
        <v>-0.75846459468583849</v>
      </c>
      <c r="BJ38" s="3">
        <f t="shared" si="51"/>
        <v>-0.58738885090028436</v>
      </c>
      <c r="BK38" s="3">
        <f t="shared" si="52"/>
        <v>-0.23949734295493183</v>
      </c>
      <c r="BL38" s="3">
        <f t="shared" si="53"/>
        <v>-1.2280797291665164</v>
      </c>
      <c r="BM38" s="2">
        <v>0</v>
      </c>
    </row>
    <row r="39" spans="1:65" x14ac:dyDescent="0.35">
      <c r="A39">
        <f t="shared" si="22"/>
        <v>36</v>
      </c>
      <c r="B39">
        <v>4.2221000000000003E-3</v>
      </c>
      <c r="C39">
        <v>1.3954E-3</v>
      </c>
      <c r="D39">
        <v>1.0677E-3</v>
      </c>
      <c r="E39">
        <v>1.4600399999999999E-2</v>
      </c>
      <c r="F39">
        <v>9.7182999999999992E-3</v>
      </c>
      <c r="G39">
        <v>3.6104000000000002E-3</v>
      </c>
      <c r="H39">
        <v>6.7699999999999998E-4</v>
      </c>
      <c r="I39">
        <v>2.58953E-2</v>
      </c>
      <c r="J39">
        <v>3.0752145</v>
      </c>
      <c r="K39">
        <v>0.99676089999999995</v>
      </c>
      <c r="L39">
        <v>0.54964040000000003</v>
      </c>
      <c r="M39">
        <v>5.6963397999999996</v>
      </c>
      <c r="N39">
        <v>3.0521075</v>
      </c>
      <c r="O39">
        <v>0.99094939999999998</v>
      </c>
      <c r="P39">
        <v>0.54760059999999999</v>
      </c>
      <c r="Q39">
        <v>5.6274610000000003</v>
      </c>
      <c r="R39">
        <v>3.0906913999999999</v>
      </c>
      <c r="S39">
        <v>1.0019087</v>
      </c>
      <c r="T39">
        <v>0.55328379999999999</v>
      </c>
      <c r="U39">
        <v>5.7495697000000003</v>
      </c>
      <c r="V39">
        <v>3.0665572999999999</v>
      </c>
      <c r="W39">
        <v>0.99615600000000004</v>
      </c>
      <c r="X39">
        <v>0.54935120000000004</v>
      </c>
      <c r="Y39">
        <v>5.6691919999999998</v>
      </c>
      <c r="AA39" s="5">
        <f t="shared" si="17"/>
        <v>5.4961999999999988E-3</v>
      </c>
      <c r="AB39" s="5">
        <f t="shared" si="17"/>
        <v>2.215E-3</v>
      </c>
      <c r="AC39" s="5">
        <f t="shared" si="17"/>
        <v>-3.9070000000000001E-4</v>
      </c>
      <c r="AD39" s="5">
        <f t="shared" si="17"/>
        <v>1.12949E-2</v>
      </c>
      <c r="AE39" s="5">
        <f t="shared" si="18"/>
        <v>-2.3106999999999989E-2</v>
      </c>
      <c r="AF39" s="5">
        <f t="shared" si="18"/>
        <v>-5.8114999999999695E-3</v>
      </c>
      <c r="AG39" s="5">
        <f t="shared" si="18"/>
        <v>-2.039800000000036E-3</v>
      </c>
      <c r="AH39" s="5">
        <f t="shared" si="18"/>
        <v>-6.8878799999999352E-2</v>
      </c>
      <c r="AI39" s="5">
        <f t="shared" si="23"/>
        <v>-6.5232999999999472E-3</v>
      </c>
      <c r="AJ39" s="5">
        <f t="shared" si="23"/>
        <v>-2.1561999999999745E-3</v>
      </c>
      <c r="AK39" s="5">
        <f t="shared" si="23"/>
        <v>-1.5020999999999169E-3</v>
      </c>
      <c r="AL39" s="5">
        <f t="shared" si="23"/>
        <v>-2.2793800000001196E-2</v>
      </c>
      <c r="AM39" s="5"/>
      <c r="AN39" s="5"/>
      <c r="AO39" s="5"/>
      <c r="AP39" s="5"/>
      <c r="AQ39" s="5"/>
      <c r="AR39" s="5"/>
      <c r="AS39" s="5"/>
      <c r="AT39" s="5"/>
      <c r="AU39" s="5"/>
      <c r="AV39" s="5">
        <f t="shared" si="32"/>
        <v>2029</v>
      </c>
      <c r="AW39" s="3">
        <f t="shared" si="38"/>
        <v>-0.5698013072414797</v>
      </c>
      <c r="AX39" s="3">
        <f t="shared" si="39"/>
        <v>-0.35896484380263088</v>
      </c>
      <c r="AY39" s="3">
        <f t="shared" si="40"/>
        <v>-0.43928631201564838</v>
      </c>
      <c r="AZ39" s="3">
        <f t="shared" si="41"/>
        <v>-1.0015340800199248</v>
      </c>
      <c r="BA39" s="3">
        <f t="shared" si="42"/>
        <v>-0.78086411344723505</v>
      </c>
      <c r="BB39" s="3">
        <f t="shared" si="43"/>
        <v>-0.57417407394505549</v>
      </c>
      <c r="BC39" s="3">
        <f t="shared" si="44"/>
        <v>-0.71077447053391996</v>
      </c>
      <c r="BD39" s="3">
        <f t="shared" si="45"/>
        <v>-1.3979776608326107</v>
      </c>
      <c r="BE39" s="3">
        <f t="shared" si="46"/>
        <v>-0.95869487325716185</v>
      </c>
      <c r="BF39" s="3">
        <f t="shared" si="47"/>
        <v>-0.79525210231230758</v>
      </c>
      <c r="BG39" s="3">
        <f t="shared" si="48"/>
        <v>-0.64015971550224071</v>
      </c>
      <c r="BH39" s="3">
        <f t="shared" si="49"/>
        <v>-1.5944254054351366</v>
      </c>
      <c r="BI39" s="3">
        <f t="shared" si="50"/>
        <v>-0.74763206705140439</v>
      </c>
      <c r="BJ39" s="3">
        <f t="shared" si="51"/>
        <v>-0.58004287216988626</v>
      </c>
      <c r="BK39" s="3">
        <f t="shared" si="52"/>
        <v>-0.36867155698396303</v>
      </c>
      <c r="BL39" s="3">
        <f t="shared" si="53"/>
        <v>-1.197981824622447</v>
      </c>
      <c r="BM39" s="2">
        <v>0</v>
      </c>
    </row>
    <row r="40" spans="1:65" x14ac:dyDescent="0.35">
      <c r="A40">
        <f t="shared" si="22"/>
        <v>37</v>
      </c>
      <c r="B40">
        <v>4.2043000000000002E-3</v>
      </c>
      <c r="C40">
        <v>1.3817E-3</v>
      </c>
      <c r="D40">
        <v>1.0625000000000001E-3</v>
      </c>
      <c r="E40">
        <v>1.47064E-2</v>
      </c>
      <c r="F40">
        <v>9.4663000000000004E-3</v>
      </c>
      <c r="G40">
        <v>3.4799000000000002E-3</v>
      </c>
      <c r="H40">
        <v>9.033E-4</v>
      </c>
      <c r="I40">
        <v>2.5798999999999999E-2</v>
      </c>
      <c r="J40">
        <v>3.0752929999999998</v>
      </c>
      <c r="K40">
        <v>0.99681620000000004</v>
      </c>
      <c r="L40">
        <v>0.54963709999999999</v>
      </c>
      <c r="M40">
        <v>5.6960369000000002</v>
      </c>
      <c r="N40">
        <v>3.0524610999999999</v>
      </c>
      <c r="O40">
        <v>0.99106190000000005</v>
      </c>
      <c r="P40">
        <v>0.54694849999999995</v>
      </c>
      <c r="Q40">
        <v>5.6283307999999996</v>
      </c>
      <c r="R40">
        <v>3.0906913999999999</v>
      </c>
      <c r="S40">
        <v>1.0019087</v>
      </c>
      <c r="T40">
        <v>0.55328379999999999</v>
      </c>
      <c r="U40">
        <v>5.7495697000000003</v>
      </c>
      <c r="V40">
        <v>3.0666313000000001</v>
      </c>
      <c r="W40">
        <v>0.99611890000000003</v>
      </c>
      <c r="X40">
        <v>0.54893550000000002</v>
      </c>
      <c r="Y40">
        <v>5.6700792</v>
      </c>
      <c r="AA40" s="5">
        <f t="shared" si="17"/>
        <v>5.2620000000000002E-3</v>
      </c>
      <c r="AB40" s="5">
        <f t="shared" si="17"/>
        <v>2.0982000000000002E-3</v>
      </c>
      <c r="AC40" s="5">
        <f t="shared" si="17"/>
        <v>-1.5920000000000007E-4</v>
      </c>
      <c r="AD40" s="5">
        <f t="shared" si="17"/>
        <v>1.1092599999999999E-2</v>
      </c>
      <c r="AE40" s="5">
        <f t="shared" si="18"/>
        <v>-2.2831899999999905E-2</v>
      </c>
      <c r="AF40" s="5">
        <f t="shared" si="18"/>
        <v>-5.75429999999999E-3</v>
      </c>
      <c r="AG40" s="5">
        <f t="shared" si="18"/>
        <v>-2.688600000000041E-3</v>
      </c>
      <c r="AH40" s="5">
        <f t="shared" si="18"/>
        <v>-6.7706100000000546E-2</v>
      </c>
      <c r="AI40" s="5">
        <f t="shared" si="23"/>
        <v>-6.4901999999999009E-3</v>
      </c>
      <c r="AJ40" s="5">
        <f t="shared" si="23"/>
        <v>-2.1336999999999663E-3</v>
      </c>
      <c r="AK40" s="5">
        <f t="shared" si="23"/>
        <v>-1.5004999999999307E-3</v>
      </c>
      <c r="AL40" s="5">
        <f t="shared" si="23"/>
        <v>-2.2876999999999807E-2</v>
      </c>
      <c r="AM40" s="5"/>
      <c r="AN40" s="5"/>
      <c r="AO40" s="5"/>
      <c r="AP40" s="5"/>
      <c r="AQ40" s="5"/>
      <c r="AR40" s="5"/>
      <c r="AS40" s="5"/>
      <c r="AT40" s="5"/>
      <c r="AU40" s="5"/>
      <c r="AV40" s="5">
        <f t="shared" si="32"/>
        <v>2029.25</v>
      </c>
      <c r="AW40" s="3">
        <f t="shared" si="38"/>
        <v>-0.56847797874611183</v>
      </c>
      <c r="AX40" s="3">
        <f t="shared" si="39"/>
        <v>-0.36491348962235681</v>
      </c>
      <c r="AY40" s="3">
        <f t="shared" si="40"/>
        <v>-0.514708726335389</v>
      </c>
      <c r="AZ40" s="3">
        <f t="shared" si="41"/>
        <v>-0.98465629523545983</v>
      </c>
      <c r="BA40" s="3">
        <f t="shared" si="42"/>
        <v>-0.77846982717199809</v>
      </c>
      <c r="BB40" s="3">
        <f t="shared" si="43"/>
        <v>-0.57787700615834114</v>
      </c>
      <c r="BC40" s="3">
        <f t="shared" si="44"/>
        <v>-0.78590770234009588</v>
      </c>
      <c r="BD40" s="3">
        <f t="shared" si="45"/>
        <v>-1.3825469408606412</v>
      </c>
      <c r="BE40" s="3">
        <f t="shared" si="46"/>
        <v>-0.94872299447301367</v>
      </c>
      <c r="BF40" s="3">
        <f t="shared" si="47"/>
        <v>-0.78729728567084067</v>
      </c>
      <c r="BG40" s="3">
        <f t="shared" si="48"/>
        <v>-0.75713404224015701</v>
      </c>
      <c r="BH40" s="3">
        <f t="shared" si="49"/>
        <v>-1.5754761612855988</v>
      </c>
      <c r="BI40" s="3">
        <f t="shared" si="50"/>
        <v>-0.7387311460471242</v>
      </c>
      <c r="BJ40" s="3">
        <f t="shared" si="51"/>
        <v>-0.57433376913485135</v>
      </c>
      <c r="BK40" s="3">
        <f t="shared" si="52"/>
        <v>-0.48593506623545474</v>
      </c>
      <c r="BL40" s="3">
        <f t="shared" si="53"/>
        <v>-1.1775855156604249</v>
      </c>
      <c r="BM40" s="2">
        <v>0</v>
      </c>
    </row>
    <row r="41" spans="1:65" x14ac:dyDescent="0.35">
      <c r="A41">
        <f t="shared" si="22"/>
        <v>38</v>
      </c>
      <c r="B41">
        <v>4.1869999999999997E-3</v>
      </c>
      <c r="C41">
        <v>1.3687E-3</v>
      </c>
      <c r="D41">
        <v>1.0539E-3</v>
      </c>
      <c r="E41">
        <v>1.47925E-2</v>
      </c>
      <c r="F41">
        <v>9.2493999999999996E-3</v>
      </c>
      <c r="G41">
        <v>3.3660999999999999E-3</v>
      </c>
      <c r="H41">
        <v>1.0788E-3</v>
      </c>
      <c r="I41">
        <v>2.5768900000000001E-2</v>
      </c>
      <c r="J41">
        <v>3.0753680999999999</v>
      </c>
      <c r="K41">
        <v>0.9968688</v>
      </c>
      <c r="L41">
        <v>0.549647</v>
      </c>
      <c r="M41">
        <v>5.6957906999999999</v>
      </c>
      <c r="N41">
        <v>3.0526908000000001</v>
      </c>
      <c r="O41">
        <v>0.99112560000000005</v>
      </c>
      <c r="P41">
        <v>0.56579590000000002</v>
      </c>
      <c r="Q41">
        <v>5.6333869999999999</v>
      </c>
      <c r="R41">
        <v>3.0906913999999999</v>
      </c>
      <c r="S41">
        <v>1.0019087</v>
      </c>
      <c r="T41">
        <v>0.55328379999999999</v>
      </c>
      <c r="U41">
        <v>5.7495697000000003</v>
      </c>
      <c r="V41">
        <v>3.0666183</v>
      </c>
      <c r="W41">
        <v>0.99605080000000001</v>
      </c>
      <c r="X41">
        <v>0.56796579999999997</v>
      </c>
      <c r="Y41">
        <v>5.7495697000000003</v>
      </c>
      <c r="AA41" s="5">
        <f t="shared" si="17"/>
        <v>5.0623999999999999E-3</v>
      </c>
      <c r="AB41" s="5">
        <f t="shared" si="17"/>
        <v>1.9973999999999999E-3</v>
      </c>
      <c r="AC41" s="5">
        <f t="shared" si="17"/>
        <v>2.4900000000000009E-5</v>
      </c>
      <c r="AD41" s="5">
        <f t="shared" si="17"/>
        <v>1.0976400000000001E-2</v>
      </c>
      <c r="AE41" s="5">
        <f t="shared" si="18"/>
        <v>-2.2677299999999789E-2</v>
      </c>
      <c r="AF41" s="5">
        <f t="shared" si="18"/>
        <v>-5.7431999999999483E-3</v>
      </c>
      <c r="AG41" s="5">
        <f t="shared" si="18"/>
        <v>1.6148900000000022E-2</v>
      </c>
      <c r="AH41" s="5">
        <f t="shared" si="18"/>
        <v>-6.2403699999999951E-2</v>
      </c>
      <c r="AI41" s="5">
        <f t="shared" si="23"/>
        <v>-6.4582000000000597E-3</v>
      </c>
      <c r="AJ41" s="5">
        <f t="shared" si="23"/>
        <v>-2.112100000000023E-3</v>
      </c>
      <c r="AK41" s="5">
        <f t="shared" si="23"/>
        <v>-1.49180000000005E-3</v>
      </c>
      <c r="AL41" s="5">
        <f t="shared" si="23"/>
        <v>5.1427299999999954E-2</v>
      </c>
      <c r="AM41" s="5"/>
      <c r="AN41" s="5"/>
      <c r="AO41" s="5"/>
      <c r="AP41" s="5"/>
      <c r="AQ41" s="5"/>
      <c r="AR41" s="5"/>
      <c r="AS41" s="5"/>
      <c r="AT41" s="5"/>
      <c r="AU41" s="5"/>
      <c r="AV41" s="5">
        <f t="shared" si="32"/>
        <v>2029.5</v>
      </c>
      <c r="AW41" s="3">
        <f t="shared" si="38"/>
        <v>-0.56993396364320903</v>
      </c>
      <c r="AX41" s="3">
        <f t="shared" si="39"/>
        <v>-0.3738664012000244</v>
      </c>
      <c r="AY41" s="3">
        <f t="shared" si="40"/>
        <v>2.9232375862080224</v>
      </c>
      <c r="AZ41" s="3">
        <f t="shared" si="41"/>
        <v>-0.89445476241465416</v>
      </c>
      <c r="BA41" s="3">
        <f t="shared" si="42"/>
        <v>-0.77889044503116189</v>
      </c>
      <c r="BB41" s="3">
        <f t="shared" si="43"/>
        <v>-0.58467403267383256</v>
      </c>
      <c r="BC41" s="3">
        <f t="shared" si="44"/>
        <v>2.6536110401208157</v>
      </c>
      <c r="BD41" s="3">
        <f t="shared" si="45"/>
        <v>0</v>
      </c>
      <c r="BE41" s="3">
        <f t="shared" si="46"/>
        <v>-0.94268551043302995</v>
      </c>
      <c r="BF41" s="3">
        <f t="shared" si="47"/>
        <v>-0.7840335152294825</v>
      </c>
      <c r="BG41" s="3">
        <f t="shared" si="48"/>
        <v>2.6491106372534272</v>
      </c>
      <c r="BH41" s="3">
        <f t="shared" si="49"/>
        <v>-0.19090819961708896</v>
      </c>
      <c r="BI41" s="3">
        <f t="shared" si="50"/>
        <v>-0.73372902904508008</v>
      </c>
      <c r="BJ41" s="3">
        <f t="shared" si="51"/>
        <v>-0.57322588375567041</v>
      </c>
      <c r="BK41" s="3">
        <f t="shared" si="52"/>
        <v>2.918737183340633</v>
      </c>
      <c r="BL41" s="3">
        <f t="shared" si="53"/>
        <v>-1.0853629620317491</v>
      </c>
      <c r="BM41" s="2">
        <v>0</v>
      </c>
    </row>
    <row r="42" spans="1:65" x14ac:dyDescent="0.35">
      <c r="A42">
        <f t="shared" si="22"/>
        <v>39</v>
      </c>
      <c r="B42">
        <v>1.4265E-2</v>
      </c>
      <c r="C42">
        <v>5.2978000000000001E-3</v>
      </c>
      <c r="D42">
        <v>3.1689999999999999E-3</v>
      </c>
      <c r="E42">
        <v>3.9574100000000001E-2</v>
      </c>
      <c r="F42">
        <v>0</v>
      </c>
      <c r="G42">
        <v>0</v>
      </c>
      <c r="H42">
        <v>0</v>
      </c>
      <c r="I42">
        <v>0</v>
      </c>
      <c r="J42">
        <v>3.0688423999999999</v>
      </c>
      <c r="K42">
        <v>0.99410310000000002</v>
      </c>
      <c r="L42">
        <v>0.54829950000000005</v>
      </c>
      <c r="M42">
        <v>5.6834160000000002</v>
      </c>
      <c r="N42">
        <v>3.0309352000000001</v>
      </c>
      <c r="O42">
        <v>0.98990650000000002</v>
      </c>
      <c r="P42">
        <v>0.53306019999999998</v>
      </c>
      <c r="Q42">
        <v>5.1517283000000003</v>
      </c>
      <c r="R42">
        <v>3.0906913999999999</v>
      </c>
      <c r="S42">
        <v>1.0019087</v>
      </c>
      <c r="T42">
        <v>0.55328379999999999</v>
      </c>
      <c r="U42">
        <v>5.7495697000000003</v>
      </c>
      <c r="V42">
        <v>3.0408623000000001</v>
      </c>
      <c r="W42">
        <v>0.99303319999999995</v>
      </c>
      <c r="X42">
        <v>0.5345936</v>
      </c>
      <c r="Y42">
        <v>5.1693353000000002</v>
      </c>
      <c r="AA42" s="5">
        <f t="shared" si="17"/>
        <v>-1.4265E-2</v>
      </c>
      <c r="AB42" s="5">
        <f t="shared" si="17"/>
        <v>-5.2978000000000001E-3</v>
      </c>
      <c r="AC42" s="5">
        <f t="shared" si="17"/>
        <v>-3.1689999999999999E-3</v>
      </c>
      <c r="AD42" s="5">
        <f t="shared" si="17"/>
        <v>-3.9574100000000001E-2</v>
      </c>
      <c r="AE42" s="5">
        <f t="shared" si="18"/>
        <v>-3.7907199999999808E-2</v>
      </c>
      <c r="AF42" s="5">
        <f t="shared" si="18"/>
        <v>-4.1965999999999948E-3</v>
      </c>
      <c r="AG42" s="5">
        <f t="shared" si="18"/>
        <v>-1.5239300000000067E-2</v>
      </c>
      <c r="AH42" s="5">
        <f t="shared" si="18"/>
        <v>-0.53168769999999999</v>
      </c>
      <c r="AI42" s="5">
        <f t="shared" si="23"/>
        <v>2.3431000000000701E-3</v>
      </c>
      <c r="AJ42" s="5">
        <f t="shared" si="23"/>
        <v>6.1889999999995872E-4</v>
      </c>
      <c r="AK42" s="5">
        <f t="shared" si="23"/>
        <v>-2.8189999999992527E-4</v>
      </c>
      <c r="AL42" s="5">
        <f t="shared" si="23"/>
        <v>-8.9726000000001083E-3</v>
      </c>
      <c r="AM42" s="5"/>
      <c r="AN42" s="5"/>
      <c r="AO42" s="5"/>
      <c r="AP42" s="5"/>
      <c r="AQ42" s="5"/>
      <c r="AR42" s="5"/>
      <c r="AS42" s="5"/>
      <c r="AT42" s="5"/>
      <c r="AU42" s="5"/>
      <c r="AV42" s="5">
        <f t="shared" si="32"/>
        <v>2029.75</v>
      </c>
      <c r="AW42" s="3">
        <f t="shared" si="38"/>
        <v>-1.6880430055229652</v>
      </c>
      <c r="AX42" s="3">
        <f t="shared" si="39"/>
        <v>-0.94763125622125</v>
      </c>
      <c r="AY42" s="3">
        <f t="shared" si="40"/>
        <v>-3.3270990403116927</v>
      </c>
      <c r="AZ42" s="3">
        <f t="shared" si="41"/>
        <v>-9.9357313643836687</v>
      </c>
      <c r="BA42" s="3">
        <f t="shared" si="42"/>
        <v>-1.6122314896919097</v>
      </c>
      <c r="BB42" s="3">
        <f t="shared" si="43"/>
        <v>-0.88585916062012804</v>
      </c>
      <c r="BC42" s="3">
        <f t="shared" si="44"/>
        <v>-3.3780493844207964</v>
      </c>
      <c r="BD42" s="3">
        <f t="shared" si="45"/>
        <v>-10.091788260258852</v>
      </c>
      <c r="BE42" s="3">
        <f t="shared" si="46"/>
        <v>-1.1506842773108881</v>
      </c>
      <c r="BF42" s="3">
        <f t="shared" si="47"/>
        <v>-0.3570884253225885</v>
      </c>
      <c r="BG42" s="3">
        <f t="shared" si="48"/>
        <v>-2.8052872684868078</v>
      </c>
      <c r="BH42" s="3">
        <f t="shared" si="49"/>
        <v>-9.4034915343316872</v>
      </c>
      <c r="BI42" s="3">
        <f t="shared" si="50"/>
        <v>-1.2264957931419427</v>
      </c>
      <c r="BJ42" s="3">
        <f t="shared" si="51"/>
        <v>-0.4188605209237124</v>
      </c>
      <c r="BK42" s="3">
        <f t="shared" si="52"/>
        <v>-2.7543369243777005</v>
      </c>
      <c r="BL42" s="3">
        <f t="shared" si="53"/>
        <v>-9.2474346384565091</v>
      </c>
      <c r="BM42" s="2">
        <v>0</v>
      </c>
    </row>
    <row r="43" spans="1:65" x14ac:dyDescent="0.35">
      <c r="A43">
        <f t="shared" si="22"/>
        <v>40</v>
      </c>
      <c r="B43">
        <v>1.42317E-2</v>
      </c>
      <c r="C43">
        <v>5.2589999999999998E-3</v>
      </c>
      <c r="D43">
        <v>3.2707999999999999E-3</v>
      </c>
      <c r="E43">
        <v>3.9973599999999998E-2</v>
      </c>
      <c r="F43">
        <v>0</v>
      </c>
      <c r="G43">
        <v>0</v>
      </c>
      <c r="H43">
        <v>0</v>
      </c>
      <c r="I43">
        <v>0</v>
      </c>
      <c r="J43">
        <v>3.0689137</v>
      </c>
      <c r="K43">
        <v>0.99416819999999995</v>
      </c>
      <c r="L43">
        <v>0.54820559999999996</v>
      </c>
      <c r="M43">
        <v>5.6829023999999997</v>
      </c>
      <c r="N43">
        <v>3.0413657000000001</v>
      </c>
      <c r="O43">
        <v>0.99169189999999996</v>
      </c>
      <c r="P43">
        <v>0.54339099999999996</v>
      </c>
      <c r="Q43">
        <v>5.1607114999999997</v>
      </c>
      <c r="R43">
        <v>3.0906913999999999</v>
      </c>
      <c r="S43">
        <v>1.0019087</v>
      </c>
      <c r="T43">
        <v>0.55328379999999999</v>
      </c>
      <c r="U43">
        <v>5.7495697000000003</v>
      </c>
      <c r="V43">
        <v>3.0512557</v>
      </c>
      <c r="W43">
        <v>0.99479119999999999</v>
      </c>
      <c r="X43">
        <v>0.54494830000000005</v>
      </c>
      <c r="Y43">
        <v>5.1783872000000004</v>
      </c>
      <c r="AA43" s="5">
        <f t="shared" si="17"/>
        <v>-1.42317E-2</v>
      </c>
      <c r="AB43" s="5">
        <f t="shared" si="17"/>
        <v>-5.2589999999999998E-3</v>
      </c>
      <c r="AC43" s="5">
        <f t="shared" si="17"/>
        <v>-3.2707999999999999E-3</v>
      </c>
      <c r="AD43" s="5">
        <f t="shared" si="17"/>
        <v>-3.9973599999999998E-2</v>
      </c>
      <c r="AE43" s="5">
        <f t="shared" si="18"/>
        <v>-2.7547999999999906E-2</v>
      </c>
      <c r="AF43" s="5">
        <f t="shared" si="18"/>
        <v>-2.4762999999999868E-3</v>
      </c>
      <c r="AG43" s="5">
        <f t="shared" si="18"/>
        <v>-4.8146000000000022E-3</v>
      </c>
      <c r="AH43" s="5">
        <f t="shared" si="18"/>
        <v>-0.52219090000000001</v>
      </c>
      <c r="AI43" s="5">
        <f t="shared" si="23"/>
        <v>2.3440000000000544E-3</v>
      </c>
      <c r="AJ43" s="5">
        <f t="shared" si="23"/>
        <v>6.177999999999878E-4</v>
      </c>
      <c r="AK43" s="5">
        <f t="shared" si="23"/>
        <v>-2.5009999999993718E-4</v>
      </c>
      <c r="AL43" s="5">
        <f t="shared" si="23"/>
        <v>-9.0179999999999705E-3</v>
      </c>
      <c r="AM43" s="5"/>
      <c r="AN43" s="5"/>
      <c r="AO43" s="5"/>
      <c r="AP43" s="5"/>
      <c r="AQ43" s="5"/>
      <c r="AR43" s="5"/>
      <c r="AS43" s="5"/>
      <c r="AT43" s="5"/>
      <c r="AU43" s="5"/>
      <c r="AV43" s="5">
        <f t="shared" si="32"/>
        <v>2030</v>
      </c>
      <c r="AW43" s="3">
        <f t="shared" si="38"/>
        <v>-1.3517913823424721</v>
      </c>
      <c r="AX43" s="3">
        <f t="shared" si="39"/>
        <v>-0.77205637599513677</v>
      </c>
      <c r="AY43" s="3">
        <f t="shared" si="40"/>
        <v>-1.4613476844975404</v>
      </c>
      <c r="AZ43" s="3">
        <f t="shared" si="41"/>
        <v>-9.777505610550298</v>
      </c>
      <c r="BA43" s="3">
        <f t="shared" si="42"/>
        <v>-1.2759507468134752</v>
      </c>
      <c r="BB43" s="3">
        <f t="shared" si="43"/>
        <v>-0.71039407083699335</v>
      </c>
      <c r="BC43" s="3">
        <f t="shared" si="44"/>
        <v>-1.5065505261494987</v>
      </c>
      <c r="BD43" s="3">
        <f t="shared" si="45"/>
        <v>-9.9343521307342328</v>
      </c>
      <c r="BE43" s="3">
        <f t="shared" si="46"/>
        <v>-0.81548096325631236</v>
      </c>
      <c r="BF43" s="3">
        <f t="shared" si="47"/>
        <v>-0.18549594389189206</v>
      </c>
      <c r="BG43" s="3">
        <f t="shared" si="48"/>
        <v>-0.91538917278979104</v>
      </c>
      <c r="BH43" s="3">
        <f t="shared" si="49"/>
        <v>-9.2391070587421549</v>
      </c>
      <c r="BI43" s="3">
        <f t="shared" si="50"/>
        <v>-0.89132159878530448</v>
      </c>
      <c r="BJ43" s="3">
        <f t="shared" si="51"/>
        <v>-0.24715824905003689</v>
      </c>
      <c r="BK43" s="3">
        <f t="shared" si="52"/>
        <v>-0.87018633113783594</v>
      </c>
      <c r="BL43" s="3">
        <f t="shared" si="53"/>
        <v>-9.0822605385582147</v>
      </c>
      <c r="BM43" s="2">
        <v>0</v>
      </c>
    </row>
    <row r="44" spans="1:65" x14ac:dyDescent="0.35">
      <c r="A44">
        <f t="shared" si="22"/>
        <v>41</v>
      </c>
      <c r="B44">
        <v>1.4212799999999999E-2</v>
      </c>
      <c r="C44">
        <v>5.2272000000000004E-3</v>
      </c>
      <c r="D44">
        <v>3.3535000000000001E-3</v>
      </c>
      <c r="E44">
        <v>4.0381500000000001E-2</v>
      </c>
      <c r="F44">
        <v>0</v>
      </c>
      <c r="G44">
        <v>0</v>
      </c>
      <c r="H44">
        <v>0</v>
      </c>
      <c r="I44">
        <v>0</v>
      </c>
      <c r="J44">
        <v>3.0689695000000001</v>
      </c>
      <c r="K44">
        <v>0.99422509999999997</v>
      </c>
      <c r="L44">
        <v>0.54813650000000003</v>
      </c>
      <c r="M44">
        <v>5.6824133999999997</v>
      </c>
      <c r="N44">
        <v>3.0397443000000002</v>
      </c>
      <c r="O44">
        <v>0.99148610000000004</v>
      </c>
      <c r="P44">
        <v>0.54179809999999995</v>
      </c>
      <c r="Q44">
        <v>5.1700178000000001</v>
      </c>
      <c r="R44">
        <v>3.0906913999999999</v>
      </c>
      <c r="S44">
        <v>1.0019087</v>
      </c>
      <c r="T44">
        <v>0.55328379999999999</v>
      </c>
      <c r="U44">
        <v>5.7495697000000003</v>
      </c>
      <c r="V44">
        <v>3.0495575000000001</v>
      </c>
      <c r="W44">
        <v>0.99455190000000004</v>
      </c>
      <c r="X44">
        <v>0.54333569999999998</v>
      </c>
      <c r="Y44">
        <v>5.1877522000000003</v>
      </c>
      <c r="AA44" s="5">
        <f t="shared" si="17"/>
        <v>-1.4212799999999999E-2</v>
      </c>
      <c r="AB44" s="5">
        <f t="shared" si="17"/>
        <v>-5.2272000000000004E-3</v>
      </c>
      <c r="AC44" s="5">
        <f t="shared" si="17"/>
        <v>-3.3535000000000001E-3</v>
      </c>
      <c r="AD44" s="5">
        <f t="shared" si="17"/>
        <v>-4.0381500000000001E-2</v>
      </c>
      <c r="AE44" s="5">
        <f t="shared" si="18"/>
        <v>-2.9225199999999951E-2</v>
      </c>
      <c r="AF44" s="5">
        <f t="shared" si="18"/>
        <v>-2.7389999999999359E-3</v>
      </c>
      <c r="AG44" s="5">
        <f t="shared" si="18"/>
        <v>-6.3384000000000773E-3</v>
      </c>
      <c r="AH44" s="5">
        <f t="shared" si="18"/>
        <v>-0.51239559999999962</v>
      </c>
      <c r="AI44" s="5">
        <f t="shared" si="23"/>
        <v>2.3041000000002254E-3</v>
      </c>
      <c r="AJ44" s="5">
        <f t="shared" si="23"/>
        <v>6.0939999999999606E-4</v>
      </c>
      <c r="AK44" s="5">
        <f t="shared" si="23"/>
        <v>-2.5619999999993738E-4</v>
      </c>
      <c r="AL44" s="5">
        <f t="shared" si="23"/>
        <v>-9.0404000000005036E-3</v>
      </c>
      <c r="AM44" s="5"/>
      <c r="AN44" s="5"/>
      <c r="AO44" s="5"/>
      <c r="AP44" s="5"/>
      <c r="AQ44" s="5"/>
      <c r="AR44" s="5"/>
      <c r="AS44" s="5"/>
      <c r="AT44" s="5"/>
      <c r="AU44" s="5"/>
      <c r="AV44" s="5">
        <f t="shared" si="32"/>
        <v>2030.25</v>
      </c>
      <c r="AW44" s="3">
        <f t="shared" si="38"/>
        <v>-1.4054460435616427</v>
      </c>
      <c r="AX44" s="3">
        <f t="shared" si="39"/>
        <v>-0.79510238807188083</v>
      </c>
      <c r="AY44" s="3">
        <f t="shared" si="40"/>
        <v>-1.7517050020260991</v>
      </c>
      <c r="AZ44" s="3">
        <f t="shared" si="41"/>
        <v>-9.6142342617396146</v>
      </c>
      <c r="BA44" s="3">
        <f t="shared" si="42"/>
        <v>-1.3308963813080699</v>
      </c>
      <c r="BB44" s="3">
        <f t="shared" si="43"/>
        <v>-0.73427848266014073</v>
      </c>
      <c r="BC44" s="3">
        <f t="shared" si="44"/>
        <v>-1.7980103520110322</v>
      </c>
      <c r="BD44" s="3">
        <f t="shared" si="45"/>
        <v>-9.7714703762961612</v>
      </c>
      <c r="BE44" s="3">
        <f t="shared" si="46"/>
        <v>-0.87103811140768006</v>
      </c>
      <c r="BF44" s="3">
        <f t="shared" si="47"/>
        <v>-0.21255429761214309</v>
      </c>
      <c r="BG44" s="3">
        <f t="shared" si="48"/>
        <v>-1.1919018774813226</v>
      </c>
      <c r="BH44" s="3">
        <f t="shared" si="49"/>
        <v>-9.0691308603494356</v>
      </c>
      <c r="BI44" s="3">
        <f t="shared" si="50"/>
        <v>-0.94558777366125757</v>
      </c>
      <c r="BJ44" s="3">
        <f t="shared" si="51"/>
        <v>-0.27337820302388188</v>
      </c>
      <c r="BK44" s="3">
        <f t="shared" si="52"/>
        <v>-1.1455965274963911</v>
      </c>
      <c r="BL44" s="3">
        <f t="shared" si="53"/>
        <v>-8.9118947457928819</v>
      </c>
      <c r="BM44" s="2">
        <v>0</v>
      </c>
    </row>
    <row r="45" spans="1:65" x14ac:dyDescent="0.35">
      <c r="A45">
        <f t="shared" si="22"/>
        <v>42</v>
      </c>
      <c r="B45">
        <v>1.42054E-2</v>
      </c>
      <c r="C45">
        <v>5.2009999999999999E-3</v>
      </c>
      <c r="D45">
        <v>3.4221E-3</v>
      </c>
      <c r="E45">
        <v>4.0790199999999999E-2</v>
      </c>
      <c r="F45">
        <v>0</v>
      </c>
      <c r="G45">
        <v>0</v>
      </c>
      <c r="H45">
        <v>0</v>
      </c>
      <c r="I45">
        <v>0</v>
      </c>
      <c r="J45">
        <v>3.0690133999999998</v>
      </c>
      <c r="K45">
        <v>0.99427549999999998</v>
      </c>
      <c r="L45">
        <v>0.54808659999999998</v>
      </c>
      <c r="M45">
        <v>5.6819594000000002</v>
      </c>
      <c r="N45">
        <v>3.0400847</v>
      </c>
      <c r="O45">
        <v>0.99156829999999996</v>
      </c>
      <c r="P45">
        <v>0.54213409999999995</v>
      </c>
      <c r="Q45">
        <v>5.1792629999999997</v>
      </c>
      <c r="R45">
        <v>3.0906913999999999</v>
      </c>
      <c r="S45">
        <v>1.0019087</v>
      </c>
      <c r="T45">
        <v>0.55328379999999999</v>
      </c>
      <c r="U45">
        <v>5.7495697000000003</v>
      </c>
      <c r="V45">
        <v>3.0498286000000001</v>
      </c>
      <c r="W45">
        <v>0.99460269999999995</v>
      </c>
      <c r="X45">
        <v>0.54364159999999995</v>
      </c>
      <c r="Y45">
        <v>5.1970333999999996</v>
      </c>
      <c r="AA45" s="5">
        <f t="shared" si="17"/>
        <v>-1.42054E-2</v>
      </c>
      <c r="AB45" s="5">
        <f t="shared" si="17"/>
        <v>-5.2009999999999999E-3</v>
      </c>
      <c r="AC45" s="5">
        <f t="shared" si="17"/>
        <v>-3.4221E-3</v>
      </c>
      <c r="AD45" s="5">
        <f t="shared" si="17"/>
        <v>-4.0790199999999999E-2</v>
      </c>
      <c r="AE45" s="5">
        <f t="shared" si="18"/>
        <v>-2.8928699999999807E-2</v>
      </c>
      <c r="AF45" s="5">
        <f t="shared" si="18"/>
        <v>-2.7072000000000207E-3</v>
      </c>
      <c r="AG45" s="5">
        <f t="shared" si="18"/>
        <v>-5.9525000000000272E-3</v>
      </c>
      <c r="AH45" s="5">
        <f t="shared" si="18"/>
        <v>-0.50269640000000049</v>
      </c>
      <c r="AI45" s="5">
        <f t="shared" si="23"/>
        <v>2.2713000000000524E-3</v>
      </c>
      <c r="AJ45" s="5">
        <f t="shared" si="23"/>
        <v>6.0219999999998677E-4</v>
      </c>
      <c r="AK45" s="5">
        <f t="shared" si="23"/>
        <v>-2.6760000000001713E-4</v>
      </c>
      <c r="AL45" s="5">
        <f t="shared" si="23"/>
        <v>-9.0497000000002714E-3</v>
      </c>
      <c r="AM45" s="5"/>
      <c r="AN45" s="5"/>
      <c r="AO45" s="5"/>
      <c r="AP45" s="5"/>
      <c r="AQ45" s="5"/>
      <c r="AR45" s="5"/>
      <c r="AS45" s="5"/>
      <c r="AT45" s="5"/>
      <c r="AU45" s="5"/>
      <c r="AV45" s="5">
        <f t="shared" si="32"/>
        <v>2030.5</v>
      </c>
      <c r="AW45" s="3">
        <f t="shared" si="38"/>
        <v>-1.3956132922232161</v>
      </c>
      <c r="AX45" s="3">
        <f t="shared" si="39"/>
        <v>-0.7893134374419567</v>
      </c>
      <c r="AY45" s="3">
        <f t="shared" si="40"/>
        <v>-1.6943564948042991</v>
      </c>
      <c r="AZ45" s="3">
        <f t="shared" si="41"/>
        <v>-9.4526482564425738</v>
      </c>
      <c r="BA45" s="3">
        <f t="shared" si="42"/>
        <v>-1.3221248811835358</v>
      </c>
      <c r="BB45" s="3">
        <f t="shared" si="43"/>
        <v>-0.72920816038427805</v>
      </c>
      <c r="BC45" s="3">
        <f t="shared" si="44"/>
        <v>-1.7427222701984126</v>
      </c>
      <c r="BD45" s="3">
        <f t="shared" si="45"/>
        <v>-9.6100461222341682</v>
      </c>
      <c r="BE45" s="3">
        <f t="shared" si="46"/>
        <v>-0.86250603991067964</v>
      </c>
      <c r="BF45" s="3">
        <f t="shared" si="47"/>
        <v>-0.21009898406910965</v>
      </c>
      <c r="BG45" s="3">
        <f t="shared" si="48"/>
        <v>-1.1242150953995149</v>
      </c>
      <c r="BH45" s="3">
        <f t="shared" si="49"/>
        <v>-8.9005982482480501</v>
      </c>
      <c r="BI45" s="3">
        <f t="shared" si="50"/>
        <v>-0.93599445095035405</v>
      </c>
      <c r="BJ45" s="3">
        <f t="shared" si="51"/>
        <v>-0.27020426112678941</v>
      </c>
      <c r="BK45" s="3">
        <f t="shared" si="52"/>
        <v>-1.075849320005398</v>
      </c>
      <c r="BL45" s="3">
        <f t="shared" si="53"/>
        <v>-8.7432003824564557</v>
      </c>
      <c r="BM45" s="2">
        <v>0</v>
      </c>
    </row>
    <row r="46" spans="1:65" x14ac:dyDescent="0.35">
      <c r="A46">
        <f t="shared" si="22"/>
        <v>43</v>
      </c>
      <c r="B46">
        <v>1.37436E-2</v>
      </c>
      <c r="C46">
        <v>4.9442000000000002E-3</v>
      </c>
      <c r="D46">
        <v>1.4729999999999999E-3</v>
      </c>
      <c r="E46">
        <v>4.0678800000000001E-2</v>
      </c>
      <c r="F46">
        <v>0</v>
      </c>
      <c r="G46">
        <v>0</v>
      </c>
      <c r="H46">
        <v>0</v>
      </c>
      <c r="I46">
        <v>0</v>
      </c>
      <c r="J46">
        <v>3.0695112</v>
      </c>
      <c r="K46">
        <v>0.99455559999999998</v>
      </c>
      <c r="L46">
        <v>0.55005879999999996</v>
      </c>
      <c r="M46">
        <v>5.6820633000000003</v>
      </c>
      <c r="N46">
        <v>3.0409446999999998</v>
      </c>
      <c r="O46">
        <v>0.99190489999999998</v>
      </c>
      <c r="P46">
        <v>0.5428501</v>
      </c>
      <c r="Q46">
        <v>5.1895522999999999</v>
      </c>
      <c r="R46">
        <v>3.0906913999999999</v>
      </c>
      <c r="S46">
        <v>1.0019087</v>
      </c>
      <c r="T46">
        <v>0.55328379999999999</v>
      </c>
      <c r="U46">
        <v>5.7495697000000003</v>
      </c>
      <c r="V46">
        <v>3.0506177999999999</v>
      </c>
      <c r="W46">
        <v>0.99490800000000001</v>
      </c>
      <c r="X46">
        <v>0.54433209999999999</v>
      </c>
      <c r="Y46">
        <v>5.2073429999999998</v>
      </c>
      <c r="AA46" s="5">
        <f t="shared" si="17"/>
        <v>-1.37436E-2</v>
      </c>
      <c r="AB46" s="5">
        <f t="shared" si="17"/>
        <v>-4.9442000000000002E-3</v>
      </c>
      <c r="AC46" s="5">
        <f t="shared" si="17"/>
        <v>-1.4729999999999999E-3</v>
      </c>
      <c r="AD46" s="5">
        <f t="shared" si="17"/>
        <v>-4.0678800000000001E-2</v>
      </c>
      <c r="AE46" s="5">
        <f t="shared" si="18"/>
        <v>-2.8566500000000161E-2</v>
      </c>
      <c r="AF46" s="5">
        <f t="shared" si="18"/>
        <v>-2.6507000000000058E-3</v>
      </c>
      <c r="AG46" s="5">
        <f t="shared" si="18"/>
        <v>-7.2086999999999568E-3</v>
      </c>
      <c r="AH46" s="5">
        <f t="shared" si="18"/>
        <v>-0.49251100000000037</v>
      </c>
      <c r="AI46" s="5">
        <f t="shared" si="23"/>
        <v>2.2365000000002314E-3</v>
      </c>
      <c r="AJ46" s="5">
        <f t="shared" si="23"/>
        <v>5.9420000000003515E-4</v>
      </c>
      <c r="AK46" s="5">
        <f t="shared" si="23"/>
        <v>-2.7000000000004971E-4</v>
      </c>
      <c r="AL46" s="5">
        <f t="shared" si="23"/>
        <v>-9.0369000000001254E-3</v>
      </c>
      <c r="AM46" s="5"/>
      <c r="AN46" s="5"/>
      <c r="AO46" s="5"/>
      <c r="AP46" s="5"/>
      <c r="AQ46" s="5"/>
      <c r="AR46" s="5"/>
      <c r="AS46" s="5"/>
      <c r="AT46" s="5"/>
      <c r="AU46" s="5"/>
      <c r="AV46" s="5">
        <f t="shared" si="32"/>
        <v>2030.75</v>
      </c>
      <c r="AW46" s="3">
        <f t="shared" si="38"/>
        <v>-1.3689525909963112</v>
      </c>
      <c r="AX46" s="3">
        <f t="shared" si="39"/>
        <v>-0.75804312309095689</v>
      </c>
      <c r="AY46" s="3">
        <f t="shared" si="40"/>
        <v>-1.5691223925225999</v>
      </c>
      <c r="AZ46" s="3">
        <f t="shared" si="41"/>
        <v>-9.2735600718085109</v>
      </c>
      <c r="BA46" s="3">
        <f t="shared" si="42"/>
        <v>-1.2965901416103831</v>
      </c>
      <c r="BB46" s="3">
        <f t="shared" si="43"/>
        <v>-0.69873632198222957</v>
      </c>
      <c r="BC46" s="3">
        <f t="shared" si="44"/>
        <v>-1.6179219416870703</v>
      </c>
      <c r="BD46" s="3">
        <f t="shared" si="45"/>
        <v>-9.430735312244332</v>
      </c>
      <c r="BE46" s="3">
        <f t="shared" si="46"/>
        <v>-0.8519129409037649</v>
      </c>
      <c r="BF46" s="3">
        <f t="shared" si="47"/>
        <v>-0.20525822362856183</v>
      </c>
      <c r="BG46" s="3">
        <f t="shared" si="48"/>
        <v>-1.3516932901342964</v>
      </c>
      <c r="BH46" s="3">
        <f t="shared" si="49"/>
        <v>-8.7232249745576649</v>
      </c>
      <c r="BI46" s="3">
        <f t="shared" si="50"/>
        <v>-0.92427539028969907</v>
      </c>
      <c r="BJ46" s="3">
        <f t="shared" si="51"/>
        <v>-0.26456502473728449</v>
      </c>
      <c r="BK46" s="3">
        <f t="shared" si="52"/>
        <v>-1.3028937409698162</v>
      </c>
      <c r="BL46" s="3">
        <f t="shared" si="53"/>
        <v>-8.5660497341218491</v>
      </c>
      <c r="BM46" s="2">
        <v>0</v>
      </c>
    </row>
    <row r="47" spans="1:65" x14ac:dyDescent="0.35">
      <c r="A47">
        <f t="shared" si="22"/>
        <v>44</v>
      </c>
      <c r="B47">
        <v>1.34325E-2</v>
      </c>
      <c r="C47">
        <v>4.7784999999999998E-3</v>
      </c>
      <c r="D47">
        <v>1.4139999999999999E-3</v>
      </c>
      <c r="E47">
        <v>4.0412400000000001E-2</v>
      </c>
      <c r="F47">
        <v>0</v>
      </c>
      <c r="G47">
        <v>0</v>
      </c>
      <c r="H47">
        <v>0</v>
      </c>
      <c r="I47">
        <v>0</v>
      </c>
      <c r="J47">
        <v>3.0698587000000002</v>
      </c>
      <c r="K47">
        <v>0.99474410000000002</v>
      </c>
      <c r="L47">
        <v>0.550145</v>
      </c>
      <c r="M47">
        <v>5.6823617999999998</v>
      </c>
      <c r="N47">
        <v>3.0414924999999999</v>
      </c>
      <c r="O47">
        <v>0.99206490000000003</v>
      </c>
      <c r="P47">
        <v>0.54338109999999995</v>
      </c>
      <c r="Q47">
        <v>5.1995925999999999</v>
      </c>
      <c r="R47">
        <v>3.0906913999999999</v>
      </c>
      <c r="S47">
        <v>1.0019087</v>
      </c>
      <c r="T47">
        <v>0.55328379999999999</v>
      </c>
      <c r="U47">
        <v>5.7495697000000003</v>
      </c>
      <c r="V47">
        <v>3.0510948999999998</v>
      </c>
      <c r="W47">
        <v>0.99503730000000001</v>
      </c>
      <c r="X47">
        <v>0.54484460000000001</v>
      </c>
      <c r="Y47">
        <v>5.2173818000000001</v>
      </c>
      <c r="AA47" s="5">
        <f t="shared" si="17"/>
        <v>-1.34325E-2</v>
      </c>
      <c r="AB47" s="5">
        <f t="shared" si="17"/>
        <v>-4.7784999999999998E-3</v>
      </c>
      <c r="AC47" s="5">
        <f t="shared" si="17"/>
        <v>-1.4139999999999999E-3</v>
      </c>
      <c r="AD47" s="5">
        <f t="shared" si="17"/>
        <v>-4.0412400000000001E-2</v>
      </c>
      <c r="AE47" s="5">
        <f t="shared" si="18"/>
        <v>-2.836620000000023E-2</v>
      </c>
      <c r="AF47" s="5">
        <f t="shared" si="18"/>
        <v>-2.6791999999999927E-3</v>
      </c>
      <c r="AG47" s="5">
        <f t="shared" si="18"/>
        <v>-6.7639000000000449E-3</v>
      </c>
      <c r="AH47" s="5">
        <f t="shared" si="18"/>
        <v>-0.4827691999999999</v>
      </c>
      <c r="AI47" s="5">
        <f t="shared" si="23"/>
        <v>2.2022000000001957E-3</v>
      </c>
      <c r="AJ47" s="5">
        <f t="shared" si="23"/>
        <v>5.8630000000002049E-4</v>
      </c>
      <c r="AK47" s="5">
        <f t="shared" si="23"/>
        <v>-2.6129999999993485E-4</v>
      </c>
      <c r="AL47" s="5">
        <f t="shared" si="23"/>
        <v>-9.0063000000003557E-3</v>
      </c>
      <c r="AM47" s="5"/>
      <c r="AN47" s="5"/>
      <c r="AO47" s="5"/>
      <c r="AP47" s="5"/>
      <c r="AQ47" s="5"/>
      <c r="AR47" s="5"/>
      <c r="AS47" s="5"/>
      <c r="AT47" s="5"/>
      <c r="AU47" s="5"/>
      <c r="AV47" s="5">
        <f t="shared" si="32"/>
        <v>2031</v>
      </c>
      <c r="AW47" s="3">
        <f t="shared" si="38"/>
        <v>-1.3524061315212588</v>
      </c>
      <c r="AX47" s="3">
        <f t="shared" si="39"/>
        <v>-0.74434926056635631</v>
      </c>
      <c r="AY47" s="3">
        <f t="shared" si="40"/>
        <v>-1.4780660485631507</v>
      </c>
      <c r="AZ47" s="3">
        <f t="shared" si="41"/>
        <v>-9.0994913932428698</v>
      </c>
      <c r="BA47" s="3">
        <f t="shared" si="42"/>
        <v>-1.2811534661791222</v>
      </c>
      <c r="BB47" s="3">
        <f t="shared" si="43"/>
        <v>-0.68583095445722475</v>
      </c>
      <c r="BC47" s="3">
        <f t="shared" si="44"/>
        <v>-1.5252931678100787</v>
      </c>
      <c r="BD47" s="3">
        <f t="shared" si="45"/>
        <v>-9.2561344199375526</v>
      </c>
      <c r="BE47" s="3">
        <f t="shared" si="46"/>
        <v>-0.84654197439446965</v>
      </c>
      <c r="BF47" s="3">
        <f t="shared" si="47"/>
        <v>-0.20889128919630634</v>
      </c>
      <c r="BG47" s="3">
        <f t="shared" si="48"/>
        <v>-1.26972812144508</v>
      </c>
      <c r="BH47" s="3">
        <f t="shared" si="49"/>
        <v>-8.553257472467898</v>
      </c>
      <c r="BI47" s="3">
        <f t="shared" si="50"/>
        <v>-0.91779463973660491</v>
      </c>
      <c r="BJ47" s="3">
        <f t="shared" si="51"/>
        <v>-0.26740959530543978</v>
      </c>
      <c r="BK47" s="3">
        <f t="shared" si="52"/>
        <v>-1.2225010021981568</v>
      </c>
      <c r="BL47" s="3">
        <f t="shared" si="53"/>
        <v>-8.396614445773217</v>
      </c>
      <c r="BM47" s="2">
        <v>0</v>
      </c>
    </row>
    <row r="48" spans="1:65" x14ac:dyDescent="0.35">
      <c r="A48">
        <f t="shared" si="22"/>
        <v>45</v>
      </c>
      <c r="B48">
        <v>1.31278E-2</v>
      </c>
      <c r="C48">
        <v>4.6204000000000002E-3</v>
      </c>
      <c r="D48">
        <v>1.5964E-3</v>
      </c>
      <c r="E48">
        <v>4.0168500000000003E-2</v>
      </c>
      <c r="F48">
        <v>0</v>
      </c>
      <c r="G48">
        <v>0</v>
      </c>
      <c r="H48">
        <v>0</v>
      </c>
      <c r="I48">
        <v>0</v>
      </c>
      <c r="J48">
        <v>3.0701999999999998</v>
      </c>
      <c r="K48">
        <v>0.99492440000000004</v>
      </c>
      <c r="L48">
        <v>0.54999299999999995</v>
      </c>
      <c r="M48">
        <v>5.6826778999999998</v>
      </c>
      <c r="N48">
        <v>3.0420354000000001</v>
      </c>
      <c r="O48">
        <v>0.99218629999999997</v>
      </c>
      <c r="P48">
        <v>0.54378610000000005</v>
      </c>
      <c r="Q48">
        <v>5.2098447999999999</v>
      </c>
      <c r="R48">
        <v>3.0906913999999999</v>
      </c>
      <c r="S48">
        <v>1.0019087</v>
      </c>
      <c r="T48">
        <v>0.55328379999999999</v>
      </c>
      <c r="U48">
        <v>5.7495697000000003</v>
      </c>
      <c r="V48">
        <v>3.0515671000000002</v>
      </c>
      <c r="W48">
        <v>0.99512860000000003</v>
      </c>
      <c r="X48">
        <v>0.54522300000000001</v>
      </c>
      <c r="Y48">
        <v>5.2276110999999998</v>
      </c>
      <c r="AA48" s="5">
        <f t="shared" si="17"/>
        <v>-1.31278E-2</v>
      </c>
      <c r="AB48" s="5">
        <f t="shared" si="17"/>
        <v>-4.6204000000000002E-3</v>
      </c>
      <c r="AC48" s="5">
        <f t="shared" si="17"/>
        <v>-1.5964E-3</v>
      </c>
      <c r="AD48" s="5">
        <f t="shared" si="17"/>
        <v>-4.0168500000000003E-2</v>
      </c>
      <c r="AE48" s="5">
        <f t="shared" si="18"/>
        <v>-2.8164599999999762E-2</v>
      </c>
      <c r="AF48" s="5">
        <f t="shared" si="18"/>
        <v>-2.7381000000000766E-3</v>
      </c>
      <c r="AG48" s="5">
        <f t="shared" si="18"/>
        <v>-6.2068999999999042E-3</v>
      </c>
      <c r="AH48" s="5">
        <f t="shared" si="18"/>
        <v>-0.4728330999999999</v>
      </c>
      <c r="AI48" s="5">
        <f t="shared" si="23"/>
        <v>2.1681000000000963E-3</v>
      </c>
      <c r="AJ48" s="5">
        <f t="shared" si="23"/>
        <v>5.7840000000012118E-4</v>
      </c>
      <c r="AK48" s="5">
        <f t="shared" si="23"/>
        <v>-2.5750000000007538E-4</v>
      </c>
      <c r="AL48" s="5">
        <f t="shared" si="23"/>
        <v>-8.9570000000005479E-3</v>
      </c>
      <c r="AM48" s="5"/>
      <c r="AN48" s="5"/>
      <c r="AO48" s="5"/>
      <c r="AP48" s="5"/>
      <c r="AQ48" s="5"/>
      <c r="AR48" s="5"/>
      <c r="AS48" s="5"/>
      <c r="AT48" s="5"/>
      <c r="AU48" s="5"/>
      <c r="AV48" s="5">
        <f t="shared" si="32"/>
        <v>2031.25</v>
      </c>
      <c r="AW48" s="3">
        <f t="shared" si="38"/>
        <v>-1.3360246836678604</v>
      </c>
      <c r="AX48" s="3">
        <f t="shared" si="39"/>
        <v>-0.73444815879930747</v>
      </c>
      <c r="AY48" s="3">
        <f t="shared" si="40"/>
        <v>-1.4103611925742094</v>
      </c>
      <c r="AZ48" s="3">
        <f t="shared" si="41"/>
        <v>-8.9224346649802317</v>
      </c>
      <c r="BA48" s="3">
        <f t="shared" si="42"/>
        <v>-1.2658753313255302</v>
      </c>
      <c r="BB48" s="3">
        <f t="shared" si="43"/>
        <v>-0.67671834768976014</v>
      </c>
      <c r="BC48" s="3">
        <f t="shared" si="44"/>
        <v>-1.4569015033514408</v>
      </c>
      <c r="BD48" s="3">
        <f t="shared" si="45"/>
        <v>-9.0782202362030766</v>
      </c>
      <c r="BE48" s="3">
        <f t="shared" si="46"/>
        <v>-0.84112247505524995</v>
      </c>
      <c r="BF48" s="3">
        <f t="shared" si="47"/>
        <v>-0.21555856337009416</v>
      </c>
      <c r="BG48" s="3">
        <f t="shared" si="48"/>
        <v>-1.1683696504397789</v>
      </c>
      <c r="BH48" s="3">
        <f t="shared" si="49"/>
        <v>-8.3795853453172402</v>
      </c>
      <c r="BI48" s="3">
        <f t="shared" si="50"/>
        <v>-0.91127182739757717</v>
      </c>
      <c r="BJ48" s="3">
        <f t="shared" si="51"/>
        <v>-0.27328837447963839</v>
      </c>
      <c r="BK48" s="3">
        <f t="shared" si="52"/>
        <v>-1.1218293396625574</v>
      </c>
      <c r="BL48" s="3">
        <f t="shared" si="53"/>
        <v>-8.2237997740943971</v>
      </c>
      <c r="BM48" s="2">
        <v>0</v>
      </c>
    </row>
    <row r="49" spans="1:65" x14ac:dyDescent="0.35">
      <c r="A49">
        <f t="shared" si="22"/>
        <v>46</v>
      </c>
      <c r="B49">
        <v>1.2869200000000001E-2</v>
      </c>
      <c r="C49">
        <v>4.4860000000000004E-3</v>
      </c>
      <c r="D49">
        <v>1.7909E-3</v>
      </c>
      <c r="E49">
        <v>3.99703E-2</v>
      </c>
      <c r="F49">
        <v>0</v>
      </c>
      <c r="G49">
        <v>0</v>
      </c>
      <c r="H49">
        <v>0</v>
      </c>
      <c r="I49">
        <v>0</v>
      </c>
      <c r="J49">
        <v>3.0704959000000001</v>
      </c>
      <c r="K49">
        <v>0.99508059999999998</v>
      </c>
      <c r="L49">
        <v>0.54983150000000003</v>
      </c>
      <c r="M49">
        <v>5.6829885999999998</v>
      </c>
      <c r="N49">
        <v>3.0426687000000001</v>
      </c>
      <c r="O49">
        <v>0.99233789999999999</v>
      </c>
      <c r="P49">
        <v>0.54431269999999998</v>
      </c>
      <c r="Q49">
        <v>5.2200015999999998</v>
      </c>
      <c r="R49">
        <v>3.0906913999999999</v>
      </c>
      <c r="S49">
        <v>1.0019087</v>
      </c>
      <c r="T49">
        <v>0.55328379999999999</v>
      </c>
      <c r="U49">
        <v>5.7495697000000003</v>
      </c>
      <c r="V49">
        <v>3.0521289999999999</v>
      </c>
      <c r="W49">
        <v>0.99525030000000003</v>
      </c>
      <c r="X49">
        <v>0.54571760000000002</v>
      </c>
      <c r="Y49">
        <v>5.2377197999999998</v>
      </c>
      <c r="AA49" s="5">
        <f t="shared" si="17"/>
        <v>-1.2869200000000001E-2</v>
      </c>
      <c r="AB49" s="5">
        <f t="shared" si="17"/>
        <v>-4.4860000000000004E-3</v>
      </c>
      <c r="AC49" s="5">
        <f t="shared" si="17"/>
        <v>-1.7909E-3</v>
      </c>
      <c r="AD49" s="5">
        <f t="shared" si="17"/>
        <v>-3.99703E-2</v>
      </c>
      <c r="AE49" s="5">
        <f t="shared" si="18"/>
        <v>-2.7827199999999941E-2</v>
      </c>
      <c r="AF49" s="5">
        <f t="shared" si="18"/>
        <v>-2.7426999999999868E-3</v>
      </c>
      <c r="AG49" s="5">
        <f t="shared" si="18"/>
        <v>-5.5188000000000459E-3</v>
      </c>
      <c r="AH49" s="5">
        <f t="shared" si="18"/>
        <v>-0.46298700000000004</v>
      </c>
      <c r="AI49" s="5">
        <f t="shared" si="23"/>
        <v>2.1339999999999415E-3</v>
      </c>
      <c r="AJ49" s="5">
        <f t="shared" si="23"/>
        <v>5.7030000000003397E-4</v>
      </c>
      <c r="AK49" s="5">
        <f t="shared" si="23"/>
        <v>-2.5649999999992172E-4</v>
      </c>
      <c r="AL49" s="5">
        <f t="shared" si="23"/>
        <v>-8.8926000000004723E-3</v>
      </c>
      <c r="AM49" s="5"/>
      <c r="AN49" s="5"/>
      <c r="AO49" s="5"/>
      <c r="AP49" s="5"/>
      <c r="AQ49" s="5"/>
      <c r="AR49" s="5"/>
      <c r="AS49" s="5"/>
      <c r="AT49" s="5"/>
      <c r="AU49" s="5"/>
      <c r="AV49" s="5">
        <f t="shared" si="32"/>
        <v>2031.5</v>
      </c>
      <c r="AW49" s="3">
        <f t="shared" si="38"/>
        <v>-1.3167409725862613</v>
      </c>
      <c r="AX49" s="3">
        <f t="shared" si="39"/>
        <v>-0.72149288652748367</v>
      </c>
      <c r="AY49" s="3">
        <f t="shared" si="40"/>
        <v>-1.3211483871387606</v>
      </c>
      <c r="AZ49" s="3">
        <f t="shared" si="41"/>
        <v>-8.7477381133408993</v>
      </c>
      <c r="BA49" s="3">
        <f t="shared" si="42"/>
        <v>-1.2476949332437395</v>
      </c>
      <c r="BB49" s="3">
        <f t="shared" si="43"/>
        <v>-0.66457153231626331</v>
      </c>
      <c r="BC49" s="3">
        <f t="shared" si="44"/>
        <v>-1.3675079588449848</v>
      </c>
      <c r="BD49" s="3">
        <f t="shared" si="45"/>
        <v>-8.9024036007425131</v>
      </c>
      <c r="BE49" s="3">
        <f t="shared" si="46"/>
        <v>-0.8313091368487997</v>
      </c>
      <c r="BF49" s="3">
        <f t="shared" si="47"/>
        <v>-0.21682614393905986</v>
      </c>
      <c r="BG49" s="3">
        <f t="shared" si="48"/>
        <v>-1.0438223566278153</v>
      </c>
      <c r="BH49" s="3">
        <f t="shared" si="49"/>
        <v>-8.2072159243499616</v>
      </c>
      <c r="BI49" s="3">
        <f t="shared" si="50"/>
        <v>-0.90035517619131888</v>
      </c>
      <c r="BJ49" s="3">
        <f t="shared" si="51"/>
        <v>-0.27374749815027921</v>
      </c>
      <c r="BK49" s="3">
        <f t="shared" si="52"/>
        <v>-0.99746278492159823</v>
      </c>
      <c r="BL49" s="3">
        <f t="shared" si="53"/>
        <v>-8.0525504369483514</v>
      </c>
      <c r="BM49" s="2">
        <v>0</v>
      </c>
    </row>
    <row r="50" spans="1:65" x14ac:dyDescent="0.35">
      <c r="A50">
        <f t="shared" si="22"/>
        <v>47</v>
      </c>
      <c r="B50">
        <v>1.26444E-2</v>
      </c>
      <c r="C50">
        <v>4.3683999999999997E-3</v>
      </c>
      <c r="D50">
        <v>1.9284E-3</v>
      </c>
      <c r="E50">
        <v>3.9800799999999997E-2</v>
      </c>
      <c r="F50">
        <v>0</v>
      </c>
      <c r="G50">
        <v>0</v>
      </c>
      <c r="H50">
        <v>0</v>
      </c>
      <c r="I50">
        <v>0</v>
      </c>
      <c r="J50">
        <v>3.0707588000000001</v>
      </c>
      <c r="K50">
        <v>0.99521959999999998</v>
      </c>
      <c r="L50">
        <v>0.54972929999999998</v>
      </c>
      <c r="M50">
        <v>5.6833106999999998</v>
      </c>
      <c r="N50">
        <v>3.0431599999999999</v>
      </c>
      <c r="O50">
        <v>0.99242180000000002</v>
      </c>
      <c r="P50">
        <v>0.54464089999999998</v>
      </c>
      <c r="Q50">
        <v>5.2300654</v>
      </c>
      <c r="R50">
        <v>3.0906913999999999</v>
      </c>
      <c r="S50">
        <v>1.0019087</v>
      </c>
      <c r="T50">
        <v>0.55328379999999999</v>
      </c>
      <c r="U50">
        <v>5.7495697000000003</v>
      </c>
      <c r="V50">
        <v>3.0525481999999999</v>
      </c>
      <c r="W50">
        <v>0.99530470000000004</v>
      </c>
      <c r="X50">
        <v>0.54601920000000004</v>
      </c>
      <c r="Y50">
        <v>5.2477152</v>
      </c>
      <c r="AA50" s="5">
        <f t="shared" si="17"/>
        <v>-1.26444E-2</v>
      </c>
      <c r="AB50" s="5">
        <f t="shared" si="17"/>
        <v>-4.3683999999999997E-3</v>
      </c>
      <c r="AC50" s="5">
        <f t="shared" si="17"/>
        <v>-1.9284E-3</v>
      </c>
      <c r="AD50" s="5">
        <f t="shared" si="17"/>
        <v>-3.9800799999999997E-2</v>
      </c>
      <c r="AE50" s="5">
        <f t="shared" si="18"/>
        <v>-2.7598800000000256E-2</v>
      </c>
      <c r="AF50" s="5">
        <f t="shared" si="18"/>
        <v>-2.7977999999999614E-3</v>
      </c>
      <c r="AG50" s="5">
        <f t="shared" si="18"/>
        <v>-5.0883999999999929E-3</v>
      </c>
      <c r="AH50" s="5">
        <f t="shared" si="18"/>
        <v>-0.45324529999999985</v>
      </c>
      <c r="AI50" s="5">
        <f t="shared" si="23"/>
        <v>2.1000000000003238E-3</v>
      </c>
      <c r="AJ50" s="5">
        <f t="shared" si="23"/>
        <v>5.6220000000001789E-4</v>
      </c>
      <c r="AK50" s="5">
        <f t="shared" si="23"/>
        <v>-2.4779999999996125E-4</v>
      </c>
      <c r="AL50" s="5">
        <f t="shared" si="23"/>
        <v>-8.8084000000004936E-3</v>
      </c>
      <c r="AM50" s="5"/>
      <c r="AN50" s="5"/>
      <c r="AO50" s="5"/>
      <c r="AP50" s="5"/>
      <c r="AQ50" s="5"/>
      <c r="AR50" s="5"/>
      <c r="AS50" s="5"/>
      <c r="AT50" s="5"/>
      <c r="AU50" s="5"/>
      <c r="AV50" s="5">
        <f t="shared" si="32"/>
        <v>2031.75</v>
      </c>
      <c r="AW50" s="3">
        <f t="shared" si="38"/>
        <v>-1.3020775869114678</v>
      </c>
      <c r="AX50" s="3">
        <f t="shared" si="39"/>
        <v>-0.71525479317626062</v>
      </c>
      <c r="AY50" s="3">
        <f t="shared" si="40"/>
        <v>-1.2682099132488596</v>
      </c>
      <c r="AZ50" s="3">
        <f t="shared" si="41"/>
        <v>-8.5753565175494746</v>
      </c>
      <c r="BA50" s="3">
        <f t="shared" si="42"/>
        <v>-1.2341316250467431</v>
      </c>
      <c r="BB50" s="3">
        <f t="shared" si="43"/>
        <v>-0.65914189586335992</v>
      </c>
      <c r="BC50" s="3">
        <f t="shared" si="44"/>
        <v>-1.3129970550375691</v>
      </c>
      <c r="BD50" s="3">
        <f t="shared" si="45"/>
        <v>-8.7285575475326489</v>
      </c>
      <c r="BE50" s="3">
        <f t="shared" si="46"/>
        <v>-0.82501928209331488</v>
      </c>
      <c r="BF50" s="3">
        <f t="shared" si="47"/>
        <v>-0.22313410393580704</v>
      </c>
      <c r="BG50" s="3">
        <f t="shared" si="48"/>
        <v>-0.96445983056071805</v>
      </c>
      <c r="BH50" s="3">
        <f t="shared" si="49"/>
        <v>-8.0363179178434905</v>
      </c>
      <c r="BI50" s="3">
        <f t="shared" si="50"/>
        <v>-0.89296524395804311</v>
      </c>
      <c r="BJ50" s="3">
        <f t="shared" si="51"/>
        <v>-0.27924700124871271</v>
      </c>
      <c r="BK50" s="3">
        <f t="shared" si="52"/>
        <v>-0.91967268877201769</v>
      </c>
      <c r="BL50" s="3">
        <f t="shared" si="53"/>
        <v>-7.8831168878603179</v>
      </c>
      <c r="BM50" s="2">
        <v>0</v>
      </c>
    </row>
    <row r="51" spans="1:65" x14ac:dyDescent="0.35">
      <c r="A51">
        <f t="shared" si="22"/>
        <v>48</v>
      </c>
      <c r="B51">
        <v>1.2446799999999999E-2</v>
      </c>
      <c r="C51">
        <v>4.2642000000000001E-3</v>
      </c>
      <c r="D51">
        <v>2.0477E-3</v>
      </c>
      <c r="E51">
        <v>3.9654599999999998E-2</v>
      </c>
      <c r="F51">
        <v>0</v>
      </c>
      <c r="G51">
        <v>0</v>
      </c>
      <c r="H51">
        <v>0</v>
      </c>
      <c r="I51">
        <v>0</v>
      </c>
      <c r="J51">
        <v>3.0709954000000002</v>
      </c>
      <c r="K51">
        <v>0.99534489999999998</v>
      </c>
      <c r="L51">
        <v>0.54964679999999999</v>
      </c>
      <c r="M51">
        <v>5.6836484</v>
      </c>
      <c r="N51">
        <v>3.0437346999999999</v>
      </c>
      <c r="O51">
        <v>0.99255459999999995</v>
      </c>
      <c r="P51">
        <v>0.54494580000000004</v>
      </c>
      <c r="Q51">
        <v>5.2401947</v>
      </c>
      <c r="R51">
        <v>3.0906913999999999</v>
      </c>
      <c r="S51">
        <v>1.0019087</v>
      </c>
      <c r="T51">
        <v>0.55328379999999999</v>
      </c>
      <c r="U51">
        <v>5.7495697000000003</v>
      </c>
      <c r="V51">
        <v>3.0530503000000002</v>
      </c>
      <c r="W51">
        <v>0.99540819999999997</v>
      </c>
      <c r="X51">
        <v>0.54629450000000002</v>
      </c>
      <c r="Y51">
        <v>5.2577533000000001</v>
      </c>
      <c r="AA51" s="5">
        <f t="shared" si="17"/>
        <v>-1.2446799999999999E-2</v>
      </c>
      <c r="AB51" s="5">
        <f t="shared" si="17"/>
        <v>-4.2642000000000001E-3</v>
      </c>
      <c r="AC51" s="5">
        <f t="shared" si="17"/>
        <v>-2.0477E-3</v>
      </c>
      <c r="AD51" s="5">
        <f t="shared" si="17"/>
        <v>-3.9654599999999998E-2</v>
      </c>
      <c r="AE51" s="5">
        <f t="shared" si="18"/>
        <v>-2.7260700000000249E-2</v>
      </c>
      <c r="AF51" s="5">
        <f t="shared" si="18"/>
        <v>-2.7903000000000233E-3</v>
      </c>
      <c r="AG51" s="5">
        <f t="shared" si="18"/>
        <v>-4.7009999999999552E-3</v>
      </c>
      <c r="AH51" s="5">
        <f t="shared" si="18"/>
        <v>-0.44345370000000006</v>
      </c>
      <c r="AI51" s="5">
        <f t="shared" si="23"/>
        <v>2.0664000000005997E-3</v>
      </c>
      <c r="AJ51" s="5">
        <f t="shared" si="23"/>
        <v>5.5400000000000327E-4</v>
      </c>
      <c r="AK51" s="5">
        <f t="shared" si="23"/>
        <v>-2.4060000000002135E-4</v>
      </c>
      <c r="AL51" s="5">
        <f t="shared" si="23"/>
        <v>-8.7081000000002184E-3</v>
      </c>
      <c r="AM51" s="5"/>
      <c r="AN51" s="5"/>
      <c r="AO51" s="5"/>
      <c r="AP51" s="5"/>
      <c r="AQ51" s="5"/>
      <c r="AR51" s="5"/>
      <c r="AS51" s="5"/>
      <c r="AT51" s="5"/>
      <c r="AU51" s="5"/>
      <c r="AV51" s="5">
        <f t="shared" si="32"/>
        <v>2032</v>
      </c>
      <c r="AW51" s="3">
        <f t="shared" si="38"/>
        <v>-1.2847448955919782</v>
      </c>
      <c r="AX51" s="3">
        <f t="shared" si="39"/>
        <v>-0.70410607273896553</v>
      </c>
      <c r="AY51" s="3">
        <f t="shared" si="40"/>
        <v>-1.2197537683192521</v>
      </c>
      <c r="AZ51" s="3">
        <f t="shared" si="41"/>
        <v>-8.402512278440593</v>
      </c>
      <c r="BA51" s="3">
        <f t="shared" si="42"/>
        <v>-1.2178860691170801</v>
      </c>
      <c r="BB51" s="3">
        <f t="shared" si="43"/>
        <v>-0.64881161327374648</v>
      </c>
      <c r="BC51" s="3">
        <f t="shared" si="44"/>
        <v>-1.2632395887969206</v>
      </c>
      <c r="BD51" s="3">
        <f t="shared" si="45"/>
        <v>-8.5539688300500174</v>
      </c>
      <c r="BE51" s="3">
        <f t="shared" si="46"/>
        <v>-0.81516711762291927</v>
      </c>
      <c r="BF51" s="3">
        <f t="shared" si="47"/>
        <v>-0.22320397058134828</v>
      </c>
      <c r="BG51" s="3">
        <f t="shared" si="48"/>
        <v>-0.8931401931522287</v>
      </c>
      <c r="BH51" s="3">
        <f t="shared" si="49"/>
        <v>-7.8642719993463119</v>
      </c>
      <c r="BI51" s="3">
        <f t="shared" si="50"/>
        <v>-0.88202594409782387</v>
      </c>
      <c r="BJ51" s="3">
        <f t="shared" si="51"/>
        <v>-0.27849843004657243</v>
      </c>
      <c r="BK51" s="3">
        <f t="shared" si="52"/>
        <v>-0.8496543726745579</v>
      </c>
      <c r="BL51" s="3">
        <f t="shared" si="53"/>
        <v>-7.7128154477368982</v>
      </c>
      <c r="BM51" s="2">
        <v>0</v>
      </c>
    </row>
    <row r="52" spans="1:65" x14ac:dyDescent="0.35">
      <c r="A52">
        <f t="shared" si="22"/>
        <v>49</v>
      </c>
      <c r="B52">
        <v>1.22735E-2</v>
      </c>
      <c r="C52">
        <v>4.1720999999999998E-3</v>
      </c>
      <c r="D52">
        <v>2.1335E-3</v>
      </c>
      <c r="E52">
        <v>3.95181E-2</v>
      </c>
      <c r="F52">
        <v>0</v>
      </c>
      <c r="G52">
        <v>0</v>
      </c>
      <c r="H52">
        <v>0</v>
      </c>
      <c r="I52">
        <v>0</v>
      </c>
      <c r="J52">
        <v>3.0712085999999998</v>
      </c>
      <c r="K52">
        <v>0.99545790000000001</v>
      </c>
      <c r="L52">
        <v>0.54959910000000001</v>
      </c>
      <c r="M52">
        <v>5.6840140000000003</v>
      </c>
      <c r="N52">
        <v>3.0442600999999998</v>
      </c>
      <c r="O52">
        <v>0.99265380000000003</v>
      </c>
      <c r="P52">
        <v>0.54520659999999999</v>
      </c>
      <c r="Q52">
        <v>5.2495371000000004</v>
      </c>
      <c r="R52">
        <v>3.0906913999999999</v>
      </c>
      <c r="S52">
        <v>1.0019087</v>
      </c>
      <c r="T52">
        <v>0.55328379999999999</v>
      </c>
      <c r="U52">
        <v>5.7495697000000003</v>
      </c>
      <c r="V52">
        <v>3.0535025</v>
      </c>
      <c r="W52">
        <v>0.99547830000000004</v>
      </c>
      <c r="X52">
        <v>0.54652310000000004</v>
      </c>
      <c r="Y52">
        <v>5.2669768000000001</v>
      </c>
      <c r="AA52" s="5">
        <f t="shared" si="17"/>
        <v>-1.22735E-2</v>
      </c>
      <c r="AB52" s="5">
        <f t="shared" si="17"/>
        <v>-4.1720999999999998E-3</v>
      </c>
      <c r="AC52" s="5">
        <f t="shared" si="17"/>
        <v>-2.1335E-3</v>
      </c>
      <c r="AD52" s="5">
        <f t="shared" si="17"/>
        <v>-3.95181E-2</v>
      </c>
      <c r="AE52" s="5">
        <f t="shared" si="18"/>
        <v>-2.6948500000000042E-2</v>
      </c>
      <c r="AF52" s="5">
        <f t="shared" si="18"/>
        <v>-2.8040999999999761E-3</v>
      </c>
      <c r="AG52" s="5">
        <f t="shared" si="18"/>
        <v>-4.3925000000000214E-3</v>
      </c>
      <c r="AH52" s="5">
        <f t="shared" si="18"/>
        <v>-0.43447689999999994</v>
      </c>
      <c r="AI52" s="5">
        <f t="shared" si="23"/>
        <v>2.0331000000001834E-3</v>
      </c>
      <c r="AJ52" s="5">
        <f t="shared" si="23"/>
        <v>5.4580000000002855E-4</v>
      </c>
      <c r="AK52" s="5">
        <f t="shared" si="23"/>
        <v>-2.3469999999993149E-4</v>
      </c>
      <c r="AL52" s="5">
        <f t="shared" si="23"/>
        <v>-8.5979000000002692E-3</v>
      </c>
      <c r="AM52" s="5"/>
      <c r="AN52" s="5"/>
      <c r="AO52" s="5"/>
      <c r="AP52" s="5"/>
      <c r="AQ52" s="5"/>
      <c r="AR52" s="5"/>
      <c r="AS52" s="5"/>
      <c r="AT52" s="5"/>
      <c r="AU52" s="5"/>
      <c r="AV52" s="5">
        <f t="shared" si="32"/>
        <v>2032.25</v>
      </c>
      <c r="AW52" s="3">
        <f t="shared" si="38"/>
        <v>-1.2690364363132483</v>
      </c>
      <c r="AX52" s="3">
        <f t="shared" si="39"/>
        <v>-0.69629098938855161</v>
      </c>
      <c r="AY52" s="3">
        <f t="shared" si="40"/>
        <v>-1.1795031772121327</v>
      </c>
      <c r="AZ52" s="3">
        <f t="shared" si="41"/>
        <v>-8.244008242912507</v>
      </c>
      <c r="BA52" s="3">
        <f t="shared" si="42"/>
        <v>-1.2032550386622185</v>
      </c>
      <c r="BB52" s="3">
        <f t="shared" si="43"/>
        <v>-0.64181496777101021</v>
      </c>
      <c r="BC52" s="3">
        <f t="shared" si="44"/>
        <v>-1.2219226371710057</v>
      </c>
      <c r="BD52" s="3">
        <f t="shared" si="45"/>
        <v>-8.3935481293495791</v>
      </c>
      <c r="BE52" s="3">
        <f t="shared" si="46"/>
        <v>-0.80614324678289817</v>
      </c>
      <c r="BF52" s="3">
        <f t="shared" si="47"/>
        <v>-0.22539977944097456</v>
      </c>
      <c r="BG52" s="3">
        <f t="shared" si="48"/>
        <v>-0.83631582923626946</v>
      </c>
      <c r="BH52" s="3">
        <f t="shared" si="49"/>
        <v>-7.7062253893539152</v>
      </c>
      <c r="BI52" s="3">
        <f t="shared" si="50"/>
        <v>-0.87192464443392959</v>
      </c>
      <c r="BJ52" s="3">
        <f t="shared" si="51"/>
        <v>-0.27987580105851723</v>
      </c>
      <c r="BK52" s="3">
        <f t="shared" si="52"/>
        <v>-0.79389636927739826</v>
      </c>
      <c r="BL52" s="3">
        <f t="shared" si="53"/>
        <v>-7.556685502916852</v>
      </c>
      <c r="BM52" s="2">
        <v>0</v>
      </c>
    </row>
    <row r="53" spans="1:65" x14ac:dyDescent="0.35">
      <c r="A53">
        <f t="shared" si="22"/>
        <v>50</v>
      </c>
      <c r="B53">
        <v>1.2119599999999999E-2</v>
      </c>
      <c r="C53">
        <v>4.0898000000000002E-3</v>
      </c>
      <c r="D53">
        <v>2.1979E-3</v>
      </c>
      <c r="E53">
        <v>3.9382399999999998E-2</v>
      </c>
      <c r="F53">
        <v>0</v>
      </c>
      <c r="G53">
        <v>0</v>
      </c>
      <c r="H53">
        <v>0</v>
      </c>
      <c r="I53">
        <v>0</v>
      </c>
      <c r="J53">
        <v>3.0714036</v>
      </c>
      <c r="K53">
        <v>0.99556100000000003</v>
      </c>
      <c r="L53">
        <v>0.54957339999999999</v>
      </c>
      <c r="M53">
        <v>5.6844144999999999</v>
      </c>
      <c r="N53">
        <v>3.0447188000000001</v>
      </c>
      <c r="O53">
        <v>0.99271140000000002</v>
      </c>
      <c r="P53">
        <v>0.54550529999999997</v>
      </c>
      <c r="Q53">
        <v>5.2593626000000002</v>
      </c>
      <c r="R53">
        <v>3.0906913999999999</v>
      </c>
      <c r="S53">
        <v>1.0019087</v>
      </c>
      <c r="T53">
        <v>0.55328379999999999</v>
      </c>
      <c r="U53">
        <v>5.7495697000000003</v>
      </c>
      <c r="V53">
        <v>3.0538872000000001</v>
      </c>
      <c r="W53">
        <v>0.99550720000000004</v>
      </c>
      <c r="X53">
        <v>0.54677920000000002</v>
      </c>
      <c r="Y53">
        <v>5.2766590000000004</v>
      </c>
      <c r="AA53" s="5">
        <f t="shared" si="17"/>
        <v>-1.2119599999999999E-2</v>
      </c>
      <c r="AB53" s="5">
        <f t="shared" si="17"/>
        <v>-4.0898000000000002E-3</v>
      </c>
      <c r="AC53" s="5">
        <f t="shared" si="17"/>
        <v>-2.1979E-3</v>
      </c>
      <c r="AD53" s="5">
        <f t="shared" si="17"/>
        <v>-3.9382399999999998E-2</v>
      </c>
      <c r="AE53" s="5">
        <f t="shared" si="18"/>
        <v>-2.6684799999999953E-2</v>
      </c>
      <c r="AF53" s="5">
        <f t="shared" si="18"/>
        <v>-2.8496000000000077E-3</v>
      </c>
      <c r="AG53" s="5">
        <f t="shared" si="18"/>
        <v>-4.0681000000000189E-3</v>
      </c>
      <c r="AH53" s="5">
        <f t="shared" si="18"/>
        <v>-0.4250518999999997</v>
      </c>
      <c r="AI53" s="5">
        <f t="shared" si="23"/>
        <v>2.0002000000002226E-3</v>
      </c>
      <c r="AJ53" s="5">
        <f t="shared" si="23"/>
        <v>5.3790000000005899E-4</v>
      </c>
      <c r="AK53" s="5">
        <f t="shared" si="23"/>
        <v>-2.3859999999995257E-4</v>
      </c>
      <c r="AL53" s="5">
        <f t="shared" si="23"/>
        <v>-8.4764000000002171E-3</v>
      </c>
      <c r="AM53" s="5"/>
      <c r="AN53" s="5"/>
      <c r="AO53" s="5"/>
      <c r="AP53" s="5"/>
      <c r="AQ53" s="5"/>
      <c r="AR53" s="5"/>
      <c r="AS53" s="5"/>
      <c r="AT53" s="5"/>
      <c r="AU53" s="5"/>
      <c r="AV53" s="5">
        <f t="shared" si="32"/>
        <v>2032.5</v>
      </c>
      <c r="AW53" s="3">
        <f t="shared" si="38"/>
        <v>-1.255524896468148</v>
      </c>
      <c r="AX53" s="3">
        <f t="shared" si="39"/>
        <v>-0.69261800002335616</v>
      </c>
      <c r="AY53" s="3">
        <f t="shared" si="40"/>
        <v>-1.1325110187574658</v>
      </c>
      <c r="AZ53" s="3">
        <f t="shared" si="41"/>
        <v>-8.077722755495941</v>
      </c>
      <c r="BA53" s="3">
        <f t="shared" si="42"/>
        <v>-1.1908079855529974</v>
      </c>
      <c r="BB53" s="3">
        <f t="shared" si="43"/>
        <v>-0.63893047340540599</v>
      </c>
      <c r="BC53" s="3">
        <f t="shared" si="44"/>
        <v>-1.1756353610931627</v>
      </c>
      <c r="BD53" s="3">
        <f t="shared" si="45"/>
        <v>-8.2251494403137659</v>
      </c>
      <c r="BE53" s="3">
        <f t="shared" si="46"/>
        <v>-0.79867566202176032</v>
      </c>
      <c r="BF53" s="3">
        <f t="shared" si="47"/>
        <v>-0.2307296064002555</v>
      </c>
      <c r="BG53" s="3">
        <f t="shared" si="48"/>
        <v>-0.77838895698735378</v>
      </c>
      <c r="BH53" s="3">
        <f t="shared" si="49"/>
        <v>-7.540186876941414</v>
      </c>
      <c r="BI53" s="3">
        <f t="shared" si="50"/>
        <v>-0.86339257293691496</v>
      </c>
      <c r="BJ53" s="3">
        <f t="shared" si="51"/>
        <v>-0.28441713301820892</v>
      </c>
      <c r="BK53" s="3">
        <f t="shared" si="52"/>
        <v>-0.73526461465165238</v>
      </c>
      <c r="BL53" s="3">
        <f t="shared" si="53"/>
        <v>-7.392760192123589</v>
      </c>
      <c r="BM53" s="2">
        <v>0</v>
      </c>
    </row>
    <row r="54" spans="1:65" x14ac:dyDescent="0.35">
      <c r="A54">
        <f t="shared" si="22"/>
        <v>51</v>
      </c>
      <c r="B54">
        <v>1.19816E-2</v>
      </c>
      <c r="C54">
        <v>4.0155E-3</v>
      </c>
      <c r="D54">
        <v>2.2431999999999999E-3</v>
      </c>
      <c r="E54">
        <v>3.9239599999999999E-2</v>
      </c>
      <c r="F54">
        <v>0</v>
      </c>
      <c r="G54">
        <v>0</v>
      </c>
      <c r="H54">
        <v>0</v>
      </c>
      <c r="I54">
        <v>0</v>
      </c>
      <c r="J54">
        <v>3.0715838</v>
      </c>
      <c r="K54">
        <v>0.99565579999999998</v>
      </c>
      <c r="L54">
        <v>0.54956729999999998</v>
      </c>
      <c r="M54">
        <v>5.6848557</v>
      </c>
      <c r="N54">
        <v>3.0454110999999999</v>
      </c>
      <c r="O54">
        <v>0.99292429999999998</v>
      </c>
      <c r="P54">
        <v>0.54591970000000001</v>
      </c>
      <c r="Q54">
        <v>5.2687511000000002</v>
      </c>
      <c r="R54">
        <v>3.0906913999999999</v>
      </c>
      <c r="S54">
        <v>1.0019087</v>
      </c>
      <c r="T54">
        <v>0.55328379999999999</v>
      </c>
      <c r="U54">
        <v>5.7495697000000003</v>
      </c>
      <c r="V54">
        <v>3.0545040000000001</v>
      </c>
      <c r="W54">
        <v>0.9956912</v>
      </c>
      <c r="X54">
        <v>0.54716799999999999</v>
      </c>
      <c r="Y54">
        <v>5.2858837999999997</v>
      </c>
      <c r="AA54" s="5">
        <f t="shared" si="17"/>
        <v>-1.19816E-2</v>
      </c>
      <c r="AB54" s="5">
        <f t="shared" si="17"/>
        <v>-4.0155E-3</v>
      </c>
      <c r="AC54" s="5">
        <f t="shared" si="17"/>
        <v>-2.2431999999999999E-3</v>
      </c>
      <c r="AD54" s="5">
        <f t="shared" si="17"/>
        <v>-3.9239599999999999E-2</v>
      </c>
      <c r="AE54" s="5">
        <f t="shared" si="18"/>
        <v>-2.6172700000000049E-2</v>
      </c>
      <c r="AF54" s="5">
        <f t="shared" si="18"/>
        <v>-2.7314999999999978E-3</v>
      </c>
      <c r="AG54" s="5">
        <f t="shared" si="18"/>
        <v>-3.6475999999999731E-3</v>
      </c>
      <c r="AH54" s="5">
        <f t="shared" si="18"/>
        <v>-0.41610459999999971</v>
      </c>
      <c r="AI54" s="5">
        <f t="shared" si="23"/>
        <v>1.966900000000292E-3</v>
      </c>
      <c r="AJ54" s="5">
        <f t="shared" si="23"/>
        <v>5.2950000000001086E-4</v>
      </c>
      <c r="AK54" s="5">
        <f t="shared" si="23"/>
        <v>-2.250000000000316E-4</v>
      </c>
      <c r="AL54" s="5">
        <f t="shared" si="23"/>
        <v>-8.3417000000009511E-3</v>
      </c>
      <c r="AM54" s="5"/>
      <c r="AN54" s="5"/>
      <c r="AO54" s="5"/>
      <c r="AP54" s="5"/>
      <c r="AQ54" s="5"/>
      <c r="AR54" s="5"/>
      <c r="AS54" s="5"/>
      <c r="AT54" s="5"/>
      <c r="AU54" s="5"/>
      <c r="AV54" s="5">
        <f t="shared" si="32"/>
        <v>2032.75</v>
      </c>
      <c r="AW54" s="3">
        <f t="shared" si="38"/>
        <v>-1.2344907679880317</v>
      </c>
      <c r="AX54" s="3">
        <f t="shared" si="39"/>
        <v>-0.67341465345095786</v>
      </c>
      <c r="AY54" s="3">
        <f t="shared" si="40"/>
        <v>-1.0646977193259539</v>
      </c>
      <c r="AZ54" s="3">
        <f t="shared" si="41"/>
        <v>-7.9196222284251929</v>
      </c>
      <c r="BA54" s="3">
        <f t="shared" si="42"/>
        <v>-1.1708512858967337</v>
      </c>
      <c r="BB54" s="3">
        <f t="shared" si="43"/>
        <v>-0.62056552657941655</v>
      </c>
      <c r="BC54" s="3">
        <f t="shared" si="44"/>
        <v>-1.1053640102963442</v>
      </c>
      <c r="BD54" s="3">
        <f t="shared" si="45"/>
        <v>-8.0647061292256481</v>
      </c>
      <c r="BE54" s="3">
        <f t="shared" si="46"/>
        <v>-0.78318398271661271</v>
      </c>
      <c r="BF54" s="3">
        <f t="shared" si="47"/>
        <v>-0.21978050495020526</v>
      </c>
      <c r="BG54" s="3">
        <f t="shared" si="48"/>
        <v>-0.69993012627516005</v>
      </c>
      <c r="BH54" s="3">
        <f t="shared" si="49"/>
        <v>-7.3822272299786267</v>
      </c>
      <c r="BI54" s="3">
        <f t="shared" si="50"/>
        <v>-0.84682346480790838</v>
      </c>
      <c r="BJ54" s="3">
        <f t="shared" si="51"/>
        <v>-0.27262963182174166</v>
      </c>
      <c r="BK54" s="3">
        <f t="shared" si="52"/>
        <v>-0.65926383530476995</v>
      </c>
      <c r="BL54" s="3">
        <f t="shared" si="53"/>
        <v>-7.2371433291781768</v>
      </c>
      <c r="BM54" s="2">
        <v>0</v>
      </c>
    </row>
    <row r="55" spans="1:65" x14ac:dyDescent="0.35">
      <c r="A55">
        <f t="shared" si="22"/>
        <v>52</v>
      </c>
      <c r="B55">
        <v>1.18564E-2</v>
      </c>
      <c r="C55">
        <v>3.9480000000000001E-3</v>
      </c>
      <c r="D55">
        <v>2.2734000000000001E-3</v>
      </c>
      <c r="E55">
        <v>3.9083899999999998E-2</v>
      </c>
      <c r="F55">
        <v>0</v>
      </c>
      <c r="G55">
        <v>0</v>
      </c>
      <c r="H55">
        <v>0</v>
      </c>
      <c r="I55">
        <v>0</v>
      </c>
      <c r="J55">
        <v>3.0717523</v>
      </c>
      <c r="K55">
        <v>0.99574370000000001</v>
      </c>
      <c r="L55">
        <v>0.54957619999999996</v>
      </c>
      <c r="M55">
        <v>5.6853411999999999</v>
      </c>
      <c r="N55">
        <v>3.0460400999999999</v>
      </c>
      <c r="O55">
        <v>0.99308439999999998</v>
      </c>
      <c r="P55">
        <v>0.54610420000000004</v>
      </c>
      <c r="Q55">
        <v>5.2780548999999999</v>
      </c>
      <c r="R55">
        <v>3.0906913999999999</v>
      </c>
      <c r="S55">
        <v>1.0019087</v>
      </c>
      <c r="T55">
        <v>0.55328379999999999</v>
      </c>
      <c r="U55">
        <v>5.7495697000000003</v>
      </c>
      <c r="V55">
        <v>3.0550571999999998</v>
      </c>
      <c r="W55">
        <v>0.99582269999999995</v>
      </c>
      <c r="X55">
        <v>0.54731960000000002</v>
      </c>
      <c r="Y55">
        <v>5.2950032</v>
      </c>
      <c r="AA55" s="5">
        <f t="shared" si="17"/>
        <v>-1.18564E-2</v>
      </c>
      <c r="AB55" s="5">
        <f t="shared" si="17"/>
        <v>-3.9480000000000001E-3</v>
      </c>
      <c r="AC55" s="5">
        <f t="shared" si="17"/>
        <v>-2.2734000000000001E-3</v>
      </c>
      <c r="AD55" s="5">
        <f t="shared" si="17"/>
        <v>-3.9083899999999998E-2</v>
      </c>
      <c r="AE55" s="5">
        <f t="shared" si="18"/>
        <v>-2.5712200000000074E-2</v>
      </c>
      <c r="AF55" s="5">
        <f t="shared" si="18"/>
        <v>-2.6593000000000311E-3</v>
      </c>
      <c r="AG55" s="5">
        <f t="shared" si="18"/>
        <v>-3.4719999999999196E-3</v>
      </c>
      <c r="AH55" s="5">
        <f t="shared" si="18"/>
        <v>-0.40728629999999999</v>
      </c>
      <c r="AI55" s="5">
        <f t="shared" si="23"/>
        <v>1.9344000000000167E-3</v>
      </c>
      <c r="AJ55" s="5">
        <f t="shared" si="23"/>
        <v>5.2129999999999538E-4</v>
      </c>
      <c r="AK55" s="5">
        <f t="shared" si="23"/>
        <v>-2.1880000000005541E-4</v>
      </c>
      <c r="AL55" s="5">
        <f t="shared" si="23"/>
        <v>-8.1963000000003228E-3</v>
      </c>
      <c r="AM55" s="5"/>
      <c r="AN55" s="5"/>
      <c r="AO55" s="5"/>
      <c r="AP55" s="5"/>
      <c r="AQ55" s="5"/>
      <c r="AR55" s="5"/>
      <c r="AS55" s="5"/>
      <c r="AT55" s="5"/>
      <c r="AU55" s="5"/>
      <c r="AV55" s="5">
        <f t="shared" si="32"/>
        <v>2033</v>
      </c>
      <c r="AW55" s="3">
        <f t="shared" si="38"/>
        <v>-1.2155403156717646</v>
      </c>
      <c r="AX55" s="3">
        <f t="shared" si="39"/>
        <v>-0.65947126719231319</v>
      </c>
      <c r="AY55" s="3">
        <f t="shared" si="40"/>
        <v>-1.038418258405527</v>
      </c>
      <c r="AZ55" s="3">
        <f t="shared" si="41"/>
        <v>-7.7635409829017288</v>
      </c>
      <c r="BA55" s="3">
        <f t="shared" si="42"/>
        <v>-1.1529523782283815</v>
      </c>
      <c r="BB55" s="3">
        <f t="shared" si="43"/>
        <v>-0.60744057816845343</v>
      </c>
      <c r="BC55" s="3">
        <f t="shared" si="44"/>
        <v>-1.0779639671358487</v>
      </c>
      <c r="BD55" s="3">
        <f t="shared" si="45"/>
        <v>-7.9060959988014456</v>
      </c>
      <c r="BE55" s="3">
        <f t="shared" si="46"/>
        <v>-0.7693359485841893</v>
      </c>
      <c r="BF55" s="3">
        <f t="shared" si="47"/>
        <v>-0.21339269735856015</v>
      </c>
      <c r="BG55" s="3">
        <f t="shared" si="48"/>
        <v>-0.66707176317108763</v>
      </c>
      <c r="BH55" s="3">
        <f t="shared" si="49"/>
        <v>-7.2263251282961347</v>
      </c>
      <c r="BI55" s="3">
        <f t="shared" si="50"/>
        <v>-0.8319238860275755</v>
      </c>
      <c r="BJ55" s="3">
        <f t="shared" si="51"/>
        <v>-0.26542338638241503</v>
      </c>
      <c r="BK55" s="3">
        <f t="shared" si="52"/>
        <v>-0.62752605444076248</v>
      </c>
      <c r="BL55" s="3">
        <f t="shared" si="53"/>
        <v>-7.0837701123964107</v>
      </c>
      <c r="BM55" s="2">
        <v>0</v>
      </c>
    </row>
    <row r="56" spans="1:65" x14ac:dyDescent="0.35">
      <c r="A56">
        <f t="shared" si="22"/>
        <v>53</v>
      </c>
      <c r="B56">
        <v>1.1741700000000001E-2</v>
      </c>
      <c r="C56">
        <v>3.8860000000000001E-3</v>
      </c>
      <c r="D56">
        <v>2.2910999999999999E-3</v>
      </c>
      <c r="E56">
        <v>3.8910500000000001E-2</v>
      </c>
      <c r="F56">
        <v>0</v>
      </c>
      <c r="G56">
        <v>0</v>
      </c>
      <c r="H56">
        <v>0</v>
      </c>
      <c r="I56">
        <v>0</v>
      </c>
      <c r="J56">
        <v>3.0719113999999998</v>
      </c>
      <c r="K56">
        <v>0.99582599999999999</v>
      </c>
      <c r="L56">
        <v>0.54959749999999996</v>
      </c>
      <c r="M56">
        <v>5.685873</v>
      </c>
      <c r="N56">
        <v>3.0465707000000002</v>
      </c>
      <c r="O56">
        <v>0.99320399999999998</v>
      </c>
      <c r="P56">
        <v>0.5463595</v>
      </c>
      <c r="Q56">
        <v>5.2871300000000003</v>
      </c>
      <c r="R56">
        <v>3.0906913999999999</v>
      </c>
      <c r="S56">
        <v>1.0019087</v>
      </c>
      <c r="T56">
        <v>0.55328379999999999</v>
      </c>
      <c r="U56">
        <v>5.7495697000000003</v>
      </c>
      <c r="V56">
        <v>3.0555113999999999</v>
      </c>
      <c r="W56">
        <v>0.99591390000000002</v>
      </c>
      <c r="X56">
        <v>0.54754409999999998</v>
      </c>
      <c r="Y56">
        <v>5.3038734999999999</v>
      </c>
      <c r="AA56" s="5">
        <f t="shared" si="17"/>
        <v>-1.1741700000000001E-2</v>
      </c>
      <c r="AB56" s="5">
        <f t="shared" si="17"/>
        <v>-3.8860000000000001E-3</v>
      </c>
      <c r="AC56" s="5">
        <f t="shared" si="17"/>
        <v>-2.2910999999999999E-3</v>
      </c>
      <c r="AD56" s="5">
        <f t="shared" si="17"/>
        <v>-3.8910500000000001E-2</v>
      </c>
      <c r="AE56" s="5">
        <f t="shared" si="18"/>
        <v>-2.5340699999999661E-2</v>
      </c>
      <c r="AF56" s="5">
        <f t="shared" si="18"/>
        <v>-2.6220000000000132E-3</v>
      </c>
      <c r="AG56" s="5">
        <f t="shared" si="18"/>
        <v>-3.2379999999999631E-3</v>
      </c>
      <c r="AH56" s="5">
        <f t="shared" si="18"/>
        <v>-0.39874299999999963</v>
      </c>
      <c r="AI56" s="5">
        <f t="shared" si="23"/>
        <v>1.9023999999996724E-3</v>
      </c>
      <c r="AJ56" s="5">
        <f t="shared" si="23"/>
        <v>5.1320000000004695E-4</v>
      </c>
      <c r="AK56" s="5">
        <f t="shared" si="23"/>
        <v>-2.106000000000512E-4</v>
      </c>
      <c r="AL56" s="5">
        <f t="shared" si="23"/>
        <v>-8.0427000000007909E-3</v>
      </c>
      <c r="AM56" s="5"/>
      <c r="AN56" s="5"/>
      <c r="AO56" s="5"/>
      <c r="AP56" s="5"/>
      <c r="AQ56" s="5"/>
      <c r="AR56" s="5"/>
      <c r="AS56" s="5"/>
      <c r="AT56" s="5"/>
      <c r="AU56" s="5"/>
      <c r="AV56" s="5">
        <f t="shared" si="32"/>
        <v>2033.25</v>
      </c>
      <c r="AW56" s="3">
        <f t="shared" si="38"/>
        <v>-1.199809207739073</v>
      </c>
      <c r="AX56" s="3">
        <f t="shared" si="39"/>
        <v>-0.64956018447589225</v>
      </c>
      <c r="AY56" s="3">
        <f t="shared" si="40"/>
        <v>-0.99932439735267209</v>
      </c>
      <c r="AZ56" s="3">
        <f t="shared" si="41"/>
        <v>-7.6119348548813939</v>
      </c>
      <c r="BA56" s="3">
        <f t="shared" si="42"/>
        <v>-1.1382566373336396</v>
      </c>
      <c r="BB56" s="3">
        <f t="shared" si="43"/>
        <v>-0.59833795235034559</v>
      </c>
      <c r="BC56" s="3">
        <f t="shared" si="44"/>
        <v>-1.0373880457009612</v>
      </c>
      <c r="BD56" s="3">
        <f t="shared" si="45"/>
        <v>-7.7518183665118521</v>
      </c>
      <c r="BE56" s="3">
        <f t="shared" si="46"/>
        <v>-0.75835135141606258</v>
      </c>
      <c r="BF56" s="3">
        <f t="shared" si="47"/>
        <v>-0.21047826014486368</v>
      </c>
      <c r="BG56" s="3">
        <f t="shared" si="48"/>
        <v>-0.62329676017986135</v>
      </c>
      <c r="BH56" s="3">
        <f t="shared" si="49"/>
        <v>-7.0750633738730109</v>
      </c>
      <c r="BI56" s="3">
        <f t="shared" si="50"/>
        <v>-0.81990392182149474</v>
      </c>
      <c r="BJ56" s="3">
        <f t="shared" si="51"/>
        <v>-0.26170049227040482</v>
      </c>
      <c r="BK56" s="3">
        <f t="shared" si="52"/>
        <v>-0.58523311183157056</v>
      </c>
      <c r="BL56" s="3">
        <f t="shared" si="53"/>
        <v>-6.9351798622425536</v>
      </c>
      <c r="BM56" s="2">
        <v>0</v>
      </c>
    </row>
    <row r="57" spans="1:65" x14ac:dyDescent="0.35">
      <c r="A57">
        <f t="shared" si="22"/>
        <v>54</v>
      </c>
      <c r="B57">
        <v>1.16355E-2</v>
      </c>
      <c r="C57">
        <v>3.8287999999999998E-3</v>
      </c>
      <c r="D57">
        <v>2.2986999999999999E-3</v>
      </c>
      <c r="E57">
        <v>3.8716E-2</v>
      </c>
      <c r="F57">
        <v>3.8660000000000002E-4</v>
      </c>
      <c r="G57">
        <v>1.962E-4</v>
      </c>
      <c r="H57">
        <v>1.5762E-3</v>
      </c>
      <c r="I57">
        <v>3.3399999999999999E-4</v>
      </c>
      <c r="J57">
        <v>3.0720630999999998</v>
      </c>
      <c r="K57">
        <v>0.99590350000000005</v>
      </c>
      <c r="L57">
        <v>0.54962849999999996</v>
      </c>
      <c r="M57">
        <v>5.6864521000000003</v>
      </c>
      <c r="N57">
        <v>3.0470470999999999</v>
      </c>
      <c r="O57">
        <v>0.99327390000000004</v>
      </c>
      <c r="P57">
        <v>0.5452091</v>
      </c>
      <c r="Q57">
        <v>5.2960883000000001</v>
      </c>
      <c r="R57">
        <v>3.0906913999999999</v>
      </c>
      <c r="S57">
        <v>1.0019087</v>
      </c>
      <c r="T57">
        <v>0.55328379999999999</v>
      </c>
      <c r="U57">
        <v>5.7495697000000003</v>
      </c>
      <c r="V57">
        <v>3.0562969</v>
      </c>
      <c r="W57">
        <v>0.99615160000000003</v>
      </c>
      <c r="X57">
        <v>0.54793349999999996</v>
      </c>
      <c r="Y57">
        <v>5.3129422999999996</v>
      </c>
      <c r="AA57" s="5">
        <f t="shared" si="17"/>
        <v>-1.1248899999999999E-2</v>
      </c>
      <c r="AB57" s="5">
        <f t="shared" si="17"/>
        <v>-3.6325999999999997E-3</v>
      </c>
      <c r="AC57" s="5">
        <f t="shared" si="17"/>
        <v>-7.2249999999999984E-4</v>
      </c>
      <c r="AD57" s="5">
        <f t="shared" si="17"/>
        <v>-3.8381999999999999E-2</v>
      </c>
      <c r="AE57" s="5">
        <f t="shared" si="18"/>
        <v>-2.5015999999999927E-2</v>
      </c>
      <c r="AF57" s="5">
        <f t="shared" si="18"/>
        <v>-2.6296000000000097E-3</v>
      </c>
      <c r="AG57" s="5">
        <f t="shared" si="18"/>
        <v>-4.4193999999999622E-3</v>
      </c>
      <c r="AH57" s="5">
        <f t="shared" si="18"/>
        <v>-0.39036380000000026</v>
      </c>
      <c r="AI57" s="5">
        <f t="shared" si="23"/>
        <v>1.8704000000000429E-3</v>
      </c>
      <c r="AJ57" s="5">
        <f t="shared" si="23"/>
        <v>5.0510000000004995E-4</v>
      </c>
      <c r="AK57" s="5">
        <f t="shared" si="23"/>
        <v>-2.0840000000006773E-4</v>
      </c>
      <c r="AL57" s="5">
        <f t="shared" si="23"/>
        <v>-7.8816000000004882E-3</v>
      </c>
      <c r="AM57" s="5"/>
      <c r="AN57" s="5"/>
      <c r="AO57" s="5"/>
      <c r="AP57" s="5"/>
      <c r="AQ57" s="5"/>
      <c r="AR57" s="5"/>
      <c r="AS57" s="5"/>
      <c r="AT57" s="5"/>
      <c r="AU57" s="5"/>
      <c r="AV57" s="5">
        <f t="shared" si="32"/>
        <v>2033.5</v>
      </c>
      <c r="AW57" s="3">
        <f t="shared" si="38"/>
        <v>-1.1733588154417463</v>
      </c>
      <c r="AX57" s="3">
        <f t="shared" si="39"/>
        <v>-0.62502701094421165</v>
      </c>
      <c r="AY57" s="3">
        <f t="shared" si="40"/>
        <v>-0.92934222906941477</v>
      </c>
      <c r="AZ57" s="3">
        <f t="shared" si="41"/>
        <v>-7.4570067391304127</v>
      </c>
      <c r="BA57" s="3">
        <f t="shared" si="42"/>
        <v>-1.1128416120742397</v>
      </c>
      <c r="BB57" s="3">
        <f t="shared" si="43"/>
        <v>-0.57461323571698297</v>
      </c>
      <c r="BC57" s="3">
        <f t="shared" si="44"/>
        <v>-0.96700825146155189</v>
      </c>
      <c r="BD57" s="3">
        <f t="shared" si="45"/>
        <v>-7.5940883019472007</v>
      </c>
      <c r="BE57" s="3">
        <f t="shared" si="46"/>
        <v>-0.74888097854091418</v>
      </c>
      <c r="BF57" s="3">
        <f t="shared" si="47"/>
        <v>-0.21204526919468547</v>
      </c>
      <c r="BG57" s="3">
        <f t="shared" si="48"/>
        <v>-0.83642427267888031</v>
      </c>
      <c r="BH57" s="3">
        <f t="shared" si="49"/>
        <v>-6.9265253015369197</v>
      </c>
      <c r="BI57" s="3">
        <f t="shared" si="50"/>
        <v>-0.80939818190842117</v>
      </c>
      <c r="BJ57" s="3">
        <f t="shared" si="51"/>
        <v>-0.26245904442191287</v>
      </c>
      <c r="BK57" s="3">
        <f t="shared" si="52"/>
        <v>-0.79875825028673575</v>
      </c>
      <c r="BL57" s="3">
        <f t="shared" si="53"/>
        <v>-6.7894437387201387</v>
      </c>
      <c r="BM57" s="2">
        <v>0</v>
      </c>
    </row>
    <row r="58" spans="1:65" x14ac:dyDescent="0.35">
      <c r="A58">
        <f t="shared" si="22"/>
        <v>55</v>
      </c>
      <c r="B58">
        <v>1.15362E-2</v>
      </c>
      <c r="C58">
        <v>3.7755000000000002E-3</v>
      </c>
      <c r="D58">
        <v>2.2975999999999999E-3</v>
      </c>
      <c r="E58">
        <v>3.8497700000000003E-2</v>
      </c>
      <c r="F58">
        <v>6.3150000000000001E-4</v>
      </c>
      <c r="G58">
        <v>3.1139999999999998E-4</v>
      </c>
      <c r="H58">
        <v>1.6548999999999999E-3</v>
      </c>
      <c r="I58">
        <v>8.0639999999999998E-4</v>
      </c>
      <c r="J58">
        <v>3.0722089000000001</v>
      </c>
      <c r="K58">
        <v>0.995977</v>
      </c>
      <c r="L58">
        <v>0.54966749999999998</v>
      </c>
      <c r="M58">
        <v>5.6870782999999996</v>
      </c>
      <c r="N58">
        <v>3.0473566000000001</v>
      </c>
      <c r="O58">
        <v>0.9932607</v>
      </c>
      <c r="P58">
        <v>0.54560160000000002</v>
      </c>
      <c r="Q58">
        <v>5.3050370999999998</v>
      </c>
      <c r="R58">
        <v>3.0906913999999999</v>
      </c>
      <c r="S58">
        <v>1.0019087</v>
      </c>
      <c r="T58">
        <v>0.55328379999999999</v>
      </c>
      <c r="U58">
        <v>5.7495697000000003</v>
      </c>
      <c r="V58">
        <v>3.0567736000000001</v>
      </c>
      <c r="W58">
        <v>0.99622529999999998</v>
      </c>
      <c r="X58">
        <v>0.54836980000000002</v>
      </c>
      <c r="Y58">
        <v>5.3221217999999997</v>
      </c>
      <c r="AA58" s="5">
        <f t="shared" si="17"/>
        <v>-1.09047E-2</v>
      </c>
      <c r="AB58" s="5">
        <f t="shared" si="17"/>
        <v>-3.4641000000000003E-3</v>
      </c>
      <c r="AC58" s="5">
        <f t="shared" si="17"/>
        <v>-6.4269999999999996E-4</v>
      </c>
      <c r="AD58" s="5">
        <f t="shared" si="17"/>
        <v>-3.7691300000000004E-2</v>
      </c>
      <c r="AE58" s="5">
        <f t="shared" si="18"/>
        <v>-2.4852300000000049E-2</v>
      </c>
      <c r="AF58" s="5">
        <f t="shared" si="18"/>
        <v>-2.7163000000000048E-3</v>
      </c>
      <c r="AG58" s="5">
        <f t="shared" si="18"/>
        <v>-4.0658999999999557E-3</v>
      </c>
      <c r="AH58" s="5">
        <f t="shared" si="18"/>
        <v>-0.38204119999999975</v>
      </c>
      <c r="AI58" s="5">
        <f t="shared" si="23"/>
        <v>1.8392000000002767E-3</v>
      </c>
      <c r="AJ58" s="5">
        <f t="shared" si="23"/>
        <v>4.9700000000000005E-4</v>
      </c>
      <c r="AK58" s="5">
        <f t="shared" si="23"/>
        <v>-2.0540000000001876E-4</v>
      </c>
      <c r="AL58" s="5">
        <f t="shared" si="23"/>
        <v>-7.7154000000009271E-3</v>
      </c>
      <c r="AM58" s="5"/>
      <c r="AN58" s="5"/>
      <c r="AO58" s="5"/>
      <c r="AP58" s="5"/>
      <c r="AQ58" s="5"/>
      <c r="AR58" s="5"/>
      <c r="AS58" s="5"/>
      <c r="AT58" s="5"/>
      <c r="AU58" s="5"/>
      <c r="AV58" s="5">
        <f t="shared" si="32"/>
        <v>2033.75</v>
      </c>
      <c r="AW58" s="3">
        <f t="shared" si="38"/>
        <v>-1.1569255992364702</v>
      </c>
      <c r="AX58" s="3">
        <f t="shared" si="39"/>
        <v>-0.61686259436613389</v>
      </c>
      <c r="AY58" s="3">
        <f t="shared" si="40"/>
        <v>-0.85102798961400195</v>
      </c>
      <c r="AZ58" s="3">
        <f t="shared" si="41"/>
        <v>-7.3002419641942895</v>
      </c>
      <c r="BA58" s="3">
        <f t="shared" si="42"/>
        <v>-1.0974178787309461</v>
      </c>
      <c r="BB58" s="3">
        <f t="shared" si="43"/>
        <v>-0.56725727603722831</v>
      </c>
      <c r="BC58" s="3">
        <f t="shared" si="44"/>
        <v>-0.88815179479319184</v>
      </c>
      <c r="BD58" s="3">
        <f t="shared" si="45"/>
        <v>-7.4344328759072287</v>
      </c>
      <c r="BE58" s="3">
        <f t="shared" si="46"/>
        <v>-0.74459391189943991</v>
      </c>
      <c r="BF58" s="3">
        <f t="shared" si="47"/>
        <v>-0.22150720918982289</v>
      </c>
      <c r="BG58" s="3">
        <f t="shared" si="48"/>
        <v>-0.77199079387467662</v>
      </c>
      <c r="BH58" s="3">
        <f t="shared" si="49"/>
        <v>-6.7788829484057045</v>
      </c>
      <c r="BI58" s="3">
        <f t="shared" si="50"/>
        <v>-0.8041016324049709</v>
      </c>
      <c r="BJ58" s="3">
        <f t="shared" si="51"/>
        <v>-0.2711125275187255</v>
      </c>
      <c r="BK58" s="3">
        <f t="shared" si="52"/>
        <v>-0.73486698869548606</v>
      </c>
      <c r="BL58" s="3">
        <f t="shared" si="53"/>
        <v>-6.6446920366927582</v>
      </c>
      <c r="BM58" s="2">
        <v>0</v>
      </c>
    </row>
    <row r="59" spans="1:65" x14ac:dyDescent="0.35">
      <c r="A59">
        <f t="shared" si="22"/>
        <v>56</v>
      </c>
      <c r="B59">
        <v>1.14425E-2</v>
      </c>
      <c r="C59">
        <v>3.7257000000000002E-3</v>
      </c>
      <c r="D59">
        <v>2.2894E-3</v>
      </c>
      <c r="E59">
        <v>3.82539E-2</v>
      </c>
      <c r="F59">
        <v>8.8139999999999996E-4</v>
      </c>
      <c r="G59">
        <v>4.2460000000000002E-4</v>
      </c>
      <c r="H59">
        <v>1.5633000000000001E-3</v>
      </c>
      <c r="I59">
        <v>1.2737E-3</v>
      </c>
      <c r="J59">
        <v>3.0723501</v>
      </c>
      <c r="K59">
        <v>0.99604700000000002</v>
      </c>
      <c r="L59">
        <v>0.54971300000000001</v>
      </c>
      <c r="M59">
        <v>5.6877506999999996</v>
      </c>
      <c r="N59">
        <v>3.0477512999999998</v>
      </c>
      <c r="O59">
        <v>0.99330859999999999</v>
      </c>
      <c r="P59">
        <v>0.54608959999999995</v>
      </c>
      <c r="Q59">
        <v>5.3146259000000002</v>
      </c>
      <c r="R59">
        <v>3.0906913999999999</v>
      </c>
      <c r="S59">
        <v>1.0019087</v>
      </c>
      <c r="T59">
        <v>0.55328379999999999</v>
      </c>
      <c r="U59">
        <v>5.7495697000000003</v>
      </c>
      <c r="V59">
        <v>3.0573396000000002</v>
      </c>
      <c r="W59">
        <v>0.99635839999999998</v>
      </c>
      <c r="X59">
        <v>0.54873300000000003</v>
      </c>
      <c r="Y59">
        <v>5.3319200000000002</v>
      </c>
      <c r="AA59" s="5">
        <f t="shared" si="17"/>
        <v>-1.05611E-2</v>
      </c>
      <c r="AB59" s="5">
        <f t="shared" si="17"/>
        <v>-3.3011000000000004E-3</v>
      </c>
      <c r="AC59" s="5">
        <f t="shared" si="17"/>
        <v>-7.2609999999999992E-4</v>
      </c>
      <c r="AD59" s="5">
        <f t="shared" si="17"/>
        <v>-3.6980199999999998E-2</v>
      </c>
      <c r="AE59" s="5">
        <f t="shared" si="18"/>
        <v>-2.4598800000000143E-2</v>
      </c>
      <c r="AF59" s="5">
        <f t="shared" si="18"/>
        <v>-2.7384000000000297E-3</v>
      </c>
      <c r="AG59" s="5">
        <f t="shared" si="18"/>
        <v>-3.6234000000000544E-3</v>
      </c>
      <c r="AH59" s="5">
        <f t="shared" si="18"/>
        <v>-0.37312479999999937</v>
      </c>
      <c r="AI59" s="5">
        <f t="shared" si="23"/>
        <v>1.8081000000004371E-3</v>
      </c>
      <c r="AJ59" s="5">
        <f t="shared" si="23"/>
        <v>4.8920000000002208E-4</v>
      </c>
      <c r="AK59" s="5">
        <f t="shared" si="23"/>
        <v>-2.0129999999991127E-4</v>
      </c>
      <c r="AL59" s="5">
        <f t="shared" si="23"/>
        <v>-7.5447000000007369E-3</v>
      </c>
      <c r="AM59" s="5"/>
      <c r="AN59" s="5"/>
      <c r="AO59" s="5"/>
      <c r="AP59" s="5"/>
      <c r="AQ59" s="5"/>
      <c r="AR59" s="5"/>
      <c r="AS59" s="5"/>
      <c r="AT59" s="5"/>
      <c r="AU59" s="5"/>
      <c r="AV59" s="5">
        <f t="shared" si="32"/>
        <v>2034</v>
      </c>
      <c r="AW59" s="3">
        <f t="shared" si="38"/>
        <v>-1.1376062974129397</v>
      </c>
      <c r="AX59" s="3">
        <f t="shared" si="39"/>
        <v>-0.6027994367151448</v>
      </c>
      <c r="AY59" s="3">
        <f t="shared" si="40"/>
        <v>-0.78612458922528639</v>
      </c>
      <c r="AZ59" s="3">
        <f t="shared" si="41"/>
        <v>-7.1327946507022837</v>
      </c>
      <c r="BA59" s="3">
        <f t="shared" si="42"/>
        <v>-1.0791048242474066</v>
      </c>
      <c r="BB59" s="3">
        <f t="shared" si="43"/>
        <v>-0.55397263243646933</v>
      </c>
      <c r="BC59" s="3">
        <f t="shared" si="44"/>
        <v>-0.82250736421344095</v>
      </c>
      <c r="BD59" s="3">
        <f t="shared" si="45"/>
        <v>-7.2640166445847258</v>
      </c>
      <c r="BE59" s="3">
        <f t="shared" si="46"/>
        <v>-0.7373981109857759</v>
      </c>
      <c r="BF59" s="3">
        <f t="shared" si="47"/>
        <v>-0.22449151304904952</v>
      </c>
      <c r="BG59" s="3">
        <f t="shared" si="48"/>
        <v>-0.69127272477524448</v>
      </c>
      <c r="BH59" s="3">
        <f t="shared" si="49"/>
        <v>-6.620834599152694</v>
      </c>
      <c r="BI59" s="3">
        <f t="shared" si="50"/>
        <v>-0.7958995841513048</v>
      </c>
      <c r="BJ59" s="3">
        <f t="shared" si="51"/>
        <v>-0.27331831732771955</v>
      </c>
      <c r="BK59" s="3">
        <f t="shared" si="52"/>
        <v>-0.65488994978708104</v>
      </c>
      <c r="BL59" s="3">
        <f t="shared" si="53"/>
        <v>-6.4896126052702581</v>
      </c>
      <c r="BM59" s="2">
        <v>0</v>
      </c>
    </row>
    <row r="60" spans="1:65" x14ac:dyDescent="0.35">
      <c r="A60">
        <f t="shared" si="22"/>
        <v>57</v>
      </c>
      <c r="B60">
        <v>1.13534E-2</v>
      </c>
      <c r="C60">
        <v>3.6787E-3</v>
      </c>
      <c r="D60">
        <v>2.2751999999999998E-3</v>
      </c>
      <c r="E60">
        <v>3.79834E-2</v>
      </c>
      <c r="F60">
        <v>7.226E-4</v>
      </c>
      <c r="G60">
        <v>3.2969999999999999E-4</v>
      </c>
      <c r="H60">
        <v>-1.189E-4</v>
      </c>
      <c r="I60">
        <v>1.3688000000000001E-3</v>
      </c>
      <c r="J60">
        <v>3.0724876000000001</v>
      </c>
      <c r="K60">
        <v>0.99611400000000005</v>
      </c>
      <c r="L60">
        <v>0.54976360000000002</v>
      </c>
      <c r="M60">
        <v>5.6884679</v>
      </c>
      <c r="N60">
        <v>3.0483254</v>
      </c>
      <c r="O60">
        <v>0.99341869999999999</v>
      </c>
      <c r="P60">
        <v>0.54762189999999999</v>
      </c>
      <c r="Q60">
        <v>5.3250194000000004</v>
      </c>
      <c r="R60">
        <v>3.0906913999999999</v>
      </c>
      <c r="S60">
        <v>1.0019087</v>
      </c>
      <c r="T60">
        <v>0.55328379999999999</v>
      </c>
      <c r="U60">
        <v>5.7495697000000003</v>
      </c>
      <c r="V60">
        <v>3.0576759</v>
      </c>
      <c r="W60">
        <v>0.9963457</v>
      </c>
      <c r="X60">
        <v>0.5485563</v>
      </c>
      <c r="Y60">
        <v>5.3421387999999999</v>
      </c>
      <c r="AA60" s="5">
        <f t="shared" si="17"/>
        <v>-1.0630799999999999E-2</v>
      </c>
      <c r="AB60" s="5">
        <f t="shared" si="17"/>
        <v>-3.349E-3</v>
      </c>
      <c r="AC60" s="5">
        <f t="shared" si="17"/>
        <v>-2.3940999999999997E-3</v>
      </c>
      <c r="AD60" s="5">
        <f t="shared" si="17"/>
        <v>-3.6614599999999997E-2</v>
      </c>
      <c r="AE60" s="5">
        <f t="shared" si="18"/>
        <v>-2.4162200000000134E-2</v>
      </c>
      <c r="AF60" s="5">
        <f t="shared" si="18"/>
        <v>-2.6953000000000671E-3</v>
      </c>
      <c r="AG60" s="5">
        <f t="shared" si="18"/>
        <v>-2.1417000000000241E-3</v>
      </c>
      <c r="AH60" s="5">
        <f t="shared" si="18"/>
        <v>-0.36344849999999962</v>
      </c>
      <c r="AI60" s="5">
        <f t="shared" si="23"/>
        <v>1.777500000000265E-3</v>
      </c>
      <c r="AJ60" s="5">
        <f t="shared" si="23"/>
        <v>4.8130000000008201E-4</v>
      </c>
      <c r="AK60" s="5">
        <f t="shared" si="23"/>
        <v>-1.9169999999997175E-4</v>
      </c>
      <c r="AL60" s="5">
        <f t="shared" si="23"/>
        <v>-7.3678000000008681E-3</v>
      </c>
      <c r="AM60" s="5"/>
      <c r="AN60" s="5"/>
      <c r="AO60" s="5"/>
      <c r="AP60" s="5"/>
      <c r="AQ60" s="5"/>
      <c r="AR60" s="5"/>
      <c r="AS60" s="5"/>
      <c r="AT60" s="5"/>
      <c r="AU60" s="5"/>
      <c r="AV60" s="5">
        <f t="shared" si="32"/>
        <v>2034.25</v>
      </c>
      <c r="AW60" s="3">
        <f t="shared" si="38"/>
        <v>-1.1257351672185754</v>
      </c>
      <c r="AX60" s="3">
        <f t="shared" si="39"/>
        <v>-0.60327852228452228</v>
      </c>
      <c r="AY60" s="3">
        <f t="shared" si="40"/>
        <v>-0.81979627814875911</v>
      </c>
      <c r="AZ60" s="3">
        <f t="shared" si="41"/>
        <v>-6.9581398413171618</v>
      </c>
      <c r="BA60" s="3">
        <f t="shared" si="42"/>
        <v>-1.0682237637830767</v>
      </c>
      <c r="BB60" s="3">
        <f t="shared" si="43"/>
        <v>-0.55524021300543502</v>
      </c>
      <c r="BC60" s="3">
        <f t="shared" si="44"/>
        <v>-0.85444395805552154</v>
      </c>
      <c r="BD60" s="3">
        <f t="shared" si="45"/>
        <v>-7.0862850832124096</v>
      </c>
      <c r="BE60" s="3">
        <f t="shared" si="46"/>
        <v>-0.72426189169193422</v>
      </c>
      <c r="BF60" s="3">
        <f t="shared" si="47"/>
        <v>-0.22097821887362973</v>
      </c>
      <c r="BG60" s="3">
        <f t="shared" si="48"/>
        <v>-0.42173654822354117</v>
      </c>
      <c r="BH60" s="3">
        <f t="shared" si="49"/>
        <v>-6.4494617745046288</v>
      </c>
      <c r="BI60" s="3">
        <f t="shared" si="50"/>
        <v>-0.78177329512743121</v>
      </c>
      <c r="BJ60" s="3">
        <f t="shared" si="51"/>
        <v>-0.26901652815272159</v>
      </c>
      <c r="BK60" s="3">
        <f t="shared" si="52"/>
        <v>-0.38708886831677053</v>
      </c>
      <c r="BL60" s="3">
        <f t="shared" si="53"/>
        <v>-6.321316532609381</v>
      </c>
      <c r="BM60" s="2">
        <v>0</v>
      </c>
    </row>
    <row r="61" spans="1:65" x14ac:dyDescent="0.35">
      <c r="A61">
        <f t="shared" si="22"/>
        <v>58</v>
      </c>
      <c r="B61">
        <v>1.1268E-2</v>
      </c>
      <c r="C61">
        <v>3.6340999999999999E-3</v>
      </c>
      <c r="D61">
        <v>2.2558000000000001E-3</v>
      </c>
      <c r="E61">
        <v>3.7685499999999997E-2</v>
      </c>
      <c r="F61">
        <v>6.8460000000000005E-4</v>
      </c>
      <c r="G61">
        <v>3.056E-4</v>
      </c>
      <c r="H61">
        <v>-3.1280000000000001E-4</v>
      </c>
      <c r="I61">
        <v>1.2753E-3</v>
      </c>
      <c r="J61">
        <v>3.0726222999999999</v>
      </c>
      <c r="K61">
        <v>0.99617860000000003</v>
      </c>
      <c r="L61">
        <v>0.54981849999999999</v>
      </c>
      <c r="M61">
        <v>5.689228</v>
      </c>
      <c r="N61">
        <v>3.0490434</v>
      </c>
      <c r="O61">
        <v>0.9935773</v>
      </c>
      <c r="P61">
        <v>0.54817570000000004</v>
      </c>
      <c r="Q61">
        <v>5.3336084000000001</v>
      </c>
      <c r="R61">
        <v>3.0906913999999999</v>
      </c>
      <c r="S61">
        <v>1.0019087</v>
      </c>
      <c r="T61">
        <v>0.55328379999999999</v>
      </c>
      <c r="U61">
        <v>5.7495697000000003</v>
      </c>
      <c r="V61">
        <v>3.0582763000000002</v>
      </c>
      <c r="W61">
        <v>0.99645229999999996</v>
      </c>
      <c r="X61">
        <v>0.54889270000000001</v>
      </c>
      <c r="Y61">
        <v>5.3503502000000003</v>
      </c>
      <c r="AA61" s="5">
        <f t="shared" si="17"/>
        <v>-1.05834E-2</v>
      </c>
      <c r="AB61" s="5">
        <f t="shared" si="17"/>
        <v>-3.3284999999999999E-3</v>
      </c>
      <c r="AC61" s="5">
        <f t="shared" si="17"/>
        <v>-2.5685999999999999E-3</v>
      </c>
      <c r="AD61" s="5">
        <f t="shared" si="17"/>
        <v>-3.6410199999999997E-2</v>
      </c>
      <c r="AE61" s="5">
        <f t="shared" si="18"/>
        <v>-2.3578899999999958E-2</v>
      </c>
      <c r="AF61" s="5">
        <f t="shared" si="18"/>
        <v>-2.6013000000000286E-3</v>
      </c>
      <c r="AG61" s="5">
        <f t="shared" si="18"/>
        <v>-1.6427999999999443E-3</v>
      </c>
      <c r="AH61" s="5">
        <f t="shared" si="18"/>
        <v>-0.35561959999999981</v>
      </c>
      <c r="AI61" s="5">
        <f t="shared" si="23"/>
        <v>1.747200000000261E-3</v>
      </c>
      <c r="AJ61" s="5">
        <f t="shared" si="23"/>
        <v>4.7340000000000056E-4</v>
      </c>
      <c r="AK61" s="5">
        <f t="shared" si="23"/>
        <v>-1.7970000000003695E-4</v>
      </c>
      <c r="AL61" s="5">
        <f t="shared" si="23"/>
        <v>-7.1897000000002431E-3</v>
      </c>
      <c r="AM61" s="5"/>
      <c r="AN61" s="5"/>
      <c r="AO61" s="5"/>
      <c r="AP61" s="5"/>
      <c r="AQ61" s="5"/>
      <c r="AR61" s="5"/>
      <c r="AS61" s="5"/>
      <c r="AT61" s="5"/>
      <c r="AU61" s="5"/>
      <c r="AV61" s="5">
        <f t="shared" si="32"/>
        <v>2034.5</v>
      </c>
      <c r="AW61" s="3">
        <f t="shared" si="38"/>
        <v>-1.1053287300052008</v>
      </c>
      <c r="AX61" s="3">
        <f t="shared" si="39"/>
        <v>-0.59185033526508235</v>
      </c>
      <c r="AY61" s="3">
        <f t="shared" si="40"/>
        <v>-0.76116452352299924</v>
      </c>
      <c r="AZ61" s="3">
        <f t="shared" si="41"/>
        <v>-6.818419820182366</v>
      </c>
      <c r="BA61" s="3">
        <f t="shared" si="42"/>
        <v>-1.0487976897337501</v>
      </c>
      <c r="BB61" s="3">
        <f t="shared" si="43"/>
        <v>-0.54460052098559764</v>
      </c>
      <c r="BC61" s="3">
        <f t="shared" si="44"/>
        <v>-0.79364333457801972</v>
      </c>
      <c r="BD61" s="3">
        <f t="shared" si="45"/>
        <v>-6.9434674389633031</v>
      </c>
      <c r="BE61" s="3">
        <f t="shared" si="46"/>
        <v>-0.70636945506755866</v>
      </c>
      <c r="BF61" s="3">
        <f t="shared" si="47"/>
        <v>-0.21238462147300163</v>
      </c>
      <c r="BG61" s="3">
        <f t="shared" si="48"/>
        <v>-0.32939695686010489</v>
      </c>
      <c r="BH61" s="3">
        <f t="shared" si="49"/>
        <v>-6.3101991789055152</v>
      </c>
      <c r="BI61" s="3">
        <f t="shared" si="50"/>
        <v>-0.76290049533900273</v>
      </c>
      <c r="BJ61" s="3">
        <f t="shared" si="51"/>
        <v>-0.25963443575248207</v>
      </c>
      <c r="BK61" s="3">
        <f t="shared" si="52"/>
        <v>-0.29691814580509029</v>
      </c>
      <c r="BL61" s="3">
        <f t="shared" si="53"/>
        <v>-6.1851515601245746</v>
      </c>
      <c r="BM61" s="2">
        <v>0</v>
      </c>
    </row>
    <row r="62" spans="1:65" x14ac:dyDescent="0.35">
      <c r="A62">
        <f t="shared" si="22"/>
        <v>59</v>
      </c>
      <c r="B62">
        <v>1.1185499999999999E-2</v>
      </c>
      <c r="C62">
        <v>3.5917000000000002E-3</v>
      </c>
      <c r="D62">
        <v>2.2320999999999999E-3</v>
      </c>
      <c r="E62">
        <v>3.7359999999999997E-2</v>
      </c>
      <c r="F62">
        <v>1.0035000000000001E-3</v>
      </c>
      <c r="G62">
        <v>4.6769999999999998E-4</v>
      </c>
      <c r="H62">
        <v>1.2771E-3</v>
      </c>
      <c r="I62">
        <v>1.4851E-3</v>
      </c>
      <c r="J62">
        <v>3.0727549999999999</v>
      </c>
      <c r="K62">
        <v>0.99624100000000004</v>
      </c>
      <c r="L62">
        <v>0.54987680000000005</v>
      </c>
      <c r="M62">
        <v>5.6900288000000003</v>
      </c>
      <c r="N62">
        <v>3.0493834</v>
      </c>
      <c r="O62">
        <v>0.99356480000000003</v>
      </c>
      <c r="P62">
        <v>0.54686579999999996</v>
      </c>
      <c r="Q62">
        <v>5.3424822000000001</v>
      </c>
      <c r="R62">
        <v>3.0906913999999999</v>
      </c>
      <c r="S62">
        <v>1.0019087</v>
      </c>
      <c r="T62">
        <v>0.55328379999999999</v>
      </c>
      <c r="U62">
        <v>5.7495697000000003</v>
      </c>
      <c r="V62">
        <v>3.0588557999999999</v>
      </c>
      <c r="W62">
        <v>0.99657439999999997</v>
      </c>
      <c r="X62">
        <v>0.54913210000000001</v>
      </c>
      <c r="Y62">
        <v>5.3591392999999998</v>
      </c>
      <c r="AA62" s="5">
        <f t="shared" si="17"/>
        <v>-1.0182E-2</v>
      </c>
      <c r="AB62" s="5">
        <f t="shared" si="17"/>
        <v>-3.124E-3</v>
      </c>
      <c r="AC62" s="5">
        <f t="shared" si="17"/>
        <v>-9.549999999999999E-4</v>
      </c>
      <c r="AD62" s="5">
        <f t="shared" si="17"/>
        <v>-3.5874899999999994E-2</v>
      </c>
      <c r="AE62" s="5">
        <f t="shared" si="18"/>
        <v>-2.3371599999999937E-2</v>
      </c>
      <c r="AF62" s="5">
        <f t="shared" si="18"/>
        <v>-2.6762000000000175E-3</v>
      </c>
      <c r="AG62" s="5">
        <f t="shared" si="18"/>
        <v>-3.0110000000000969E-3</v>
      </c>
      <c r="AH62" s="5">
        <f t="shared" si="18"/>
        <v>-0.34754660000000026</v>
      </c>
      <c r="AI62" s="5">
        <f t="shared" si="23"/>
        <v>1.7179999999999696E-3</v>
      </c>
      <c r="AJ62" s="5">
        <f t="shared" si="23"/>
        <v>4.6590000000000346E-4</v>
      </c>
      <c r="AK62" s="5">
        <f t="shared" si="23"/>
        <v>-1.8569999999988335E-4</v>
      </c>
      <c r="AL62" s="5">
        <f t="shared" si="23"/>
        <v>-7.0089000000002621E-3</v>
      </c>
      <c r="AM62" s="5"/>
      <c r="AN62" s="5"/>
      <c r="AO62" s="5"/>
      <c r="AP62" s="5"/>
      <c r="AQ62" s="5"/>
      <c r="AR62" s="5"/>
      <c r="AS62" s="5"/>
      <c r="AT62" s="5"/>
      <c r="AU62" s="5"/>
      <c r="AV62" s="5">
        <f t="shared" si="32"/>
        <v>2034.75</v>
      </c>
      <c r="AW62" s="3">
        <f t="shared" si="38"/>
        <v>-1.0856341076304137</v>
      </c>
      <c r="AX62" s="3">
        <f t="shared" si="39"/>
        <v>-0.57891502489199043</v>
      </c>
      <c r="AY62" s="3">
        <f t="shared" si="40"/>
        <v>-0.7168111555046609</v>
      </c>
      <c r="AZ62" s="3">
        <f t="shared" si="41"/>
        <v>-6.6686990506437418</v>
      </c>
      <c r="BA62" s="3">
        <f t="shared" si="42"/>
        <v>-1.0300478397810913</v>
      </c>
      <c r="BB62" s="3">
        <f t="shared" si="43"/>
        <v>-0.53241378181465182</v>
      </c>
      <c r="BC62" s="3">
        <f t="shared" si="44"/>
        <v>-0.75037440098553043</v>
      </c>
      <c r="BD62" s="3">
        <f t="shared" si="45"/>
        <v>-6.7906020862743945</v>
      </c>
      <c r="BE62" s="3">
        <f t="shared" si="46"/>
        <v>-0.70060699039703711</v>
      </c>
      <c r="BF62" s="3">
        <f t="shared" si="47"/>
        <v>-0.22060892374724347</v>
      </c>
      <c r="BG62" s="3">
        <f t="shared" si="48"/>
        <v>-0.57776858820011379</v>
      </c>
      <c r="BH62" s="3">
        <f t="shared" si="49"/>
        <v>-6.1666440881654303</v>
      </c>
      <c r="BI62" s="3">
        <f t="shared" si="50"/>
        <v>-0.75619325824635675</v>
      </c>
      <c r="BJ62" s="3">
        <f t="shared" si="51"/>
        <v>-0.26711016682458366</v>
      </c>
      <c r="BK62" s="3">
        <f t="shared" si="52"/>
        <v>-0.54420534271925125</v>
      </c>
      <c r="BL62" s="3">
        <f t="shared" si="53"/>
        <v>-6.0447410525347705</v>
      </c>
      <c r="BM62" s="2">
        <v>0</v>
      </c>
    </row>
    <row r="63" spans="1:65" x14ac:dyDescent="0.35">
      <c r="A63">
        <f t="shared" si="22"/>
        <v>60</v>
      </c>
      <c r="B63">
        <v>1.1105200000000001E-2</v>
      </c>
      <c r="C63">
        <v>3.5511000000000002E-3</v>
      </c>
      <c r="D63">
        <v>2.2047E-3</v>
      </c>
      <c r="E63">
        <v>3.7006900000000002E-2</v>
      </c>
      <c r="F63">
        <v>1.1858000000000001E-3</v>
      </c>
      <c r="G63">
        <v>5.5259999999999999E-4</v>
      </c>
      <c r="H63">
        <v>1.3971000000000001E-3</v>
      </c>
      <c r="I63">
        <v>1.8419E-3</v>
      </c>
      <c r="J63">
        <v>3.0728860999999998</v>
      </c>
      <c r="K63">
        <v>0.99630149999999995</v>
      </c>
      <c r="L63">
        <v>0.54993780000000003</v>
      </c>
      <c r="M63">
        <v>5.6908675999999998</v>
      </c>
      <c r="N63">
        <v>3.0498878999999999</v>
      </c>
      <c r="O63">
        <v>0.99368129999999999</v>
      </c>
      <c r="P63">
        <v>0.54715009999999997</v>
      </c>
      <c r="Q63">
        <v>5.3513695999999999</v>
      </c>
      <c r="R63">
        <v>3.0906913999999999</v>
      </c>
      <c r="S63">
        <v>1.0019087</v>
      </c>
      <c r="T63">
        <v>0.55328379999999999</v>
      </c>
      <c r="U63">
        <v>5.7495697000000003</v>
      </c>
      <c r="V63">
        <v>3.0594619999999999</v>
      </c>
      <c r="W63">
        <v>0.99674819999999997</v>
      </c>
      <c r="X63">
        <v>0.54950940000000004</v>
      </c>
      <c r="Y63">
        <v>5.3680792999999998</v>
      </c>
      <c r="AA63" s="5">
        <f t="shared" si="17"/>
        <v>-9.9194000000000001E-3</v>
      </c>
      <c r="AB63" s="5">
        <f t="shared" si="17"/>
        <v>-2.9985000000000003E-3</v>
      </c>
      <c r="AC63" s="5">
        <f t="shared" si="17"/>
        <v>-8.075999999999999E-4</v>
      </c>
      <c r="AD63" s="5">
        <f t="shared" si="17"/>
        <v>-3.5165000000000002E-2</v>
      </c>
      <c r="AE63" s="5">
        <f t="shared" si="18"/>
        <v>-2.2998199999999969E-2</v>
      </c>
      <c r="AF63" s="5">
        <f t="shared" si="18"/>
        <v>-2.6201999999999614E-3</v>
      </c>
      <c r="AG63" s="5">
        <f t="shared" si="18"/>
        <v>-2.7877000000000596E-3</v>
      </c>
      <c r="AH63" s="5">
        <f t="shared" si="18"/>
        <v>-0.33949799999999986</v>
      </c>
      <c r="AI63" s="5">
        <f t="shared" si="23"/>
        <v>1.6882000000000077E-3</v>
      </c>
      <c r="AJ63" s="5">
        <f t="shared" si="23"/>
        <v>4.5819999999994945E-4</v>
      </c>
      <c r="AK63" s="5">
        <f t="shared" si="23"/>
        <v>-1.790999999998961E-4</v>
      </c>
      <c r="AL63" s="5">
        <f t="shared" si="23"/>
        <v>-6.8274000000007051E-3</v>
      </c>
      <c r="AM63" s="5"/>
      <c r="AN63" s="5"/>
      <c r="AO63" s="5"/>
      <c r="AP63" s="5"/>
      <c r="AQ63" s="5"/>
      <c r="AR63" s="5"/>
      <c r="AS63" s="5"/>
      <c r="AT63" s="5"/>
      <c r="AU63" s="5"/>
      <c r="AV63" s="5">
        <f t="shared" si="32"/>
        <v>2035</v>
      </c>
      <c r="AW63" s="3">
        <f t="shared" si="38"/>
        <v>-1.0650561877513869</v>
      </c>
      <c r="AX63" s="3">
        <f t="shared" si="39"/>
        <v>-0.56079960180004051</v>
      </c>
      <c r="AY63" s="3">
        <f t="shared" si="40"/>
        <v>-0.64981118189255849</v>
      </c>
      <c r="AZ63" s="3">
        <f t="shared" si="41"/>
        <v>-6.5163659116959627</v>
      </c>
      <c r="BA63" s="3">
        <f t="shared" si="42"/>
        <v>-1.0104341054561436</v>
      </c>
      <c r="BB63" s="3">
        <f t="shared" si="43"/>
        <v>-0.51506689182357757</v>
      </c>
      <c r="BC63" s="3">
        <f t="shared" si="44"/>
        <v>-0.68218154950496579</v>
      </c>
      <c r="BD63" s="3">
        <f t="shared" si="45"/>
        <v>-6.6351121893521965</v>
      </c>
      <c r="BE63" s="3">
        <f t="shared" si="46"/>
        <v>-0.68948973682717607</v>
      </c>
      <c r="BF63" s="3">
        <f t="shared" si="47"/>
        <v>-0.21578812520542015</v>
      </c>
      <c r="BG63" s="3">
        <f t="shared" si="48"/>
        <v>-0.536216675781929</v>
      </c>
      <c r="BH63" s="3">
        <f t="shared" si="49"/>
        <v>-6.0235012021856251</v>
      </c>
      <c r="BI63" s="3">
        <f t="shared" si="50"/>
        <v>-0.74411181912241287</v>
      </c>
      <c r="BJ63" s="3">
        <f t="shared" si="51"/>
        <v>-0.26152083518188446</v>
      </c>
      <c r="BK63" s="3">
        <f t="shared" si="52"/>
        <v>-0.50384630816952525</v>
      </c>
      <c r="BL63" s="3">
        <f t="shared" si="53"/>
        <v>-5.9047549245293931</v>
      </c>
      <c r="BM63" s="2">
        <v>0</v>
      </c>
    </row>
    <row r="64" spans="1:65" x14ac:dyDescent="0.35">
      <c r="A64">
        <f t="shared" si="22"/>
        <v>61</v>
      </c>
      <c r="B64">
        <v>1.10268E-2</v>
      </c>
      <c r="C64">
        <v>3.5119999999999999E-3</v>
      </c>
      <c r="D64">
        <v>2.1743000000000001E-3</v>
      </c>
      <c r="E64">
        <v>3.6626800000000001E-2</v>
      </c>
      <c r="F64">
        <v>1.3787999999999999E-3</v>
      </c>
      <c r="G64">
        <v>6.3860000000000002E-4</v>
      </c>
      <c r="H64">
        <v>1.3672000000000001E-3</v>
      </c>
      <c r="I64">
        <v>2.2163999999999999E-3</v>
      </c>
      <c r="J64">
        <v>3.0730162000000001</v>
      </c>
      <c r="K64">
        <v>0.99636040000000003</v>
      </c>
      <c r="L64">
        <v>0.55000079999999996</v>
      </c>
      <c r="M64">
        <v>5.6917416999999997</v>
      </c>
      <c r="N64">
        <v>3.0504169999999999</v>
      </c>
      <c r="O64">
        <v>0.99377590000000005</v>
      </c>
      <c r="P64">
        <v>0.54736050000000003</v>
      </c>
      <c r="Q64">
        <v>5.3603623999999996</v>
      </c>
      <c r="R64">
        <v>3.0906913999999999</v>
      </c>
      <c r="S64">
        <v>1.0019087</v>
      </c>
      <c r="T64">
        <v>0.55328379999999999</v>
      </c>
      <c r="U64">
        <v>5.7495697000000003</v>
      </c>
      <c r="V64">
        <v>3.0601034</v>
      </c>
      <c r="W64">
        <v>0.99690109999999998</v>
      </c>
      <c r="X64">
        <v>0.54966139999999997</v>
      </c>
      <c r="Y64">
        <v>5.3771348999999997</v>
      </c>
      <c r="AA64" s="5">
        <f t="shared" si="17"/>
        <v>-9.6480000000000003E-3</v>
      </c>
      <c r="AB64" s="5">
        <f t="shared" si="17"/>
        <v>-2.8733999999999999E-3</v>
      </c>
      <c r="AC64" s="5">
        <f t="shared" si="17"/>
        <v>-8.0710000000000005E-4</v>
      </c>
      <c r="AD64" s="5">
        <f t="shared" si="17"/>
        <v>-3.4410400000000001E-2</v>
      </c>
      <c r="AE64" s="5">
        <f t="shared" si="18"/>
        <v>-2.2599200000000152E-2</v>
      </c>
      <c r="AF64" s="5">
        <f t="shared" si="18"/>
        <v>-2.5844999999999896E-3</v>
      </c>
      <c r="AG64" s="5">
        <f t="shared" si="18"/>
        <v>-2.6402999999999288E-3</v>
      </c>
      <c r="AH64" s="5">
        <f t="shared" si="18"/>
        <v>-0.33137930000000004</v>
      </c>
      <c r="AI64" s="5">
        <f t="shared" si="23"/>
        <v>1.6592000000003188E-3</v>
      </c>
      <c r="AJ64" s="5">
        <f t="shared" si="23"/>
        <v>4.5029999999998856E-4</v>
      </c>
      <c r="AK64" s="5">
        <f t="shared" si="23"/>
        <v>-1.7500000000009695E-4</v>
      </c>
      <c r="AL64" s="5">
        <f t="shared" si="23"/>
        <v>-6.64510000000057E-3</v>
      </c>
      <c r="AM64" s="5"/>
      <c r="AN64" s="5"/>
      <c r="AO64" s="5"/>
      <c r="AP64" s="5"/>
      <c r="AQ64" s="5"/>
      <c r="AR64" s="5"/>
      <c r="AS64" s="5"/>
      <c r="AT64" s="5"/>
      <c r="AU64" s="5"/>
      <c r="AV64" s="5">
        <f t="shared" si="32"/>
        <v>2035.25</v>
      </c>
      <c r="AW64" s="3">
        <f t="shared" si="38"/>
        <v>-1.0433652483065814</v>
      </c>
      <c r="AX64" s="3">
        <f t="shared" si="39"/>
        <v>-0.54475023522602306</v>
      </c>
      <c r="AY64" s="3">
        <f t="shared" si="40"/>
        <v>-0.62307987329466885</v>
      </c>
      <c r="AZ64" s="3">
        <f t="shared" si="41"/>
        <v>-6.362036101588612</v>
      </c>
      <c r="BA64" s="3">
        <f t="shared" si="42"/>
        <v>-0.98968146738945983</v>
      </c>
      <c r="BB64" s="3">
        <f t="shared" si="43"/>
        <v>-0.49980602024915055</v>
      </c>
      <c r="BC64" s="3">
        <f t="shared" si="44"/>
        <v>-0.65470921071609645</v>
      </c>
      <c r="BD64" s="3">
        <f t="shared" si="45"/>
        <v>-6.4776117071856802</v>
      </c>
      <c r="BE64" s="3">
        <f t="shared" si="46"/>
        <v>-0.67751830545100555</v>
      </c>
      <c r="BF64" s="3">
        <f t="shared" si="47"/>
        <v>-0.21301342128279505</v>
      </c>
      <c r="BG64" s="3">
        <f t="shared" si="48"/>
        <v>-0.508834706528562</v>
      </c>
      <c r="BH64" s="3">
        <f t="shared" si="49"/>
        <v>-5.8791251804461302</v>
      </c>
      <c r="BI64" s="3">
        <f t="shared" si="50"/>
        <v>-0.73120208636812312</v>
      </c>
      <c r="BJ64" s="3">
        <f t="shared" si="51"/>
        <v>-0.25795763625967016</v>
      </c>
      <c r="BK64" s="3">
        <f t="shared" si="52"/>
        <v>-0.4772053691071253</v>
      </c>
      <c r="BL64" s="3">
        <f t="shared" si="53"/>
        <v>-5.7635495748490539</v>
      </c>
      <c r="BM64" s="2">
        <v>0</v>
      </c>
    </row>
    <row r="65" spans="1:65" x14ac:dyDescent="0.35">
      <c r="A65">
        <f t="shared" si="22"/>
        <v>62</v>
      </c>
      <c r="B65">
        <v>1.09496E-2</v>
      </c>
      <c r="C65">
        <v>3.4743E-3</v>
      </c>
      <c r="D65">
        <v>2.1413000000000001E-3</v>
      </c>
      <c r="E65">
        <v>3.6220500000000003E-2</v>
      </c>
      <c r="F65">
        <v>1.5612E-3</v>
      </c>
      <c r="G65">
        <v>7.182E-4</v>
      </c>
      <c r="H65">
        <v>1.3022999999999999E-3</v>
      </c>
      <c r="I65">
        <v>2.5701999999999999E-3</v>
      </c>
      <c r="J65">
        <v>3.0731454999999999</v>
      </c>
      <c r="K65">
        <v>0.99641789999999997</v>
      </c>
      <c r="L65">
        <v>0.55006540000000004</v>
      </c>
      <c r="M65">
        <v>5.6926483000000001</v>
      </c>
      <c r="N65">
        <v>3.0509194000000002</v>
      </c>
      <c r="O65">
        <v>0.99386620000000003</v>
      </c>
      <c r="P65">
        <v>0.54868399999999995</v>
      </c>
      <c r="Q65">
        <v>5.3693941000000001</v>
      </c>
      <c r="R65">
        <v>3.0906913999999999</v>
      </c>
      <c r="S65">
        <v>1.0019087</v>
      </c>
      <c r="T65">
        <v>0.55328379999999999</v>
      </c>
      <c r="U65">
        <v>5.7495697000000003</v>
      </c>
      <c r="V65">
        <v>3.0607074000000001</v>
      </c>
      <c r="W65">
        <v>0.99704380000000004</v>
      </c>
      <c r="X65">
        <v>0.55089860000000002</v>
      </c>
      <c r="Y65">
        <v>5.3862036</v>
      </c>
      <c r="AA65" s="5">
        <f t="shared" si="17"/>
        <v>-9.3883999999999999E-3</v>
      </c>
      <c r="AB65" s="5">
        <f t="shared" si="17"/>
        <v>-2.7561E-3</v>
      </c>
      <c r="AC65" s="5">
        <f t="shared" si="17"/>
        <v>-8.3900000000000012E-4</v>
      </c>
      <c r="AD65" s="5">
        <f t="shared" si="17"/>
        <v>-3.3650300000000001E-2</v>
      </c>
      <c r="AE65" s="5">
        <f t="shared" si="18"/>
        <v>-2.2226099999999693E-2</v>
      </c>
      <c r="AF65" s="5">
        <f t="shared" si="18"/>
        <v>-2.5516999999999346E-3</v>
      </c>
      <c r="AG65" s="5">
        <f t="shared" si="18"/>
        <v>-1.3814000000000881E-3</v>
      </c>
      <c r="AH65" s="5">
        <f t="shared" si="18"/>
        <v>-0.32325420000000005</v>
      </c>
      <c r="AI65" s="5">
        <f t="shared" si="23"/>
        <v>1.6304999999999029E-3</v>
      </c>
      <c r="AJ65" s="5">
        <f t="shared" si="23"/>
        <v>4.428999999999848E-4</v>
      </c>
      <c r="AK65" s="5">
        <f t="shared" si="23"/>
        <v>-1.6479999999988778E-4</v>
      </c>
      <c r="AL65" s="5">
        <f t="shared" si="23"/>
        <v>-6.4616000000002893E-3</v>
      </c>
      <c r="AM65" s="5"/>
      <c r="AN65" s="5"/>
      <c r="AO65" s="5"/>
      <c r="AP65" s="5"/>
      <c r="AQ65" s="5"/>
      <c r="AR65" s="5"/>
      <c r="AS65" s="5"/>
      <c r="AT65" s="5"/>
      <c r="AU65" s="5"/>
      <c r="AV65" s="5">
        <f t="shared" si="32"/>
        <v>2035.5</v>
      </c>
      <c r="AW65" s="3">
        <f t="shared" si="38"/>
        <v>-1.0228941006533261</v>
      </c>
      <c r="AX65" s="3">
        <f t="shared" si="39"/>
        <v>-0.52976883023372634</v>
      </c>
      <c r="AY65" s="3">
        <f t="shared" si="40"/>
        <v>-0.40131303320286776</v>
      </c>
      <c r="AZ65" s="3">
        <f t="shared" si="41"/>
        <v>-6.2074993194708128</v>
      </c>
      <c r="BA65" s="3">
        <f t="shared" si="42"/>
        <v>-0.97013891454836898</v>
      </c>
      <c r="BB65" s="3">
        <f t="shared" si="43"/>
        <v>-0.48556320550963872</v>
      </c>
      <c r="BC65" s="3">
        <f t="shared" si="44"/>
        <v>-0.43109883210026684</v>
      </c>
      <c r="BD65" s="3">
        <f t="shared" si="45"/>
        <v>-6.3198833818816098</v>
      </c>
      <c r="BE65" s="3">
        <f t="shared" si="46"/>
        <v>-0.6663751677051809</v>
      </c>
      <c r="BF65" s="3">
        <f t="shared" si="47"/>
        <v>-0.2104782601448526</v>
      </c>
      <c r="BG65" s="3">
        <f t="shared" si="48"/>
        <v>-0.27945875154847155</v>
      </c>
      <c r="BH65" s="3">
        <f t="shared" si="49"/>
        <v>-5.7346169749016287</v>
      </c>
      <c r="BI65" s="3">
        <f t="shared" si="50"/>
        <v>-0.71913035381014401</v>
      </c>
      <c r="BJ65" s="3">
        <f t="shared" si="51"/>
        <v>-0.25468388486894411</v>
      </c>
      <c r="BK65" s="3">
        <f t="shared" si="52"/>
        <v>-0.24967295265107856</v>
      </c>
      <c r="BL65" s="3">
        <f t="shared" si="53"/>
        <v>-5.6222329124908255</v>
      </c>
      <c r="BM65" s="2">
        <v>0</v>
      </c>
    </row>
    <row r="66" spans="1:65" x14ac:dyDescent="0.35">
      <c r="A66">
        <f t="shared" si="22"/>
        <v>63</v>
      </c>
      <c r="B66">
        <v>1.08734E-2</v>
      </c>
      <c r="C66">
        <v>3.4378E-3</v>
      </c>
      <c r="D66">
        <v>2.1061000000000001E-3</v>
      </c>
      <c r="E66">
        <v>3.5788899999999998E-2</v>
      </c>
      <c r="F66">
        <v>1.7304E-3</v>
      </c>
      <c r="G66">
        <v>7.9120000000000004E-4</v>
      </c>
      <c r="H66">
        <v>1.2313999999999999E-3</v>
      </c>
      <c r="I66">
        <v>2.8930000000000002E-3</v>
      </c>
      <c r="J66">
        <v>3.0732745000000001</v>
      </c>
      <c r="K66">
        <v>0.99647419999999998</v>
      </c>
      <c r="L66">
        <v>0.55013120000000004</v>
      </c>
      <c r="M66">
        <v>5.6935843999999998</v>
      </c>
      <c r="N66">
        <v>3.0514546</v>
      </c>
      <c r="O66">
        <v>0.99395210000000001</v>
      </c>
      <c r="P66">
        <v>0.54765470000000005</v>
      </c>
      <c r="Q66">
        <v>5.3777889999999999</v>
      </c>
      <c r="R66">
        <v>3.0906913999999999</v>
      </c>
      <c r="S66">
        <v>1.0019087</v>
      </c>
      <c r="T66">
        <v>0.55328379999999999</v>
      </c>
      <c r="U66">
        <v>5.7495697000000003</v>
      </c>
      <c r="V66">
        <v>3.061331</v>
      </c>
      <c r="W66">
        <v>0.99717549999999999</v>
      </c>
      <c r="X66">
        <v>0.54976689999999995</v>
      </c>
      <c r="Y66">
        <v>5.3945978999999999</v>
      </c>
      <c r="AA66" s="5">
        <f t="shared" si="17"/>
        <v>-9.1430000000000001E-3</v>
      </c>
      <c r="AB66" s="5">
        <f t="shared" si="17"/>
        <v>-2.6465999999999998E-3</v>
      </c>
      <c r="AC66" s="5">
        <f t="shared" si="17"/>
        <v>-8.7470000000000017E-4</v>
      </c>
      <c r="AD66" s="5">
        <f t="shared" si="17"/>
        <v>-3.2895899999999999E-2</v>
      </c>
      <c r="AE66" s="5">
        <f t="shared" si="18"/>
        <v>-2.1819900000000114E-2</v>
      </c>
      <c r="AF66" s="5">
        <f t="shared" si="18"/>
        <v>-2.5220999999999716E-3</v>
      </c>
      <c r="AG66" s="5">
        <f t="shared" si="18"/>
        <v>-2.4764999999999926E-3</v>
      </c>
      <c r="AH66" s="5">
        <f t="shared" si="18"/>
        <v>-0.31579539999999984</v>
      </c>
      <c r="AI66" s="5">
        <f t="shared" si="23"/>
        <v>1.6025000000002704E-3</v>
      </c>
      <c r="AJ66" s="5">
        <f t="shared" si="23"/>
        <v>4.3549999999997844E-4</v>
      </c>
      <c r="AK66" s="5">
        <f t="shared" si="23"/>
        <v>-1.6570000000005244E-4</v>
      </c>
      <c r="AL66" s="5">
        <f t="shared" si="23"/>
        <v>-6.2805000000005773E-3</v>
      </c>
      <c r="AM66" s="5"/>
      <c r="AN66" s="5"/>
      <c r="AO66" s="5"/>
      <c r="AP66" s="5"/>
      <c r="AQ66" s="5"/>
      <c r="AR66" s="5"/>
      <c r="AS66" s="5"/>
      <c r="AT66" s="5"/>
      <c r="AU66" s="5"/>
      <c r="AV66" s="5">
        <f t="shared" si="32"/>
        <v>2035.75</v>
      </c>
      <c r="AW66" s="3">
        <f t="shared" si="38"/>
        <v>-1.0018114393433171</v>
      </c>
      <c r="AX66" s="3">
        <f t="shared" si="39"/>
        <v>-0.51588532967125367</v>
      </c>
      <c r="AY66" s="3">
        <f t="shared" si="40"/>
        <v>-0.60569277466645377</v>
      </c>
      <c r="AZ66" s="3">
        <f t="shared" si="41"/>
        <v>-6.064650368531054</v>
      </c>
      <c r="BA66" s="3">
        <f t="shared" si="42"/>
        <v>-0.94996219939654425</v>
      </c>
      <c r="BB66" s="3">
        <f t="shared" si="43"/>
        <v>-0.47241829519995115</v>
      </c>
      <c r="BC66" s="3">
        <f t="shared" si="44"/>
        <v>-0.63564123872776412</v>
      </c>
      <c r="BD66" s="3">
        <f t="shared" si="45"/>
        <v>-6.1738846300097974</v>
      </c>
      <c r="BE66" s="3">
        <f t="shared" si="46"/>
        <v>-0.65413842352555618</v>
      </c>
      <c r="BF66" s="3">
        <f t="shared" si="47"/>
        <v>-0.20826248938650183</v>
      </c>
      <c r="BG66" s="3">
        <f t="shared" si="48"/>
        <v>-0.47754877334200624</v>
      </c>
      <c r="BH66" s="3">
        <f t="shared" si="49"/>
        <v>-5.6017392049356429</v>
      </c>
      <c r="BI66" s="3">
        <f t="shared" si="50"/>
        <v>-0.70598766347232578</v>
      </c>
      <c r="BJ66" s="3">
        <f t="shared" si="51"/>
        <v>-0.25172952385780978</v>
      </c>
      <c r="BK66" s="3">
        <f t="shared" si="52"/>
        <v>-0.44760030928069694</v>
      </c>
      <c r="BL66" s="3">
        <f t="shared" si="53"/>
        <v>-5.492504943456896</v>
      </c>
      <c r="BM66" s="2">
        <v>0</v>
      </c>
    </row>
    <row r="67" spans="1:65" x14ac:dyDescent="0.35">
      <c r="A67">
        <f t="shared" si="22"/>
        <v>64</v>
      </c>
      <c r="B67">
        <v>1.0797899999999999E-2</v>
      </c>
      <c r="C67">
        <v>3.4022000000000002E-3</v>
      </c>
      <c r="D67">
        <v>2.0692000000000002E-3</v>
      </c>
      <c r="E67">
        <v>3.5333099999999999E-2</v>
      </c>
      <c r="F67">
        <v>1.4962E-3</v>
      </c>
      <c r="G67">
        <v>6.5979999999999999E-4</v>
      </c>
      <c r="H67">
        <v>-3.9760000000000002E-4</v>
      </c>
      <c r="I67">
        <v>2.8559000000000002E-3</v>
      </c>
      <c r="J67">
        <v>3.0734032999999998</v>
      </c>
      <c r="K67">
        <v>0.99652940000000001</v>
      </c>
      <c r="L67">
        <v>0.55019770000000001</v>
      </c>
      <c r="M67">
        <v>5.6945471000000003</v>
      </c>
      <c r="N67">
        <v>3.0519712999999999</v>
      </c>
      <c r="O67">
        <v>0.994058</v>
      </c>
      <c r="P67">
        <v>0.54955229999999999</v>
      </c>
      <c r="Q67">
        <v>5.3873574</v>
      </c>
      <c r="R67">
        <v>3.0906913999999999</v>
      </c>
      <c r="S67">
        <v>1.0019087</v>
      </c>
      <c r="T67">
        <v>0.55328379999999999</v>
      </c>
      <c r="U67">
        <v>5.7495697000000003</v>
      </c>
      <c r="V67">
        <v>3.0615323999999999</v>
      </c>
      <c r="W67">
        <v>0.99712310000000004</v>
      </c>
      <c r="X67">
        <v>0.55001129999999998</v>
      </c>
      <c r="Y67">
        <v>5.4038016000000004</v>
      </c>
      <c r="AA67" s="5">
        <f t="shared" si="17"/>
        <v>-9.3016999999999996E-3</v>
      </c>
      <c r="AB67" s="5">
        <f t="shared" si="17"/>
        <v>-2.7424000000000003E-3</v>
      </c>
      <c r="AC67" s="5">
        <f t="shared" si="17"/>
        <v>-2.4668000000000003E-3</v>
      </c>
      <c r="AD67" s="5">
        <f t="shared" ref="AD67" si="54">I67-E67</f>
        <v>-3.2477199999999998E-2</v>
      </c>
      <c r="AE67" s="5">
        <f t="shared" si="18"/>
        <v>-2.1431999999999896E-2</v>
      </c>
      <c r="AF67" s="5">
        <f t="shared" si="18"/>
        <v>-2.4714000000000125E-3</v>
      </c>
      <c r="AG67" s="5">
        <f t="shared" si="18"/>
        <v>-6.4540000000001818E-4</v>
      </c>
      <c r="AH67" s="5">
        <f t="shared" ref="AH67" si="55">Q67-M67</f>
        <v>-0.30718970000000034</v>
      </c>
      <c r="AI67" s="5">
        <f t="shared" si="23"/>
        <v>1.5746999999999602E-3</v>
      </c>
      <c r="AJ67" s="5">
        <f t="shared" si="23"/>
        <v>4.2820000000006776E-4</v>
      </c>
      <c r="AK67" s="5">
        <f t="shared" si="23"/>
        <v>-1.60299999999993E-4</v>
      </c>
      <c r="AL67" s="5">
        <f t="shared" si="23"/>
        <v>-6.1011999999995847E-3</v>
      </c>
      <c r="AM67" s="5"/>
      <c r="AN67" s="5"/>
      <c r="AO67" s="5"/>
      <c r="AP67" s="5"/>
      <c r="AQ67" s="5"/>
      <c r="AR67" s="5"/>
      <c r="AS67" s="5"/>
      <c r="AT67" s="5"/>
      <c r="AU67" s="5"/>
      <c r="AV67" s="5">
        <f t="shared" si="32"/>
        <v>2036</v>
      </c>
      <c r="AW67" s="3">
        <f t="shared" ref="AW67:AW98" si="56">100*(AA67+AE67)/R67</f>
        <v>-0.99439562293407546</v>
      </c>
      <c r="AX67" s="3">
        <f t="shared" ref="AX67:AX98" si="57">100*(AB67+AF67)/S67</f>
        <v>-0.52038673783349854</v>
      </c>
      <c r="AY67" s="3">
        <f t="shared" ref="AY67:AY98" si="58">100*(AC67+AG67)/T67</f>
        <v>-0.56249613670236109</v>
      </c>
      <c r="AZ67" s="3">
        <f t="shared" ref="AZ67:AZ98" si="59">100*(AD67+AH67)/U67</f>
        <v>-5.9076925356692405</v>
      </c>
      <c r="BA67" s="3">
        <f t="shared" ref="BA67:BA98" si="60">100*(V67-R67)/R67</f>
        <v>-0.94344585810152171</v>
      </c>
      <c r="BB67" s="3">
        <f t="shared" ref="BB67:BB98" si="61">100*(W67-S67)/S67</f>
        <v>-0.4776483126656097</v>
      </c>
      <c r="BC67" s="3">
        <f t="shared" ref="BC67:BC98" si="62">100*(X67-T67)/T67</f>
        <v>-0.59146860978037163</v>
      </c>
      <c r="BD67" s="3">
        <f t="shared" ref="BD67:BD98" si="63">100*(Y67-U67)/U67</f>
        <v>-6.0138083029065621</v>
      </c>
      <c r="BE67" s="3">
        <f t="shared" ref="BE67:BE98" si="64">100*(V67-AA67-V$3)/R67</f>
        <v>-0.64248730882675531</v>
      </c>
      <c r="BF67" s="3">
        <f t="shared" ref="BF67:BF98" si="65">100*(W67-AB67-W$3)/S67</f>
        <v>-0.20393075736341162</v>
      </c>
      <c r="BG67" s="3">
        <f t="shared" ref="BG67:BG98" si="66">100*(X67-AC67-X$3)/T67</f>
        <v>-0.14562146948817592</v>
      </c>
      <c r="BH67" s="3">
        <f t="shared" ref="BH67:BH98" si="67">100*(Y67-AD67-Y$3)/U67</f>
        <v>-5.4489451619309897</v>
      </c>
      <c r="BI67" s="3">
        <f t="shared" ref="BI67:BI98" si="68">100*(AE67/R67)</f>
        <v>-0.69343707365930796</v>
      </c>
      <c r="BJ67" s="3">
        <f t="shared" ref="BJ67:BJ98" si="69">100*(AF67/S67)</f>
        <v>-0.24666918253130377</v>
      </c>
      <c r="BK67" s="3">
        <f t="shared" ref="BK67:BK98" si="70">100*(AG67/T67)</f>
        <v>-0.11664899641016385</v>
      </c>
      <c r="BL67" s="3">
        <f t="shared" ref="BL67:BL98" si="71">100*(AH67/U67)</f>
        <v>-5.3428293946936645</v>
      </c>
      <c r="BM67" s="2">
        <v>0</v>
      </c>
    </row>
    <row r="68" spans="1:65" x14ac:dyDescent="0.35">
      <c r="A68">
        <f t="shared" si="22"/>
        <v>65</v>
      </c>
      <c r="B68">
        <v>1.0722799999999999E-2</v>
      </c>
      <c r="C68">
        <v>3.3676000000000001E-3</v>
      </c>
      <c r="D68">
        <v>2.0309E-3</v>
      </c>
      <c r="E68">
        <v>3.4854400000000001E-2</v>
      </c>
      <c r="F68">
        <v>1.7773999999999999E-3</v>
      </c>
      <c r="G68">
        <v>7.9949999999999997E-4</v>
      </c>
      <c r="H68">
        <v>1.0531E-3</v>
      </c>
      <c r="I68">
        <v>2.9891000000000002E-3</v>
      </c>
      <c r="J68">
        <v>3.0735321</v>
      </c>
      <c r="K68">
        <v>0.99658369999999996</v>
      </c>
      <c r="L68">
        <v>0.55026470000000005</v>
      </c>
      <c r="M68">
        <v>5.6955333000000001</v>
      </c>
      <c r="N68">
        <v>3.0525823999999999</v>
      </c>
      <c r="O68">
        <v>0.9941643</v>
      </c>
      <c r="P68">
        <v>0.54845849999999996</v>
      </c>
      <c r="Q68">
        <v>5.3960154999999999</v>
      </c>
      <c r="R68">
        <v>3.0906913999999999</v>
      </c>
      <c r="S68">
        <v>1.0019087</v>
      </c>
      <c r="T68">
        <v>0.55328379999999999</v>
      </c>
      <c r="U68">
        <v>5.7495697000000003</v>
      </c>
      <c r="V68">
        <v>3.0623434</v>
      </c>
      <c r="W68">
        <v>0.99734199999999995</v>
      </c>
      <c r="X68">
        <v>0.55034139999999998</v>
      </c>
      <c r="Y68">
        <v>5.4122624000000004</v>
      </c>
      <c r="AA68" s="5">
        <f t="shared" ref="AA68:AD120" si="72">F68-B68</f>
        <v>-8.9453999999999992E-3</v>
      </c>
      <c r="AB68" s="5">
        <f t="shared" si="72"/>
        <v>-2.5681000000000002E-3</v>
      </c>
      <c r="AC68" s="5">
        <f t="shared" si="72"/>
        <v>-9.7780000000000002E-4</v>
      </c>
      <c r="AD68" s="5">
        <f t="shared" si="72"/>
        <v>-3.1865299999999999E-2</v>
      </c>
      <c r="AE68" s="5">
        <f t="shared" ref="AE68:AH120" si="73">N68-J68</f>
        <v>-2.0949700000000071E-2</v>
      </c>
      <c r="AF68" s="5">
        <f t="shared" si="73"/>
        <v>-2.4193999999999605E-3</v>
      </c>
      <c r="AG68" s="5">
        <f t="shared" si="73"/>
        <v>-1.8062000000000911E-3</v>
      </c>
      <c r="AH68" s="5">
        <f t="shared" si="73"/>
        <v>-0.29951780000000028</v>
      </c>
      <c r="AI68" s="5">
        <f t="shared" si="23"/>
        <v>1.5471000000002524E-3</v>
      </c>
      <c r="AJ68" s="5">
        <f t="shared" si="23"/>
        <v>4.2079999999992609E-4</v>
      </c>
      <c r="AK68" s="5">
        <f t="shared" si="23"/>
        <v>-1.5839999999992058E-4</v>
      </c>
      <c r="AL68" s="5">
        <f t="shared" si="23"/>
        <v>-5.924199999999713E-3</v>
      </c>
      <c r="AM68" s="5"/>
      <c r="AN68" s="5"/>
      <c r="AO68" s="5"/>
      <c r="AP68" s="5"/>
      <c r="AQ68" s="5"/>
      <c r="AR68" s="5"/>
      <c r="AS68" s="5"/>
      <c r="AT68" s="5"/>
      <c r="AU68" s="5"/>
      <c r="AV68" s="5">
        <f t="shared" si="32"/>
        <v>2036.25</v>
      </c>
      <c r="AW68" s="3">
        <f t="shared" si="56"/>
        <v>-0.9672625354961053</v>
      </c>
      <c r="AX68" s="3">
        <f t="shared" si="57"/>
        <v>-0.49779984942739403</v>
      </c>
      <c r="AY68" s="3">
        <f t="shared" si="58"/>
        <v>-0.50317757360690674</v>
      </c>
      <c r="AZ68" s="3">
        <f t="shared" si="59"/>
        <v>-5.7636156667515523</v>
      </c>
      <c r="BA68" s="3">
        <f t="shared" si="60"/>
        <v>-0.91720577473376408</v>
      </c>
      <c r="BB68" s="3">
        <f t="shared" si="61"/>
        <v>-0.45580001451230384</v>
      </c>
      <c r="BC68" s="3">
        <f t="shared" si="62"/>
        <v>-0.53180664245004317</v>
      </c>
      <c r="BD68" s="3">
        <f t="shared" si="63"/>
        <v>-5.8666529427410872</v>
      </c>
      <c r="BE68" s="3">
        <f t="shared" si="64"/>
        <v>-0.62777539032204333</v>
      </c>
      <c r="BF68" s="3">
        <f t="shared" si="65"/>
        <v>-0.1994792539479967</v>
      </c>
      <c r="BG68" s="3">
        <f t="shared" si="66"/>
        <v>-0.35507997884629605</v>
      </c>
      <c r="BH68" s="3">
        <f t="shared" si="67"/>
        <v>-5.3124323373277864</v>
      </c>
      <c r="BI68" s="3">
        <f t="shared" si="68"/>
        <v>-0.67783215108438433</v>
      </c>
      <c r="BJ68" s="3">
        <f t="shared" si="69"/>
        <v>-0.24147908886308309</v>
      </c>
      <c r="BK68" s="3">
        <f t="shared" si="70"/>
        <v>-0.32645091000316495</v>
      </c>
      <c r="BL68" s="3">
        <f t="shared" si="71"/>
        <v>-5.2093950613382471</v>
      </c>
      <c r="BM68" s="2">
        <v>0</v>
      </c>
    </row>
    <row r="69" spans="1:65" x14ac:dyDescent="0.35">
      <c r="A69">
        <f t="shared" ref="A69:A121" si="74">A68+1</f>
        <v>66</v>
      </c>
      <c r="B69">
        <v>1.06479E-2</v>
      </c>
      <c r="C69">
        <v>3.3337000000000002E-3</v>
      </c>
      <c r="D69">
        <v>1.9913999999999999E-3</v>
      </c>
      <c r="E69">
        <v>3.4354299999999997E-2</v>
      </c>
      <c r="F69">
        <v>1.9005999999999999E-3</v>
      </c>
      <c r="G69">
        <v>8.5479999999999996E-4</v>
      </c>
      <c r="H69">
        <v>1.1984000000000001E-3</v>
      </c>
      <c r="I69">
        <v>3.2561999999999999E-3</v>
      </c>
      <c r="J69">
        <v>3.0736612000000001</v>
      </c>
      <c r="K69">
        <v>0.9966372</v>
      </c>
      <c r="L69">
        <v>0.55033189999999998</v>
      </c>
      <c r="M69">
        <v>5.6965401</v>
      </c>
      <c r="N69">
        <v>3.0532446000000002</v>
      </c>
      <c r="O69">
        <v>0.99433229999999995</v>
      </c>
      <c r="P69">
        <v>0.54846499999999998</v>
      </c>
      <c r="Q69">
        <v>5.4042525000000001</v>
      </c>
      <c r="R69">
        <v>3.0906913999999999</v>
      </c>
      <c r="S69">
        <v>1.0019087</v>
      </c>
      <c r="T69">
        <v>0.55328379999999999</v>
      </c>
      <c r="U69">
        <v>5.7495697000000003</v>
      </c>
      <c r="V69">
        <v>3.0630478000000001</v>
      </c>
      <c r="W69">
        <v>0.99753879999999995</v>
      </c>
      <c r="X69">
        <v>0.55047140000000006</v>
      </c>
      <c r="Y69">
        <v>5.4204343000000001</v>
      </c>
      <c r="AA69" s="5">
        <f t="shared" si="72"/>
        <v>-8.7472999999999995E-3</v>
      </c>
      <c r="AB69" s="5">
        <f t="shared" si="72"/>
        <v>-2.4789E-3</v>
      </c>
      <c r="AC69" s="5">
        <f t="shared" si="72"/>
        <v>-7.9299999999999987E-4</v>
      </c>
      <c r="AD69" s="5">
        <f t="shared" si="72"/>
        <v>-3.1098099999999997E-2</v>
      </c>
      <c r="AE69" s="5">
        <f t="shared" si="73"/>
        <v>-2.0416599999999896E-2</v>
      </c>
      <c r="AF69" s="5">
        <f t="shared" si="73"/>
        <v>-2.3049000000000541E-3</v>
      </c>
      <c r="AG69" s="5">
        <f t="shared" si="73"/>
        <v>-1.8669000000000047E-3</v>
      </c>
      <c r="AH69" s="5">
        <f t="shared" si="73"/>
        <v>-0.29228759999999987</v>
      </c>
      <c r="AI69" s="5">
        <f t="shared" ref="AI69:AL120" si="75">((V69-R69)-(AA69+AE69))</f>
        <v>1.5203000000001271E-3</v>
      </c>
      <c r="AJ69" s="5">
        <f t="shared" si="75"/>
        <v>4.1390000000001651E-4</v>
      </c>
      <c r="AK69" s="5">
        <f t="shared" si="75"/>
        <v>-1.5249999999993264E-4</v>
      </c>
      <c r="AL69" s="5">
        <f t="shared" si="75"/>
        <v>-5.7497000000003018E-3</v>
      </c>
      <c r="AM69" s="5"/>
      <c r="AN69" s="5"/>
      <c r="AO69" s="5"/>
      <c r="AP69" s="5"/>
      <c r="AQ69" s="5"/>
      <c r="AR69" s="5"/>
      <c r="AS69" s="5"/>
      <c r="AT69" s="5"/>
      <c r="AU69" s="5"/>
      <c r="AV69" s="5">
        <f t="shared" ref="AV69:AV120" si="76">AV68+0.25</f>
        <v>2036.5</v>
      </c>
      <c r="AW69" s="3">
        <f t="shared" si="56"/>
        <v>-0.94360439867920487</v>
      </c>
      <c r="AX69" s="3">
        <f t="shared" si="57"/>
        <v>-0.47746865557710538</v>
      </c>
      <c r="AY69" s="3">
        <f t="shared" si="58"/>
        <v>-0.48074785489833688</v>
      </c>
      <c r="AZ69" s="3">
        <f t="shared" si="59"/>
        <v>-5.6245200401692648</v>
      </c>
      <c r="BA69" s="3">
        <f t="shared" si="60"/>
        <v>-0.89441475781114121</v>
      </c>
      <c r="BB69" s="3">
        <f t="shared" si="61"/>
        <v>-0.43615750616798094</v>
      </c>
      <c r="BC69" s="3">
        <f t="shared" si="62"/>
        <v>-0.50831056322269641</v>
      </c>
      <c r="BD69" s="3">
        <f t="shared" si="63"/>
        <v>-5.724522306425821</v>
      </c>
      <c r="BE69" s="3">
        <f t="shared" si="64"/>
        <v>-0.61139394246865786</v>
      </c>
      <c r="BF69" s="3">
        <f t="shared" si="65"/>
        <v>-0.18873975243453692</v>
      </c>
      <c r="BG69" s="3">
        <f t="shared" si="66"/>
        <v>-0.36498447993595573</v>
      </c>
      <c r="BH69" s="3">
        <f t="shared" si="67"/>
        <v>-5.1836453082741096</v>
      </c>
      <c r="BI69" s="3">
        <f t="shared" si="68"/>
        <v>-0.66058358333672185</v>
      </c>
      <c r="BJ69" s="3">
        <f t="shared" si="69"/>
        <v>-0.23005090184365645</v>
      </c>
      <c r="BK69" s="3">
        <f t="shared" si="70"/>
        <v>-0.33742177161160414</v>
      </c>
      <c r="BL69" s="3">
        <f t="shared" si="71"/>
        <v>-5.0836430420175587</v>
      </c>
      <c r="BM69" s="2">
        <v>0</v>
      </c>
    </row>
    <row r="70" spans="1:65" x14ac:dyDescent="0.35">
      <c r="A70">
        <f t="shared" si="74"/>
        <v>67</v>
      </c>
      <c r="B70">
        <v>1.0573000000000001E-2</v>
      </c>
      <c r="C70">
        <v>3.3004000000000002E-3</v>
      </c>
      <c r="D70">
        <v>1.951E-3</v>
      </c>
      <c r="E70">
        <v>3.3834200000000002E-2</v>
      </c>
      <c r="F70">
        <v>1.6563000000000001E-3</v>
      </c>
      <c r="G70">
        <v>7.1989999999999999E-4</v>
      </c>
      <c r="H70">
        <v>-3.9639999999999999E-4</v>
      </c>
      <c r="I70">
        <v>3.2028999999999998E-3</v>
      </c>
      <c r="J70">
        <v>3.0737904999999999</v>
      </c>
      <c r="K70">
        <v>0.99668990000000002</v>
      </c>
      <c r="L70">
        <v>0.55039910000000003</v>
      </c>
      <c r="M70">
        <v>5.6975647</v>
      </c>
      <c r="N70">
        <v>3.0538827999999998</v>
      </c>
      <c r="O70">
        <v>0.99448320000000001</v>
      </c>
      <c r="P70">
        <v>0.54930179999999995</v>
      </c>
      <c r="Q70">
        <v>5.4124686999999998</v>
      </c>
      <c r="R70">
        <v>3.0906913999999999</v>
      </c>
      <c r="S70">
        <v>1.0019087</v>
      </c>
      <c r="T70">
        <v>0.55328379999999999</v>
      </c>
      <c r="U70">
        <v>5.7495697000000003</v>
      </c>
      <c r="V70">
        <v>3.0633610999999998</v>
      </c>
      <c r="W70">
        <v>0.99752839999999998</v>
      </c>
      <c r="X70">
        <v>0.54968819999999996</v>
      </c>
      <c r="Y70">
        <v>5.4282633999999996</v>
      </c>
      <c r="AA70" s="5">
        <f t="shared" si="72"/>
        <v>-8.9167000000000014E-3</v>
      </c>
      <c r="AB70" s="5">
        <f t="shared" si="72"/>
        <v>-2.5805000000000003E-3</v>
      </c>
      <c r="AC70" s="5">
        <f t="shared" si="72"/>
        <v>-2.3473999999999999E-3</v>
      </c>
      <c r="AD70" s="5">
        <f t="shared" si="72"/>
        <v>-3.06313E-2</v>
      </c>
      <c r="AE70" s="5">
        <f t="shared" si="73"/>
        <v>-1.9907700000000084E-2</v>
      </c>
      <c r="AF70" s="5">
        <f t="shared" si="73"/>
        <v>-2.2067000000000059E-3</v>
      </c>
      <c r="AG70" s="5">
        <f t="shared" si="73"/>
        <v>-1.0973000000000788E-3</v>
      </c>
      <c r="AH70" s="5">
        <f t="shared" si="73"/>
        <v>-0.28509600000000024</v>
      </c>
      <c r="AI70" s="5">
        <f t="shared" si="75"/>
        <v>1.4941000000000537E-3</v>
      </c>
      <c r="AJ70" s="5">
        <f t="shared" si="75"/>
        <v>4.0690000000000257E-4</v>
      </c>
      <c r="AK70" s="5">
        <f t="shared" si="75"/>
        <v>-1.5089999999995342E-4</v>
      </c>
      <c r="AL70" s="5">
        <f t="shared" si="75"/>
        <v>-5.5790000000004447E-3</v>
      </c>
      <c r="AM70" s="5"/>
      <c r="AN70" s="5"/>
      <c r="AO70" s="5"/>
      <c r="AP70" s="5"/>
      <c r="AQ70" s="5"/>
      <c r="AR70" s="5"/>
      <c r="AS70" s="5"/>
      <c r="AT70" s="5"/>
      <c r="AU70" s="5"/>
      <c r="AV70" s="5">
        <f t="shared" si="76"/>
        <v>2036.75</v>
      </c>
      <c r="AW70" s="3">
        <f t="shared" si="56"/>
        <v>-0.93261980151108215</v>
      </c>
      <c r="AX70" s="3">
        <f t="shared" si="57"/>
        <v>-0.47780800785540706</v>
      </c>
      <c r="AY70" s="3">
        <f t="shared" si="58"/>
        <v>-0.62259187780305136</v>
      </c>
      <c r="AZ70" s="3">
        <f t="shared" si="59"/>
        <v>-5.4913205069937714</v>
      </c>
      <c r="BA70" s="3">
        <f t="shared" si="60"/>
        <v>-0.88427786740533298</v>
      </c>
      <c r="BB70" s="3">
        <f t="shared" si="61"/>
        <v>-0.43719552490162067</v>
      </c>
      <c r="BC70" s="3">
        <f t="shared" si="62"/>
        <v>-0.64986540361384737</v>
      </c>
      <c r="BD70" s="3">
        <f t="shared" si="63"/>
        <v>-5.5883538554198351</v>
      </c>
      <c r="BE70" s="3">
        <f t="shared" si="64"/>
        <v>-0.5957760778057668</v>
      </c>
      <c r="BF70" s="3">
        <f t="shared" si="65"/>
        <v>-0.17963712661641795</v>
      </c>
      <c r="BG70" s="3">
        <f t="shared" si="66"/>
        <v>-0.22559850839660092</v>
      </c>
      <c r="BH70" s="3">
        <f t="shared" si="67"/>
        <v>-5.0555957257114583</v>
      </c>
      <c r="BI70" s="3">
        <f t="shared" si="68"/>
        <v>-0.6441180119115123</v>
      </c>
      <c r="BJ70" s="3">
        <f t="shared" si="69"/>
        <v>-0.22024960957021394</v>
      </c>
      <c r="BK70" s="3">
        <f t="shared" si="70"/>
        <v>-0.19832498258580475</v>
      </c>
      <c r="BL70" s="3">
        <f t="shared" si="71"/>
        <v>-4.9585623772853857</v>
      </c>
      <c r="BM70" s="2">
        <v>0</v>
      </c>
    </row>
    <row r="71" spans="1:65" x14ac:dyDescent="0.35">
      <c r="A71">
        <f t="shared" si="74"/>
        <v>68</v>
      </c>
      <c r="B71">
        <v>1.0498E-2</v>
      </c>
      <c r="C71">
        <v>3.2678E-3</v>
      </c>
      <c r="D71">
        <v>1.9099E-3</v>
      </c>
      <c r="E71">
        <v>3.3295600000000002E-2</v>
      </c>
      <c r="F71">
        <v>1.9229E-3</v>
      </c>
      <c r="G71">
        <v>8.5260000000000002E-4</v>
      </c>
      <c r="H71">
        <v>1.0931000000000001E-3</v>
      </c>
      <c r="I71">
        <v>3.3405000000000002E-3</v>
      </c>
      <c r="J71">
        <v>3.0739203000000002</v>
      </c>
      <c r="K71">
        <v>0.99674200000000002</v>
      </c>
      <c r="L71">
        <v>0.55046600000000001</v>
      </c>
      <c r="M71">
        <v>5.6986043999999998</v>
      </c>
      <c r="N71">
        <v>3.0532097999999999</v>
      </c>
      <c r="O71">
        <v>0.99397530000000001</v>
      </c>
      <c r="P71">
        <v>0.54769659999999998</v>
      </c>
      <c r="Q71">
        <v>5.4200200000000001</v>
      </c>
      <c r="R71">
        <v>3.0906913999999999</v>
      </c>
      <c r="S71">
        <v>1.0019087</v>
      </c>
      <c r="T71">
        <v>0.55328379999999999</v>
      </c>
      <c r="U71">
        <v>5.7495697000000003</v>
      </c>
      <c r="V71">
        <v>3.0628739</v>
      </c>
      <c r="W71">
        <v>0.99712690000000004</v>
      </c>
      <c r="X71">
        <v>0.54954619999999998</v>
      </c>
      <c r="Y71">
        <v>5.435619</v>
      </c>
      <c r="AA71" s="5">
        <f t="shared" si="72"/>
        <v>-8.5751000000000004E-3</v>
      </c>
      <c r="AB71" s="5">
        <f t="shared" si="72"/>
        <v>-2.4152000000000002E-3</v>
      </c>
      <c r="AC71" s="5">
        <f t="shared" si="72"/>
        <v>-8.167999999999999E-4</v>
      </c>
      <c r="AD71" s="5">
        <f t="shared" si="72"/>
        <v>-2.9955100000000002E-2</v>
      </c>
      <c r="AE71" s="5">
        <f t="shared" si="73"/>
        <v>-2.0710500000000298E-2</v>
      </c>
      <c r="AF71" s="5">
        <f t="shared" si="73"/>
        <v>-2.7667000000000108E-3</v>
      </c>
      <c r="AG71" s="5">
        <f t="shared" si="73"/>
        <v>-2.7694000000000329E-3</v>
      </c>
      <c r="AH71" s="5">
        <f t="shared" si="73"/>
        <v>-0.27858439999999973</v>
      </c>
      <c r="AI71" s="5">
        <f t="shared" si="75"/>
        <v>1.4681000000004718E-3</v>
      </c>
      <c r="AJ71" s="5">
        <f t="shared" si="75"/>
        <v>4.0010000000006377E-4</v>
      </c>
      <c r="AK71" s="5">
        <f t="shared" si="75"/>
        <v>-1.5139999999997473E-4</v>
      </c>
      <c r="AL71" s="5">
        <f t="shared" si="75"/>
        <v>-5.4112000000006155E-3</v>
      </c>
      <c r="AM71" s="5"/>
      <c r="AN71" s="5"/>
      <c r="AO71" s="5"/>
      <c r="AP71" s="5"/>
      <c r="AQ71" s="5"/>
      <c r="AR71" s="5"/>
      <c r="AS71" s="5"/>
      <c r="AT71" s="5"/>
      <c r="AU71" s="5"/>
      <c r="AV71" s="5">
        <f t="shared" si="76"/>
        <v>2037</v>
      </c>
      <c r="AW71" s="3">
        <f t="shared" si="56"/>
        <v>-0.94754202894537787</v>
      </c>
      <c r="AX71" s="3">
        <f t="shared" si="57"/>
        <v>-0.51720281498703535</v>
      </c>
      <c r="AY71" s="3">
        <f t="shared" si="58"/>
        <v>-0.64816645634664027</v>
      </c>
      <c r="AZ71" s="3">
        <f t="shared" si="59"/>
        <v>-5.3663059341640773</v>
      </c>
      <c r="BA71" s="3">
        <f t="shared" si="60"/>
        <v>-0.90004133055794022</v>
      </c>
      <c r="BB71" s="3">
        <f t="shared" si="61"/>
        <v>-0.47726903658985564</v>
      </c>
      <c r="BC71" s="3">
        <f t="shared" si="62"/>
        <v>-0.67553035169293008</v>
      </c>
      <c r="BD71" s="3">
        <f t="shared" si="63"/>
        <v>-5.4604208033168176</v>
      </c>
      <c r="BE71" s="3">
        <f t="shared" si="64"/>
        <v>-0.62259208408836919</v>
      </c>
      <c r="BF71" s="3">
        <f t="shared" si="65"/>
        <v>-0.23620914759997558</v>
      </c>
      <c r="BG71" s="3">
        <f t="shared" si="66"/>
        <v>-0.52790267851689432</v>
      </c>
      <c r="BH71" s="3">
        <f t="shared" si="67"/>
        <v>-4.9394235537313476</v>
      </c>
      <c r="BI71" s="3">
        <f t="shared" si="68"/>
        <v>-0.67009278247580129</v>
      </c>
      <c r="BJ71" s="3">
        <f t="shared" si="69"/>
        <v>-0.27614292599715035</v>
      </c>
      <c r="BK71" s="3">
        <f t="shared" si="70"/>
        <v>-0.50053878317059586</v>
      </c>
      <c r="BL71" s="3">
        <f t="shared" si="71"/>
        <v>-4.8453086845785993</v>
      </c>
      <c r="BM71" s="2">
        <v>0</v>
      </c>
    </row>
    <row r="72" spans="1:65" x14ac:dyDescent="0.35">
      <c r="A72">
        <f t="shared" si="74"/>
        <v>69</v>
      </c>
      <c r="B72">
        <v>1.0422799999999999E-2</v>
      </c>
      <c r="C72">
        <v>3.2355999999999999E-3</v>
      </c>
      <c r="D72">
        <v>1.8684000000000001E-3</v>
      </c>
      <c r="E72">
        <v>3.2740100000000001E-2</v>
      </c>
      <c r="F72">
        <v>1.6596E-3</v>
      </c>
      <c r="G72">
        <v>7.1179999999999995E-4</v>
      </c>
      <c r="H72">
        <v>-3.3119999999999997E-4</v>
      </c>
      <c r="I72">
        <v>3.2861000000000001E-3</v>
      </c>
      <c r="J72">
        <v>3.0740504999999998</v>
      </c>
      <c r="K72">
        <v>0.9967935</v>
      </c>
      <c r="L72">
        <v>0.55053260000000004</v>
      </c>
      <c r="M72">
        <v>5.6996564000000003</v>
      </c>
      <c r="N72">
        <v>3.053744</v>
      </c>
      <c r="O72">
        <v>0.99410030000000005</v>
      </c>
      <c r="P72">
        <v>0.54881809999999998</v>
      </c>
      <c r="Q72">
        <v>5.4288259999999999</v>
      </c>
      <c r="R72">
        <v>3.0906913999999999</v>
      </c>
      <c r="S72">
        <v>1.0019087</v>
      </c>
      <c r="T72">
        <v>0.55328379999999999</v>
      </c>
      <c r="U72">
        <v>5.7495697000000003</v>
      </c>
      <c r="V72">
        <v>3.0630636999999998</v>
      </c>
      <c r="W72">
        <v>0.99708490000000005</v>
      </c>
      <c r="X72">
        <v>0.54921529999999996</v>
      </c>
      <c r="Y72">
        <v>5.4440375000000003</v>
      </c>
      <c r="AA72" s="5">
        <f t="shared" si="72"/>
        <v>-8.7631999999999988E-3</v>
      </c>
      <c r="AB72" s="5">
        <f t="shared" si="72"/>
        <v>-2.5238000000000001E-3</v>
      </c>
      <c r="AC72" s="5">
        <f t="shared" si="72"/>
        <v>-2.1995999999999999E-3</v>
      </c>
      <c r="AD72" s="5">
        <f t="shared" si="72"/>
        <v>-2.9454000000000001E-2</v>
      </c>
      <c r="AE72" s="5">
        <f t="shared" si="73"/>
        <v>-2.0306499999999783E-2</v>
      </c>
      <c r="AF72" s="5">
        <f t="shared" si="73"/>
        <v>-2.6931999999999512E-3</v>
      </c>
      <c r="AG72" s="5">
        <f t="shared" si="73"/>
        <v>-1.7145000000000632E-3</v>
      </c>
      <c r="AH72" s="5">
        <f t="shared" si="73"/>
        <v>-0.27083040000000036</v>
      </c>
      <c r="AI72" s="5">
        <f t="shared" si="75"/>
        <v>1.441999999999749E-3</v>
      </c>
      <c r="AJ72" s="5">
        <f t="shared" si="75"/>
        <v>3.9320000000001715E-4</v>
      </c>
      <c r="AK72" s="5">
        <f t="shared" si="75"/>
        <v>-1.5439999999996776E-4</v>
      </c>
      <c r="AL72" s="5">
        <f t="shared" si="75"/>
        <v>-5.2477999999996916E-3</v>
      </c>
      <c r="AM72" s="5"/>
      <c r="AN72" s="5"/>
      <c r="AO72" s="5"/>
      <c r="AP72" s="5"/>
      <c r="AQ72" s="5"/>
      <c r="AR72" s="5"/>
      <c r="AS72" s="5"/>
      <c r="AT72" s="5"/>
      <c r="AU72" s="5"/>
      <c r="AV72" s="5">
        <f t="shared" si="76"/>
        <v>2037.25</v>
      </c>
      <c r="AW72" s="3">
        <f t="shared" si="56"/>
        <v>-0.94055653696126962</v>
      </c>
      <c r="AX72" s="3">
        <f t="shared" si="57"/>
        <v>-0.52070612821307471</v>
      </c>
      <c r="AY72" s="3">
        <f t="shared" si="58"/>
        <v>-0.70743079772081929</v>
      </c>
      <c r="AZ72" s="3">
        <f t="shared" si="59"/>
        <v>-5.222728233036297</v>
      </c>
      <c r="BA72" s="3">
        <f t="shared" si="60"/>
        <v>-0.89390030981417412</v>
      </c>
      <c r="BB72" s="3">
        <f t="shared" si="61"/>
        <v>-0.48146103532187451</v>
      </c>
      <c r="BC72" s="3">
        <f t="shared" si="62"/>
        <v>-0.73533691028004622</v>
      </c>
      <c r="BD72" s="3">
        <f t="shared" si="63"/>
        <v>-5.314001150381741</v>
      </c>
      <c r="BE72" s="3">
        <f t="shared" si="64"/>
        <v>-0.61036504647470924</v>
      </c>
      <c r="BF72" s="3">
        <f t="shared" si="65"/>
        <v>-0.22956183532491223</v>
      </c>
      <c r="BG72" s="3">
        <f t="shared" si="66"/>
        <v>-0.33778324975357354</v>
      </c>
      <c r="BH72" s="3">
        <f t="shared" si="67"/>
        <v>-4.8017193356226242</v>
      </c>
      <c r="BI72" s="3">
        <f t="shared" si="68"/>
        <v>-0.65702127362181106</v>
      </c>
      <c r="BJ72" s="3">
        <f t="shared" si="69"/>
        <v>-0.26880692821610902</v>
      </c>
      <c r="BK72" s="3">
        <f t="shared" si="70"/>
        <v>-0.30987713719434096</v>
      </c>
      <c r="BL72" s="3">
        <f t="shared" si="71"/>
        <v>-4.7104464182771855</v>
      </c>
      <c r="BM72" s="2">
        <v>0</v>
      </c>
    </row>
    <row r="73" spans="1:65" x14ac:dyDescent="0.35">
      <c r="A73">
        <f t="shared" si="74"/>
        <v>70</v>
      </c>
      <c r="B73">
        <v>1.03473E-2</v>
      </c>
      <c r="C73">
        <v>3.2039E-3</v>
      </c>
      <c r="D73">
        <v>1.8265E-3</v>
      </c>
      <c r="E73">
        <v>3.2169099999999999E-2</v>
      </c>
      <c r="F73">
        <v>1.9449999999999999E-3</v>
      </c>
      <c r="G73">
        <v>8.5450000000000001E-4</v>
      </c>
      <c r="H73">
        <v>1.2007999999999999E-3</v>
      </c>
      <c r="I73">
        <v>3.5125999999999998E-3</v>
      </c>
      <c r="J73">
        <v>3.0741812999999998</v>
      </c>
      <c r="K73">
        <v>0.99684450000000002</v>
      </c>
      <c r="L73">
        <v>0.55059880000000005</v>
      </c>
      <c r="M73">
        <v>5.7007184000000004</v>
      </c>
      <c r="N73">
        <v>3.0543288999999998</v>
      </c>
      <c r="O73">
        <v>0.99424199999999996</v>
      </c>
      <c r="P73">
        <v>0.54764310000000005</v>
      </c>
      <c r="Q73">
        <v>5.4369091000000003</v>
      </c>
      <c r="R73">
        <v>3.0906913999999999</v>
      </c>
      <c r="S73">
        <v>1.0019087</v>
      </c>
      <c r="T73">
        <v>0.55328379999999999</v>
      </c>
      <c r="U73">
        <v>5.7495697000000003</v>
      </c>
      <c r="V73">
        <v>3.0638523000000002</v>
      </c>
      <c r="W73">
        <v>0.99734299999999998</v>
      </c>
      <c r="X73">
        <v>0.54955229999999999</v>
      </c>
      <c r="Y73">
        <v>5.4520168</v>
      </c>
      <c r="AA73" s="5">
        <f t="shared" si="72"/>
        <v>-8.4022999999999997E-3</v>
      </c>
      <c r="AB73" s="5">
        <f t="shared" si="72"/>
        <v>-2.3493999999999998E-3</v>
      </c>
      <c r="AC73" s="5">
        <f t="shared" si="72"/>
        <v>-6.2570000000000008E-4</v>
      </c>
      <c r="AD73" s="5">
        <f t="shared" si="72"/>
        <v>-2.8656499999999998E-2</v>
      </c>
      <c r="AE73" s="5">
        <f t="shared" si="73"/>
        <v>-1.9852399999999992E-2</v>
      </c>
      <c r="AF73" s="5">
        <f t="shared" si="73"/>
        <v>-2.6025000000000631E-3</v>
      </c>
      <c r="AG73" s="5">
        <f t="shared" si="73"/>
        <v>-2.9557000000000055E-3</v>
      </c>
      <c r="AH73" s="5">
        <f t="shared" si="73"/>
        <v>-0.26380930000000014</v>
      </c>
      <c r="AI73" s="5">
        <f t="shared" si="75"/>
        <v>1.4156000000003222E-3</v>
      </c>
      <c r="AJ73" s="5">
        <f t="shared" si="75"/>
        <v>3.8620000000005698E-4</v>
      </c>
      <c r="AK73" s="5">
        <f t="shared" si="75"/>
        <v>-1.5009999999999329E-4</v>
      </c>
      <c r="AL73" s="5">
        <f t="shared" si="75"/>
        <v>-5.0871000000002331E-3</v>
      </c>
      <c r="AM73" s="5"/>
      <c r="AN73" s="5"/>
      <c r="AO73" s="5"/>
      <c r="AP73" s="5"/>
      <c r="AQ73" s="5"/>
      <c r="AR73" s="5"/>
      <c r="AS73" s="5"/>
      <c r="AT73" s="5"/>
      <c r="AU73" s="5"/>
      <c r="AV73" s="5">
        <f t="shared" si="76"/>
        <v>2037.5</v>
      </c>
      <c r="AW73" s="3">
        <f t="shared" si="56"/>
        <v>-0.91418703271378032</v>
      </c>
      <c r="AX73" s="3">
        <f t="shared" si="57"/>
        <v>-0.494246631454549</v>
      </c>
      <c r="AY73" s="3">
        <f t="shared" si="58"/>
        <v>-0.64729890880593388</v>
      </c>
      <c r="AZ73" s="3">
        <f t="shared" si="59"/>
        <v>-5.0867424043924556</v>
      </c>
      <c r="BA73" s="3">
        <f t="shared" si="60"/>
        <v>-0.86838498337296544</v>
      </c>
      <c r="BB73" s="3">
        <f t="shared" si="61"/>
        <v>-0.45570020501868141</v>
      </c>
      <c r="BC73" s="3">
        <f t="shared" si="62"/>
        <v>-0.67442784335995354</v>
      </c>
      <c r="BD73" s="3">
        <f t="shared" si="63"/>
        <v>-5.1752203299666117</v>
      </c>
      <c r="BE73" s="3">
        <f t="shared" si="64"/>
        <v>-0.5965267189082506</v>
      </c>
      <c r="BF73" s="3">
        <f t="shared" si="65"/>
        <v>-0.22120778070896679</v>
      </c>
      <c r="BG73" s="3">
        <f t="shared" si="66"/>
        <v>-0.56133940664809767</v>
      </c>
      <c r="BH73" s="3">
        <f t="shared" si="67"/>
        <v>-4.676809118428463</v>
      </c>
      <c r="BI73" s="3">
        <f t="shared" si="68"/>
        <v>-0.64232876824907181</v>
      </c>
      <c r="BJ73" s="3">
        <f t="shared" si="69"/>
        <v>-0.259754207144829</v>
      </c>
      <c r="BK73" s="3">
        <f t="shared" si="70"/>
        <v>-0.53421047209406924</v>
      </c>
      <c r="BL73" s="3">
        <f t="shared" si="71"/>
        <v>-4.5883311928543131</v>
      </c>
      <c r="BM73" s="2">
        <v>0</v>
      </c>
    </row>
    <row r="74" spans="1:65" x14ac:dyDescent="0.35">
      <c r="A74">
        <f t="shared" si="74"/>
        <v>71</v>
      </c>
      <c r="B74">
        <v>1.02714E-2</v>
      </c>
      <c r="C74">
        <v>3.1725999999999998E-3</v>
      </c>
      <c r="D74">
        <v>1.7844E-3</v>
      </c>
      <c r="E74">
        <v>3.15842E-2</v>
      </c>
      <c r="F74">
        <v>2.0945999999999998E-3</v>
      </c>
      <c r="G74">
        <v>9.2029999999999998E-4</v>
      </c>
      <c r="H74">
        <v>1.3944000000000001E-3</v>
      </c>
      <c r="I74">
        <v>3.8633000000000001E-3</v>
      </c>
      <c r="J74">
        <v>3.0743125999999998</v>
      </c>
      <c r="K74">
        <v>0.99689499999999998</v>
      </c>
      <c r="L74">
        <v>0.5506643</v>
      </c>
      <c r="M74">
        <v>5.7017879000000002</v>
      </c>
      <c r="N74">
        <v>3.0547857</v>
      </c>
      <c r="O74">
        <v>0.99431910000000001</v>
      </c>
      <c r="P74">
        <v>0.54758519999999999</v>
      </c>
      <c r="Q74">
        <v>5.4440219000000001</v>
      </c>
      <c r="R74">
        <v>3.0906913999999999</v>
      </c>
      <c r="S74">
        <v>1.0019087</v>
      </c>
      <c r="T74">
        <v>0.55328379999999999</v>
      </c>
      <c r="U74">
        <v>5.7495697000000003</v>
      </c>
      <c r="V74">
        <v>3.0643774000000001</v>
      </c>
      <c r="W74">
        <v>0.99745989999999995</v>
      </c>
      <c r="X74">
        <v>0.54967259999999996</v>
      </c>
      <c r="Y74">
        <v>5.4591535999999996</v>
      </c>
      <c r="AA74" s="5">
        <f t="shared" si="72"/>
        <v>-8.1767999999999997E-3</v>
      </c>
      <c r="AB74" s="5">
        <f t="shared" si="72"/>
        <v>-2.2522999999999996E-3</v>
      </c>
      <c r="AC74" s="5">
        <f t="shared" si="72"/>
        <v>-3.8999999999999994E-4</v>
      </c>
      <c r="AD74" s="5">
        <f t="shared" si="72"/>
        <v>-2.77209E-2</v>
      </c>
      <c r="AE74" s="5">
        <f t="shared" si="73"/>
        <v>-1.9526899999999792E-2</v>
      </c>
      <c r="AF74" s="5">
        <f t="shared" si="73"/>
        <v>-2.5758999999999643E-3</v>
      </c>
      <c r="AG74" s="5">
        <f t="shared" si="73"/>
        <v>-3.0791000000000013E-3</v>
      </c>
      <c r="AH74" s="5">
        <f t="shared" si="73"/>
        <v>-0.25776600000000016</v>
      </c>
      <c r="AI74" s="5">
        <f t="shared" si="75"/>
        <v>1.3897000000000631E-3</v>
      </c>
      <c r="AJ74" s="5">
        <f t="shared" si="75"/>
        <v>3.7939999999993344E-4</v>
      </c>
      <c r="AK74" s="5">
        <f t="shared" si="75"/>
        <v>-1.421000000000356E-4</v>
      </c>
      <c r="AL74" s="5">
        <f t="shared" si="75"/>
        <v>-4.9292000000005776E-3</v>
      </c>
      <c r="AM74" s="5"/>
      <c r="AN74" s="5"/>
      <c r="AO74" s="5"/>
      <c r="AP74" s="5"/>
      <c r="AQ74" s="5"/>
      <c r="AR74" s="5"/>
      <c r="AS74" s="5"/>
      <c r="AT74" s="5"/>
      <c r="AU74" s="5"/>
      <c r="AV74" s="5">
        <f t="shared" si="76"/>
        <v>2037.75</v>
      </c>
      <c r="AW74" s="3">
        <f t="shared" si="56"/>
        <v>-0.89635930652927009</v>
      </c>
      <c r="AX74" s="3">
        <f t="shared" si="57"/>
        <v>-0.4819001970938035</v>
      </c>
      <c r="AY74" s="3">
        <f t="shared" si="58"/>
        <v>-0.62700191113493675</v>
      </c>
      <c r="AZ74" s="3">
        <f t="shared" si="59"/>
        <v>-4.9653611469393981</v>
      </c>
      <c r="BA74" s="3">
        <f t="shared" si="60"/>
        <v>-0.85139525738479516</v>
      </c>
      <c r="BB74" s="3">
        <f t="shared" si="61"/>
        <v>-0.44403247521456102</v>
      </c>
      <c r="BC74" s="3">
        <f t="shared" si="62"/>
        <v>-0.65268493312112819</v>
      </c>
      <c r="BD74" s="3">
        <f t="shared" si="63"/>
        <v>-5.0510927800388385</v>
      </c>
      <c r="BE74" s="3">
        <f t="shared" si="64"/>
        <v>-0.58683309501555292</v>
      </c>
      <c r="BF74" s="3">
        <f t="shared" si="65"/>
        <v>-0.21923155273529871</v>
      </c>
      <c r="BG74" s="3">
        <f t="shared" si="66"/>
        <v>-0.58219669543912822</v>
      </c>
      <c r="BH74" s="3">
        <f t="shared" si="67"/>
        <v>-4.5689540905991706</v>
      </c>
      <c r="BI74" s="3">
        <f t="shared" si="68"/>
        <v>-0.63179714416003463</v>
      </c>
      <c r="BJ74" s="3">
        <f t="shared" si="69"/>
        <v>-0.25709927461453963</v>
      </c>
      <c r="BK74" s="3">
        <f t="shared" si="70"/>
        <v>-0.55651367345293701</v>
      </c>
      <c r="BL74" s="3">
        <f t="shared" si="71"/>
        <v>-4.4832224574997355</v>
      </c>
      <c r="BM74" s="2">
        <v>0</v>
      </c>
    </row>
    <row r="75" spans="1:65" x14ac:dyDescent="0.35">
      <c r="A75">
        <f t="shared" si="74"/>
        <v>72</v>
      </c>
      <c r="B75">
        <v>1.01951E-2</v>
      </c>
      <c r="C75">
        <v>3.1416E-3</v>
      </c>
      <c r="D75">
        <v>1.7423E-3</v>
      </c>
      <c r="E75">
        <v>3.0986900000000001E-2</v>
      </c>
      <c r="F75">
        <v>2.2529E-3</v>
      </c>
      <c r="G75">
        <v>9.8799999999999995E-4</v>
      </c>
      <c r="H75">
        <v>1.3205999999999999E-3</v>
      </c>
      <c r="I75">
        <v>4.1980999999999997E-3</v>
      </c>
      <c r="J75">
        <v>3.0744444</v>
      </c>
      <c r="K75">
        <v>0.99694499999999997</v>
      </c>
      <c r="L75">
        <v>0.55072909999999997</v>
      </c>
      <c r="M75">
        <v>5.7028625999999996</v>
      </c>
      <c r="N75">
        <v>3.0550559000000002</v>
      </c>
      <c r="O75">
        <v>0.99431360000000002</v>
      </c>
      <c r="P75">
        <v>0.54753289999999999</v>
      </c>
      <c r="Q75">
        <v>5.4515203000000003</v>
      </c>
      <c r="R75">
        <v>3.0906913999999999</v>
      </c>
      <c r="S75">
        <v>1.0019087</v>
      </c>
      <c r="T75">
        <v>0.55328379999999999</v>
      </c>
      <c r="U75">
        <v>5.7495697000000003</v>
      </c>
      <c r="V75">
        <v>3.0647253000000001</v>
      </c>
      <c r="W75">
        <v>0.9974963</v>
      </c>
      <c r="X75">
        <v>0.5495179</v>
      </c>
      <c r="Y75">
        <v>5.4666613000000002</v>
      </c>
      <c r="AA75" s="5">
        <f t="shared" si="72"/>
        <v>-7.9422E-3</v>
      </c>
      <c r="AB75" s="5">
        <f t="shared" si="72"/>
        <v>-2.1536000000000003E-3</v>
      </c>
      <c r="AC75" s="5">
        <f t="shared" si="72"/>
        <v>-4.2170000000000011E-4</v>
      </c>
      <c r="AD75" s="5">
        <f t="shared" si="72"/>
        <v>-2.6788800000000001E-2</v>
      </c>
      <c r="AE75" s="5">
        <f t="shared" si="73"/>
        <v>-1.9388499999999809E-2</v>
      </c>
      <c r="AF75" s="5">
        <f t="shared" si="73"/>
        <v>-2.6313999999999504E-3</v>
      </c>
      <c r="AG75" s="5">
        <f t="shared" si="73"/>
        <v>-3.1961999999999824E-3</v>
      </c>
      <c r="AH75" s="5">
        <f t="shared" si="73"/>
        <v>-0.25134229999999924</v>
      </c>
      <c r="AI75" s="5">
        <f t="shared" si="75"/>
        <v>1.3646000000000387E-3</v>
      </c>
      <c r="AJ75" s="5">
        <f t="shared" si="75"/>
        <v>3.7259999999996775E-4</v>
      </c>
      <c r="AK75" s="5">
        <f t="shared" si="75"/>
        <v>-1.480000000000062E-4</v>
      </c>
      <c r="AL75" s="5">
        <f t="shared" si="75"/>
        <v>-4.777300000000928E-3</v>
      </c>
      <c r="AM75" s="5"/>
      <c r="AN75" s="5"/>
      <c r="AO75" s="5"/>
      <c r="AP75" s="5"/>
      <c r="AQ75" s="5"/>
      <c r="AR75" s="5"/>
      <c r="AS75" s="5"/>
      <c r="AT75" s="5"/>
      <c r="AU75" s="5"/>
      <c r="AV75" s="5">
        <f t="shared" si="76"/>
        <v>2038</v>
      </c>
      <c r="AW75" s="3">
        <f t="shared" si="56"/>
        <v>-0.88429080949330019</v>
      </c>
      <c r="AX75" s="3">
        <f t="shared" si="57"/>
        <v>-0.47758842696943854</v>
      </c>
      <c r="AY75" s="3">
        <f t="shared" si="58"/>
        <v>-0.65389588489668093</v>
      </c>
      <c r="AZ75" s="3">
        <f t="shared" si="59"/>
        <v>-4.8374246163151868</v>
      </c>
      <c r="BA75" s="3">
        <f t="shared" si="60"/>
        <v>-0.84013887636920892</v>
      </c>
      <c r="BB75" s="3">
        <f t="shared" si="61"/>
        <v>-0.44039940964680546</v>
      </c>
      <c r="BC75" s="3">
        <f t="shared" si="62"/>
        <v>-0.6806452674016461</v>
      </c>
      <c r="BD75" s="3">
        <f t="shared" si="63"/>
        <v>-4.9205143125754294</v>
      </c>
      <c r="BE75" s="3">
        <f t="shared" si="64"/>
        <v>-0.58316724859685964</v>
      </c>
      <c r="BF75" s="3">
        <f t="shared" si="65"/>
        <v>-0.22544968418779129</v>
      </c>
      <c r="BG75" s="3">
        <f t="shared" si="66"/>
        <v>-0.60442760116960215</v>
      </c>
      <c r="BH75" s="3">
        <f t="shared" si="67"/>
        <v>-4.454587271113521</v>
      </c>
      <c r="BI75" s="3">
        <f t="shared" si="68"/>
        <v>-0.62731918172095114</v>
      </c>
      <c r="BJ75" s="3">
        <f t="shared" si="69"/>
        <v>-0.26263870151042212</v>
      </c>
      <c r="BK75" s="3">
        <f t="shared" si="70"/>
        <v>-0.57767821866463154</v>
      </c>
      <c r="BL75" s="3">
        <f t="shared" si="71"/>
        <v>-4.3714975748532838</v>
      </c>
      <c r="BM75" s="2">
        <v>0</v>
      </c>
    </row>
    <row r="76" spans="1:65" x14ac:dyDescent="0.35">
      <c r="A76">
        <f t="shared" si="74"/>
        <v>73</v>
      </c>
      <c r="B76">
        <v>1.01184E-2</v>
      </c>
      <c r="C76">
        <v>3.1109000000000002E-3</v>
      </c>
      <c r="D76">
        <v>1.7003000000000001E-3</v>
      </c>
      <c r="E76">
        <v>3.0378700000000002E-2</v>
      </c>
      <c r="F76">
        <v>2.4012E-3</v>
      </c>
      <c r="G76">
        <v>1.0503000000000001E-3</v>
      </c>
      <c r="H76">
        <v>1.2878E-3</v>
      </c>
      <c r="I76">
        <v>4.5161999999999997E-3</v>
      </c>
      <c r="J76">
        <v>3.0745768</v>
      </c>
      <c r="K76">
        <v>0.99699470000000001</v>
      </c>
      <c r="L76">
        <v>0.55079299999999998</v>
      </c>
      <c r="M76">
        <v>5.7039406000000001</v>
      </c>
      <c r="N76">
        <v>3.0554998000000002</v>
      </c>
      <c r="O76">
        <v>0.99441500000000005</v>
      </c>
      <c r="P76">
        <v>0.54751510000000003</v>
      </c>
      <c r="Q76">
        <v>5.4580323000000002</v>
      </c>
      <c r="R76">
        <v>3.0906913999999999</v>
      </c>
      <c r="S76">
        <v>1.0019087</v>
      </c>
      <c r="T76">
        <v>0.55328379999999999</v>
      </c>
      <c r="U76">
        <v>5.7495697000000003</v>
      </c>
      <c r="V76">
        <v>3.0652365000000001</v>
      </c>
      <c r="W76">
        <v>0.99763409999999997</v>
      </c>
      <c r="X76">
        <v>0.5494561</v>
      </c>
      <c r="Y76">
        <v>5.4731718000000003</v>
      </c>
      <c r="AA76" s="5">
        <f t="shared" si="72"/>
        <v>-7.7171999999999996E-3</v>
      </c>
      <c r="AB76" s="5">
        <f t="shared" si="72"/>
        <v>-2.0606000000000001E-3</v>
      </c>
      <c r="AC76" s="5">
        <f t="shared" si="72"/>
        <v>-4.1250000000000011E-4</v>
      </c>
      <c r="AD76" s="5">
        <f t="shared" si="72"/>
        <v>-2.5862500000000004E-2</v>
      </c>
      <c r="AE76" s="5">
        <f t="shared" si="73"/>
        <v>-1.9076999999999789E-2</v>
      </c>
      <c r="AF76" s="5">
        <f t="shared" si="73"/>
        <v>-2.5796999999999626E-3</v>
      </c>
      <c r="AG76" s="5">
        <f t="shared" si="73"/>
        <v>-3.2778999999999447E-3</v>
      </c>
      <c r="AH76" s="5">
        <f t="shared" si="73"/>
        <v>-0.24590829999999997</v>
      </c>
      <c r="AI76" s="5">
        <f t="shared" si="75"/>
        <v>1.3393000000000641E-3</v>
      </c>
      <c r="AJ76" s="5">
        <f t="shared" si="75"/>
        <v>3.6569999999994541E-4</v>
      </c>
      <c r="AK76" s="5">
        <f t="shared" si="75"/>
        <v>-1.3730000000004459E-4</v>
      </c>
      <c r="AL76" s="5">
        <f t="shared" si="75"/>
        <v>-4.6271000000001061E-3</v>
      </c>
      <c r="AM76" s="5"/>
      <c r="AN76" s="5"/>
      <c r="AO76" s="5"/>
      <c r="AP76" s="5"/>
      <c r="AQ76" s="5"/>
      <c r="AR76" s="5"/>
      <c r="AS76" s="5"/>
      <c r="AT76" s="5"/>
      <c r="AU76" s="5"/>
      <c r="AV76" s="5">
        <f t="shared" si="76"/>
        <v>2038.25</v>
      </c>
      <c r="AW76" s="3">
        <f t="shared" si="56"/>
        <v>-0.86693223399786179</v>
      </c>
      <c r="AX76" s="3">
        <f t="shared" si="57"/>
        <v>-0.46314599324269395</v>
      </c>
      <c r="AY76" s="3">
        <f t="shared" si="58"/>
        <v>-0.66699946754268691</v>
      </c>
      <c r="AZ76" s="3">
        <f t="shared" si="59"/>
        <v>-4.7268024248840739</v>
      </c>
      <c r="BA76" s="3">
        <f t="shared" si="60"/>
        <v>-0.82359888793813985</v>
      </c>
      <c r="BB76" s="3">
        <f t="shared" si="61"/>
        <v>-0.42664566142603788</v>
      </c>
      <c r="BC76" s="3">
        <f t="shared" si="62"/>
        <v>-0.6918149419881785</v>
      </c>
      <c r="BD76" s="3">
        <f t="shared" si="63"/>
        <v>-4.8072797517351615</v>
      </c>
      <c r="BE76" s="3">
        <f t="shared" si="64"/>
        <v>-0.57390718465129309</v>
      </c>
      <c r="BF76" s="3">
        <f t="shared" si="65"/>
        <v>-0.2209782188736408</v>
      </c>
      <c r="BG76" s="3">
        <f t="shared" si="66"/>
        <v>-0.61726007520913351</v>
      </c>
      <c r="BH76" s="3">
        <f t="shared" si="67"/>
        <v>-4.3574634811366906</v>
      </c>
      <c r="BI76" s="3">
        <f t="shared" si="68"/>
        <v>-0.61724053071101792</v>
      </c>
      <c r="BJ76" s="3">
        <f t="shared" si="69"/>
        <v>-0.25747855069029374</v>
      </c>
      <c r="BK76" s="3">
        <f t="shared" si="70"/>
        <v>-0.5924446007636488</v>
      </c>
      <c r="BL76" s="3">
        <f t="shared" si="71"/>
        <v>-4.2769861542855976</v>
      </c>
      <c r="BM76" s="2">
        <v>0</v>
      </c>
    </row>
    <row r="77" spans="1:65" x14ac:dyDescent="0.35">
      <c r="A77">
        <f t="shared" si="74"/>
        <v>74</v>
      </c>
      <c r="B77">
        <v>1.00412E-2</v>
      </c>
      <c r="C77">
        <v>3.0804999999999999E-3</v>
      </c>
      <c r="D77">
        <v>1.6585E-3</v>
      </c>
      <c r="E77">
        <v>2.9760999999999999E-2</v>
      </c>
      <c r="F77">
        <v>2.5382999999999998E-3</v>
      </c>
      <c r="G77">
        <v>1.1071E-3</v>
      </c>
      <c r="H77">
        <v>1.2394000000000001E-3</v>
      </c>
      <c r="I77">
        <v>4.8117999999999998E-3</v>
      </c>
      <c r="J77">
        <v>3.0747097999999999</v>
      </c>
      <c r="K77">
        <v>0.99704400000000004</v>
      </c>
      <c r="L77">
        <v>0.55085609999999996</v>
      </c>
      <c r="M77">
        <v>5.7050197999999996</v>
      </c>
      <c r="N77">
        <v>3.0558987000000002</v>
      </c>
      <c r="O77">
        <v>0.99448939999999997</v>
      </c>
      <c r="P77">
        <v>0.54786690000000005</v>
      </c>
      <c r="Q77">
        <v>5.4651179000000001</v>
      </c>
      <c r="R77">
        <v>3.0906913999999999</v>
      </c>
      <c r="S77">
        <v>1.0019087</v>
      </c>
      <c r="T77">
        <v>0.55328379999999999</v>
      </c>
      <c r="U77">
        <v>5.7495697000000003</v>
      </c>
      <c r="V77">
        <v>3.0656922999999998</v>
      </c>
      <c r="W77">
        <v>0.99773990000000001</v>
      </c>
      <c r="X77">
        <v>0.54973629999999996</v>
      </c>
      <c r="Y77">
        <v>5.4802369000000004</v>
      </c>
      <c r="AA77" s="5">
        <f t="shared" si="72"/>
        <v>-7.5028999999999998E-3</v>
      </c>
      <c r="AB77" s="5">
        <f t="shared" si="72"/>
        <v>-1.9734000000000002E-3</v>
      </c>
      <c r="AC77" s="5">
        <f t="shared" si="72"/>
        <v>-4.1909999999999994E-4</v>
      </c>
      <c r="AD77" s="5">
        <f t="shared" si="72"/>
        <v>-2.4949199999999998E-2</v>
      </c>
      <c r="AE77" s="5">
        <f t="shared" si="73"/>
        <v>-1.8811099999999747E-2</v>
      </c>
      <c r="AF77" s="5">
        <f t="shared" si="73"/>
        <v>-2.5546000000000735E-3</v>
      </c>
      <c r="AG77" s="5">
        <f t="shared" si="73"/>
        <v>-2.9891999999999141E-3</v>
      </c>
      <c r="AH77" s="5">
        <f t="shared" si="73"/>
        <v>-0.23990189999999956</v>
      </c>
      <c r="AI77" s="5">
        <f t="shared" si="75"/>
        <v>1.3148999999996955E-3</v>
      </c>
      <c r="AJ77" s="5">
        <f t="shared" si="75"/>
        <v>3.5920000000010111E-4</v>
      </c>
      <c r="AK77" s="5">
        <f t="shared" si="75"/>
        <v>-1.3920000000012265E-4</v>
      </c>
      <c r="AL77" s="5">
        <f t="shared" si="75"/>
        <v>-4.4817000000003659E-3</v>
      </c>
      <c r="AM77" s="5"/>
      <c r="AN77" s="5"/>
      <c r="AO77" s="5"/>
      <c r="AP77" s="5"/>
      <c r="AQ77" s="5"/>
      <c r="AR77" s="5"/>
      <c r="AS77" s="5"/>
      <c r="AT77" s="5"/>
      <c r="AU77" s="5"/>
      <c r="AV77" s="5">
        <f t="shared" si="76"/>
        <v>2038.5</v>
      </c>
      <c r="AW77" s="3">
        <f t="shared" si="56"/>
        <v>-0.85139525738479582</v>
      </c>
      <c r="AX77" s="3">
        <f t="shared" si="57"/>
        <v>-0.45193738710923198</v>
      </c>
      <c r="AY77" s="3">
        <f t="shared" si="58"/>
        <v>-0.6160129756193683</v>
      </c>
      <c r="AZ77" s="3">
        <f t="shared" si="59"/>
        <v>-4.6064508097014558</v>
      </c>
      <c r="BA77" s="3">
        <f t="shared" si="60"/>
        <v>-0.80885137869151391</v>
      </c>
      <c r="BB77" s="3">
        <f t="shared" si="61"/>
        <v>-0.41608581700108727</v>
      </c>
      <c r="BC77" s="3">
        <f t="shared" si="62"/>
        <v>-0.64117185429973489</v>
      </c>
      <c r="BD77" s="3">
        <f t="shared" si="63"/>
        <v>-4.684399251651822</v>
      </c>
      <c r="BE77" s="3">
        <f t="shared" si="64"/>
        <v>-0.56609339903686517</v>
      </c>
      <c r="BF77" s="3">
        <f t="shared" si="65"/>
        <v>-0.21912176229230854</v>
      </c>
      <c r="BG77" s="3">
        <f t="shared" si="66"/>
        <v>-0.56542410965223111</v>
      </c>
      <c r="BH77" s="3">
        <f t="shared" si="67"/>
        <v>-4.250467648039816</v>
      </c>
      <c r="BI77" s="3">
        <f t="shared" si="68"/>
        <v>-0.60863727773014631</v>
      </c>
      <c r="BJ77" s="3">
        <f t="shared" si="69"/>
        <v>-0.25497333240045461</v>
      </c>
      <c r="BK77" s="3">
        <f t="shared" si="70"/>
        <v>-0.54026523097186541</v>
      </c>
      <c r="BL77" s="3">
        <f t="shared" si="71"/>
        <v>-4.1725192060894489</v>
      </c>
      <c r="BM77" s="2">
        <v>0</v>
      </c>
    </row>
    <row r="78" spans="1:65" x14ac:dyDescent="0.35">
      <c r="A78">
        <f t="shared" si="74"/>
        <v>75</v>
      </c>
      <c r="B78">
        <v>9.9634000000000007E-3</v>
      </c>
      <c r="C78">
        <v>3.0503000000000001E-3</v>
      </c>
      <c r="D78">
        <v>1.6169999999999999E-3</v>
      </c>
      <c r="E78">
        <v>2.9135399999999999E-2</v>
      </c>
      <c r="F78">
        <v>2.6635000000000001E-3</v>
      </c>
      <c r="G78">
        <v>1.1581E-3</v>
      </c>
      <c r="H78">
        <v>1.2065999999999999E-3</v>
      </c>
      <c r="I78">
        <v>5.0901000000000002E-3</v>
      </c>
      <c r="J78">
        <v>3.0748432999999999</v>
      </c>
      <c r="K78">
        <v>0.99709300000000001</v>
      </c>
      <c r="L78">
        <v>0.55091820000000002</v>
      </c>
      <c r="M78">
        <v>5.7060981999999996</v>
      </c>
      <c r="N78">
        <v>3.0563074000000001</v>
      </c>
      <c r="O78">
        <v>0.99457530000000005</v>
      </c>
      <c r="P78">
        <v>0.54774429999999996</v>
      </c>
      <c r="Q78">
        <v>5.4720247999999998</v>
      </c>
      <c r="R78">
        <v>3.0906913999999999</v>
      </c>
      <c r="S78">
        <v>1.0019087</v>
      </c>
      <c r="T78">
        <v>0.55328379999999999</v>
      </c>
      <c r="U78">
        <v>5.7495697000000003</v>
      </c>
      <c r="V78">
        <v>3.0661461000000001</v>
      </c>
      <c r="W78">
        <v>0.9978515</v>
      </c>
      <c r="X78">
        <v>0.54956419999999995</v>
      </c>
      <c r="Y78">
        <v>5.4871110999999999</v>
      </c>
      <c r="AA78" s="5">
        <f t="shared" si="72"/>
        <v>-7.2999000000000007E-3</v>
      </c>
      <c r="AB78" s="5">
        <f t="shared" si="72"/>
        <v>-1.8922000000000001E-3</v>
      </c>
      <c r="AC78" s="5">
        <f t="shared" si="72"/>
        <v>-4.104E-4</v>
      </c>
      <c r="AD78" s="5">
        <f t="shared" si="72"/>
        <v>-2.4045299999999999E-2</v>
      </c>
      <c r="AE78" s="5">
        <f t="shared" si="73"/>
        <v>-1.8535899999999828E-2</v>
      </c>
      <c r="AF78" s="5">
        <f t="shared" si="73"/>
        <v>-2.5176999999999561E-3</v>
      </c>
      <c r="AG78" s="5">
        <f t="shared" si="73"/>
        <v>-3.1739000000000628E-3</v>
      </c>
      <c r="AH78" s="5">
        <f t="shared" si="73"/>
        <v>-0.23407339999999976</v>
      </c>
      <c r="AI78" s="5">
        <f t="shared" si="75"/>
        <v>1.290500000000059E-3</v>
      </c>
      <c r="AJ78" s="5">
        <f t="shared" si="75"/>
        <v>3.5269999999997317E-4</v>
      </c>
      <c r="AK78" s="5">
        <f t="shared" si="75"/>
        <v>-1.3529999999998231E-4</v>
      </c>
      <c r="AL78" s="5">
        <f t="shared" si="75"/>
        <v>-4.3399000000006738E-3</v>
      </c>
      <c r="AM78" s="5"/>
      <c r="AN78" s="5"/>
      <c r="AO78" s="5"/>
      <c r="AP78" s="5"/>
      <c r="AQ78" s="5"/>
      <c r="AR78" s="5"/>
      <c r="AS78" s="5"/>
      <c r="AT78" s="5"/>
      <c r="AU78" s="5"/>
      <c r="AV78" s="5">
        <f t="shared" si="76"/>
        <v>2038.75</v>
      </c>
      <c r="AW78" s="3">
        <f t="shared" si="56"/>
        <v>-0.83592299121160507</v>
      </c>
      <c r="AX78" s="3">
        <f t="shared" si="57"/>
        <v>-0.44014988591275395</v>
      </c>
      <c r="AY78" s="3">
        <f t="shared" si="58"/>
        <v>-0.64782305211178481</v>
      </c>
      <c r="AZ78" s="3">
        <f t="shared" si="59"/>
        <v>-4.4893568296076092</v>
      </c>
      <c r="BA78" s="3">
        <f t="shared" si="60"/>
        <v>-0.79416857988473943</v>
      </c>
      <c r="BB78" s="3">
        <f t="shared" si="61"/>
        <v>-0.40494707751314896</v>
      </c>
      <c r="BC78" s="3">
        <f t="shared" si="62"/>
        <v>-0.67227704841530611</v>
      </c>
      <c r="BD78" s="3">
        <f t="shared" si="63"/>
        <v>-4.5648390000385666</v>
      </c>
      <c r="BE78" s="3">
        <f t="shared" si="64"/>
        <v>-0.55797870987701148</v>
      </c>
      <c r="BF78" s="3">
        <f t="shared" si="65"/>
        <v>-0.21608755368627625</v>
      </c>
      <c r="BG78" s="3">
        <f t="shared" si="66"/>
        <v>-0.59810173368531883</v>
      </c>
      <c r="BH78" s="3">
        <f t="shared" si="67"/>
        <v>-4.1466285729173853</v>
      </c>
      <c r="BI78" s="3">
        <f t="shared" si="68"/>
        <v>-0.59973312120387778</v>
      </c>
      <c r="BJ78" s="3">
        <f t="shared" si="69"/>
        <v>-0.25129036208588229</v>
      </c>
      <c r="BK78" s="3">
        <f t="shared" si="70"/>
        <v>-0.57364773738180352</v>
      </c>
      <c r="BL78" s="3">
        <f t="shared" si="71"/>
        <v>-4.0711464024864288</v>
      </c>
      <c r="BM78" s="2">
        <v>0</v>
      </c>
    </row>
    <row r="79" spans="1:65" x14ac:dyDescent="0.35">
      <c r="A79">
        <f t="shared" si="74"/>
        <v>76</v>
      </c>
      <c r="B79">
        <v>9.8852000000000002E-3</v>
      </c>
      <c r="C79">
        <v>3.0203999999999999E-3</v>
      </c>
      <c r="D79">
        <v>1.5759000000000001E-3</v>
      </c>
      <c r="E79">
        <v>2.8503199999999999E-2</v>
      </c>
      <c r="F79">
        <v>2.7802999999999999E-3</v>
      </c>
      <c r="G79">
        <v>1.2049999999999999E-3</v>
      </c>
      <c r="H79">
        <v>1.1842000000000001E-3</v>
      </c>
      <c r="I79">
        <v>5.3550999999999998E-3</v>
      </c>
      <c r="J79">
        <v>3.0749773</v>
      </c>
      <c r="K79">
        <v>0.99714170000000002</v>
      </c>
      <c r="L79">
        <v>0.5509792</v>
      </c>
      <c r="M79">
        <v>5.7071741999999999</v>
      </c>
      <c r="N79">
        <v>3.056702</v>
      </c>
      <c r="O79">
        <v>0.99464649999999999</v>
      </c>
      <c r="P79">
        <v>0.54744800000000005</v>
      </c>
      <c r="Q79">
        <v>5.4788876000000002</v>
      </c>
      <c r="R79">
        <v>3.0906913999999999</v>
      </c>
      <c r="S79">
        <v>1.0019087</v>
      </c>
      <c r="T79">
        <v>0.55328379999999999</v>
      </c>
      <c r="U79">
        <v>5.7495697000000003</v>
      </c>
      <c r="V79">
        <v>3.0665778000000001</v>
      </c>
      <c r="W79">
        <v>0.99794439999999995</v>
      </c>
      <c r="X79">
        <v>0.5492264</v>
      </c>
      <c r="Y79">
        <v>5.4939330000000002</v>
      </c>
      <c r="AA79" s="5">
        <f t="shared" si="72"/>
        <v>-7.1049000000000008E-3</v>
      </c>
      <c r="AB79" s="5">
        <f t="shared" si="72"/>
        <v>-1.8154E-3</v>
      </c>
      <c r="AC79" s="5">
        <f t="shared" si="72"/>
        <v>-3.9170000000000003E-4</v>
      </c>
      <c r="AD79" s="5">
        <f t="shared" si="72"/>
        <v>-2.3148099999999998E-2</v>
      </c>
      <c r="AE79" s="5">
        <f t="shared" si="73"/>
        <v>-1.8275299999999994E-2</v>
      </c>
      <c r="AF79" s="5">
        <f t="shared" si="73"/>
        <v>-2.4952000000000307E-3</v>
      </c>
      <c r="AG79" s="5">
        <f t="shared" si="73"/>
        <v>-3.5311999999999566E-3</v>
      </c>
      <c r="AH79" s="5">
        <f t="shared" si="73"/>
        <v>-0.22828659999999967</v>
      </c>
      <c r="AI79" s="5">
        <f t="shared" si="75"/>
        <v>1.2666000000002599E-3</v>
      </c>
      <c r="AJ79" s="5">
        <f t="shared" si="75"/>
        <v>3.4629999999999904E-4</v>
      </c>
      <c r="AK79" s="5">
        <f t="shared" si="75"/>
        <v>-1.3450000000003216E-4</v>
      </c>
      <c r="AL79" s="5">
        <f t="shared" si="75"/>
        <v>-4.2020000000004831E-3</v>
      </c>
      <c r="AM79" s="5"/>
      <c r="AN79" s="5"/>
      <c r="AO79" s="5"/>
      <c r="AP79" s="5"/>
      <c r="AQ79" s="5"/>
      <c r="AR79" s="5"/>
      <c r="AS79" s="5"/>
      <c r="AT79" s="5"/>
      <c r="AU79" s="5"/>
      <c r="AV79" s="5">
        <f t="shared" si="76"/>
        <v>2039</v>
      </c>
      <c r="AW79" s="3">
        <f t="shared" si="56"/>
        <v>-0.82118195300896091</v>
      </c>
      <c r="AX79" s="3">
        <f t="shared" si="57"/>
        <v>-0.43023880319634222</v>
      </c>
      <c r="AY79" s="3">
        <f t="shared" si="58"/>
        <v>-0.70902130154541965</v>
      </c>
      <c r="AZ79" s="3">
        <f t="shared" si="59"/>
        <v>-4.373104651640273</v>
      </c>
      <c r="BA79" s="3">
        <f t="shared" si="60"/>
        <v>-0.78020083143854924</v>
      </c>
      <c r="BB79" s="3">
        <f t="shared" si="61"/>
        <v>-0.39567477555589964</v>
      </c>
      <c r="BC79" s="3">
        <f t="shared" si="62"/>
        <v>-0.73333070659216637</v>
      </c>
      <c r="BD79" s="3">
        <f t="shared" si="63"/>
        <v>-4.4461883817148982</v>
      </c>
      <c r="BE79" s="3">
        <f t="shared" si="64"/>
        <v>-0.55032022931826441</v>
      </c>
      <c r="BF79" s="3">
        <f t="shared" si="65"/>
        <v>-0.21448062083900551</v>
      </c>
      <c r="BG79" s="3">
        <f t="shared" si="66"/>
        <v>-0.66253521248950253</v>
      </c>
      <c r="BH79" s="3">
        <f t="shared" si="67"/>
        <v>-4.0435826006248767</v>
      </c>
      <c r="BI79" s="3">
        <f t="shared" si="68"/>
        <v>-0.59130135088867153</v>
      </c>
      <c r="BJ79" s="3">
        <f t="shared" si="69"/>
        <v>-0.24904464847945035</v>
      </c>
      <c r="BK79" s="3">
        <f t="shared" si="70"/>
        <v>-0.63822580744275481</v>
      </c>
      <c r="BL79" s="3">
        <f t="shared" si="71"/>
        <v>-3.9704988705502551</v>
      </c>
      <c r="BM79" s="2">
        <v>0</v>
      </c>
    </row>
    <row r="80" spans="1:65" x14ac:dyDescent="0.35">
      <c r="A80">
        <f t="shared" si="74"/>
        <v>77</v>
      </c>
      <c r="B80">
        <v>9.8064999999999992E-3</v>
      </c>
      <c r="C80">
        <v>2.9905999999999999E-3</v>
      </c>
      <c r="D80">
        <v>1.5352E-3</v>
      </c>
      <c r="E80">
        <v>2.7865899999999999E-2</v>
      </c>
      <c r="F80">
        <v>2.8901999999999999E-3</v>
      </c>
      <c r="G80">
        <v>1.2486000000000001E-3</v>
      </c>
      <c r="H80">
        <v>1.1707E-3</v>
      </c>
      <c r="I80">
        <v>5.6100999999999998E-3</v>
      </c>
      <c r="J80">
        <v>3.0751118000000002</v>
      </c>
      <c r="K80">
        <v>0.99719009999999997</v>
      </c>
      <c r="L80">
        <v>0.5510391</v>
      </c>
      <c r="M80">
        <v>5.7082458999999997</v>
      </c>
      <c r="N80">
        <v>3.0570653000000001</v>
      </c>
      <c r="O80">
        <v>0.99470650000000005</v>
      </c>
      <c r="P80">
        <v>0.5476837</v>
      </c>
      <c r="Q80">
        <v>5.4856389999999999</v>
      </c>
      <c r="R80">
        <v>3.0906913999999999</v>
      </c>
      <c r="S80">
        <v>1.0019087</v>
      </c>
      <c r="T80">
        <v>0.55328379999999999</v>
      </c>
      <c r="U80">
        <v>5.7495697000000003</v>
      </c>
      <c r="V80">
        <v>3.0669715000000002</v>
      </c>
      <c r="W80">
        <v>0.99802290000000005</v>
      </c>
      <c r="X80">
        <v>0.54943149999999996</v>
      </c>
      <c r="Y80">
        <v>5.5006387999999999</v>
      </c>
      <c r="AA80" s="5">
        <f t="shared" si="72"/>
        <v>-6.9162999999999994E-3</v>
      </c>
      <c r="AB80" s="5">
        <f t="shared" si="72"/>
        <v>-1.7419999999999998E-3</v>
      </c>
      <c r="AC80" s="5">
        <f t="shared" si="72"/>
        <v>-3.6450000000000002E-4</v>
      </c>
      <c r="AD80" s="5">
        <f t="shared" si="72"/>
        <v>-2.2255799999999999E-2</v>
      </c>
      <c r="AE80" s="5">
        <f t="shared" si="73"/>
        <v>-1.8046500000000076E-2</v>
      </c>
      <c r="AF80" s="5">
        <f t="shared" si="73"/>
        <v>-2.4835999999999192E-3</v>
      </c>
      <c r="AG80" s="5">
        <f t="shared" si="73"/>
        <v>-3.3554000000000084E-3</v>
      </c>
      <c r="AH80" s="5">
        <f t="shared" si="73"/>
        <v>-0.22260689999999972</v>
      </c>
      <c r="AI80" s="5">
        <f t="shared" si="75"/>
        <v>1.2429000000003937E-3</v>
      </c>
      <c r="AJ80" s="5">
        <f t="shared" si="75"/>
        <v>3.3979999999997953E-4</v>
      </c>
      <c r="AK80" s="5">
        <f t="shared" si="75"/>
        <v>-1.3240000000002208E-4</v>
      </c>
      <c r="AL80" s="5">
        <f t="shared" si="75"/>
        <v>-4.0682000000006879E-3</v>
      </c>
      <c r="AM80" s="5"/>
      <c r="AN80" s="5"/>
      <c r="AO80" s="5"/>
      <c r="AP80" s="5"/>
      <c r="AQ80" s="5"/>
      <c r="AR80" s="5"/>
      <c r="AS80" s="5"/>
      <c r="AT80" s="5"/>
      <c r="AU80" s="5"/>
      <c r="AV80" s="5">
        <f t="shared" si="76"/>
        <v>2039.25</v>
      </c>
      <c r="AW80" s="3">
        <f t="shared" si="56"/>
        <v>-0.80767688420785322</v>
      </c>
      <c r="AX80" s="3">
        <f t="shared" si="57"/>
        <v>-0.42175499623867113</v>
      </c>
      <c r="AY80" s="3">
        <f t="shared" si="58"/>
        <v>-0.67233127013659333</v>
      </c>
      <c r="AZ80" s="3">
        <f t="shared" si="59"/>
        <v>-4.2588004455359449</v>
      </c>
      <c r="BA80" s="3">
        <f t="shared" si="60"/>
        <v>-0.76746258134991041</v>
      </c>
      <c r="BB80" s="3">
        <f t="shared" si="61"/>
        <v>-0.38783973030675745</v>
      </c>
      <c r="BC80" s="3">
        <f t="shared" si="62"/>
        <v>-0.69626112313428135</v>
      </c>
      <c r="BD80" s="3">
        <f t="shared" si="63"/>
        <v>-4.3295570449385172</v>
      </c>
      <c r="BE80" s="3">
        <f t="shared" si="64"/>
        <v>-0.54368417370947508</v>
      </c>
      <c r="BF80" s="3">
        <f t="shared" si="65"/>
        <v>-0.21397159242153682</v>
      </c>
      <c r="BG80" s="3">
        <f t="shared" si="66"/>
        <v>-0.63038173176226031</v>
      </c>
      <c r="BH80" s="3">
        <f t="shared" si="67"/>
        <v>-3.9424706861106573</v>
      </c>
      <c r="BI80" s="3">
        <f t="shared" si="68"/>
        <v>-0.58389847656741389</v>
      </c>
      <c r="BJ80" s="3">
        <f t="shared" si="69"/>
        <v>-0.2478868583534527</v>
      </c>
      <c r="BK80" s="3">
        <f t="shared" si="70"/>
        <v>-0.60645187876457041</v>
      </c>
      <c r="BL80" s="3">
        <f t="shared" si="71"/>
        <v>-3.8717140867080833</v>
      </c>
      <c r="BM80" s="2">
        <v>0</v>
      </c>
    </row>
    <row r="81" spans="1:65" x14ac:dyDescent="0.35">
      <c r="A81">
        <f t="shared" si="74"/>
        <v>78</v>
      </c>
      <c r="B81">
        <v>9.7272999999999995E-3</v>
      </c>
      <c r="C81">
        <v>2.9610999999999999E-3</v>
      </c>
      <c r="D81">
        <v>1.4951999999999999E-3</v>
      </c>
      <c r="E81">
        <v>2.7224700000000001E-2</v>
      </c>
      <c r="F81">
        <v>2.9940000000000001E-3</v>
      </c>
      <c r="G81">
        <v>1.2891999999999999E-3</v>
      </c>
      <c r="H81">
        <v>1.1607E-3</v>
      </c>
      <c r="I81">
        <v>5.8564999999999997E-3</v>
      </c>
      <c r="J81">
        <v>3.0752467999999999</v>
      </c>
      <c r="K81">
        <v>0.99723810000000002</v>
      </c>
      <c r="L81">
        <v>0.55109779999999997</v>
      </c>
      <c r="M81">
        <v>5.7093119999999997</v>
      </c>
      <c r="N81">
        <v>3.0574192</v>
      </c>
      <c r="O81">
        <v>0.99477059999999995</v>
      </c>
      <c r="P81">
        <v>0.54775070000000003</v>
      </c>
      <c r="Q81">
        <v>5.4921271000000003</v>
      </c>
      <c r="R81">
        <v>3.0906913999999999</v>
      </c>
      <c r="S81">
        <v>1.0019087</v>
      </c>
      <c r="T81">
        <v>0.55328379999999999</v>
      </c>
      <c r="U81">
        <v>5.7495697000000003</v>
      </c>
      <c r="V81">
        <v>3.0673501999999999</v>
      </c>
      <c r="W81">
        <v>0.99810290000000002</v>
      </c>
      <c r="X81">
        <v>0.54947440000000003</v>
      </c>
      <c r="Y81">
        <v>5.5070794000000003</v>
      </c>
      <c r="AA81" s="5">
        <f t="shared" si="72"/>
        <v>-6.7332999999999994E-3</v>
      </c>
      <c r="AB81" s="5">
        <f t="shared" si="72"/>
        <v>-1.6719E-3</v>
      </c>
      <c r="AC81" s="5">
        <f t="shared" si="72"/>
        <v>-3.3449999999999994E-4</v>
      </c>
      <c r="AD81" s="5">
        <f t="shared" si="72"/>
        <v>-2.13682E-2</v>
      </c>
      <c r="AE81" s="5">
        <f t="shared" si="73"/>
        <v>-1.7827599999999943E-2</v>
      </c>
      <c r="AF81" s="5">
        <f t="shared" si="73"/>
        <v>-2.4675000000000669E-3</v>
      </c>
      <c r="AG81" s="5">
        <f t="shared" si="73"/>
        <v>-3.3470999999999362E-3</v>
      </c>
      <c r="AH81" s="5">
        <f t="shared" si="73"/>
        <v>-0.21718489999999946</v>
      </c>
      <c r="AI81" s="5">
        <f t="shared" si="75"/>
        <v>1.2196999999999902E-3</v>
      </c>
      <c r="AJ81" s="5">
        <f t="shared" si="75"/>
        <v>3.3360000000009701E-4</v>
      </c>
      <c r="AK81" s="5">
        <f t="shared" si="75"/>
        <v>-1.2780000000002685E-4</v>
      </c>
      <c r="AL81" s="5">
        <f t="shared" si="75"/>
        <v>-3.9372000000005847E-3</v>
      </c>
      <c r="AM81" s="5"/>
      <c r="AN81" s="5"/>
      <c r="AO81" s="5"/>
      <c r="AP81" s="5"/>
      <c r="AQ81" s="5"/>
      <c r="AR81" s="5"/>
      <c r="AS81" s="5"/>
      <c r="AT81" s="5"/>
      <c r="AU81" s="5"/>
      <c r="AV81" s="5">
        <f t="shared" si="76"/>
        <v>2039.5</v>
      </c>
      <c r="AW81" s="3">
        <f t="shared" si="56"/>
        <v>-0.79467332131574009</v>
      </c>
      <c r="AX81" s="3">
        <f t="shared" si="57"/>
        <v>-0.41315141788868265</v>
      </c>
      <c r="AY81" s="3">
        <f t="shared" si="58"/>
        <v>-0.6654089637180659</v>
      </c>
      <c r="AZ81" s="3">
        <f t="shared" si="59"/>
        <v>-4.1490600592249445</v>
      </c>
      <c r="BA81" s="3">
        <f t="shared" si="60"/>
        <v>-0.7552096595603156</v>
      </c>
      <c r="BB81" s="3">
        <f t="shared" si="61"/>
        <v>-0.37985497081719827</v>
      </c>
      <c r="BC81" s="3">
        <f t="shared" si="62"/>
        <v>-0.68850741698924911</v>
      </c>
      <c r="BD81" s="3">
        <f t="shared" si="63"/>
        <v>-4.2175382272520334</v>
      </c>
      <c r="BE81" s="3">
        <f t="shared" si="64"/>
        <v>-0.53735225716808543</v>
      </c>
      <c r="BF81" s="3">
        <f t="shared" si="65"/>
        <v>-0.21298347843471385</v>
      </c>
      <c r="BG81" s="3">
        <f t="shared" si="66"/>
        <v>-0.62805019774660809</v>
      </c>
      <c r="BH81" s="3">
        <f t="shared" si="67"/>
        <v>-3.8458895454384985</v>
      </c>
      <c r="BI81" s="3">
        <f t="shared" si="68"/>
        <v>-0.57681591892351158</v>
      </c>
      <c r="BJ81" s="3">
        <f t="shared" si="69"/>
        <v>-0.24627992550619301</v>
      </c>
      <c r="BK81" s="3">
        <f t="shared" si="70"/>
        <v>-0.60495174447542766</v>
      </c>
      <c r="BL81" s="3">
        <f t="shared" si="71"/>
        <v>-3.7774113774114166</v>
      </c>
      <c r="BM81" s="2">
        <v>0</v>
      </c>
    </row>
    <row r="82" spans="1:65" x14ac:dyDescent="0.35">
      <c r="A82">
        <f t="shared" si="74"/>
        <v>79</v>
      </c>
      <c r="B82">
        <v>9.6475999999999992E-3</v>
      </c>
      <c r="C82">
        <v>2.9317000000000002E-3</v>
      </c>
      <c r="D82">
        <v>1.4557999999999999E-3</v>
      </c>
      <c r="E82">
        <v>2.65811E-2</v>
      </c>
      <c r="F82">
        <v>3.0926E-3</v>
      </c>
      <c r="G82">
        <v>1.3273E-3</v>
      </c>
      <c r="H82">
        <v>1.1620999999999999E-3</v>
      </c>
      <c r="I82">
        <v>6.1022999999999997E-3</v>
      </c>
      <c r="J82">
        <v>3.0753821000000001</v>
      </c>
      <c r="K82">
        <v>0.99728600000000001</v>
      </c>
      <c r="L82">
        <v>0.55115519999999996</v>
      </c>
      <c r="M82">
        <v>5.7103707999999997</v>
      </c>
      <c r="N82">
        <v>3.057734</v>
      </c>
      <c r="O82">
        <v>0.99481640000000005</v>
      </c>
      <c r="P82">
        <v>0.5476915</v>
      </c>
      <c r="Q82">
        <v>5.4983504999999999</v>
      </c>
      <c r="R82">
        <v>3.0906913999999999</v>
      </c>
      <c r="S82">
        <v>1.0019087</v>
      </c>
      <c r="T82">
        <v>0.55328379999999999</v>
      </c>
      <c r="U82">
        <v>5.7495697000000003</v>
      </c>
      <c r="V82">
        <v>3.0676852000000001</v>
      </c>
      <c r="W82">
        <v>0.9981622</v>
      </c>
      <c r="X82">
        <v>0.54940069999999996</v>
      </c>
      <c r="Y82">
        <v>5.5132601000000001</v>
      </c>
      <c r="AA82" s="5">
        <f t="shared" si="72"/>
        <v>-6.5549999999999992E-3</v>
      </c>
      <c r="AB82" s="5">
        <f t="shared" si="72"/>
        <v>-1.6044000000000002E-3</v>
      </c>
      <c r="AC82" s="5">
        <f t="shared" si="72"/>
        <v>-2.9370000000000004E-4</v>
      </c>
      <c r="AD82" s="5">
        <f t="shared" si="72"/>
        <v>-2.0478799999999998E-2</v>
      </c>
      <c r="AE82" s="5">
        <f t="shared" si="73"/>
        <v>-1.7648100000000166E-2</v>
      </c>
      <c r="AF82" s="5">
        <f t="shared" si="73"/>
        <v>-2.4695999999999607E-3</v>
      </c>
      <c r="AG82" s="5">
        <f t="shared" si="73"/>
        <v>-3.4636999999999585E-3</v>
      </c>
      <c r="AH82" s="5">
        <f t="shared" si="73"/>
        <v>-0.21202029999999983</v>
      </c>
      <c r="AI82" s="5">
        <f t="shared" si="75"/>
        <v>1.1969000000004101E-3</v>
      </c>
      <c r="AJ82" s="5">
        <f t="shared" si="75"/>
        <v>3.2749999999997538E-4</v>
      </c>
      <c r="AK82" s="5">
        <f t="shared" si="75"/>
        <v>-1.2570000000006968E-4</v>
      </c>
      <c r="AL82" s="5">
        <f t="shared" si="75"/>
        <v>-3.8105000000004108E-3</v>
      </c>
      <c r="AM82" s="5"/>
      <c r="AN82" s="5"/>
      <c r="AO82" s="5"/>
      <c r="AP82" s="5"/>
      <c r="AQ82" s="5"/>
      <c r="AR82" s="5"/>
      <c r="AS82" s="5"/>
      <c r="AT82" s="5"/>
      <c r="AU82" s="5"/>
      <c r="AV82" s="5">
        <f t="shared" si="76"/>
        <v>2039.75</v>
      </c>
      <c r="AW82" s="3">
        <f t="shared" si="56"/>
        <v>-0.78309662362279742</v>
      </c>
      <c r="AX82" s="3">
        <f t="shared" si="57"/>
        <v>-0.40662387700595487</v>
      </c>
      <c r="AY82" s="3">
        <f t="shared" si="58"/>
        <v>-0.67910898529831498</v>
      </c>
      <c r="AZ82" s="3">
        <f t="shared" si="59"/>
        <v>-4.043765222987032</v>
      </c>
      <c r="BA82" s="3">
        <f t="shared" si="60"/>
        <v>-0.74437066088189052</v>
      </c>
      <c r="BB82" s="3">
        <f t="shared" si="61"/>
        <v>-0.37393626784556178</v>
      </c>
      <c r="BC82" s="3">
        <f t="shared" si="62"/>
        <v>-0.70182788652044903</v>
      </c>
      <c r="BD82" s="3">
        <f t="shared" si="63"/>
        <v>-4.1100397478440902</v>
      </c>
      <c r="BE82" s="3">
        <f t="shared" si="64"/>
        <v>-0.53228219420417278</v>
      </c>
      <c r="BF82" s="3">
        <f t="shared" si="65"/>
        <v>-0.21380191628239537</v>
      </c>
      <c r="BG82" s="3">
        <f t="shared" si="66"/>
        <v>-0.64874482137378253</v>
      </c>
      <c r="BH82" s="3">
        <f t="shared" si="67"/>
        <v>-3.7538600497355477</v>
      </c>
      <c r="BI82" s="3">
        <f t="shared" si="68"/>
        <v>-0.57100815694508245</v>
      </c>
      <c r="BJ82" s="3">
        <f t="shared" si="69"/>
        <v>-0.24648952544278341</v>
      </c>
      <c r="BK82" s="3">
        <f t="shared" si="70"/>
        <v>-0.62602592015163983</v>
      </c>
      <c r="BL82" s="3">
        <f t="shared" si="71"/>
        <v>-3.6875855248784934</v>
      </c>
      <c r="BM82" s="2">
        <v>0</v>
      </c>
    </row>
    <row r="83" spans="1:65" x14ac:dyDescent="0.35">
      <c r="A83">
        <f t="shared" si="74"/>
        <v>80</v>
      </c>
      <c r="B83">
        <v>9.5674999999999996E-3</v>
      </c>
      <c r="C83">
        <v>2.9025000000000001E-3</v>
      </c>
      <c r="D83">
        <v>1.4170999999999999E-3</v>
      </c>
      <c r="E83">
        <v>2.5936299999999999E-2</v>
      </c>
      <c r="F83">
        <v>3.1895999999999999E-3</v>
      </c>
      <c r="G83">
        <v>1.3644E-3</v>
      </c>
      <c r="H83">
        <v>1.1658E-3</v>
      </c>
      <c r="I83">
        <v>6.3441000000000001E-3</v>
      </c>
      <c r="J83">
        <v>3.0755178000000001</v>
      </c>
      <c r="K83">
        <v>0.99733349999999998</v>
      </c>
      <c r="L83">
        <v>0.55121149999999997</v>
      </c>
      <c r="M83">
        <v>5.7114209999999996</v>
      </c>
      <c r="N83">
        <v>3.0581179999999999</v>
      </c>
      <c r="O83">
        <v>0.99489729999999998</v>
      </c>
      <c r="P83">
        <v>0.54769279999999998</v>
      </c>
      <c r="Q83">
        <v>5.5043989</v>
      </c>
      <c r="R83">
        <v>3.0906913999999999</v>
      </c>
      <c r="S83">
        <v>1.0019087</v>
      </c>
      <c r="T83">
        <v>0.55328379999999999</v>
      </c>
      <c r="U83">
        <v>5.7495697000000003</v>
      </c>
      <c r="V83">
        <v>3.0680881000000002</v>
      </c>
      <c r="W83">
        <v>0.99825589999999997</v>
      </c>
      <c r="X83">
        <v>0.54938949999999998</v>
      </c>
      <c r="Y83">
        <v>5.5192677999999997</v>
      </c>
      <c r="AA83" s="5">
        <f t="shared" si="72"/>
        <v>-6.3778999999999997E-3</v>
      </c>
      <c r="AB83" s="5">
        <f t="shared" si="72"/>
        <v>-1.5381000000000001E-3</v>
      </c>
      <c r="AC83" s="5">
        <f t="shared" si="72"/>
        <v>-2.5129999999999987E-4</v>
      </c>
      <c r="AD83" s="5">
        <f t="shared" si="72"/>
        <v>-1.9592199999999997E-2</v>
      </c>
      <c r="AE83" s="5">
        <f t="shared" si="73"/>
        <v>-1.7399800000000187E-2</v>
      </c>
      <c r="AF83" s="5">
        <f t="shared" si="73"/>
        <v>-2.4361999999999995E-3</v>
      </c>
      <c r="AG83" s="5">
        <f t="shared" si="73"/>
        <v>-3.5186999999999857E-3</v>
      </c>
      <c r="AH83" s="5">
        <f t="shared" si="73"/>
        <v>-0.20702209999999965</v>
      </c>
      <c r="AI83" s="5">
        <f t="shared" si="75"/>
        <v>1.1744000000005264E-3</v>
      </c>
      <c r="AJ83" s="5">
        <f t="shared" si="75"/>
        <v>3.2149999999998846E-4</v>
      </c>
      <c r="AK83" s="5">
        <f t="shared" si="75"/>
        <v>-1.2430000000003159E-4</v>
      </c>
      <c r="AL83" s="5">
        <f t="shared" si="75"/>
        <v>-3.6876000000009568E-3</v>
      </c>
      <c r="AM83" s="5"/>
      <c r="AN83" s="5"/>
      <c r="AO83" s="5"/>
      <c r="AP83" s="5"/>
      <c r="AQ83" s="5"/>
      <c r="AR83" s="5"/>
      <c r="AS83" s="5"/>
      <c r="AT83" s="5"/>
      <c r="AU83" s="5"/>
      <c r="AV83" s="5">
        <f t="shared" si="76"/>
        <v>2040</v>
      </c>
      <c r="AW83" s="3">
        <f t="shared" si="56"/>
        <v>-0.76933271306220308</v>
      </c>
      <c r="AX83" s="3">
        <f t="shared" si="57"/>
        <v>-0.39667287049209177</v>
      </c>
      <c r="AY83" s="3">
        <f t="shared" si="58"/>
        <v>-0.68138629759266145</v>
      </c>
      <c r="AZ83" s="3">
        <f t="shared" si="59"/>
        <v>-3.9414132156707251</v>
      </c>
      <c r="BA83" s="3">
        <f t="shared" si="60"/>
        <v>-0.731334742769843</v>
      </c>
      <c r="BB83" s="3">
        <f t="shared" si="61"/>
        <v>-0.36458411829341453</v>
      </c>
      <c r="BC83" s="3">
        <f t="shared" si="62"/>
        <v>-0.70385216411541729</v>
      </c>
      <c r="BD83" s="3">
        <f t="shared" si="63"/>
        <v>-4.0055501892602603</v>
      </c>
      <c r="BE83" s="3">
        <f t="shared" si="64"/>
        <v>-0.52497638554272108</v>
      </c>
      <c r="BF83" s="3">
        <f t="shared" si="65"/>
        <v>-0.2110671361572192</v>
      </c>
      <c r="BG83" s="3">
        <f t="shared" si="66"/>
        <v>-0.65843243557828057</v>
      </c>
      <c r="BH83" s="3">
        <f t="shared" si="67"/>
        <v>-3.664790775560137</v>
      </c>
      <c r="BI83" s="3">
        <f t="shared" si="68"/>
        <v>-0.56297435583507915</v>
      </c>
      <c r="BJ83" s="3">
        <f t="shared" si="69"/>
        <v>-0.24315588835589508</v>
      </c>
      <c r="BK83" s="3">
        <f t="shared" si="70"/>
        <v>-0.63596656905551652</v>
      </c>
      <c r="BL83" s="3">
        <f t="shared" si="71"/>
        <v>-3.6006538019706005</v>
      </c>
      <c r="BM83" s="2">
        <v>0</v>
      </c>
    </row>
    <row r="84" spans="1:65" x14ac:dyDescent="0.35">
      <c r="A84">
        <f t="shared" si="74"/>
        <v>81</v>
      </c>
      <c r="B84">
        <v>9.4870000000000006E-3</v>
      </c>
      <c r="C84">
        <v>2.8733999999999999E-3</v>
      </c>
      <c r="D84">
        <v>1.3791999999999999E-3</v>
      </c>
      <c r="E84">
        <v>2.5291600000000001E-2</v>
      </c>
      <c r="F84">
        <v>3.2807999999999999E-3</v>
      </c>
      <c r="G84">
        <v>1.3986999999999999E-3</v>
      </c>
      <c r="H84">
        <v>1.1515E-3</v>
      </c>
      <c r="I84">
        <v>6.5735000000000003E-3</v>
      </c>
      <c r="J84">
        <v>3.0756538</v>
      </c>
      <c r="K84">
        <v>0.99738079999999996</v>
      </c>
      <c r="L84">
        <v>0.55126640000000005</v>
      </c>
      <c r="M84">
        <v>5.7124613000000002</v>
      </c>
      <c r="N84">
        <v>3.0583911000000001</v>
      </c>
      <c r="O84">
        <v>0.99493540000000003</v>
      </c>
      <c r="P84">
        <v>0.54751939999999999</v>
      </c>
      <c r="Q84">
        <v>5.5095172999999997</v>
      </c>
      <c r="R84">
        <v>3.0906913999999999</v>
      </c>
      <c r="S84">
        <v>1.0019087</v>
      </c>
      <c r="T84">
        <v>0.55328379999999999</v>
      </c>
      <c r="U84">
        <v>5.7495697000000003</v>
      </c>
      <c r="V84">
        <v>3.0683748</v>
      </c>
      <c r="W84">
        <v>0.99830419999999997</v>
      </c>
      <c r="X84">
        <v>0.54919399999999996</v>
      </c>
      <c r="Y84">
        <v>5.5243409999999997</v>
      </c>
      <c r="AA84" s="5">
        <f t="shared" si="72"/>
        <v>-6.2062000000000003E-3</v>
      </c>
      <c r="AB84" s="5">
        <f t="shared" si="72"/>
        <v>-1.4747E-3</v>
      </c>
      <c r="AC84" s="5">
        <f t="shared" si="72"/>
        <v>-2.2769999999999995E-4</v>
      </c>
      <c r="AD84" s="5">
        <f t="shared" si="72"/>
        <v>-1.8718100000000001E-2</v>
      </c>
      <c r="AE84" s="5">
        <f t="shared" si="73"/>
        <v>-1.7262699999999853E-2</v>
      </c>
      <c r="AF84" s="5">
        <f t="shared" si="73"/>
        <v>-2.445399999999931E-3</v>
      </c>
      <c r="AG84" s="5">
        <f t="shared" si="73"/>
        <v>-3.7470000000000558E-3</v>
      </c>
      <c r="AH84" s="5">
        <f t="shared" si="73"/>
        <v>-0.20294400000000046</v>
      </c>
      <c r="AI84" s="5">
        <f t="shared" si="75"/>
        <v>1.1522999999999464E-3</v>
      </c>
      <c r="AJ84" s="5">
        <f t="shared" si="75"/>
        <v>3.1559999999992028E-4</v>
      </c>
      <c r="AK84" s="5">
        <f t="shared" si="75"/>
        <v>-1.1509999999997651E-4</v>
      </c>
      <c r="AL84" s="5">
        <f t="shared" si="75"/>
        <v>-3.5666000000001419E-3</v>
      </c>
      <c r="AM84" s="5"/>
      <c r="AN84" s="5"/>
      <c r="AO84" s="5"/>
      <c r="AP84" s="5"/>
      <c r="AQ84" s="5"/>
      <c r="AR84" s="5"/>
      <c r="AS84" s="5"/>
      <c r="AT84" s="5"/>
      <c r="AU84" s="5"/>
      <c r="AV84" s="5">
        <f t="shared" si="76"/>
        <v>2040.25</v>
      </c>
      <c r="AW84" s="3">
        <f t="shared" si="56"/>
        <v>-0.75934142114608583</v>
      </c>
      <c r="AX84" s="3">
        <f t="shared" si="57"/>
        <v>-0.39126319593790643</v>
      </c>
      <c r="AY84" s="3">
        <f t="shared" si="58"/>
        <v>-0.71838358542217506</v>
      </c>
      <c r="AZ84" s="3">
        <f t="shared" si="59"/>
        <v>-3.8552815526351552</v>
      </c>
      <c r="BA84" s="3">
        <f t="shared" si="60"/>
        <v>-0.7220585012143208</v>
      </c>
      <c r="BB84" s="3">
        <f t="shared" si="61"/>
        <v>-0.3597633197515912</v>
      </c>
      <c r="BC84" s="3">
        <f t="shared" si="62"/>
        <v>-0.73918665249190962</v>
      </c>
      <c r="BD84" s="3">
        <f t="shared" si="63"/>
        <v>-3.9173140209083925</v>
      </c>
      <c r="BE84" s="3">
        <f t="shared" si="64"/>
        <v>-0.52125553525014112</v>
      </c>
      <c r="BF84" s="3">
        <f t="shared" si="65"/>
        <v>-0.21257425951086756</v>
      </c>
      <c r="BG84" s="3">
        <f t="shared" si="66"/>
        <v>-0.69803236602987107</v>
      </c>
      <c r="BH84" s="3">
        <f t="shared" si="67"/>
        <v>-3.5917574840426845</v>
      </c>
      <c r="BI84" s="3">
        <f t="shared" si="68"/>
        <v>-0.55853845518190048</v>
      </c>
      <c r="BJ84" s="3">
        <f t="shared" si="69"/>
        <v>-0.24407413569718789</v>
      </c>
      <c r="BK84" s="3">
        <f t="shared" si="70"/>
        <v>-0.67722929896014594</v>
      </c>
      <c r="BL84" s="3">
        <f t="shared" si="71"/>
        <v>-3.5297250157694484</v>
      </c>
      <c r="BM84" s="2">
        <v>0</v>
      </c>
    </row>
    <row r="85" spans="1:65" x14ac:dyDescent="0.35">
      <c r="A85">
        <f t="shared" si="74"/>
        <v>82</v>
      </c>
      <c r="B85">
        <v>9.4061000000000006E-3</v>
      </c>
      <c r="C85">
        <v>2.8444999999999998E-3</v>
      </c>
      <c r="D85">
        <v>1.3420999999999999E-3</v>
      </c>
      <c r="E85">
        <v>2.4648199999999999E-2</v>
      </c>
      <c r="F85">
        <v>3.3676999999999999E-3</v>
      </c>
      <c r="G85">
        <v>1.4308999999999999E-3</v>
      </c>
      <c r="H85">
        <v>1.1643000000000001E-3</v>
      </c>
      <c r="I85">
        <v>6.8049E-3</v>
      </c>
      <c r="J85">
        <v>3.0757900999999999</v>
      </c>
      <c r="K85">
        <v>0.99742779999999998</v>
      </c>
      <c r="L85">
        <v>0.55131989999999997</v>
      </c>
      <c r="M85">
        <v>5.7134904000000004</v>
      </c>
      <c r="N85">
        <v>3.0585813000000002</v>
      </c>
      <c r="O85">
        <v>0.99492950000000002</v>
      </c>
      <c r="P85">
        <v>0.54730089999999998</v>
      </c>
      <c r="Q85">
        <v>5.5145491</v>
      </c>
      <c r="R85">
        <v>3.0906913999999999</v>
      </c>
      <c r="S85">
        <v>1.0019087</v>
      </c>
      <c r="T85">
        <v>0.55328379999999999</v>
      </c>
      <c r="U85">
        <v>5.7495697000000003</v>
      </c>
      <c r="V85">
        <v>3.0685752000000002</v>
      </c>
      <c r="W85">
        <v>0.99830680000000005</v>
      </c>
      <c r="X85">
        <v>0.54897370000000001</v>
      </c>
      <c r="Y85">
        <v>5.5293355000000002</v>
      </c>
      <c r="AA85" s="5">
        <f t="shared" si="72"/>
        <v>-6.0384000000000011E-3</v>
      </c>
      <c r="AB85" s="5">
        <f t="shared" si="72"/>
        <v>-1.4135999999999999E-3</v>
      </c>
      <c r="AC85" s="5">
        <f t="shared" si="72"/>
        <v>-1.7779999999999988E-4</v>
      </c>
      <c r="AD85" s="5">
        <f t="shared" si="72"/>
        <v>-1.7843299999999999E-2</v>
      </c>
      <c r="AE85" s="5">
        <f t="shared" si="73"/>
        <v>-1.7208799999999691E-2</v>
      </c>
      <c r="AF85" s="5">
        <f t="shared" si="73"/>
        <v>-2.4982999999999533E-3</v>
      </c>
      <c r="AG85" s="5">
        <f t="shared" si="73"/>
        <v>-4.0189999999999948E-3</v>
      </c>
      <c r="AH85" s="5">
        <f t="shared" si="73"/>
        <v>-0.19894130000000043</v>
      </c>
      <c r="AI85" s="5">
        <f t="shared" si="75"/>
        <v>1.1309999999999931E-3</v>
      </c>
      <c r="AJ85" s="5">
        <f t="shared" si="75"/>
        <v>3.1000000000001773E-4</v>
      </c>
      <c r="AK85" s="5">
        <f t="shared" si="75"/>
        <v>-1.1329999999998893E-4</v>
      </c>
      <c r="AL85" s="5">
        <f t="shared" si="75"/>
        <v>-3.4495999999997196E-3</v>
      </c>
      <c r="AM85" s="5"/>
      <c r="AN85" s="5"/>
      <c r="AO85" s="5"/>
      <c r="AP85" s="5"/>
      <c r="AQ85" s="5"/>
      <c r="AR85" s="5"/>
      <c r="AS85" s="5"/>
      <c r="AT85" s="5"/>
      <c r="AU85" s="5"/>
      <c r="AV85" s="5">
        <f t="shared" si="76"/>
        <v>2040.5</v>
      </c>
      <c r="AW85" s="3">
        <f t="shared" si="56"/>
        <v>-0.75216826888636279</v>
      </c>
      <c r="AX85" s="3">
        <f t="shared" si="57"/>
        <v>-0.39044475809022849</v>
      </c>
      <c r="AY85" s="3">
        <f t="shared" si="58"/>
        <v>-0.7585257330867079</v>
      </c>
      <c r="AZ85" s="3">
        <f t="shared" si="59"/>
        <v>-3.7704491172617738</v>
      </c>
      <c r="BA85" s="3">
        <f t="shared" si="60"/>
        <v>-0.7155745151392241</v>
      </c>
      <c r="BB85" s="3">
        <f t="shared" si="61"/>
        <v>-0.35950381506817297</v>
      </c>
      <c r="BC85" s="3">
        <f t="shared" si="62"/>
        <v>-0.77900346982868163</v>
      </c>
      <c r="BD85" s="3">
        <f t="shared" si="63"/>
        <v>-3.8304466506423975</v>
      </c>
      <c r="BE85" s="3">
        <f t="shared" si="64"/>
        <v>-0.52020075508022889</v>
      </c>
      <c r="BF85" s="3">
        <f t="shared" si="65"/>
        <v>-0.21841311488760612</v>
      </c>
      <c r="BG85" s="3">
        <f t="shared" si="66"/>
        <v>-0.74686806300852793</v>
      </c>
      <c r="BH85" s="3">
        <f t="shared" si="67"/>
        <v>-3.5201051654352522</v>
      </c>
      <c r="BI85" s="3">
        <f t="shared" si="68"/>
        <v>-0.55679450882736758</v>
      </c>
      <c r="BJ85" s="3">
        <f t="shared" si="69"/>
        <v>-0.24935405790966317</v>
      </c>
      <c r="BK85" s="3">
        <f t="shared" si="70"/>
        <v>-0.7263903262665552</v>
      </c>
      <c r="BL85" s="3">
        <f t="shared" si="71"/>
        <v>-3.4601076320546285</v>
      </c>
      <c r="BM85" s="2">
        <v>0</v>
      </c>
    </row>
    <row r="86" spans="1:65" x14ac:dyDescent="0.35">
      <c r="A86">
        <f t="shared" si="74"/>
        <v>83</v>
      </c>
      <c r="B86">
        <v>9.3249000000000005E-3</v>
      </c>
      <c r="C86">
        <v>2.8157E-3</v>
      </c>
      <c r="D86">
        <v>1.3059E-3</v>
      </c>
      <c r="E86">
        <v>2.4007199999999999E-2</v>
      </c>
      <c r="F86">
        <v>3.4532E-3</v>
      </c>
      <c r="G86">
        <v>1.4624E-3</v>
      </c>
      <c r="H86">
        <v>1.1716000000000001E-3</v>
      </c>
      <c r="I86">
        <v>7.0346000000000002E-3</v>
      </c>
      <c r="J86">
        <v>3.0759265</v>
      </c>
      <c r="K86">
        <v>0.99747450000000004</v>
      </c>
      <c r="L86">
        <v>0.55137219999999998</v>
      </c>
      <c r="M86">
        <v>5.7145071999999999</v>
      </c>
      <c r="N86">
        <v>3.0587672000000001</v>
      </c>
      <c r="O86">
        <v>0.99492239999999998</v>
      </c>
      <c r="P86">
        <v>0.54709810000000003</v>
      </c>
      <c r="Q86">
        <v>5.5198114</v>
      </c>
      <c r="R86">
        <v>3.0906913999999999</v>
      </c>
      <c r="S86">
        <v>1.0019087</v>
      </c>
      <c r="T86">
        <v>0.55328379999999999</v>
      </c>
      <c r="U86">
        <v>5.7495697000000003</v>
      </c>
      <c r="V86">
        <v>3.0687704999999998</v>
      </c>
      <c r="W86">
        <v>0.99830759999999996</v>
      </c>
      <c r="X86">
        <v>0.54876069999999999</v>
      </c>
      <c r="Y86">
        <v>5.5345652999999997</v>
      </c>
      <c r="AA86" s="5">
        <f t="shared" si="72"/>
        <v>-5.8717000000000005E-3</v>
      </c>
      <c r="AB86" s="5">
        <f t="shared" si="72"/>
        <v>-1.3533E-3</v>
      </c>
      <c r="AC86" s="5">
        <f t="shared" si="72"/>
        <v>-1.3429999999999996E-4</v>
      </c>
      <c r="AD86" s="5">
        <f t="shared" si="72"/>
        <v>-1.6972599999999997E-2</v>
      </c>
      <c r="AE86" s="5">
        <f t="shared" si="73"/>
        <v>-1.7159299999999877E-2</v>
      </c>
      <c r="AF86" s="5">
        <f t="shared" si="73"/>
        <v>-2.5521000000000571E-3</v>
      </c>
      <c r="AG86" s="5">
        <f t="shared" si="73"/>
        <v>-4.2740999999999474E-3</v>
      </c>
      <c r="AH86" s="5">
        <f t="shared" si="73"/>
        <v>-0.19469579999999986</v>
      </c>
      <c r="AI86" s="5">
        <f t="shared" si="75"/>
        <v>1.110099999999857E-3</v>
      </c>
      <c r="AJ86" s="5">
        <f t="shared" si="75"/>
        <v>3.0430000000003336E-4</v>
      </c>
      <c r="AK86" s="5">
        <f t="shared" si="75"/>
        <v>-1.1470000000005434E-4</v>
      </c>
      <c r="AL86" s="5">
        <f t="shared" si="75"/>
        <v>-3.3360000000007828E-3</v>
      </c>
      <c r="AM86" s="5"/>
      <c r="AN86" s="5"/>
      <c r="AO86" s="5"/>
      <c r="AP86" s="5"/>
      <c r="AQ86" s="5"/>
      <c r="AR86" s="5"/>
      <c r="AS86" s="5"/>
      <c r="AT86" s="5"/>
      <c r="AU86" s="5"/>
      <c r="AV86" s="5">
        <f t="shared" si="76"/>
        <v>2040.75</v>
      </c>
      <c r="AW86" s="3">
        <f t="shared" si="56"/>
        <v>-0.74517307033629687</v>
      </c>
      <c r="AX86" s="3">
        <f t="shared" si="57"/>
        <v>-0.38979599638171197</v>
      </c>
      <c r="AY86" s="3">
        <f t="shared" si="58"/>
        <v>-0.79677012050595875</v>
      </c>
      <c r="AZ86" s="3">
        <f t="shared" si="59"/>
        <v>-3.6814650668553481</v>
      </c>
      <c r="BA86" s="3">
        <f t="shared" si="60"/>
        <v>-0.7092555406858162</v>
      </c>
      <c r="BB86" s="3">
        <f t="shared" si="61"/>
        <v>-0.35942396747328614</v>
      </c>
      <c r="BC86" s="3">
        <f t="shared" si="62"/>
        <v>-0.81750089194731568</v>
      </c>
      <c r="BD86" s="3">
        <f t="shared" si="63"/>
        <v>-3.7394868002035118</v>
      </c>
      <c r="BE86" s="3">
        <f t="shared" si="64"/>
        <v>-0.51927539579007709</v>
      </c>
      <c r="BF86" s="3">
        <f t="shared" si="65"/>
        <v>-0.22435177975797815</v>
      </c>
      <c r="BG86" s="3">
        <f t="shared" si="66"/>
        <v>-0.79322763471476498</v>
      </c>
      <c r="BH86" s="3">
        <f t="shared" si="67"/>
        <v>-3.4442890569706588</v>
      </c>
      <c r="BI86" s="3">
        <f t="shared" si="68"/>
        <v>-0.55519292544056253</v>
      </c>
      <c r="BJ86" s="3">
        <f t="shared" si="69"/>
        <v>-0.25472380866640415</v>
      </c>
      <c r="BK86" s="3">
        <f t="shared" si="70"/>
        <v>-0.7724968632734136</v>
      </c>
      <c r="BL86" s="3">
        <f t="shared" si="71"/>
        <v>-3.3862673236224938</v>
      </c>
      <c r="BM86" s="2">
        <v>0</v>
      </c>
    </row>
    <row r="87" spans="1:65" x14ac:dyDescent="0.35">
      <c r="A87">
        <f t="shared" si="74"/>
        <v>84</v>
      </c>
      <c r="B87">
        <v>9.2432999999999994E-3</v>
      </c>
      <c r="C87">
        <v>2.787E-3</v>
      </c>
      <c r="D87">
        <v>1.2704999999999999E-3</v>
      </c>
      <c r="E87">
        <v>2.33698E-2</v>
      </c>
      <c r="F87">
        <v>3.5366E-3</v>
      </c>
      <c r="G87">
        <v>1.4928999999999999E-3</v>
      </c>
      <c r="H87">
        <v>1.1766000000000001E-3</v>
      </c>
      <c r="I87">
        <v>7.2621999999999999E-3</v>
      </c>
      <c r="J87">
        <v>3.0760630999999998</v>
      </c>
      <c r="K87">
        <v>0.99752110000000005</v>
      </c>
      <c r="L87">
        <v>0.551423</v>
      </c>
      <c r="M87">
        <v>5.7155106</v>
      </c>
      <c r="N87">
        <v>3.0589507999999999</v>
      </c>
      <c r="O87">
        <v>0.99492729999999996</v>
      </c>
      <c r="P87">
        <v>0.54689359999999998</v>
      </c>
      <c r="Q87">
        <v>5.5243105999999997</v>
      </c>
      <c r="R87">
        <v>3.0906913999999999</v>
      </c>
      <c r="S87">
        <v>1.0019087</v>
      </c>
      <c r="T87">
        <v>0.55328379999999999</v>
      </c>
      <c r="U87">
        <v>5.7495697000000003</v>
      </c>
      <c r="V87">
        <v>3.0689614000000001</v>
      </c>
      <c r="W87">
        <v>0.99831939999999997</v>
      </c>
      <c r="X87">
        <v>0.54855419999999999</v>
      </c>
      <c r="Y87">
        <v>5.5390372000000001</v>
      </c>
      <c r="AA87" s="5">
        <f t="shared" si="72"/>
        <v>-5.7066999999999994E-3</v>
      </c>
      <c r="AB87" s="5">
        <f t="shared" si="72"/>
        <v>-1.2941000000000001E-3</v>
      </c>
      <c r="AC87" s="5">
        <f t="shared" si="72"/>
        <v>-9.3899999999999843E-5</v>
      </c>
      <c r="AD87" s="5">
        <f t="shared" si="72"/>
        <v>-1.61076E-2</v>
      </c>
      <c r="AE87" s="5">
        <f t="shared" si="73"/>
        <v>-1.7112299999999969E-2</v>
      </c>
      <c r="AF87" s="5">
        <f t="shared" si="73"/>
        <v>-2.5938000000000905E-3</v>
      </c>
      <c r="AG87" s="5">
        <f t="shared" si="73"/>
        <v>-4.5294000000000167E-3</v>
      </c>
      <c r="AH87" s="5">
        <f t="shared" si="73"/>
        <v>-0.19120000000000026</v>
      </c>
      <c r="AI87" s="5">
        <f t="shared" si="75"/>
        <v>1.0890000000001628E-3</v>
      </c>
      <c r="AJ87" s="5">
        <f t="shared" si="75"/>
        <v>2.9860000000007329E-4</v>
      </c>
      <c r="AK87" s="5">
        <f t="shared" si="75"/>
        <v>-1.0629999999998366E-4</v>
      </c>
      <c r="AL87" s="5">
        <f t="shared" si="75"/>
        <v>-3.224899999999975E-3</v>
      </c>
      <c r="AM87" s="5"/>
      <c r="AN87" s="5"/>
      <c r="AO87" s="5"/>
      <c r="AP87" s="5"/>
      <c r="AQ87" s="5"/>
      <c r="AR87" s="5"/>
      <c r="AS87" s="5"/>
      <c r="AT87" s="5"/>
      <c r="AU87" s="5"/>
      <c r="AV87" s="5">
        <f t="shared" si="76"/>
        <v>2041</v>
      </c>
      <c r="AW87" s="3">
        <f t="shared" si="56"/>
        <v>-0.73831376370995716</v>
      </c>
      <c r="AX87" s="3">
        <f t="shared" si="57"/>
        <v>-0.38804933024337357</v>
      </c>
      <c r="AY87" s="3">
        <f t="shared" si="58"/>
        <v>-0.83561094685946291</v>
      </c>
      <c r="AZ87" s="3">
        <f t="shared" si="59"/>
        <v>-3.6056193909606877</v>
      </c>
      <c r="BA87" s="3">
        <f t="shared" si="60"/>
        <v>-0.70307892920010728</v>
      </c>
      <c r="BB87" s="3">
        <f t="shared" si="61"/>
        <v>-0.35824621544857504</v>
      </c>
      <c r="BC87" s="3">
        <f t="shared" si="62"/>
        <v>-0.85482351010457935</v>
      </c>
      <c r="BD87" s="3">
        <f t="shared" si="63"/>
        <v>-3.6617088057911573</v>
      </c>
      <c r="BE87" s="3">
        <f t="shared" si="64"/>
        <v>-0.51843739559373769</v>
      </c>
      <c r="BF87" s="3">
        <f t="shared" si="65"/>
        <v>-0.22908274975554688</v>
      </c>
      <c r="BG87" s="3">
        <f t="shared" si="66"/>
        <v>-0.83785211133960913</v>
      </c>
      <c r="BH87" s="3">
        <f t="shared" si="67"/>
        <v>-3.3815556666788549</v>
      </c>
      <c r="BI87" s="3">
        <f t="shared" si="68"/>
        <v>-0.55367223010359334</v>
      </c>
      <c r="BJ87" s="3">
        <f t="shared" si="69"/>
        <v>-0.25888586455034179</v>
      </c>
      <c r="BK87" s="3">
        <f t="shared" si="70"/>
        <v>-0.81863954809448902</v>
      </c>
      <c r="BL87" s="3">
        <f t="shared" si="71"/>
        <v>-3.3254662518483817</v>
      </c>
      <c r="BM87" s="2">
        <v>0</v>
      </c>
    </row>
    <row r="88" spans="1:65" x14ac:dyDescent="0.35">
      <c r="A88">
        <f t="shared" si="74"/>
        <v>85</v>
      </c>
      <c r="B88">
        <v>9.1614999999999995E-3</v>
      </c>
      <c r="C88">
        <v>2.7585000000000001E-3</v>
      </c>
      <c r="D88">
        <v>1.2361E-3</v>
      </c>
      <c r="E88">
        <v>2.2737E-2</v>
      </c>
      <c r="F88">
        <v>3.6175999999999999E-3</v>
      </c>
      <c r="G88">
        <v>1.5221E-3</v>
      </c>
      <c r="H88">
        <v>1.1945E-3</v>
      </c>
      <c r="I88">
        <v>7.4951999999999996E-3</v>
      </c>
      <c r="J88">
        <v>3.0761999000000002</v>
      </c>
      <c r="K88">
        <v>0.99756730000000005</v>
      </c>
      <c r="L88">
        <v>0.55147250000000003</v>
      </c>
      <c r="M88">
        <v>5.7164995999999997</v>
      </c>
      <c r="N88">
        <v>3.0590232999999998</v>
      </c>
      <c r="O88">
        <v>0.99486909999999995</v>
      </c>
      <c r="P88">
        <v>0.54670470000000004</v>
      </c>
      <c r="Q88">
        <v>5.5292146000000004</v>
      </c>
      <c r="R88">
        <v>3.0906913999999999</v>
      </c>
      <c r="S88">
        <v>1.0019087</v>
      </c>
      <c r="T88">
        <v>0.55328379999999999</v>
      </c>
      <c r="U88">
        <v>5.7495697000000003</v>
      </c>
      <c r="V88">
        <v>3.0690400000000002</v>
      </c>
      <c r="W88">
        <v>0.99826729999999997</v>
      </c>
      <c r="X88">
        <v>0.54836450000000003</v>
      </c>
      <c r="Y88">
        <v>5.5439248000000001</v>
      </c>
      <c r="AA88" s="5">
        <f t="shared" si="72"/>
        <v>-5.5438999999999992E-3</v>
      </c>
      <c r="AB88" s="5">
        <f t="shared" si="72"/>
        <v>-1.2364000000000001E-3</v>
      </c>
      <c r="AC88" s="5">
        <f t="shared" si="72"/>
        <v>-4.1599999999999927E-5</v>
      </c>
      <c r="AD88" s="5">
        <f t="shared" si="72"/>
        <v>-1.52418E-2</v>
      </c>
      <c r="AE88" s="5">
        <f t="shared" si="73"/>
        <v>-1.717660000000043E-2</v>
      </c>
      <c r="AF88" s="5">
        <f t="shared" si="73"/>
        <v>-2.698200000000095E-3</v>
      </c>
      <c r="AG88" s="5">
        <f t="shared" si="73"/>
        <v>-4.7677999999999887E-3</v>
      </c>
      <c r="AH88" s="5">
        <f t="shared" si="73"/>
        <v>-0.18728499999999926</v>
      </c>
      <c r="AI88" s="5">
        <f t="shared" si="75"/>
        <v>1.0691000000007736E-3</v>
      </c>
      <c r="AJ88" s="5">
        <f t="shared" si="75"/>
        <v>2.9320000000007847E-4</v>
      </c>
      <c r="AK88" s="5">
        <f t="shared" si="75"/>
        <v>-1.0989999999997096E-4</v>
      </c>
      <c r="AL88" s="5">
        <f t="shared" si="75"/>
        <v>-3.118100000000984E-3</v>
      </c>
      <c r="AM88" s="5"/>
      <c r="AN88" s="5"/>
      <c r="AO88" s="5"/>
      <c r="AP88" s="5"/>
      <c r="AQ88" s="5"/>
      <c r="AR88" s="5"/>
      <c r="AS88" s="5"/>
      <c r="AT88" s="5"/>
      <c r="AU88" s="5"/>
      <c r="AV88" s="5">
        <f t="shared" si="76"/>
        <v>2041.25</v>
      </c>
      <c r="AW88" s="3">
        <f t="shared" si="56"/>
        <v>-0.7351267745463177</v>
      </c>
      <c r="AX88" s="3">
        <f t="shared" si="57"/>
        <v>-0.39271043359540597</v>
      </c>
      <c r="AY88" s="3">
        <f t="shared" si="58"/>
        <v>-0.86924648796874027</v>
      </c>
      <c r="AZ88" s="3">
        <f t="shared" si="59"/>
        <v>-3.5224688205797254</v>
      </c>
      <c r="BA88" s="3">
        <f t="shared" si="60"/>
        <v>-0.70053580891316602</v>
      </c>
      <c r="BB88" s="3">
        <f t="shared" si="61"/>
        <v>-0.36344629006615242</v>
      </c>
      <c r="BC88" s="3">
        <f t="shared" si="62"/>
        <v>-0.88910971186938059</v>
      </c>
      <c r="BD88" s="3">
        <f t="shared" si="63"/>
        <v>-3.5767007050979873</v>
      </c>
      <c r="BE88" s="3">
        <f t="shared" si="64"/>
        <v>-0.52116170511230908</v>
      </c>
      <c r="BF88" s="3">
        <f t="shared" si="65"/>
        <v>-0.24004183215496486</v>
      </c>
      <c r="BG88" s="3">
        <f t="shared" si="66"/>
        <v>-0.88159096651663849</v>
      </c>
      <c r="BH88" s="3">
        <f t="shared" si="67"/>
        <v>-3.3116060841909638</v>
      </c>
      <c r="BI88" s="3">
        <f t="shared" si="68"/>
        <v>-0.55575267074546597</v>
      </c>
      <c r="BJ88" s="3">
        <f t="shared" si="69"/>
        <v>-0.26930597568422104</v>
      </c>
      <c r="BK88" s="3">
        <f t="shared" si="70"/>
        <v>-0.86172774261599372</v>
      </c>
      <c r="BL88" s="3">
        <f t="shared" si="71"/>
        <v>-3.2573741996727033</v>
      </c>
      <c r="BM88" s="2">
        <v>0</v>
      </c>
    </row>
    <row r="89" spans="1:65" x14ac:dyDescent="0.35">
      <c r="A89">
        <f t="shared" si="74"/>
        <v>86</v>
      </c>
      <c r="B89">
        <v>9.0795000000000008E-3</v>
      </c>
      <c r="C89">
        <v>2.7301999999999999E-3</v>
      </c>
      <c r="D89">
        <v>1.2026000000000001E-3</v>
      </c>
      <c r="E89">
        <v>2.2109799999999999E-2</v>
      </c>
      <c r="F89">
        <v>3.6982999999999999E-3</v>
      </c>
      <c r="G89">
        <v>1.5509E-3</v>
      </c>
      <c r="H89">
        <v>1.1992000000000001E-3</v>
      </c>
      <c r="I89">
        <v>7.7242999999999999E-3</v>
      </c>
      <c r="J89">
        <v>3.0763365999999999</v>
      </c>
      <c r="K89">
        <v>0.99761330000000004</v>
      </c>
      <c r="L89">
        <v>0.55152060000000003</v>
      </c>
      <c r="M89">
        <v>5.7174734999999997</v>
      </c>
      <c r="N89">
        <v>3.0591636000000002</v>
      </c>
      <c r="O89">
        <v>0.99485760000000001</v>
      </c>
      <c r="P89">
        <v>0.54640200000000005</v>
      </c>
      <c r="Q89">
        <v>5.5336812999999996</v>
      </c>
      <c r="R89">
        <v>3.0906913999999999</v>
      </c>
      <c r="S89">
        <v>1.0019087</v>
      </c>
      <c r="T89">
        <v>0.55328379999999999</v>
      </c>
      <c r="U89">
        <v>5.7495697000000003</v>
      </c>
      <c r="V89">
        <v>3.0691861</v>
      </c>
      <c r="W89">
        <v>0.99826159999999997</v>
      </c>
      <c r="X89">
        <v>0.54805479999999995</v>
      </c>
      <c r="Y89">
        <v>5.5483777999999999</v>
      </c>
      <c r="AA89" s="5">
        <f t="shared" si="72"/>
        <v>-5.3812000000000009E-3</v>
      </c>
      <c r="AB89" s="5">
        <f t="shared" si="72"/>
        <v>-1.1792999999999999E-3</v>
      </c>
      <c r="AC89" s="5">
        <f t="shared" si="72"/>
        <v>-3.3999999999999742E-6</v>
      </c>
      <c r="AD89" s="5">
        <f t="shared" si="72"/>
        <v>-1.4385499999999999E-2</v>
      </c>
      <c r="AE89" s="5">
        <f t="shared" si="73"/>
        <v>-1.7172999999999661E-2</v>
      </c>
      <c r="AF89" s="5">
        <f t="shared" si="73"/>
        <v>-2.7557000000000276E-3</v>
      </c>
      <c r="AG89" s="5">
        <f t="shared" si="73"/>
        <v>-5.1185999999999732E-3</v>
      </c>
      <c r="AH89" s="5">
        <f t="shared" si="73"/>
        <v>-0.18379220000000007</v>
      </c>
      <c r="AI89" s="5">
        <f t="shared" si="75"/>
        <v>1.048899999999825E-3</v>
      </c>
      <c r="AJ89" s="5">
        <f t="shared" si="75"/>
        <v>2.879000000000128E-4</v>
      </c>
      <c r="AK89" s="5">
        <f t="shared" si="75"/>
        <v>-1.0700000000006624E-4</v>
      </c>
      <c r="AL89" s="5">
        <f t="shared" si="75"/>
        <v>-3.0142000000003555E-3</v>
      </c>
      <c r="AM89" s="5"/>
      <c r="AN89" s="5"/>
      <c r="AO89" s="5"/>
      <c r="AP89" s="5"/>
      <c r="AQ89" s="5"/>
      <c r="AR89" s="5"/>
      <c r="AS89" s="5"/>
      <c r="AT89" s="5"/>
      <c r="AU89" s="5"/>
      <c r="AV89" s="5">
        <f t="shared" si="76"/>
        <v>2041.5</v>
      </c>
      <c r="AW89" s="3">
        <f t="shared" si="56"/>
        <v>-0.72974610147100627</v>
      </c>
      <c r="AX89" s="3">
        <f t="shared" si="57"/>
        <v>-0.39275035739284697</v>
      </c>
      <c r="AY89" s="3">
        <f t="shared" si="58"/>
        <v>-0.92574552155692491</v>
      </c>
      <c r="AZ89" s="3">
        <f t="shared" si="59"/>
        <v>-3.4468266381743327</v>
      </c>
      <c r="BA89" s="3">
        <f t="shared" si="60"/>
        <v>-0.69580871128058397</v>
      </c>
      <c r="BB89" s="3">
        <f t="shared" si="61"/>
        <v>-0.36401520417978345</v>
      </c>
      <c r="BC89" s="3">
        <f t="shared" si="62"/>
        <v>-0.94508460215174184</v>
      </c>
      <c r="BD89" s="3">
        <f t="shared" si="63"/>
        <v>-3.4992514309375258</v>
      </c>
      <c r="BE89" s="3">
        <f t="shared" si="64"/>
        <v>-0.52169880176325156</v>
      </c>
      <c r="BF89" s="3">
        <f t="shared" si="65"/>
        <v>-0.24630986835427421</v>
      </c>
      <c r="BG89" s="3">
        <f t="shared" si="66"/>
        <v>-0.94447008931041398</v>
      </c>
      <c r="BH89" s="3">
        <f t="shared" si="67"/>
        <v>-3.2490500984795441</v>
      </c>
      <c r="BI89" s="3">
        <f t="shared" si="68"/>
        <v>-0.55563619195367286</v>
      </c>
      <c r="BJ89" s="3">
        <f t="shared" si="69"/>
        <v>-0.27504502156733718</v>
      </c>
      <c r="BK89" s="3">
        <f t="shared" si="70"/>
        <v>-0.92513100871559462</v>
      </c>
      <c r="BL89" s="3">
        <f t="shared" si="71"/>
        <v>-3.1966253057163572</v>
      </c>
      <c r="BM89" s="2">
        <v>0</v>
      </c>
    </row>
    <row r="90" spans="1:65" x14ac:dyDescent="0.35">
      <c r="A90">
        <f t="shared" si="74"/>
        <v>87</v>
      </c>
      <c r="B90">
        <v>8.9972999999999997E-3</v>
      </c>
      <c r="C90">
        <v>2.702E-3</v>
      </c>
      <c r="D90">
        <v>1.17E-3</v>
      </c>
      <c r="E90">
        <v>2.1489000000000001E-2</v>
      </c>
      <c r="F90">
        <v>5.5174999999999998E-3</v>
      </c>
      <c r="G90">
        <v>2.4626000000000001E-3</v>
      </c>
      <c r="H90">
        <v>8.7562999999999998E-3</v>
      </c>
      <c r="I90">
        <v>9.8886000000000009E-3</v>
      </c>
      <c r="J90">
        <v>3.0764733</v>
      </c>
      <c r="K90">
        <v>0.99765899999999996</v>
      </c>
      <c r="L90">
        <v>0.55156740000000004</v>
      </c>
      <c r="M90">
        <v>5.7184312999999998</v>
      </c>
      <c r="N90">
        <v>3.0588600000000001</v>
      </c>
      <c r="O90">
        <v>0.99463049999999997</v>
      </c>
      <c r="P90">
        <v>0.54019830000000002</v>
      </c>
      <c r="Q90">
        <v>5.5369827999999996</v>
      </c>
      <c r="R90">
        <v>3.0906913999999999</v>
      </c>
      <c r="S90">
        <v>1.0019087</v>
      </c>
      <c r="T90">
        <v>0.55328379999999999</v>
      </c>
      <c r="U90">
        <v>5.7495697000000003</v>
      </c>
      <c r="V90">
        <v>3.0706266000000002</v>
      </c>
      <c r="W90">
        <v>0.99892300000000001</v>
      </c>
      <c r="X90">
        <v>0.54936890000000005</v>
      </c>
      <c r="Y90">
        <v>5.5536016000000004</v>
      </c>
      <c r="AA90" s="5">
        <f t="shared" si="72"/>
        <v>-3.4797999999999999E-3</v>
      </c>
      <c r="AB90" s="5">
        <f t="shared" si="72"/>
        <v>-2.3939999999999986E-4</v>
      </c>
      <c r="AC90" s="5">
        <f t="shared" si="72"/>
        <v>7.5862999999999998E-3</v>
      </c>
      <c r="AD90" s="5">
        <f t="shared" si="72"/>
        <v>-1.16004E-2</v>
      </c>
      <c r="AE90" s="5">
        <f t="shared" si="73"/>
        <v>-1.7613299999999832E-2</v>
      </c>
      <c r="AF90" s="5">
        <f t="shared" si="73"/>
        <v>-3.0284999999999895E-3</v>
      </c>
      <c r="AG90" s="5">
        <f t="shared" si="73"/>
        <v>-1.1369100000000021E-2</v>
      </c>
      <c r="AH90" s="5">
        <f t="shared" si="73"/>
        <v>-0.18144850000000012</v>
      </c>
      <c r="AI90" s="5">
        <f t="shared" si="75"/>
        <v>1.0283000000001694E-3</v>
      </c>
      <c r="AJ90" s="5">
        <f t="shared" si="75"/>
        <v>2.8220000000000935E-4</v>
      </c>
      <c r="AK90" s="5">
        <f t="shared" si="75"/>
        <v>-1.3209999999992238E-4</v>
      </c>
      <c r="AL90" s="5">
        <f t="shared" si="75"/>
        <v>-2.9191999999998441E-3</v>
      </c>
      <c r="AM90" s="5"/>
      <c r="AN90" s="5"/>
      <c r="AO90" s="5"/>
      <c r="AP90" s="5"/>
      <c r="AQ90" s="5"/>
      <c r="AR90" s="5"/>
      <c r="AS90" s="5"/>
      <c r="AT90" s="5"/>
      <c r="AU90" s="5"/>
      <c r="AV90" s="5">
        <f t="shared" si="76"/>
        <v>2041.75</v>
      </c>
      <c r="AW90" s="3">
        <f t="shared" si="56"/>
        <v>-0.68247188962313843</v>
      </c>
      <c r="AX90" s="3">
        <f t="shared" si="57"/>
        <v>-0.32616744419925581</v>
      </c>
      <c r="AY90" s="3">
        <f t="shared" si="58"/>
        <v>-0.68369975770120528</v>
      </c>
      <c r="AZ90" s="3">
        <f t="shared" si="59"/>
        <v>-3.3576234409333301</v>
      </c>
      <c r="BA90" s="3">
        <f t="shared" si="60"/>
        <v>-0.64920101696337784</v>
      </c>
      <c r="BB90" s="3">
        <f t="shared" si="61"/>
        <v>-0.29800120509982397</v>
      </c>
      <c r="BC90" s="3">
        <f t="shared" si="62"/>
        <v>-0.70757538897758143</v>
      </c>
      <c r="BD90" s="3">
        <f t="shared" si="63"/>
        <v>-3.4083959361341418</v>
      </c>
      <c r="BE90" s="3">
        <f t="shared" si="64"/>
        <v>-0.53661132263155187</v>
      </c>
      <c r="BF90" s="3">
        <f t="shared" si="65"/>
        <v>-0.27410681232730882</v>
      </c>
      <c r="BG90" s="3">
        <f t="shared" si="66"/>
        <v>-2.0787162031492681</v>
      </c>
      <c r="BH90" s="3">
        <f t="shared" si="67"/>
        <v>-3.2066347504231514</v>
      </c>
      <c r="BI90" s="3">
        <f t="shared" si="68"/>
        <v>-0.56988219529131356</v>
      </c>
      <c r="BJ90" s="3">
        <f t="shared" si="69"/>
        <v>-0.30227305142674071</v>
      </c>
      <c r="BK90" s="3">
        <f t="shared" si="70"/>
        <v>-2.0548405718728837</v>
      </c>
      <c r="BL90" s="3">
        <f t="shared" si="71"/>
        <v>-3.1558622552223365</v>
      </c>
      <c r="BM90" s="2">
        <v>0</v>
      </c>
    </row>
    <row r="91" spans="1:65" x14ac:dyDescent="0.35">
      <c r="A91">
        <f t="shared" si="74"/>
        <v>88</v>
      </c>
      <c r="B91">
        <v>8.9148999999999999E-3</v>
      </c>
      <c r="C91">
        <v>2.6738999999999999E-3</v>
      </c>
      <c r="D91">
        <v>1.1383999999999999E-3</v>
      </c>
      <c r="E91">
        <v>2.0875600000000001E-2</v>
      </c>
      <c r="F91">
        <v>6.7990999999999998E-3</v>
      </c>
      <c r="G91">
        <v>3.0469999999999998E-3</v>
      </c>
      <c r="H91">
        <v>9.0956000000000006E-3</v>
      </c>
      <c r="I91">
        <v>1.25378E-2</v>
      </c>
      <c r="J91">
        <v>3.0766100000000001</v>
      </c>
      <c r="K91">
        <v>0.99770449999999999</v>
      </c>
      <c r="L91">
        <v>0.55161280000000001</v>
      </c>
      <c r="M91">
        <v>5.7193722999999999</v>
      </c>
      <c r="N91">
        <v>3.0584340000000001</v>
      </c>
      <c r="O91">
        <v>0.99444440000000001</v>
      </c>
      <c r="P91">
        <v>0.54045480000000001</v>
      </c>
      <c r="Q91">
        <v>5.5400754000000001</v>
      </c>
      <c r="R91">
        <v>3.0906913999999999</v>
      </c>
      <c r="S91">
        <v>1.0019087</v>
      </c>
      <c r="T91">
        <v>0.55328379999999999</v>
      </c>
      <c r="U91">
        <v>5.7495697000000003</v>
      </c>
      <c r="V91">
        <v>3.0714068000000001</v>
      </c>
      <c r="W91">
        <v>0.99929809999999997</v>
      </c>
      <c r="X91">
        <v>0.54995819999999995</v>
      </c>
      <c r="Y91">
        <v>5.5591090000000003</v>
      </c>
      <c r="AA91" s="5">
        <f t="shared" si="72"/>
        <v>-2.1158000000000001E-3</v>
      </c>
      <c r="AB91" s="5">
        <f t="shared" si="72"/>
        <v>3.7309999999999991E-4</v>
      </c>
      <c r="AC91" s="5">
        <f t="shared" si="72"/>
        <v>7.9572000000000011E-3</v>
      </c>
      <c r="AD91" s="5">
        <f t="shared" si="72"/>
        <v>-8.3378000000000011E-3</v>
      </c>
      <c r="AE91" s="5">
        <f t="shared" si="73"/>
        <v>-1.817599999999997E-2</v>
      </c>
      <c r="AF91" s="5">
        <f t="shared" si="73"/>
        <v>-3.260099999999988E-3</v>
      </c>
      <c r="AG91" s="5">
        <f t="shared" si="73"/>
        <v>-1.1158000000000001E-2</v>
      </c>
      <c r="AH91" s="5">
        <f t="shared" si="73"/>
        <v>-0.17929689999999976</v>
      </c>
      <c r="AI91" s="5">
        <f t="shared" si="75"/>
        <v>1.0072000000002079E-3</v>
      </c>
      <c r="AJ91" s="5">
        <f t="shared" si="75"/>
        <v>2.7639999999996964E-4</v>
      </c>
      <c r="AK91" s="5">
        <f t="shared" si="75"/>
        <v>-1.2480000000003946E-4</v>
      </c>
      <c r="AL91" s="5">
        <f t="shared" si="75"/>
        <v>-2.8260000000002727E-3</v>
      </c>
      <c r="AM91" s="5"/>
      <c r="AN91" s="5"/>
      <c r="AO91" s="5"/>
      <c r="AP91" s="5"/>
      <c r="AQ91" s="5"/>
      <c r="AR91" s="5"/>
      <c r="AS91" s="5"/>
      <c r="AT91" s="5"/>
      <c r="AU91" s="5"/>
      <c r="AV91" s="5">
        <f t="shared" si="76"/>
        <v>2042</v>
      </c>
      <c r="AW91" s="3">
        <f t="shared" si="56"/>
        <v>-0.65654565188876413</v>
      </c>
      <c r="AX91" s="3">
        <f t="shared" si="57"/>
        <v>-0.2881500080795773</v>
      </c>
      <c r="AY91" s="3">
        <f t="shared" si="58"/>
        <v>-0.57850961839114035</v>
      </c>
      <c r="AZ91" s="3">
        <f t="shared" si="59"/>
        <v>-3.2634563939628345</v>
      </c>
      <c r="BA91" s="3">
        <f t="shared" si="60"/>
        <v>-0.62395747436964311</v>
      </c>
      <c r="BB91" s="3">
        <f t="shared" si="61"/>
        <v>-0.26056266404314271</v>
      </c>
      <c r="BC91" s="3">
        <f t="shared" si="62"/>
        <v>-0.60106585444938743</v>
      </c>
      <c r="BD91" s="3">
        <f t="shared" si="63"/>
        <v>-3.3126078982919371</v>
      </c>
      <c r="BE91" s="3">
        <f t="shared" si="64"/>
        <v>-0.55550030002995043</v>
      </c>
      <c r="BF91" s="3">
        <f t="shared" si="65"/>
        <v>-0.29780158611259028</v>
      </c>
      <c r="BG91" s="3">
        <f t="shared" si="66"/>
        <v>-2.0392427900473566</v>
      </c>
      <c r="BH91" s="3">
        <f t="shared" si="67"/>
        <v>-3.1675918286545932</v>
      </c>
      <c r="BI91" s="3">
        <f t="shared" si="68"/>
        <v>-0.5880884775490679</v>
      </c>
      <c r="BJ91" s="3">
        <f t="shared" si="69"/>
        <v>-0.32538893014902337</v>
      </c>
      <c r="BK91" s="3">
        <f t="shared" si="70"/>
        <v>-2.0166865539891101</v>
      </c>
      <c r="BL91" s="3">
        <f t="shared" si="71"/>
        <v>-3.1184403243254839</v>
      </c>
      <c r="BM91" s="2">
        <v>0</v>
      </c>
    </row>
    <row r="92" spans="1:65" x14ac:dyDescent="0.35">
      <c r="A92">
        <f t="shared" si="74"/>
        <v>89</v>
      </c>
      <c r="B92">
        <v>8.8325000000000001E-3</v>
      </c>
      <c r="C92">
        <v>2.6459999999999999E-3</v>
      </c>
      <c r="D92">
        <v>1.1077000000000001E-3</v>
      </c>
      <c r="E92">
        <v>2.0270300000000002E-2</v>
      </c>
      <c r="F92">
        <v>6.2951999999999999E-3</v>
      </c>
      <c r="G92">
        <v>2.7106000000000001E-3</v>
      </c>
      <c r="H92">
        <v>9.6929999999999998E-4</v>
      </c>
      <c r="I92">
        <v>1.30828E-2</v>
      </c>
      <c r="J92">
        <v>3.0767465000000001</v>
      </c>
      <c r="K92">
        <v>0.99774969999999996</v>
      </c>
      <c r="L92">
        <v>0.55165690000000001</v>
      </c>
      <c r="M92">
        <v>5.7202960999999997</v>
      </c>
      <c r="N92">
        <v>3.0585013999999999</v>
      </c>
      <c r="O92">
        <v>0.99449160000000003</v>
      </c>
      <c r="P92">
        <v>0.54768919999999999</v>
      </c>
      <c r="Q92">
        <v>5.5454800000000004</v>
      </c>
      <c r="R92">
        <v>3.0906913999999999</v>
      </c>
      <c r="S92">
        <v>1.0019087</v>
      </c>
      <c r="T92">
        <v>0.55328379999999999</v>
      </c>
      <c r="U92">
        <v>5.7495697000000003</v>
      </c>
      <c r="V92">
        <v>3.0708966000000002</v>
      </c>
      <c r="W92">
        <v>0.99898640000000005</v>
      </c>
      <c r="X92">
        <v>0.54906330000000003</v>
      </c>
      <c r="Y92">
        <v>5.5648321000000003</v>
      </c>
      <c r="AA92" s="5">
        <f t="shared" si="72"/>
        <v>-2.5373000000000001E-3</v>
      </c>
      <c r="AB92" s="5">
        <f t="shared" si="72"/>
        <v>6.4600000000000161E-5</v>
      </c>
      <c r="AC92" s="5">
        <f t="shared" si="72"/>
        <v>-1.3840000000000011E-4</v>
      </c>
      <c r="AD92" s="5">
        <f t="shared" si="72"/>
        <v>-7.1875000000000012E-3</v>
      </c>
      <c r="AE92" s="5">
        <f t="shared" si="73"/>
        <v>-1.8245100000000125E-2</v>
      </c>
      <c r="AF92" s="5">
        <f t="shared" si="73"/>
        <v>-3.2580999999999305E-3</v>
      </c>
      <c r="AG92" s="5">
        <f t="shared" si="73"/>
        <v>-3.9677000000000184E-3</v>
      </c>
      <c r="AH92" s="5">
        <f t="shared" si="73"/>
        <v>-0.17481609999999925</v>
      </c>
      <c r="AI92" s="5">
        <f t="shared" si="75"/>
        <v>9.8760000000045617E-4</v>
      </c>
      <c r="AJ92" s="5">
        <f t="shared" si="75"/>
        <v>2.7119999999999705E-4</v>
      </c>
      <c r="AK92" s="5">
        <f t="shared" si="75"/>
        <v>-1.1439999999994163E-4</v>
      </c>
      <c r="AL92" s="5">
        <f t="shared" si="75"/>
        <v>-2.7340000000007914E-3</v>
      </c>
      <c r="AM92" s="5"/>
      <c r="AN92" s="5"/>
      <c r="AO92" s="5"/>
      <c r="AP92" s="5"/>
      <c r="AQ92" s="5"/>
      <c r="AR92" s="5"/>
      <c r="AS92" s="5"/>
      <c r="AT92" s="5"/>
      <c r="AU92" s="5"/>
      <c r="AV92" s="5">
        <f t="shared" si="76"/>
        <v>2042.25</v>
      </c>
      <c r="AW92" s="3">
        <f t="shared" si="56"/>
        <v>-0.67241912278916383</v>
      </c>
      <c r="AX92" s="3">
        <f t="shared" si="57"/>
        <v>-0.31874161787395699</v>
      </c>
      <c r="AY92" s="3">
        <f t="shared" si="58"/>
        <v>-0.74213269934887283</v>
      </c>
      <c r="AZ92" s="3">
        <f t="shared" si="59"/>
        <v>-3.1655168907683517</v>
      </c>
      <c r="BA92" s="3">
        <f t="shared" si="60"/>
        <v>-0.64046510758077202</v>
      </c>
      <c r="BB92" s="3">
        <f t="shared" si="61"/>
        <v>-0.29167328320434122</v>
      </c>
      <c r="BC92" s="3">
        <f t="shared" si="62"/>
        <v>-0.76280924906891556</v>
      </c>
      <c r="BD92" s="3">
        <f t="shared" si="63"/>
        <v>-3.2130682753528501</v>
      </c>
      <c r="BE92" s="3">
        <f t="shared" si="64"/>
        <v>-0.55837020803822346</v>
      </c>
      <c r="BF92" s="3">
        <f t="shared" si="65"/>
        <v>-0.29812097649215979</v>
      </c>
      <c r="BG92" s="3">
        <f t="shared" si="66"/>
        <v>-0.73779496164535763</v>
      </c>
      <c r="BH92" s="3">
        <f t="shared" si="67"/>
        <v>-3.0880589203049467</v>
      </c>
      <c r="BI92" s="3">
        <f t="shared" si="68"/>
        <v>-0.59032422324662137</v>
      </c>
      <c r="BJ92" s="3">
        <f t="shared" si="69"/>
        <v>-0.32518931116177857</v>
      </c>
      <c r="BK92" s="3">
        <f t="shared" si="70"/>
        <v>-0.71711841192531178</v>
      </c>
      <c r="BL92" s="3">
        <f t="shared" si="71"/>
        <v>-3.0405075357204425</v>
      </c>
      <c r="BM92" s="2">
        <v>0</v>
      </c>
    </row>
    <row r="93" spans="1:65" x14ac:dyDescent="0.35">
      <c r="A93">
        <f t="shared" si="74"/>
        <v>90</v>
      </c>
      <c r="B93">
        <v>8.7500000000000008E-3</v>
      </c>
      <c r="C93">
        <v>2.6182000000000002E-3</v>
      </c>
      <c r="D93">
        <v>1.0778999999999999E-3</v>
      </c>
      <c r="E93">
        <v>1.9673699999999999E-2</v>
      </c>
      <c r="F93">
        <v>6.2074000000000001E-3</v>
      </c>
      <c r="G93">
        <v>2.6397999999999999E-3</v>
      </c>
      <c r="H93">
        <v>3.366E-4</v>
      </c>
      <c r="I93">
        <v>1.31629E-2</v>
      </c>
      <c r="J93">
        <v>3.0768829000000002</v>
      </c>
      <c r="K93">
        <v>0.99779470000000003</v>
      </c>
      <c r="L93">
        <v>0.55169979999999996</v>
      </c>
      <c r="M93">
        <v>5.7212018999999996</v>
      </c>
      <c r="N93">
        <v>3.0591781999999998</v>
      </c>
      <c r="O93">
        <v>0.99478060000000001</v>
      </c>
      <c r="P93">
        <v>0.54947979999999996</v>
      </c>
      <c r="Q93">
        <v>5.6108804000000001</v>
      </c>
      <c r="R93">
        <v>3.0906913999999999</v>
      </c>
      <c r="S93">
        <v>1.0019087</v>
      </c>
      <c r="T93">
        <v>0.55328379999999999</v>
      </c>
      <c r="U93">
        <v>5.7495697000000003</v>
      </c>
      <c r="V93">
        <v>3.0714125999999999</v>
      </c>
      <c r="W93">
        <v>0.99918260000000003</v>
      </c>
      <c r="X93">
        <v>0.54999520000000002</v>
      </c>
      <c r="Y93">
        <v>5.6300777000000002</v>
      </c>
      <c r="AA93" s="5">
        <f t="shared" si="72"/>
        <v>-2.5426000000000008E-3</v>
      </c>
      <c r="AB93" s="5">
        <f t="shared" si="72"/>
        <v>2.1599999999999658E-5</v>
      </c>
      <c r="AC93" s="5">
        <f t="shared" si="72"/>
        <v>-7.4129999999999986E-4</v>
      </c>
      <c r="AD93" s="5">
        <f t="shared" si="72"/>
        <v>-6.5107999999999989E-3</v>
      </c>
      <c r="AE93" s="5">
        <f t="shared" si="73"/>
        <v>-1.7704700000000351E-2</v>
      </c>
      <c r="AF93" s="5">
        <f t="shared" si="73"/>
        <v>-3.0141000000000195E-3</v>
      </c>
      <c r="AG93" s="5">
        <f t="shared" si="73"/>
        <v>-2.2199999999999998E-3</v>
      </c>
      <c r="AH93" s="5">
        <f t="shared" si="73"/>
        <v>-0.11032149999999952</v>
      </c>
      <c r="AI93" s="5">
        <f t="shared" si="75"/>
        <v>9.6850000000042041E-4</v>
      </c>
      <c r="AJ93" s="5">
        <f t="shared" si="75"/>
        <v>2.6640000000006632E-4</v>
      </c>
      <c r="AK93" s="5">
        <f t="shared" si="75"/>
        <v>-3.2729999999997527E-4</v>
      </c>
      <c r="AL93" s="5">
        <f t="shared" si="75"/>
        <v>-2.6597000000006393E-3</v>
      </c>
      <c r="AM93" s="5"/>
      <c r="AN93" s="5"/>
      <c r="AO93" s="5"/>
      <c r="AP93" s="5"/>
      <c r="AQ93" s="5"/>
      <c r="AR93" s="5"/>
      <c r="AS93" s="5"/>
      <c r="AT93" s="5"/>
      <c r="AU93" s="5"/>
      <c r="AV93" s="5">
        <f t="shared" si="76"/>
        <v>2042.5</v>
      </c>
      <c r="AW93" s="3">
        <f t="shared" si="56"/>
        <v>-0.65510584460164323</v>
      </c>
      <c r="AX93" s="3">
        <f t="shared" si="57"/>
        <v>-0.29867990965644076</v>
      </c>
      <c r="AY93" s="3">
        <f t="shared" si="58"/>
        <v>-0.53522261089155321</v>
      </c>
      <c r="AZ93" s="3">
        <f t="shared" si="59"/>
        <v>-2.0320181525932197</v>
      </c>
      <c r="BA93" s="3">
        <f t="shared" si="60"/>
        <v>-0.6237698140940221</v>
      </c>
      <c r="BB93" s="3">
        <f t="shared" si="61"/>
        <v>-0.27209066055619174</v>
      </c>
      <c r="BC93" s="3">
        <f t="shared" si="62"/>
        <v>-0.5943785088231347</v>
      </c>
      <c r="BD93" s="3">
        <f t="shared" si="63"/>
        <v>-2.0782772665578806</v>
      </c>
      <c r="BE93" s="3">
        <f t="shared" si="64"/>
        <v>-0.54150343188582273</v>
      </c>
      <c r="BF93" s="3">
        <f t="shared" si="65"/>
        <v>-0.27424654561836909</v>
      </c>
      <c r="BG93" s="3">
        <f t="shared" si="66"/>
        <v>-0.46039663550605137</v>
      </c>
      <c r="BH93" s="3">
        <f t="shared" si="67"/>
        <v>-1.9650374879358381</v>
      </c>
      <c r="BI93" s="3">
        <f t="shared" si="68"/>
        <v>-0.57283946239344219</v>
      </c>
      <c r="BJ93" s="3">
        <f t="shared" si="69"/>
        <v>-0.30083579471862254</v>
      </c>
      <c r="BK93" s="3">
        <f t="shared" si="70"/>
        <v>-0.40124073757445994</v>
      </c>
      <c r="BL93" s="3">
        <f t="shared" si="71"/>
        <v>-1.9187783739711775</v>
      </c>
      <c r="BM93" s="2">
        <v>0</v>
      </c>
    </row>
    <row r="94" spans="1:65" x14ac:dyDescent="0.35">
      <c r="A94">
        <f t="shared" si="74"/>
        <v>91</v>
      </c>
      <c r="B94">
        <v>8.6674999999999999E-3</v>
      </c>
      <c r="C94">
        <v>2.5904999999999999E-3</v>
      </c>
      <c r="D94">
        <v>1.049E-3</v>
      </c>
      <c r="E94">
        <v>1.9086599999999999E-2</v>
      </c>
      <c r="F94">
        <v>6.0930000000000003E-3</v>
      </c>
      <c r="G94">
        <v>2.5647999999999999E-3</v>
      </c>
      <c r="H94">
        <v>3.8690000000000003E-4</v>
      </c>
      <c r="I94">
        <v>1.3069600000000001E-2</v>
      </c>
      <c r="J94">
        <v>3.0770190999999998</v>
      </c>
      <c r="K94">
        <v>0.99783929999999998</v>
      </c>
      <c r="L94">
        <v>0.55174129999999999</v>
      </c>
      <c r="M94">
        <v>5.7220893999999998</v>
      </c>
      <c r="N94">
        <v>3.0621616</v>
      </c>
      <c r="O94">
        <v>0.99532580000000004</v>
      </c>
      <c r="P94">
        <v>0.55157440000000002</v>
      </c>
      <c r="Q94">
        <v>5.6404372</v>
      </c>
      <c r="R94">
        <v>3.0906913999999999</v>
      </c>
      <c r="S94">
        <v>1.0019087</v>
      </c>
      <c r="T94">
        <v>0.55328379999999999</v>
      </c>
      <c r="U94">
        <v>5.7495697000000003</v>
      </c>
      <c r="V94">
        <v>3.0741969</v>
      </c>
      <c r="W94">
        <v>0.99962720000000005</v>
      </c>
      <c r="X94">
        <v>0.55226090000000005</v>
      </c>
      <c r="Y94">
        <v>5.6593235999999996</v>
      </c>
      <c r="AA94" s="5">
        <f t="shared" si="72"/>
        <v>-2.5744999999999995E-3</v>
      </c>
      <c r="AB94" s="5">
        <f t="shared" si="72"/>
        <v>-2.5700000000000028E-5</v>
      </c>
      <c r="AC94" s="5">
        <f t="shared" si="72"/>
        <v>-6.6209999999999999E-4</v>
      </c>
      <c r="AD94" s="5">
        <f t="shared" si="72"/>
        <v>-6.016999999999998E-3</v>
      </c>
      <c r="AE94" s="5">
        <f t="shared" si="73"/>
        <v>-1.4857499999999746E-2</v>
      </c>
      <c r="AF94" s="5">
        <f t="shared" si="73"/>
        <v>-2.5134999999999463E-3</v>
      </c>
      <c r="AG94" s="5">
        <f t="shared" si="73"/>
        <v>-1.6689999999996985E-4</v>
      </c>
      <c r="AH94" s="5">
        <f t="shared" si="73"/>
        <v>-8.1652199999999731E-2</v>
      </c>
      <c r="AI94" s="5">
        <f t="shared" si="75"/>
        <v>9.3749999999988981E-4</v>
      </c>
      <c r="AJ94" s="5">
        <f t="shared" si="75"/>
        <v>2.5770000000001E-4</v>
      </c>
      <c r="AK94" s="5">
        <f t="shared" si="75"/>
        <v>-1.938999999999679E-4</v>
      </c>
      <c r="AL94" s="5">
        <f t="shared" si="75"/>
        <v>-2.5769000000010478E-3</v>
      </c>
      <c r="AM94" s="5"/>
      <c r="AN94" s="5"/>
      <c r="AO94" s="5"/>
      <c r="AP94" s="5"/>
      <c r="AQ94" s="5"/>
      <c r="AR94" s="5"/>
      <c r="AS94" s="5"/>
      <c r="AT94" s="5"/>
      <c r="AU94" s="5"/>
      <c r="AV94" s="5">
        <f t="shared" si="76"/>
        <v>2042.75</v>
      </c>
      <c r="AW94" s="3">
        <f t="shared" si="56"/>
        <v>-0.56401619391699043</v>
      </c>
      <c r="AX94" s="3">
        <f t="shared" si="57"/>
        <v>-0.25343626619870119</v>
      </c>
      <c r="AY94" s="3">
        <f t="shared" si="58"/>
        <v>-0.14983268984198886</v>
      </c>
      <c r="AZ94" s="3">
        <f t="shared" si="59"/>
        <v>-1.5247958468961549</v>
      </c>
      <c r="BA94" s="3">
        <f t="shared" si="60"/>
        <v>-0.53368317522738951</v>
      </c>
      <c r="BB94" s="3">
        <f t="shared" si="61"/>
        <v>-0.22771535969294771</v>
      </c>
      <c r="BC94" s="3">
        <f t="shared" si="62"/>
        <v>-0.18487799570490546</v>
      </c>
      <c r="BD94" s="3">
        <f t="shared" si="63"/>
        <v>-1.5696148530906715</v>
      </c>
      <c r="BE94" s="3">
        <f t="shared" si="64"/>
        <v>-0.45038466150323875</v>
      </c>
      <c r="BF94" s="3">
        <f t="shared" si="65"/>
        <v>-0.2251502557069241</v>
      </c>
      <c r="BG94" s="3">
        <f t="shared" si="66"/>
        <v>-6.5210656809387688E-2</v>
      </c>
      <c r="BH94" s="3">
        <f t="shared" si="67"/>
        <v>-1.4649635432717831</v>
      </c>
      <c r="BI94" s="3">
        <f t="shared" si="68"/>
        <v>-0.48071768019284444</v>
      </c>
      <c r="BJ94" s="3">
        <f t="shared" si="69"/>
        <v>-0.2508711622126793</v>
      </c>
      <c r="BK94" s="3">
        <f t="shared" si="70"/>
        <v>-3.0165350946470847E-2</v>
      </c>
      <c r="BL94" s="3">
        <f t="shared" si="71"/>
        <v>-1.4201445370772656</v>
      </c>
      <c r="BM94" s="2">
        <v>0</v>
      </c>
    </row>
    <row r="95" spans="1:65" x14ac:dyDescent="0.35">
      <c r="A95">
        <f t="shared" si="74"/>
        <v>92</v>
      </c>
      <c r="B95">
        <v>8.5850000000000006E-3</v>
      </c>
      <c r="C95">
        <v>2.5631E-3</v>
      </c>
      <c r="D95">
        <v>1.0208999999999999E-3</v>
      </c>
      <c r="E95">
        <v>1.8509299999999999E-2</v>
      </c>
      <c r="F95">
        <v>5.9721000000000002E-3</v>
      </c>
      <c r="G95">
        <v>2.4938E-3</v>
      </c>
      <c r="H95">
        <v>5.0830000000000005E-4</v>
      </c>
      <c r="I95">
        <v>1.29567E-2</v>
      </c>
      <c r="J95">
        <v>3.0771549999999999</v>
      </c>
      <c r="K95">
        <v>0.99788370000000004</v>
      </c>
      <c r="L95">
        <v>0.55178170000000004</v>
      </c>
      <c r="M95">
        <v>5.7229580999999996</v>
      </c>
      <c r="N95">
        <v>3.0634619999999999</v>
      </c>
      <c r="O95">
        <v>0.99559759999999997</v>
      </c>
      <c r="P95">
        <v>0.55194849999999995</v>
      </c>
      <c r="Q95">
        <v>5.6559334000000003</v>
      </c>
      <c r="R95">
        <v>3.0906913999999999</v>
      </c>
      <c r="S95">
        <v>1.0019087</v>
      </c>
      <c r="T95">
        <v>0.55328379999999999</v>
      </c>
      <c r="U95">
        <v>5.7495697000000003</v>
      </c>
      <c r="V95">
        <v>3.0752994999999999</v>
      </c>
      <c r="W95">
        <v>0.99980460000000004</v>
      </c>
      <c r="X95">
        <v>0.55280530000000005</v>
      </c>
      <c r="Y95">
        <v>5.6745019000000001</v>
      </c>
      <c r="AA95" s="5">
        <f t="shared" si="72"/>
        <v>-2.6129000000000005E-3</v>
      </c>
      <c r="AB95" s="5">
        <f t="shared" si="72"/>
        <v>-6.9300000000000004E-5</v>
      </c>
      <c r="AC95" s="5">
        <f t="shared" si="72"/>
        <v>-5.1259999999999988E-4</v>
      </c>
      <c r="AD95" s="5">
        <f t="shared" si="72"/>
        <v>-5.5525999999999995E-3</v>
      </c>
      <c r="AE95" s="5">
        <f t="shared" si="73"/>
        <v>-1.3692999999999955E-2</v>
      </c>
      <c r="AF95" s="5">
        <f t="shared" si="73"/>
        <v>-2.2861000000000686E-3</v>
      </c>
      <c r="AG95" s="5">
        <f t="shared" si="73"/>
        <v>1.6679999999991146E-4</v>
      </c>
      <c r="AH95" s="5">
        <f t="shared" si="73"/>
        <v>-6.7024699999999271E-2</v>
      </c>
      <c r="AI95" s="5">
        <f t="shared" si="75"/>
        <v>9.1399999999994264E-4</v>
      </c>
      <c r="AJ95" s="5">
        <f t="shared" si="75"/>
        <v>2.5130000000012651E-4</v>
      </c>
      <c r="AK95" s="5">
        <f t="shared" si="75"/>
        <v>-1.3269999999984889E-4</v>
      </c>
      <c r="AL95" s="5">
        <f t="shared" si="75"/>
        <v>-2.4905000000009642E-3</v>
      </c>
      <c r="AM95" s="5"/>
      <c r="AN95" s="5"/>
      <c r="AO95" s="5"/>
      <c r="AP95" s="5"/>
      <c r="AQ95" s="5"/>
      <c r="AR95" s="5"/>
      <c r="AS95" s="5"/>
      <c r="AT95" s="5"/>
      <c r="AU95" s="5"/>
      <c r="AV95" s="5">
        <f t="shared" si="76"/>
        <v>2043</v>
      </c>
      <c r="AW95" s="3">
        <f t="shared" si="56"/>
        <v>-0.52758098074754267</v>
      </c>
      <c r="AX95" s="3">
        <f t="shared" si="57"/>
        <v>-0.23509128127144405</v>
      </c>
      <c r="AY95" s="3">
        <f t="shared" si="58"/>
        <v>-6.2499570744722399E-2</v>
      </c>
      <c r="AZ95" s="3">
        <f t="shared" si="59"/>
        <v>-1.2623083776164896</v>
      </c>
      <c r="BA95" s="3">
        <f t="shared" si="60"/>
        <v>-0.49800830972642607</v>
      </c>
      <c r="BB95" s="3">
        <f t="shared" si="61"/>
        <v>-0.21000915552484395</v>
      </c>
      <c r="BC95" s="3">
        <f t="shared" si="62"/>
        <v>-8.6483645463672945E-2</v>
      </c>
      <c r="BD95" s="3">
        <f t="shared" si="63"/>
        <v>-1.3056246626595418</v>
      </c>
      <c r="BE95" s="3">
        <f t="shared" si="64"/>
        <v>-0.41346735555675651</v>
      </c>
      <c r="BF95" s="3">
        <f t="shared" si="65"/>
        <v>-0.20309235761700564</v>
      </c>
      <c r="BG95" s="3">
        <f t="shared" si="66"/>
        <v>6.1632023204071544E-3</v>
      </c>
      <c r="BH95" s="3">
        <f t="shared" si="67"/>
        <v>-1.2090504790297707</v>
      </c>
      <c r="BI95" s="3">
        <f t="shared" si="68"/>
        <v>-0.44304002657787045</v>
      </c>
      <c r="BJ95" s="3">
        <f t="shared" si="69"/>
        <v>-0.22817448336361074</v>
      </c>
      <c r="BK95" s="3">
        <f t="shared" si="70"/>
        <v>3.014727703936234E-2</v>
      </c>
      <c r="BL95" s="3">
        <f t="shared" si="71"/>
        <v>-1.1657341939867127</v>
      </c>
      <c r="BM95" s="2">
        <v>0</v>
      </c>
    </row>
    <row r="96" spans="1:65" x14ac:dyDescent="0.35">
      <c r="A96">
        <f t="shared" si="74"/>
        <v>93</v>
      </c>
      <c r="B96">
        <v>8.5024999999999996E-3</v>
      </c>
      <c r="C96">
        <v>2.5357000000000001E-3</v>
      </c>
      <c r="D96">
        <v>9.9369999999999992E-4</v>
      </c>
      <c r="E96">
        <v>1.79425E-2</v>
      </c>
      <c r="F96">
        <v>5.8808999999999997E-3</v>
      </c>
      <c r="G96">
        <v>2.4394E-3</v>
      </c>
      <c r="H96">
        <v>6.7190000000000001E-4</v>
      </c>
      <c r="I96">
        <v>1.28857E-2</v>
      </c>
      <c r="J96">
        <v>3.0772905000000002</v>
      </c>
      <c r="K96">
        <v>0.99792780000000003</v>
      </c>
      <c r="L96">
        <v>0.55182089999999995</v>
      </c>
      <c r="M96">
        <v>5.7238078999999997</v>
      </c>
      <c r="N96">
        <v>3.0643050999999999</v>
      </c>
      <c r="O96">
        <v>0.99580340000000001</v>
      </c>
      <c r="P96">
        <v>0.55198619999999998</v>
      </c>
      <c r="Q96">
        <v>5.6654211999999999</v>
      </c>
      <c r="R96">
        <v>3.0906913999999999</v>
      </c>
      <c r="S96">
        <v>1.0019087</v>
      </c>
      <c r="T96">
        <v>0.55328379999999999</v>
      </c>
      <c r="U96">
        <v>5.7495697000000003</v>
      </c>
      <c r="V96">
        <v>3.0759783000000001</v>
      </c>
      <c r="W96">
        <v>0.99993379999999998</v>
      </c>
      <c r="X96">
        <v>0.55302130000000005</v>
      </c>
      <c r="Y96">
        <v>5.6837216000000002</v>
      </c>
      <c r="AA96" s="5">
        <f t="shared" si="72"/>
        <v>-2.6216E-3</v>
      </c>
      <c r="AB96" s="5">
        <f t="shared" si="72"/>
        <v>-9.6300000000000118E-5</v>
      </c>
      <c r="AC96" s="5">
        <f t="shared" si="72"/>
        <v>-3.2179999999999991E-4</v>
      </c>
      <c r="AD96" s="5">
        <f t="shared" si="72"/>
        <v>-5.0568000000000002E-3</v>
      </c>
      <c r="AE96" s="5">
        <f t="shared" si="73"/>
        <v>-1.2985400000000258E-2</v>
      </c>
      <c r="AF96" s="5">
        <f t="shared" si="73"/>
        <v>-2.1244000000000263E-3</v>
      </c>
      <c r="AG96" s="5">
        <f t="shared" si="73"/>
        <v>1.6530000000003486E-4</v>
      </c>
      <c r="AH96" s="5">
        <f t="shared" si="73"/>
        <v>-5.8386699999999792E-2</v>
      </c>
      <c r="AI96" s="5">
        <f t="shared" si="75"/>
        <v>8.9390000000044538E-4</v>
      </c>
      <c r="AJ96" s="5">
        <f t="shared" si="75"/>
        <v>2.4580000000002473E-4</v>
      </c>
      <c r="AK96" s="5">
        <f t="shared" si="75"/>
        <v>-1.0599999999997829E-4</v>
      </c>
      <c r="AL96" s="5">
        <f t="shared" si="75"/>
        <v>-2.4046000000003953E-3</v>
      </c>
      <c r="AM96" s="5"/>
      <c r="AN96" s="5"/>
      <c r="AO96" s="5"/>
      <c r="AP96" s="5"/>
      <c r="AQ96" s="5"/>
      <c r="AR96" s="5"/>
      <c r="AS96" s="5"/>
      <c r="AT96" s="5"/>
      <c r="AU96" s="5"/>
      <c r="AV96" s="5">
        <f t="shared" si="76"/>
        <v>2043.25</v>
      </c>
      <c r="AW96" s="3">
        <f t="shared" si="56"/>
        <v>-0.50496791753457682</v>
      </c>
      <c r="AX96" s="3">
        <f t="shared" si="57"/>
        <v>-0.22164694248088937</v>
      </c>
      <c r="AY96" s="3">
        <f t="shared" si="58"/>
        <v>-2.8285664608283315E-2</v>
      </c>
      <c r="AZ96" s="3">
        <f t="shared" si="59"/>
        <v>-1.1034477936670597</v>
      </c>
      <c r="BA96" s="3">
        <f t="shared" si="60"/>
        <v>-0.47604558643414913</v>
      </c>
      <c r="BB96" s="3">
        <f t="shared" si="61"/>
        <v>-0.19711376894920682</v>
      </c>
      <c r="BC96" s="3">
        <f t="shared" si="62"/>
        <v>-4.7444006132104956E-2</v>
      </c>
      <c r="BD96" s="3">
        <f t="shared" si="63"/>
        <v>-1.1452700538615992</v>
      </c>
      <c r="BE96" s="3">
        <f t="shared" si="64"/>
        <v>-0.3912231418510409</v>
      </c>
      <c r="BF96" s="3">
        <f t="shared" si="65"/>
        <v>-0.18750211471364134</v>
      </c>
      <c r="BG96" s="3">
        <f t="shared" si="66"/>
        <v>1.0717826909100789E-2</v>
      </c>
      <c r="BH96" s="3">
        <f t="shared" si="67"/>
        <v>-1.0573191242468107</v>
      </c>
      <c r="BI96" s="3">
        <f t="shared" si="68"/>
        <v>-0.42014547295146515</v>
      </c>
      <c r="BJ96" s="3">
        <f t="shared" si="69"/>
        <v>-0.21203528824532877</v>
      </c>
      <c r="BK96" s="3">
        <f t="shared" si="70"/>
        <v>2.9876168432915413E-2</v>
      </c>
      <c r="BL96" s="3">
        <f t="shared" si="71"/>
        <v>-1.0154968640522748</v>
      </c>
      <c r="BM96" s="2">
        <v>0</v>
      </c>
    </row>
    <row r="97" spans="1:65" x14ac:dyDescent="0.35">
      <c r="A97">
        <f t="shared" si="74"/>
        <v>94</v>
      </c>
      <c r="B97">
        <v>8.4201999999999992E-3</v>
      </c>
      <c r="C97">
        <v>2.5086000000000002E-3</v>
      </c>
      <c r="D97">
        <v>9.6739999999999999E-4</v>
      </c>
      <c r="E97">
        <v>1.7386499999999999E-2</v>
      </c>
      <c r="F97">
        <v>5.8091999999999996E-3</v>
      </c>
      <c r="G97">
        <v>2.395E-3</v>
      </c>
      <c r="H97">
        <v>8.3580000000000004E-4</v>
      </c>
      <c r="I97">
        <v>1.28717E-2</v>
      </c>
      <c r="J97">
        <v>3.0774257999999999</v>
      </c>
      <c r="K97">
        <v>0.99797170000000002</v>
      </c>
      <c r="L97">
        <v>0.55185890000000004</v>
      </c>
      <c r="M97">
        <v>5.7246383999999999</v>
      </c>
      <c r="N97">
        <v>3.0648247999999998</v>
      </c>
      <c r="O97">
        <v>0.99590889999999999</v>
      </c>
      <c r="P97">
        <v>0.55196009999999995</v>
      </c>
      <c r="Q97">
        <v>5.6717810999999996</v>
      </c>
      <c r="R97">
        <v>3.0906913999999999</v>
      </c>
      <c r="S97">
        <v>1.0019087</v>
      </c>
      <c r="T97">
        <v>0.55328379999999999</v>
      </c>
      <c r="U97">
        <v>5.7495697000000003</v>
      </c>
      <c r="V97">
        <v>3.0763552999999999</v>
      </c>
      <c r="W97">
        <v>0.99997329999999995</v>
      </c>
      <c r="X97">
        <v>0.55316430000000005</v>
      </c>
      <c r="Y97">
        <v>5.6898774000000003</v>
      </c>
      <c r="AA97" s="5">
        <f t="shared" si="72"/>
        <v>-2.6109999999999996E-3</v>
      </c>
      <c r="AB97" s="5">
        <f t="shared" si="72"/>
        <v>-1.1360000000000016E-4</v>
      </c>
      <c r="AC97" s="5">
        <f t="shared" si="72"/>
        <v>-1.3159999999999995E-4</v>
      </c>
      <c r="AD97" s="5">
        <f t="shared" si="72"/>
        <v>-4.5147999999999994E-3</v>
      </c>
      <c r="AE97" s="5">
        <f t="shared" si="73"/>
        <v>-1.2601000000000084E-2</v>
      </c>
      <c r="AF97" s="5">
        <f t="shared" si="73"/>
        <v>-2.0628000000000313E-3</v>
      </c>
      <c r="AG97" s="5">
        <f t="shared" si="73"/>
        <v>1.0119999999991247E-4</v>
      </c>
      <c r="AH97" s="5">
        <f t="shared" si="73"/>
        <v>-5.2857300000000329E-2</v>
      </c>
      <c r="AI97" s="5">
        <f t="shared" si="75"/>
        <v>8.7590000000012033E-4</v>
      </c>
      <c r="AJ97" s="5">
        <f t="shared" si="75"/>
        <v>2.4099999999999989E-4</v>
      </c>
      <c r="AK97" s="5">
        <f t="shared" si="75"/>
        <v>-8.9099999999851624E-5</v>
      </c>
      <c r="AL97" s="5">
        <f t="shared" si="75"/>
        <v>-2.3201999999997031E-3</v>
      </c>
      <c r="AM97" s="5"/>
      <c r="AN97" s="5"/>
      <c r="AO97" s="5"/>
      <c r="AP97" s="5"/>
      <c r="AQ97" s="5"/>
      <c r="AR97" s="5"/>
      <c r="AS97" s="5"/>
      <c r="AT97" s="5"/>
      <c r="AU97" s="5"/>
      <c r="AV97" s="5">
        <f t="shared" si="76"/>
        <v>2043.5</v>
      </c>
      <c r="AW97" s="3">
        <f t="shared" si="56"/>
        <v>-0.49218760566001779</v>
      </c>
      <c r="AX97" s="3">
        <f t="shared" si="57"/>
        <v>-0.21722538191354476</v>
      </c>
      <c r="AY97" s="3">
        <f t="shared" si="58"/>
        <v>-5.4944677577921991E-3</v>
      </c>
      <c r="AZ97" s="3">
        <f t="shared" si="59"/>
        <v>-0.99785032608614743</v>
      </c>
      <c r="BA97" s="3">
        <f t="shared" si="60"/>
        <v>-0.463847668518441</v>
      </c>
      <c r="BB97" s="3">
        <f t="shared" si="61"/>
        <v>-0.19317129395123842</v>
      </c>
      <c r="BC97" s="3">
        <f t="shared" si="62"/>
        <v>-2.1598318982037627E-2</v>
      </c>
      <c r="BD97" s="3">
        <f t="shared" si="63"/>
        <v>-1.0382046503410511</v>
      </c>
      <c r="BE97" s="3">
        <f t="shared" si="64"/>
        <v>-0.379368189266649</v>
      </c>
      <c r="BF97" s="3">
        <f t="shared" si="65"/>
        <v>-0.18183293547606638</v>
      </c>
      <c r="BG97" s="3">
        <f t="shared" si="66"/>
        <v>2.1869427588645084E-3</v>
      </c>
      <c r="BH97" s="3">
        <f t="shared" si="67"/>
        <v>-0.95968051313474989</v>
      </c>
      <c r="BI97" s="3">
        <f t="shared" si="68"/>
        <v>-0.40770812640822324</v>
      </c>
      <c r="BJ97" s="3">
        <f t="shared" si="69"/>
        <v>-0.20588702343836632</v>
      </c>
      <c r="BK97" s="3">
        <f t="shared" si="70"/>
        <v>1.8290793983108213E-2</v>
      </c>
      <c r="BL97" s="3">
        <f t="shared" si="71"/>
        <v>-0.91932618887984474</v>
      </c>
      <c r="BM97" s="2">
        <v>0</v>
      </c>
    </row>
    <row r="98" spans="1:65" x14ac:dyDescent="0.35">
      <c r="A98">
        <f t="shared" si="74"/>
        <v>95</v>
      </c>
      <c r="B98">
        <v>8.3379000000000005E-3</v>
      </c>
      <c r="C98">
        <v>2.4816E-3</v>
      </c>
      <c r="D98">
        <v>9.4180000000000002E-4</v>
      </c>
      <c r="E98">
        <v>1.6841700000000001E-2</v>
      </c>
      <c r="F98">
        <v>5.7635000000000004E-3</v>
      </c>
      <c r="G98">
        <v>2.3630999999999999E-3</v>
      </c>
      <c r="H98">
        <v>9.6100000000000005E-4</v>
      </c>
      <c r="I98">
        <v>1.29041E-2</v>
      </c>
      <c r="J98">
        <v>3.0775606</v>
      </c>
      <c r="K98">
        <v>0.99801519999999999</v>
      </c>
      <c r="L98">
        <v>0.55189589999999999</v>
      </c>
      <c r="M98">
        <v>5.7254493999999996</v>
      </c>
      <c r="N98">
        <v>3.0651934000000001</v>
      </c>
      <c r="O98">
        <v>0.99595590000000001</v>
      </c>
      <c r="P98">
        <v>0.55173430000000001</v>
      </c>
      <c r="Q98">
        <v>5.6766259999999997</v>
      </c>
      <c r="R98">
        <v>3.0906913999999999</v>
      </c>
      <c r="S98">
        <v>1.0019087</v>
      </c>
      <c r="T98">
        <v>0.55328379999999999</v>
      </c>
      <c r="U98">
        <v>5.7495697000000003</v>
      </c>
      <c r="V98">
        <v>3.0766087</v>
      </c>
      <c r="W98">
        <v>0.99996719999999994</v>
      </c>
      <c r="X98">
        <v>0.55305789999999999</v>
      </c>
      <c r="Y98">
        <v>5.6945695000000001</v>
      </c>
      <c r="AA98" s="5">
        <f t="shared" si="72"/>
        <v>-2.5744000000000001E-3</v>
      </c>
      <c r="AB98" s="5">
        <f t="shared" si="72"/>
        <v>-1.1850000000000012E-4</v>
      </c>
      <c r="AC98" s="5">
        <f t="shared" si="72"/>
        <v>1.9200000000000033E-5</v>
      </c>
      <c r="AD98" s="5">
        <f t="shared" si="72"/>
        <v>-3.9376000000000012E-3</v>
      </c>
      <c r="AE98" s="5">
        <f t="shared" si="73"/>
        <v>-1.2367199999999912E-2</v>
      </c>
      <c r="AF98" s="5">
        <f t="shared" si="73"/>
        <v>-2.0592999999999861E-3</v>
      </c>
      <c r="AG98" s="5">
        <f t="shared" si="73"/>
        <v>-1.6159999999998398E-4</v>
      </c>
      <c r="AH98" s="5">
        <f t="shared" si="73"/>
        <v>-4.882339999999985E-2</v>
      </c>
      <c r="AI98" s="5">
        <f t="shared" si="75"/>
        <v>8.5890000000002006E-4</v>
      </c>
      <c r="AJ98" s="5">
        <f t="shared" si="75"/>
        <v>2.3629999999994584E-4</v>
      </c>
      <c r="AK98" s="5">
        <f t="shared" si="75"/>
        <v>-8.3500000000017154E-5</v>
      </c>
      <c r="AL98" s="5">
        <f t="shared" si="75"/>
        <v>-2.239200000000427E-3</v>
      </c>
      <c r="AM98" s="5"/>
      <c r="AN98" s="5"/>
      <c r="AO98" s="5"/>
      <c r="AP98" s="5"/>
      <c r="AQ98" s="5"/>
      <c r="AR98" s="5"/>
      <c r="AS98" s="5"/>
      <c r="AT98" s="5"/>
      <c r="AU98" s="5"/>
      <c r="AV98" s="5">
        <f t="shared" si="76"/>
        <v>2043.75</v>
      </c>
      <c r="AW98" s="3">
        <f t="shared" si="56"/>
        <v>-0.48343875418943194</v>
      </c>
      <c r="AX98" s="3">
        <f t="shared" si="57"/>
        <v>-0.21736511520460758</v>
      </c>
      <c r="AY98" s="3">
        <f t="shared" si="58"/>
        <v>-2.5737243707475974E-2</v>
      </c>
      <c r="AZ98" s="3">
        <f t="shared" si="59"/>
        <v>-0.91765128092976855</v>
      </c>
      <c r="BA98" s="3">
        <f t="shared" si="60"/>
        <v>-0.45564885578676323</v>
      </c>
      <c r="BB98" s="3">
        <f t="shared" si="61"/>
        <v>-0.19378013186231843</v>
      </c>
      <c r="BC98" s="3">
        <f t="shared" si="62"/>
        <v>-4.0828956134266195E-2</v>
      </c>
      <c r="BD98" s="3">
        <f t="shared" si="63"/>
        <v>-0.95659680410518844</v>
      </c>
      <c r="BE98" s="3">
        <f t="shared" si="64"/>
        <v>-0.37235357758461513</v>
      </c>
      <c r="BF98" s="3">
        <f t="shared" si="65"/>
        <v>-0.18195270686841328</v>
      </c>
      <c r="BG98" s="3">
        <f t="shared" si="66"/>
        <v>-4.4299146297071795E-2</v>
      </c>
      <c r="BH98" s="3">
        <f t="shared" si="67"/>
        <v>-0.88811167903573451</v>
      </c>
      <c r="BI98" s="3">
        <f t="shared" si="68"/>
        <v>-0.40014347598727951</v>
      </c>
      <c r="BJ98" s="3">
        <f t="shared" si="69"/>
        <v>-0.20553769021069346</v>
      </c>
      <c r="BK98" s="3">
        <f t="shared" si="70"/>
        <v>-2.9207433870282119E-2</v>
      </c>
      <c r="BL98" s="3">
        <f t="shared" si="71"/>
        <v>-0.84916615586032207</v>
      </c>
      <c r="BM98" s="2">
        <v>0</v>
      </c>
    </row>
    <row r="99" spans="1:65" x14ac:dyDescent="0.35">
      <c r="A99">
        <f t="shared" si="74"/>
        <v>96</v>
      </c>
      <c r="B99">
        <v>8.2558000000000006E-3</v>
      </c>
      <c r="C99">
        <v>2.4547000000000002E-3</v>
      </c>
      <c r="D99">
        <v>9.1699999999999995E-4</v>
      </c>
      <c r="E99">
        <v>1.6308300000000001E-2</v>
      </c>
      <c r="F99">
        <v>5.7353999999999999E-3</v>
      </c>
      <c r="G99">
        <v>2.3394000000000002E-3</v>
      </c>
      <c r="H99">
        <v>1.0740999999999999E-3</v>
      </c>
      <c r="I99">
        <v>1.2979600000000001E-2</v>
      </c>
      <c r="J99">
        <v>3.0776949999999998</v>
      </c>
      <c r="K99">
        <v>0.99805849999999996</v>
      </c>
      <c r="L99">
        <v>0.55193170000000003</v>
      </c>
      <c r="M99">
        <v>5.7262409999999999</v>
      </c>
      <c r="N99">
        <v>3.0654221000000001</v>
      </c>
      <c r="O99">
        <v>0.99595129999999998</v>
      </c>
      <c r="P99">
        <v>0.55162750000000005</v>
      </c>
      <c r="Q99">
        <v>5.6805744000000002</v>
      </c>
      <c r="R99">
        <v>3.0906913999999999</v>
      </c>
      <c r="S99">
        <v>1.0019087</v>
      </c>
      <c r="T99">
        <v>0.55328379999999999</v>
      </c>
      <c r="U99">
        <v>5.7495697000000003</v>
      </c>
      <c r="V99">
        <v>3.0767408000000001</v>
      </c>
      <c r="W99">
        <v>0.99991810000000003</v>
      </c>
      <c r="X99">
        <v>0.55305680000000002</v>
      </c>
      <c r="Y99">
        <v>5.6984129000000001</v>
      </c>
      <c r="AA99" s="5">
        <f t="shared" si="72"/>
        <v>-2.5204000000000008E-3</v>
      </c>
      <c r="AB99" s="5">
        <f t="shared" si="72"/>
        <v>-1.1530000000000004E-4</v>
      </c>
      <c r="AC99" s="5">
        <f t="shared" si="72"/>
        <v>1.5709999999999997E-4</v>
      </c>
      <c r="AD99" s="5">
        <f t="shared" si="72"/>
        <v>-3.3287000000000004E-3</v>
      </c>
      <c r="AE99" s="5">
        <f t="shared" si="73"/>
        <v>-1.2272899999999698E-2</v>
      </c>
      <c r="AF99" s="5">
        <f t="shared" si="73"/>
        <v>-2.1071999999999758E-3</v>
      </c>
      <c r="AG99" s="5">
        <f t="shared" si="73"/>
        <v>-3.0419999999997671E-4</v>
      </c>
      <c r="AH99" s="5">
        <f t="shared" si="73"/>
        <v>-4.5666599999999669E-2</v>
      </c>
      <c r="AI99" s="5">
        <f t="shared" si="75"/>
        <v>8.4269999999988555E-4</v>
      </c>
      <c r="AJ99" s="5">
        <f t="shared" si="75"/>
        <v>2.3190000000002228E-4</v>
      </c>
      <c r="AK99" s="5">
        <f t="shared" si="75"/>
        <v>-7.9900000000000478E-5</v>
      </c>
      <c r="AL99" s="5">
        <f t="shared" si="75"/>
        <v>-2.1615000000005519E-3</v>
      </c>
      <c r="AM99" s="5"/>
      <c r="AN99" s="5"/>
      <c r="AO99" s="5"/>
      <c r="AP99" s="5"/>
      <c r="AQ99" s="5"/>
      <c r="AR99" s="5"/>
      <c r="AS99" s="5"/>
      <c r="AT99" s="5"/>
      <c r="AU99" s="5"/>
      <c r="AV99" s="5">
        <f t="shared" si="76"/>
        <v>2044</v>
      </c>
      <c r="AW99" s="3">
        <f t="shared" ref="AW99:AW120" si="77">100*(AA99+AE99)/R99</f>
        <v>-0.4786404750729788</v>
      </c>
      <c r="AX99" s="3">
        <f t="shared" ref="AX99:AX120" si="78">100*(AB99+AF99)/S99</f>
        <v>-0.22182659956939949</v>
      </c>
      <c r="AY99" s="3">
        <f t="shared" ref="AY99:AY120" si="79">100*(AC99+AG99)/T99</f>
        <v>-2.6586717341078259E-2</v>
      </c>
      <c r="AZ99" s="3">
        <f t="shared" ref="AZ99:AZ120" si="80">100*(AD99+AH99)/U99</f>
        <v>-0.8521559448179169</v>
      </c>
      <c r="BA99" s="3">
        <f t="shared" ref="BA99:BA120" si="81">100*(V99-R99)/R99</f>
        <v>-0.45137473123327077</v>
      </c>
      <c r="BB99" s="3">
        <f t="shared" ref="BB99:BB120" si="82">100*(W99-S99)/S99</f>
        <v>-0.19868077799902861</v>
      </c>
      <c r="BC99" s="3">
        <f t="shared" ref="BC99:BC120" si="83">100*(X99-T99)/T99</f>
        <v>-4.1027769112339317E-2</v>
      </c>
      <c r="BD99" s="3">
        <f t="shared" ref="BD99:BD120" si="84">100*(Y99-U99)/U99</f>
        <v>-0.88975006251337763</v>
      </c>
      <c r="BE99" s="3">
        <f t="shared" ref="BE99:BE120" si="85">100*(V99-AA99-V$3)/R99</f>
        <v>-0.36982663490764384</v>
      </c>
      <c r="BF99" s="3">
        <f t="shared" ref="BF99:BF120" si="86">100*(W99-AB99-W$3)/S99</f>
        <v>-0.18717274338470405</v>
      </c>
      <c r="BG99" s="3">
        <f t="shared" ref="BG99:BG120" si="87">100*(X99-AC99-X$3)/T99</f>
        <v>-6.9421877163220458E-2</v>
      </c>
      <c r="BH99" s="3">
        <f t="shared" ref="BH99:BH120" si="88">100*(Y99-AD99-Y$3)/U99</f>
        <v>-0.8318552951884427</v>
      </c>
      <c r="BI99" s="3">
        <f t="shared" ref="BI99:BI120" si="89">100*(AE99/R99)</f>
        <v>-0.39709237874734754</v>
      </c>
      <c r="BJ99" s="3">
        <f t="shared" ref="BJ99:BJ120" si="90">100*(AF99/S99)</f>
        <v>-0.21031856495506784</v>
      </c>
      <c r="BK99" s="3">
        <f t="shared" ref="BK99:BK120" si="91">100*(AG99/T99)</f>
        <v>-5.4980825391955576E-2</v>
      </c>
      <c r="BL99" s="3">
        <f t="shared" ref="BL99:BL120" si="92">100*(AH99/U99)</f>
        <v>-0.7942611774929812</v>
      </c>
      <c r="BM99" s="2">
        <v>0</v>
      </c>
    </row>
    <row r="100" spans="1:65" x14ac:dyDescent="0.35">
      <c r="A100">
        <f t="shared" si="74"/>
        <v>97</v>
      </c>
      <c r="B100">
        <v>8.1738999999999996E-3</v>
      </c>
      <c r="C100">
        <v>2.4280999999999999E-3</v>
      </c>
      <c r="D100">
        <v>8.9300000000000002E-4</v>
      </c>
      <c r="E100">
        <v>1.5786499999999998E-2</v>
      </c>
      <c r="F100">
        <v>5.7251000000000003E-3</v>
      </c>
      <c r="G100">
        <v>2.3240000000000001E-3</v>
      </c>
      <c r="H100">
        <v>1.1620000000000001E-3</v>
      </c>
      <c r="I100">
        <v>1.30869E-2</v>
      </c>
      <c r="J100">
        <v>3.0778289999999999</v>
      </c>
      <c r="K100">
        <v>0.99810140000000003</v>
      </c>
      <c r="L100">
        <v>0.55196659999999997</v>
      </c>
      <c r="M100">
        <v>5.7270130000000004</v>
      </c>
      <c r="N100">
        <v>3.0657253</v>
      </c>
      <c r="O100">
        <v>0.99599499999999996</v>
      </c>
      <c r="P100">
        <v>0.55156629999999995</v>
      </c>
      <c r="Q100">
        <v>5.6838845999999998</v>
      </c>
      <c r="R100">
        <v>3.0906913999999999</v>
      </c>
      <c r="S100">
        <v>1.0019087</v>
      </c>
      <c r="T100">
        <v>0.55328379999999999</v>
      </c>
      <c r="U100">
        <v>5.7495697000000003</v>
      </c>
      <c r="V100">
        <v>3.0769658</v>
      </c>
      <c r="W100">
        <v>0.99992579999999998</v>
      </c>
      <c r="X100">
        <v>0.55307689999999998</v>
      </c>
      <c r="Y100">
        <v>5.7016555999999996</v>
      </c>
      <c r="AA100" s="5">
        <f t="shared" si="72"/>
        <v>-2.4487999999999992E-3</v>
      </c>
      <c r="AB100" s="5">
        <f t="shared" si="72"/>
        <v>-1.0409999999999977E-4</v>
      </c>
      <c r="AC100" s="5">
        <f t="shared" si="72"/>
        <v>2.6900000000000003E-4</v>
      </c>
      <c r="AD100" s="5">
        <f t="shared" si="72"/>
        <v>-2.6995999999999982E-3</v>
      </c>
      <c r="AE100" s="5">
        <f t="shared" si="73"/>
        <v>-1.210369999999994E-2</v>
      </c>
      <c r="AF100" s="5">
        <f t="shared" si="73"/>
        <v>-2.1064000000000638E-3</v>
      </c>
      <c r="AG100" s="5">
        <f t="shared" si="73"/>
        <v>-4.0030000000002008E-4</v>
      </c>
      <c r="AH100" s="5">
        <f t="shared" si="73"/>
        <v>-4.3128400000000511E-2</v>
      </c>
      <c r="AI100" s="5">
        <f t="shared" si="75"/>
        <v>8.2690000000004531E-4</v>
      </c>
      <c r="AJ100" s="5">
        <f t="shared" si="75"/>
        <v>2.2760000000005389E-4</v>
      </c>
      <c r="AK100" s="5">
        <f t="shared" si="75"/>
        <v>-7.5599999999989803E-5</v>
      </c>
      <c r="AL100" s="5">
        <f t="shared" si="75"/>
        <v>-2.0861000000002294E-3</v>
      </c>
      <c r="AM100" s="5"/>
      <c r="AN100" s="5"/>
      <c r="AO100" s="5"/>
      <c r="AP100" s="5"/>
      <c r="AQ100" s="5"/>
      <c r="AR100" s="5"/>
      <c r="AS100" s="5"/>
      <c r="AT100" s="5"/>
      <c r="AU100" s="5"/>
      <c r="AV100" s="5">
        <f t="shared" si="76"/>
        <v>2044.25</v>
      </c>
      <c r="AW100" s="3">
        <f t="shared" si="77"/>
        <v>-0.47084933811249935</v>
      </c>
      <c r="AX100" s="3">
        <f t="shared" si="78"/>
        <v>-0.22062888564597388</v>
      </c>
      <c r="AY100" s="3">
        <f t="shared" si="79"/>
        <v>-2.3731040019610197E-2</v>
      </c>
      <c r="AZ100" s="3">
        <f t="shared" si="80"/>
        <v>-0.79706834408843674</v>
      </c>
      <c r="BA100" s="3">
        <f t="shared" si="81"/>
        <v>-0.4440948067477683</v>
      </c>
      <c r="BB100" s="3">
        <f t="shared" si="82"/>
        <v>-0.19791224489816384</v>
      </c>
      <c r="BC100" s="3">
        <f t="shared" si="83"/>
        <v>-3.7394913785657534E-2</v>
      </c>
      <c r="BD100" s="3">
        <f t="shared" si="84"/>
        <v>-0.83335105929754594</v>
      </c>
      <c r="BE100" s="3">
        <f t="shared" si="85"/>
        <v>-0.3648633441695307</v>
      </c>
      <c r="BF100" s="3">
        <f t="shared" si="86"/>
        <v>-0.18752207661237688</v>
      </c>
      <c r="BG100" s="3">
        <f t="shared" si="87"/>
        <v>-8.6013723879132836E-2</v>
      </c>
      <c r="BH100" s="3">
        <f t="shared" si="88"/>
        <v>-0.78639798035670461</v>
      </c>
      <c r="BI100" s="3">
        <f t="shared" si="89"/>
        <v>-0.39161787553425553</v>
      </c>
      <c r="BJ100" s="3">
        <f t="shared" si="90"/>
        <v>-0.21023871736018099</v>
      </c>
      <c r="BK100" s="3">
        <f t="shared" si="91"/>
        <v>-7.2349850113092071E-2</v>
      </c>
      <c r="BL100" s="3">
        <f t="shared" si="92"/>
        <v>-0.75011526514759019</v>
      </c>
      <c r="BM100" s="2">
        <v>0</v>
      </c>
    </row>
    <row r="101" spans="1:65" x14ac:dyDescent="0.35">
      <c r="A101">
        <f t="shared" si="74"/>
        <v>98</v>
      </c>
      <c r="B101">
        <v>8.0920999999999996E-3</v>
      </c>
      <c r="C101">
        <v>2.4015999999999998E-3</v>
      </c>
      <c r="D101">
        <v>8.6970000000000005E-4</v>
      </c>
      <c r="E101">
        <v>1.5276700000000001E-2</v>
      </c>
      <c r="F101">
        <v>5.3417999999999998E-3</v>
      </c>
      <c r="G101">
        <v>2.1188000000000001E-3</v>
      </c>
      <c r="H101">
        <v>-4.281E-4</v>
      </c>
      <c r="I101">
        <v>1.2794700000000001E-2</v>
      </c>
      <c r="J101">
        <v>3.0779624000000001</v>
      </c>
      <c r="K101">
        <v>0.99814409999999998</v>
      </c>
      <c r="L101">
        <v>0.55200039999999995</v>
      </c>
      <c r="M101">
        <v>5.7277655000000003</v>
      </c>
      <c r="N101">
        <v>3.0660576000000002</v>
      </c>
      <c r="O101">
        <v>0.99606099999999997</v>
      </c>
      <c r="P101">
        <v>0.55297160000000001</v>
      </c>
      <c r="Q101">
        <v>5.6872066999999999</v>
      </c>
      <c r="R101">
        <v>3.0906913999999999</v>
      </c>
      <c r="S101">
        <v>1.0019087</v>
      </c>
      <c r="T101">
        <v>0.55328379999999999</v>
      </c>
      <c r="U101">
        <v>5.7495697000000003</v>
      </c>
      <c r="V101">
        <v>3.0768477999999999</v>
      </c>
      <c r="W101">
        <v>0.9997663</v>
      </c>
      <c r="X101">
        <v>0.55288890000000002</v>
      </c>
      <c r="Y101">
        <v>5.7045165000000004</v>
      </c>
      <c r="AA101" s="5">
        <f t="shared" si="72"/>
        <v>-2.7502999999999998E-3</v>
      </c>
      <c r="AB101" s="5">
        <f t="shared" si="72"/>
        <v>-2.8279999999999972E-4</v>
      </c>
      <c r="AC101" s="5">
        <f t="shared" si="72"/>
        <v>-1.2978E-3</v>
      </c>
      <c r="AD101" s="5">
        <f t="shared" si="72"/>
        <v>-2.4819999999999998E-3</v>
      </c>
      <c r="AE101" s="5">
        <f t="shared" si="73"/>
        <v>-1.1904799999999938E-2</v>
      </c>
      <c r="AF101" s="5">
        <f t="shared" si="73"/>
        <v>-2.0831000000000044E-3</v>
      </c>
      <c r="AG101" s="5">
        <f t="shared" si="73"/>
        <v>9.712000000000609E-4</v>
      </c>
      <c r="AH101" s="5">
        <f t="shared" si="73"/>
        <v>-4.0558800000000339E-2</v>
      </c>
      <c r="AI101" s="5">
        <f t="shared" si="75"/>
        <v>8.1149999999998237E-4</v>
      </c>
      <c r="AJ101" s="5">
        <f t="shared" si="75"/>
        <v>2.2350000000001535E-4</v>
      </c>
      <c r="AK101" s="5">
        <f t="shared" si="75"/>
        <v>-6.8300000000036734E-5</v>
      </c>
      <c r="AL101" s="5">
        <f t="shared" si="75"/>
        <v>-2.0123999999995673E-3</v>
      </c>
      <c r="AM101" s="5"/>
      <c r="AN101" s="5"/>
      <c r="AO101" s="5"/>
      <c r="AP101" s="5"/>
      <c r="AQ101" s="5"/>
      <c r="AR101" s="5"/>
      <c r="AS101" s="5"/>
      <c r="AT101" s="5"/>
      <c r="AU101" s="5"/>
      <c r="AV101" s="5">
        <f t="shared" si="76"/>
        <v>2044.5</v>
      </c>
      <c r="AW101" s="3">
        <f t="shared" si="77"/>
        <v>-0.47416898367788968</v>
      </c>
      <c r="AX101" s="3">
        <f t="shared" si="78"/>
        <v>-0.23613928095444267</v>
      </c>
      <c r="AY101" s="3">
        <f t="shared" si="79"/>
        <v>-5.9029380581889279E-2</v>
      </c>
      <c r="AZ101" s="3">
        <f t="shared" si="80"/>
        <v>-0.74859167286902073</v>
      </c>
      <c r="BA101" s="3">
        <f t="shared" si="81"/>
        <v>-0.44791272270016852</v>
      </c>
      <c r="BB101" s="3">
        <f t="shared" si="82"/>
        <v>-0.21383185913047653</v>
      </c>
      <c r="BC101" s="3">
        <f t="shared" si="83"/>
        <v>-7.1373859129794839E-2</v>
      </c>
      <c r="BD101" s="3">
        <f t="shared" si="84"/>
        <v>-0.78359255302183572</v>
      </c>
      <c r="BE101" s="3">
        <f t="shared" si="85"/>
        <v>-0.35892616131134125</v>
      </c>
      <c r="BF101" s="3">
        <f t="shared" si="86"/>
        <v>-0.18560573433487115</v>
      </c>
      <c r="BG101" s="3">
        <f t="shared" si="87"/>
        <v>0.16318930718738553</v>
      </c>
      <c r="BH101" s="3">
        <f t="shared" si="88"/>
        <v>-0.74042410512912382</v>
      </c>
      <c r="BI101" s="3">
        <f t="shared" si="89"/>
        <v>-0.38518242228906896</v>
      </c>
      <c r="BJ101" s="3">
        <f t="shared" si="90"/>
        <v>-0.20791315615884004</v>
      </c>
      <c r="BK101" s="3">
        <f t="shared" si="91"/>
        <v>0.17553378573528827</v>
      </c>
      <c r="BL101" s="3">
        <f t="shared" si="92"/>
        <v>-0.70542322497630272</v>
      </c>
      <c r="BM101" s="2">
        <v>0</v>
      </c>
    </row>
    <row r="102" spans="1:65" x14ac:dyDescent="0.35">
      <c r="A102">
        <f t="shared" si="74"/>
        <v>99</v>
      </c>
      <c r="B102">
        <v>8.0107000000000008E-3</v>
      </c>
      <c r="C102">
        <v>2.3752000000000001E-3</v>
      </c>
      <c r="D102">
        <v>8.4710000000000004E-4</v>
      </c>
      <c r="E102">
        <v>1.4778700000000001E-2</v>
      </c>
      <c r="F102">
        <v>5.0878E-3</v>
      </c>
      <c r="G102">
        <v>1.9907000000000002E-3</v>
      </c>
      <c r="H102">
        <v>-4.5120000000000002E-4</v>
      </c>
      <c r="I102">
        <v>1.24046E-2</v>
      </c>
      <c r="J102">
        <v>3.0780954</v>
      </c>
      <c r="K102">
        <v>0.99818649999999998</v>
      </c>
      <c r="L102">
        <v>0.55203329999999995</v>
      </c>
      <c r="M102">
        <v>5.7284984999999997</v>
      </c>
      <c r="N102">
        <v>3.0664178</v>
      </c>
      <c r="O102">
        <v>0.99612560000000006</v>
      </c>
      <c r="P102">
        <v>0.55281959999999997</v>
      </c>
      <c r="Q102">
        <v>5.6901678999999996</v>
      </c>
      <c r="R102">
        <v>3.0906913999999999</v>
      </c>
      <c r="S102">
        <v>1.0019087</v>
      </c>
      <c r="T102">
        <v>0.55328379999999999</v>
      </c>
      <c r="U102">
        <v>5.7495697000000003</v>
      </c>
      <c r="V102">
        <v>3.0768878000000002</v>
      </c>
      <c r="W102">
        <v>0.99968279999999998</v>
      </c>
      <c r="X102">
        <v>0.55270600000000003</v>
      </c>
      <c r="Y102">
        <v>5.7069238000000002</v>
      </c>
      <c r="AA102" s="5">
        <f t="shared" si="72"/>
        <v>-2.9229000000000008E-3</v>
      </c>
      <c r="AB102" s="5">
        <f t="shared" si="72"/>
        <v>-3.8449999999999986E-4</v>
      </c>
      <c r="AC102" s="5">
        <f t="shared" si="72"/>
        <v>-1.2983000000000001E-3</v>
      </c>
      <c r="AD102" s="5">
        <f t="shared" si="72"/>
        <v>-2.3741000000000005E-3</v>
      </c>
      <c r="AE102" s="5">
        <f t="shared" si="73"/>
        <v>-1.1677600000000066E-2</v>
      </c>
      <c r="AF102" s="5">
        <f t="shared" si="73"/>
        <v>-2.0608999999999211E-3</v>
      </c>
      <c r="AG102" s="5">
        <f t="shared" si="73"/>
        <v>7.8630000000001754E-4</v>
      </c>
      <c r="AH102" s="5">
        <f t="shared" si="73"/>
        <v>-3.8330600000000103E-2</v>
      </c>
      <c r="AI102" s="5">
        <f t="shared" si="75"/>
        <v>7.9690000000037266E-4</v>
      </c>
      <c r="AJ102" s="5">
        <f t="shared" si="75"/>
        <v>2.1949999999991811E-4</v>
      </c>
      <c r="AK102" s="5">
        <f t="shared" si="75"/>
        <v>-6.5799999999979156E-5</v>
      </c>
      <c r="AL102" s="5">
        <f t="shared" si="75"/>
        <v>-1.9412000000000179E-3</v>
      </c>
      <c r="AM102" s="5"/>
      <c r="AN102" s="5"/>
      <c r="AO102" s="5"/>
      <c r="AP102" s="5"/>
      <c r="AQ102" s="5"/>
      <c r="AR102" s="5"/>
      <c r="AS102" s="5"/>
      <c r="AT102" s="5"/>
      <c r="AU102" s="5"/>
      <c r="AV102" s="5">
        <f t="shared" si="76"/>
        <v>2044.75</v>
      </c>
      <c r="AW102" s="3">
        <f t="shared" si="77"/>
        <v>-0.47240238866941126</v>
      </c>
      <c r="AX102" s="3">
        <f t="shared" si="78"/>
        <v>-0.24407413569718689</v>
      </c>
      <c r="AY102" s="3">
        <f t="shared" si="79"/>
        <v>-9.2538404341493921E-2</v>
      </c>
      <c r="AZ102" s="3">
        <f t="shared" si="80"/>
        <v>-0.70796080617998436</v>
      </c>
      <c r="BA102" s="3">
        <f t="shared" si="81"/>
        <v>-0.44661851390273694</v>
      </c>
      <c r="BB102" s="3">
        <f t="shared" si="82"/>
        <v>-0.22216595184770857</v>
      </c>
      <c r="BC102" s="3">
        <f t="shared" si="83"/>
        <v>-0.10443103521194036</v>
      </c>
      <c r="BD102" s="3">
        <f t="shared" si="84"/>
        <v>-0.74172333279132385</v>
      </c>
      <c r="BE102" s="3">
        <f t="shared" si="85"/>
        <v>-0.35204744155302992</v>
      </c>
      <c r="BF102" s="3">
        <f t="shared" si="86"/>
        <v>-0.18378920155099893</v>
      </c>
      <c r="BG102" s="3">
        <f t="shared" si="87"/>
        <v>0.13022250064072233</v>
      </c>
      <c r="BH102" s="3">
        <f t="shared" si="88"/>
        <v>-0.70043154707734367</v>
      </c>
      <c r="BI102" s="3">
        <f t="shared" si="89"/>
        <v>-0.37783131631970973</v>
      </c>
      <c r="BJ102" s="3">
        <f t="shared" si="90"/>
        <v>-0.20569738540047824</v>
      </c>
      <c r="BK102" s="3">
        <f t="shared" si="91"/>
        <v>0.14211513151117339</v>
      </c>
      <c r="BL102" s="3">
        <f t="shared" si="92"/>
        <v>-0.66666902046600285</v>
      </c>
      <c r="BM102" s="2">
        <v>0</v>
      </c>
    </row>
    <row r="103" spans="1:65" x14ac:dyDescent="0.35">
      <c r="A103">
        <f t="shared" si="74"/>
        <v>100</v>
      </c>
      <c r="B103">
        <v>7.9293999999999996E-3</v>
      </c>
      <c r="C103">
        <v>2.3490999999999998E-3</v>
      </c>
      <c r="D103">
        <v>8.2510000000000005E-4</v>
      </c>
      <c r="E103">
        <v>1.4292900000000001E-2</v>
      </c>
      <c r="F103">
        <v>4.8424000000000002E-3</v>
      </c>
      <c r="G103">
        <v>1.8701E-3</v>
      </c>
      <c r="H103">
        <v>-2.742E-4</v>
      </c>
      <c r="I103">
        <v>1.2064399999999999E-2</v>
      </c>
      <c r="J103">
        <v>3.0782276999999998</v>
      </c>
      <c r="K103">
        <v>0.99822860000000002</v>
      </c>
      <c r="L103">
        <v>0.55206529999999998</v>
      </c>
      <c r="M103">
        <v>5.7292120999999998</v>
      </c>
      <c r="N103">
        <v>3.0667523000000001</v>
      </c>
      <c r="O103">
        <v>0.99618340000000005</v>
      </c>
      <c r="P103">
        <v>0.55264749999999996</v>
      </c>
      <c r="Q103">
        <v>5.6928435999999998</v>
      </c>
      <c r="R103">
        <v>3.0906913999999999</v>
      </c>
      <c r="S103">
        <v>1.0019087</v>
      </c>
      <c r="T103">
        <v>0.55328379999999999</v>
      </c>
      <c r="U103">
        <v>5.7495697000000003</v>
      </c>
      <c r="V103">
        <v>3.0769112999999999</v>
      </c>
      <c r="W103">
        <v>0.99960009999999999</v>
      </c>
      <c r="X103">
        <v>0.5527029</v>
      </c>
      <c r="Y103">
        <v>5.7091003999999996</v>
      </c>
      <c r="AA103" s="5">
        <f t="shared" si="72"/>
        <v>-3.0869999999999995E-3</v>
      </c>
      <c r="AB103" s="5">
        <f t="shared" si="72"/>
        <v>-4.7899999999999983E-4</v>
      </c>
      <c r="AC103" s="5">
        <f t="shared" si="72"/>
        <v>-1.0993000000000001E-3</v>
      </c>
      <c r="AD103" s="5">
        <f t="shared" si="72"/>
        <v>-2.2285000000000013E-3</v>
      </c>
      <c r="AE103" s="5">
        <f t="shared" si="73"/>
        <v>-1.1475399999999691E-2</v>
      </c>
      <c r="AF103" s="5">
        <f t="shared" si="73"/>
        <v>-2.0451999999999693E-3</v>
      </c>
      <c r="AG103" s="5">
        <f t="shared" si="73"/>
        <v>5.8219999999997718E-4</v>
      </c>
      <c r="AH103" s="5">
        <f t="shared" si="73"/>
        <v>-3.6368500000000026E-2</v>
      </c>
      <c r="AI103" s="5">
        <f t="shared" si="75"/>
        <v>7.8229999999972905E-4</v>
      </c>
      <c r="AJ103" s="5">
        <f t="shared" si="75"/>
        <v>2.155999999999751E-4</v>
      </c>
      <c r="AK103" s="5">
        <f t="shared" si="75"/>
        <v>-6.3799999999972386E-5</v>
      </c>
      <c r="AL103" s="5">
        <f t="shared" si="75"/>
        <v>-1.8723000000006804E-3</v>
      </c>
      <c r="AM103" s="5"/>
      <c r="AN103" s="5"/>
      <c r="AO103" s="5"/>
      <c r="AP103" s="5"/>
      <c r="AQ103" s="5"/>
      <c r="AR103" s="5"/>
      <c r="AS103" s="5"/>
      <c r="AT103" s="5"/>
      <c r="AU103" s="5"/>
      <c r="AV103" s="5">
        <f t="shared" si="76"/>
        <v>2045</v>
      </c>
      <c r="AW103" s="3">
        <f t="shared" si="77"/>
        <v>-0.47116965478985356</v>
      </c>
      <c r="AX103" s="3">
        <f t="shared" si="78"/>
        <v>-0.25193912379441052</v>
      </c>
      <c r="AY103" s="3">
        <f t="shared" si="79"/>
        <v>-9.3460173603496607E-2</v>
      </c>
      <c r="AZ103" s="3">
        <f t="shared" si="80"/>
        <v>-0.67130241068301211</v>
      </c>
      <c r="BA103" s="3">
        <f t="shared" si="81"/>
        <v>-0.4458581662342595</v>
      </c>
      <c r="BB103" s="3">
        <f t="shared" si="82"/>
        <v>-0.23042019697004268</v>
      </c>
      <c r="BC103" s="3">
        <f t="shared" si="83"/>
        <v>-0.10499132633198285</v>
      </c>
      <c r="BD103" s="3">
        <f t="shared" si="84"/>
        <v>-0.70386658674649527</v>
      </c>
      <c r="BE103" s="3">
        <f t="shared" si="85"/>
        <v>-0.3459776022931349</v>
      </c>
      <c r="BF103" s="3">
        <f t="shared" si="86"/>
        <v>-0.18261144952628786</v>
      </c>
      <c r="BG103" s="3">
        <f t="shared" si="87"/>
        <v>9.3695134395771207E-2</v>
      </c>
      <c r="BH103" s="3">
        <f t="shared" si="88"/>
        <v>-0.6651071644544202</v>
      </c>
      <c r="BI103" s="3">
        <f t="shared" si="89"/>
        <v>-0.37128909084872375</v>
      </c>
      <c r="BJ103" s="3">
        <f t="shared" si="90"/>
        <v>-0.20413037635065642</v>
      </c>
      <c r="BK103" s="3">
        <f t="shared" si="91"/>
        <v>0.1052262871242529</v>
      </c>
      <c r="BL103" s="3">
        <f t="shared" si="92"/>
        <v>-0.63254298839094036</v>
      </c>
      <c r="BM103" s="2">
        <v>0</v>
      </c>
    </row>
    <row r="104" spans="1:65" x14ac:dyDescent="0.35">
      <c r="A104">
        <f t="shared" si="74"/>
        <v>101</v>
      </c>
      <c r="B104">
        <v>7.8484000000000002E-3</v>
      </c>
      <c r="C104">
        <v>2.3230999999999998E-3</v>
      </c>
      <c r="D104">
        <v>8.0380000000000002E-4</v>
      </c>
      <c r="E104">
        <v>1.3819100000000001E-2</v>
      </c>
      <c r="F104">
        <v>4.6381E-3</v>
      </c>
      <c r="G104">
        <v>1.7699E-3</v>
      </c>
      <c r="H104">
        <v>-8.7600000000000002E-5</v>
      </c>
      <c r="I104">
        <v>1.1793400000000001E-2</v>
      </c>
      <c r="J104">
        <v>3.0783594999999999</v>
      </c>
      <c r="K104">
        <v>0.99827030000000005</v>
      </c>
      <c r="L104">
        <v>0.55209629999999998</v>
      </c>
      <c r="M104">
        <v>5.7299065000000002</v>
      </c>
      <c r="N104">
        <v>3.0670579</v>
      </c>
      <c r="O104">
        <v>0.99623240000000002</v>
      </c>
      <c r="P104">
        <v>0.5525312</v>
      </c>
      <c r="Q104">
        <v>5.6952585999999998</v>
      </c>
      <c r="R104">
        <v>3.0906913999999999</v>
      </c>
      <c r="S104">
        <v>1.0019087</v>
      </c>
      <c r="T104">
        <v>0.55328379999999999</v>
      </c>
      <c r="U104">
        <v>5.7495697000000003</v>
      </c>
      <c r="V104">
        <v>3.0769478000000001</v>
      </c>
      <c r="W104">
        <v>0.99952929999999995</v>
      </c>
      <c r="X104">
        <v>0.55276570000000003</v>
      </c>
      <c r="Y104">
        <v>5.7110903000000004</v>
      </c>
      <c r="AA104" s="5">
        <f t="shared" si="72"/>
        <v>-3.2103000000000001E-3</v>
      </c>
      <c r="AB104" s="5">
        <f t="shared" si="72"/>
        <v>-5.5319999999999979E-4</v>
      </c>
      <c r="AC104" s="5">
        <f t="shared" si="72"/>
        <v>-8.9139999999999998E-4</v>
      </c>
      <c r="AD104" s="5">
        <f t="shared" si="72"/>
        <v>-2.0257000000000001E-3</v>
      </c>
      <c r="AE104" s="5">
        <f t="shared" si="73"/>
        <v>-1.1301599999999912E-2</v>
      </c>
      <c r="AF104" s="5">
        <f t="shared" si="73"/>
        <v>-2.0379000000000369E-3</v>
      </c>
      <c r="AG104" s="5">
        <f t="shared" si="73"/>
        <v>4.3490000000001583E-4</v>
      </c>
      <c r="AH104" s="5">
        <f t="shared" si="73"/>
        <v>-3.4647900000000398E-2</v>
      </c>
      <c r="AI104" s="5">
        <f t="shared" si="75"/>
        <v>7.6830000000016607E-4</v>
      </c>
      <c r="AJ104" s="5">
        <f t="shared" si="75"/>
        <v>2.117000000000052E-4</v>
      </c>
      <c r="AK104" s="5">
        <f t="shared" si="75"/>
        <v>-6.1599999999981656E-5</v>
      </c>
      <c r="AL104" s="5">
        <f t="shared" si="75"/>
        <v>-1.8057999999995453E-3</v>
      </c>
      <c r="AM104" s="5"/>
      <c r="AN104" s="5"/>
      <c r="AO104" s="5"/>
      <c r="AP104" s="5"/>
      <c r="AQ104" s="5"/>
      <c r="AR104" s="5"/>
      <c r="AS104" s="5"/>
      <c r="AT104" s="5"/>
      <c r="AU104" s="5"/>
      <c r="AV104" s="5">
        <f t="shared" si="76"/>
        <v>2045.25</v>
      </c>
      <c r="AW104" s="3">
        <f t="shared" si="77"/>
        <v>-0.46953571618311396</v>
      </c>
      <c r="AX104" s="3">
        <f t="shared" si="78"/>
        <v>-0.25861637891756373</v>
      </c>
      <c r="AY104" s="3">
        <f t="shared" si="79"/>
        <v>-8.2507385902132718E-2</v>
      </c>
      <c r="AZ104" s="3">
        <f t="shared" si="80"/>
        <v>-0.63784947245705004</v>
      </c>
      <c r="BA104" s="3">
        <f t="shared" si="81"/>
        <v>-0.44467720070660388</v>
      </c>
      <c r="BB104" s="3">
        <f t="shared" si="82"/>
        <v>-0.23748670911830905</v>
      </c>
      <c r="BC104" s="3">
        <f t="shared" si="83"/>
        <v>-9.3640912674465768E-2</v>
      </c>
      <c r="BD104" s="3">
        <f t="shared" si="84"/>
        <v>-0.66925704022685284</v>
      </c>
      <c r="BE104" s="3">
        <f t="shared" si="85"/>
        <v>-0.3408072381474137</v>
      </c>
      <c r="BF104" s="3">
        <f t="shared" si="86"/>
        <v>-0.18227209724798279</v>
      </c>
      <c r="BG104" s="3">
        <f t="shared" si="87"/>
        <v>6.7469895196646062E-2</v>
      </c>
      <c r="BH104" s="3">
        <f t="shared" si="88"/>
        <v>-0.63402483841529966</v>
      </c>
      <c r="BI104" s="3">
        <f t="shared" si="89"/>
        <v>-0.36566575362392739</v>
      </c>
      <c r="BJ104" s="3">
        <f t="shared" si="90"/>
        <v>-0.20340176704724064</v>
      </c>
      <c r="BK104" s="3">
        <f t="shared" si="91"/>
        <v>7.8603421968981527E-2</v>
      </c>
      <c r="BL104" s="3">
        <f t="shared" si="92"/>
        <v>-0.60261727064549531</v>
      </c>
      <c r="BM104" s="2">
        <v>0</v>
      </c>
    </row>
    <row r="105" spans="1:65" x14ac:dyDescent="0.35">
      <c r="A105">
        <f t="shared" si="74"/>
        <v>102</v>
      </c>
      <c r="B105">
        <v>7.7678000000000001E-3</v>
      </c>
      <c r="C105">
        <v>2.2972999999999999E-3</v>
      </c>
      <c r="D105">
        <v>7.8310000000000001E-4</v>
      </c>
      <c r="E105">
        <v>1.33574E-2</v>
      </c>
      <c r="F105">
        <v>4.4640000000000001E-3</v>
      </c>
      <c r="G105">
        <v>1.6841E-3</v>
      </c>
      <c r="H105">
        <v>5.1999999999999997E-5</v>
      </c>
      <c r="I105">
        <v>1.15776E-2</v>
      </c>
      <c r="J105">
        <v>3.0784907000000001</v>
      </c>
      <c r="K105">
        <v>0.99831179999999997</v>
      </c>
      <c r="L105">
        <v>0.55212649999999996</v>
      </c>
      <c r="M105">
        <v>5.7305818000000004</v>
      </c>
      <c r="N105">
        <v>3.0673393</v>
      </c>
      <c r="O105">
        <v>0.99627359999999998</v>
      </c>
      <c r="P105">
        <v>0.55238640000000006</v>
      </c>
      <c r="Q105">
        <v>5.6974815999999997</v>
      </c>
      <c r="R105">
        <v>3.0906913999999999</v>
      </c>
      <c r="S105">
        <v>1.0019087</v>
      </c>
      <c r="T105">
        <v>0.55328379999999999</v>
      </c>
      <c r="U105">
        <v>5.7495697000000003</v>
      </c>
      <c r="V105">
        <v>3.0769907999999999</v>
      </c>
      <c r="W105">
        <v>0.99946539999999995</v>
      </c>
      <c r="X105">
        <v>0.55275300000000005</v>
      </c>
      <c r="Y105">
        <v>5.7129482999999999</v>
      </c>
      <c r="AA105" s="5">
        <f t="shared" si="72"/>
        <v>-3.3038E-3</v>
      </c>
      <c r="AB105" s="5">
        <f t="shared" si="72"/>
        <v>-6.1319999999999994E-4</v>
      </c>
      <c r="AC105" s="5">
        <f t="shared" si="72"/>
        <v>-7.3110000000000004E-4</v>
      </c>
      <c r="AD105" s="5">
        <f t="shared" si="72"/>
        <v>-1.7797999999999998E-3</v>
      </c>
      <c r="AE105" s="5">
        <f t="shared" si="73"/>
        <v>-1.1151400000000145E-2</v>
      </c>
      <c r="AF105" s="5">
        <f t="shared" si="73"/>
        <v>-2.03819999999999E-3</v>
      </c>
      <c r="AG105" s="5">
        <f t="shared" si="73"/>
        <v>2.5990000000009061E-4</v>
      </c>
      <c r="AH105" s="5">
        <f t="shared" si="73"/>
        <v>-3.310020000000069E-2</v>
      </c>
      <c r="AI105" s="5">
        <f t="shared" si="75"/>
        <v>7.5460000000019192E-4</v>
      </c>
      <c r="AJ105" s="5">
        <f t="shared" si="75"/>
        <v>2.0809999999995285E-4</v>
      </c>
      <c r="AK105" s="5">
        <f t="shared" si="75"/>
        <v>-5.9600000000032999E-5</v>
      </c>
      <c r="AL105" s="5">
        <f t="shared" si="75"/>
        <v>-1.741399999999782E-3</v>
      </c>
      <c r="AM105" s="5"/>
      <c r="AN105" s="5"/>
      <c r="AO105" s="5"/>
      <c r="AP105" s="5"/>
      <c r="AQ105" s="5"/>
      <c r="AR105" s="5"/>
      <c r="AS105" s="5"/>
      <c r="AT105" s="5"/>
      <c r="AU105" s="5"/>
      <c r="AV105" s="5">
        <f t="shared" si="76"/>
        <v>2045.5</v>
      </c>
      <c r="AW105" s="3">
        <f t="shared" si="77"/>
        <v>-0.46770117521277421</v>
      </c>
      <c r="AX105" s="3">
        <f t="shared" si="78"/>
        <v>-0.26463489138281659</v>
      </c>
      <c r="AY105" s="3">
        <f t="shared" si="79"/>
        <v>-8.5164250245517659E-2</v>
      </c>
      <c r="AZ105" s="3">
        <f t="shared" si="80"/>
        <v>-0.60665409447946494</v>
      </c>
      <c r="BA105" s="3">
        <f t="shared" si="81"/>
        <v>-0.44328592624938074</v>
      </c>
      <c r="BB105" s="3">
        <f t="shared" si="82"/>
        <v>-0.24386453576059747</v>
      </c>
      <c r="BC105" s="3">
        <f t="shared" si="83"/>
        <v>-9.5936298875901022E-2</v>
      </c>
      <c r="BD105" s="3">
        <f t="shared" si="84"/>
        <v>-0.63694157842804255</v>
      </c>
      <c r="BE105" s="3">
        <f t="shared" si="85"/>
        <v>-0.3363907506262222</v>
      </c>
      <c r="BF105" s="3">
        <f t="shared" si="86"/>
        <v>-0.18266135427310459</v>
      </c>
      <c r="BG105" s="3">
        <f t="shared" si="87"/>
        <v>3.6202035917198755E-2</v>
      </c>
      <c r="BH105" s="3">
        <f t="shared" si="88"/>
        <v>-0.60598621841213662</v>
      </c>
      <c r="BI105" s="3">
        <f t="shared" si="89"/>
        <v>-0.36080599958961107</v>
      </c>
      <c r="BJ105" s="3">
        <f t="shared" si="90"/>
        <v>-0.20343170989532178</v>
      </c>
      <c r="BK105" s="3">
        <f t="shared" si="91"/>
        <v>4.6974084547584914E-2</v>
      </c>
      <c r="BL105" s="3">
        <f t="shared" si="92"/>
        <v>-0.57569873446356667</v>
      </c>
      <c r="BM105" s="2">
        <v>0</v>
      </c>
    </row>
    <row r="106" spans="1:65" x14ac:dyDescent="0.35">
      <c r="A106">
        <f t="shared" si="74"/>
        <v>103</v>
      </c>
      <c r="B106">
        <v>7.6873999999999996E-3</v>
      </c>
      <c r="C106">
        <v>2.2715999999999999E-3</v>
      </c>
      <c r="D106">
        <v>7.6300000000000001E-4</v>
      </c>
      <c r="E106">
        <v>1.2907699999999999E-2</v>
      </c>
      <c r="F106">
        <v>4.3146E-3</v>
      </c>
      <c r="G106">
        <v>1.6100000000000001E-3</v>
      </c>
      <c r="H106">
        <v>1.7670000000000001E-4</v>
      </c>
      <c r="I106">
        <v>1.1412500000000001E-2</v>
      </c>
      <c r="J106">
        <v>3.0786213</v>
      </c>
      <c r="K106">
        <v>0.99835300000000005</v>
      </c>
      <c r="L106">
        <v>0.55215590000000003</v>
      </c>
      <c r="M106">
        <v>5.7312383000000002</v>
      </c>
      <c r="N106">
        <v>3.0676043000000002</v>
      </c>
      <c r="O106">
        <v>0.99631130000000001</v>
      </c>
      <c r="P106">
        <v>0.55231169999999996</v>
      </c>
      <c r="Q106">
        <v>5.6994430999999999</v>
      </c>
      <c r="R106">
        <v>3.0906913999999999</v>
      </c>
      <c r="S106">
        <v>1.0019087</v>
      </c>
      <c r="T106">
        <v>0.55328379999999999</v>
      </c>
      <c r="U106">
        <v>5.7495697000000003</v>
      </c>
      <c r="V106">
        <v>3.0770428000000001</v>
      </c>
      <c r="W106">
        <v>0.99940980000000001</v>
      </c>
      <c r="X106">
        <v>0.55279670000000003</v>
      </c>
      <c r="Y106">
        <v>5.7146002999999999</v>
      </c>
      <c r="AA106" s="5">
        <f t="shared" si="72"/>
        <v>-3.3727999999999996E-3</v>
      </c>
      <c r="AB106" s="5">
        <f t="shared" si="72"/>
        <v>-6.6159999999999982E-4</v>
      </c>
      <c r="AC106" s="5">
        <f t="shared" si="72"/>
        <v>-5.8629999999999999E-4</v>
      </c>
      <c r="AD106" s="5">
        <f t="shared" si="72"/>
        <v>-1.4951999999999986E-3</v>
      </c>
      <c r="AE106" s="5">
        <f t="shared" si="73"/>
        <v>-1.1016999999999832E-2</v>
      </c>
      <c r="AF106" s="5">
        <f t="shared" si="73"/>
        <v>-2.0417000000000352E-3</v>
      </c>
      <c r="AG106" s="5">
        <f t="shared" si="73"/>
        <v>1.5579999999992822E-4</v>
      </c>
      <c r="AH106" s="5">
        <f t="shared" si="73"/>
        <v>-3.1795200000000357E-2</v>
      </c>
      <c r="AI106" s="5">
        <f t="shared" si="75"/>
        <v>7.4120000000004252E-4</v>
      </c>
      <c r="AJ106" s="5">
        <f t="shared" si="75"/>
        <v>2.044000000000646E-4</v>
      </c>
      <c r="AK106" s="5">
        <f t="shared" si="75"/>
        <v>-5.6599999999890787E-5</v>
      </c>
      <c r="AL106" s="5">
        <f t="shared" si="75"/>
        <v>-1.6790000000001248E-3</v>
      </c>
      <c r="AM106" s="5"/>
      <c r="AN106" s="5"/>
      <c r="AO106" s="5"/>
      <c r="AP106" s="5"/>
      <c r="AQ106" s="5"/>
      <c r="AR106" s="5"/>
      <c r="AS106" s="5"/>
      <c r="AT106" s="5"/>
      <c r="AU106" s="5"/>
      <c r="AV106" s="5">
        <f t="shared" si="76"/>
        <v>2045.75</v>
      </c>
      <c r="AW106" s="3">
        <f t="shared" si="77"/>
        <v>-0.46558514382897725</v>
      </c>
      <c r="AX106" s="3">
        <f t="shared" si="78"/>
        <v>-0.26981500410167464</v>
      </c>
      <c r="AY106" s="3">
        <f t="shared" si="79"/>
        <v>-7.7808170056681905E-2</v>
      </c>
      <c r="AZ106" s="3">
        <f t="shared" si="80"/>
        <v>-0.57900680810948957</v>
      </c>
      <c r="BA106" s="3">
        <f t="shared" si="81"/>
        <v>-0.44160345481272539</v>
      </c>
      <c r="BB106" s="3">
        <f t="shared" si="82"/>
        <v>-0.2494139436058366</v>
      </c>
      <c r="BC106" s="3">
        <f t="shared" si="83"/>
        <v>-8.8038001474101096E-2</v>
      </c>
      <c r="BD106" s="3">
        <f t="shared" si="84"/>
        <v>-0.60820899344868329</v>
      </c>
      <c r="BE106" s="3">
        <f t="shared" si="85"/>
        <v>-0.33247576901400167</v>
      </c>
      <c r="BF106" s="3">
        <f t="shared" si="86"/>
        <v>-0.18337998262716371</v>
      </c>
      <c r="BG106" s="3">
        <f t="shared" si="87"/>
        <v>1.7929315841178975E-2</v>
      </c>
      <c r="BH106" s="3">
        <f t="shared" si="88"/>
        <v>-0.58220356907753568</v>
      </c>
      <c r="BI106" s="3">
        <f t="shared" si="89"/>
        <v>-0.3564574580302593</v>
      </c>
      <c r="BJ106" s="3">
        <f t="shared" si="90"/>
        <v>-0.20378104312299464</v>
      </c>
      <c r="BK106" s="3">
        <f t="shared" si="91"/>
        <v>2.8159147258591023E-2</v>
      </c>
      <c r="BL106" s="3">
        <f t="shared" si="92"/>
        <v>-0.55300138373834051</v>
      </c>
      <c r="BM106" s="2">
        <v>0</v>
      </c>
    </row>
    <row r="107" spans="1:65" x14ac:dyDescent="0.35">
      <c r="A107">
        <f t="shared" si="74"/>
        <v>104</v>
      </c>
      <c r="B107">
        <v>7.6074000000000003E-3</v>
      </c>
      <c r="C107">
        <v>2.2461999999999998E-3</v>
      </c>
      <c r="D107">
        <v>7.4350000000000002E-4</v>
      </c>
      <c r="E107">
        <v>1.247E-2</v>
      </c>
      <c r="F107">
        <v>4.1872000000000003E-3</v>
      </c>
      <c r="G107">
        <v>1.5463E-3</v>
      </c>
      <c r="H107">
        <v>2.765E-4</v>
      </c>
      <c r="I107">
        <v>1.1287800000000001E-2</v>
      </c>
      <c r="J107">
        <v>3.0787512000000001</v>
      </c>
      <c r="K107">
        <v>0.9983938</v>
      </c>
      <c r="L107">
        <v>0.55218449999999997</v>
      </c>
      <c r="M107">
        <v>5.7318762000000003</v>
      </c>
      <c r="N107">
        <v>3.0678399000000001</v>
      </c>
      <c r="O107">
        <v>0.99633680000000002</v>
      </c>
      <c r="P107">
        <v>0.55247619999999997</v>
      </c>
      <c r="Q107">
        <v>5.7013299000000002</v>
      </c>
      <c r="R107">
        <v>3.0906913999999999</v>
      </c>
      <c r="S107">
        <v>1.0019087</v>
      </c>
      <c r="T107">
        <v>0.55328379999999999</v>
      </c>
      <c r="U107">
        <v>5.7495697000000003</v>
      </c>
      <c r="V107">
        <v>3.0770881000000001</v>
      </c>
      <c r="W107">
        <v>0.99935260000000004</v>
      </c>
      <c r="X107">
        <v>0.55305400000000005</v>
      </c>
      <c r="Y107">
        <v>5.7162226</v>
      </c>
      <c r="AA107" s="5">
        <f t="shared" si="72"/>
        <v>-3.4202E-3</v>
      </c>
      <c r="AB107" s="5">
        <f t="shared" si="72"/>
        <v>-6.9989999999999983E-4</v>
      </c>
      <c r="AC107" s="5">
        <f t="shared" si="72"/>
        <v>-4.6700000000000002E-4</v>
      </c>
      <c r="AD107" s="5">
        <f t="shared" si="72"/>
        <v>-1.1821999999999996E-3</v>
      </c>
      <c r="AE107" s="5">
        <f t="shared" si="73"/>
        <v>-1.0911300000000068E-2</v>
      </c>
      <c r="AF107" s="5">
        <f t="shared" si="73"/>
        <v>-2.0569999999999755E-3</v>
      </c>
      <c r="AG107" s="5">
        <f t="shared" si="73"/>
        <v>2.9170000000000584E-4</v>
      </c>
      <c r="AH107" s="5">
        <f t="shared" si="73"/>
        <v>-3.0546300000000137E-2</v>
      </c>
      <c r="AI107" s="5">
        <f t="shared" si="75"/>
        <v>7.2820000000030534E-4</v>
      </c>
      <c r="AJ107" s="5">
        <f t="shared" si="75"/>
        <v>2.0080000000002526E-4</v>
      </c>
      <c r="AK107" s="5">
        <f t="shared" si="75"/>
        <v>-5.4499999999952536E-5</v>
      </c>
      <c r="AL107" s="5">
        <f t="shared" si="75"/>
        <v>-1.6186000000001574E-3</v>
      </c>
      <c r="AM107" s="5"/>
      <c r="AN107" s="5"/>
      <c r="AO107" s="5"/>
      <c r="AP107" s="5"/>
      <c r="AQ107" s="5"/>
      <c r="AR107" s="5"/>
      <c r="AS107" s="5"/>
      <c r="AT107" s="5"/>
      <c r="AU107" s="5"/>
      <c r="AV107" s="5">
        <f t="shared" si="76"/>
        <v>2046</v>
      </c>
      <c r="AW107" s="3">
        <f t="shared" si="77"/>
        <v>-0.46369883450674076</v>
      </c>
      <c r="AX107" s="3">
        <f t="shared" si="78"/>
        <v>-0.27516479295967544</v>
      </c>
      <c r="AY107" s="3">
        <f t="shared" si="79"/>
        <v>-3.1683559142702926E-2</v>
      </c>
      <c r="AZ107" s="3">
        <f t="shared" si="80"/>
        <v>-0.55184129692349215</v>
      </c>
      <c r="BA107" s="3">
        <f t="shared" si="81"/>
        <v>-0.44013776334964283</v>
      </c>
      <c r="BB107" s="3">
        <f t="shared" si="82"/>
        <v>-0.2551230466408716</v>
      </c>
      <c r="BC107" s="3">
        <f t="shared" si="83"/>
        <v>-4.1533838511076365E-2</v>
      </c>
      <c r="BD107" s="3">
        <f t="shared" si="84"/>
        <v>-0.57999296886513596</v>
      </c>
      <c r="BE107" s="3">
        <f t="shared" si="85"/>
        <v>-0.32947644012598248</v>
      </c>
      <c r="BF107" s="3">
        <f t="shared" si="86"/>
        <v>-0.18526638205656609</v>
      </c>
      <c r="BG107" s="3">
        <f t="shared" si="87"/>
        <v>4.2871307636342955E-2</v>
      </c>
      <c r="BH107" s="3">
        <f t="shared" si="88"/>
        <v>-0.55943143014686136</v>
      </c>
      <c r="BI107" s="3">
        <f t="shared" si="89"/>
        <v>-0.35303751128307631</v>
      </c>
      <c r="BJ107" s="3">
        <f t="shared" si="90"/>
        <v>-0.20530812837536749</v>
      </c>
      <c r="BK107" s="3">
        <f t="shared" si="91"/>
        <v>5.2721587004717262E-2</v>
      </c>
      <c r="BL107" s="3">
        <f t="shared" si="92"/>
        <v>-0.531279758205212</v>
      </c>
      <c r="BM107" s="2">
        <v>0</v>
      </c>
    </row>
    <row r="108" spans="1:65" x14ac:dyDescent="0.35">
      <c r="A108">
        <f t="shared" si="74"/>
        <v>105</v>
      </c>
      <c r="B108">
        <v>7.5277E-3</v>
      </c>
      <c r="C108">
        <v>2.2209E-3</v>
      </c>
      <c r="D108">
        <v>7.2449999999999999E-4</v>
      </c>
      <c r="E108">
        <v>1.20442E-2</v>
      </c>
      <c r="F108">
        <v>4.0778000000000003E-3</v>
      </c>
      <c r="G108">
        <v>1.4909000000000001E-3</v>
      </c>
      <c r="H108">
        <v>3.591E-4</v>
      </c>
      <c r="I108">
        <v>1.1195699999999999E-2</v>
      </c>
      <c r="J108">
        <v>3.0788804000000001</v>
      </c>
      <c r="K108">
        <v>0.99843440000000006</v>
      </c>
      <c r="L108">
        <v>0.55221240000000005</v>
      </c>
      <c r="M108">
        <v>5.7324957000000003</v>
      </c>
      <c r="N108">
        <v>3.0681020999999999</v>
      </c>
      <c r="O108">
        <v>0.99637730000000002</v>
      </c>
      <c r="P108">
        <v>0.55260779999999998</v>
      </c>
      <c r="Q108">
        <v>5.7031751000000002</v>
      </c>
      <c r="R108">
        <v>3.0906913999999999</v>
      </c>
      <c r="S108">
        <v>1.0019087</v>
      </c>
      <c r="T108">
        <v>0.55328379999999999</v>
      </c>
      <c r="U108">
        <v>5.7495697000000003</v>
      </c>
      <c r="V108">
        <v>3.0771784000000002</v>
      </c>
      <c r="W108">
        <v>0.99931910000000002</v>
      </c>
      <c r="X108">
        <v>0.55326180000000003</v>
      </c>
      <c r="Y108">
        <v>5.7178405999999997</v>
      </c>
      <c r="AA108" s="5">
        <f t="shared" si="72"/>
        <v>-3.4498999999999997E-3</v>
      </c>
      <c r="AB108" s="5">
        <f t="shared" si="72"/>
        <v>-7.2999999999999996E-4</v>
      </c>
      <c r="AC108" s="5">
        <f t="shared" si="72"/>
        <v>-3.6539999999999999E-4</v>
      </c>
      <c r="AD108" s="5">
        <f t="shared" si="72"/>
        <v>-8.485000000000003E-4</v>
      </c>
      <c r="AE108" s="5">
        <f t="shared" si="73"/>
        <v>-1.0778300000000129E-2</v>
      </c>
      <c r="AF108" s="5">
        <f t="shared" si="73"/>
        <v>-2.0571000000000339E-3</v>
      </c>
      <c r="AG108" s="5">
        <f t="shared" si="73"/>
        <v>3.9539999999993469E-4</v>
      </c>
      <c r="AH108" s="5">
        <f t="shared" si="73"/>
        <v>-2.9320600000000141E-2</v>
      </c>
      <c r="AI108" s="5">
        <f t="shared" si="75"/>
        <v>7.1520000000046408E-4</v>
      </c>
      <c r="AJ108" s="5">
        <f t="shared" si="75"/>
        <v>1.9750000000006394E-4</v>
      </c>
      <c r="AK108" s="5">
        <f t="shared" si="75"/>
        <v>-5.1999999999901192E-5</v>
      </c>
      <c r="AL108" s="5">
        <f t="shared" si="75"/>
        <v>-1.5600000000004777E-3</v>
      </c>
      <c r="AM108" s="5"/>
      <c r="AN108" s="5"/>
      <c r="AO108" s="5"/>
      <c r="AP108" s="5"/>
      <c r="AQ108" s="5"/>
      <c r="AR108" s="5"/>
      <c r="AS108" s="5"/>
      <c r="AT108" s="5"/>
      <c r="AU108" s="5"/>
      <c r="AV108" s="5">
        <f t="shared" si="76"/>
        <v>2046.25</v>
      </c>
      <c r="AW108" s="3">
        <f t="shared" si="77"/>
        <v>-0.46035654028739748</v>
      </c>
      <c r="AX108" s="3">
        <f t="shared" si="78"/>
        <v>-0.27817903966699098</v>
      </c>
      <c r="AY108" s="3">
        <f t="shared" si="79"/>
        <v>5.4221721293727923E-3</v>
      </c>
      <c r="AZ108" s="3">
        <f t="shared" si="80"/>
        <v>-0.52471926725229789</v>
      </c>
      <c r="BA108" s="3">
        <f t="shared" si="81"/>
        <v>-0.43721608698945696</v>
      </c>
      <c r="BB108" s="3">
        <f t="shared" si="82"/>
        <v>-0.25846666467712776</v>
      </c>
      <c r="BC108" s="3">
        <f t="shared" si="83"/>
        <v>-3.9762595615426459E-3</v>
      </c>
      <c r="BD108" s="3">
        <f t="shared" si="84"/>
        <v>-0.55185173248705233</v>
      </c>
      <c r="BE108" s="3">
        <f t="shared" si="85"/>
        <v>-0.32559381373370205</v>
      </c>
      <c r="BF108" s="3">
        <f t="shared" si="86"/>
        <v>-0.18560573433487115</v>
      </c>
      <c r="BG108" s="3">
        <f t="shared" si="87"/>
        <v>6.206579697435452E-2</v>
      </c>
      <c r="BH108" s="3">
        <f t="shared" si="88"/>
        <v>-0.53709410636417865</v>
      </c>
      <c r="BI108" s="3">
        <f t="shared" si="89"/>
        <v>-0.34873426703164639</v>
      </c>
      <c r="BJ108" s="3">
        <f t="shared" si="90"/>
        <v>-0.20531810932473529</v>
      </c>
      <c r="BK108" s="3">
        <f t="shared" si="91"/>
        <v>7.1464228665277157E-2</v>
      </c>
      <c r="BL108" s="3">
        <f t="shared" si="92"/>
        <v>-0.50996164112942466</v>
      </c>
      <c r="BM108" s="2">
        <v>0</v>
      </c>
    </row>
    <row r="109" spans="1:65" x14ac:dyDescent="0.35">
      <c r="A109">
        <f t="shared" si="74"/>
        <v>106</v>
      </c>
      <c r="B109">
        <v>7.9121E-3</v>
      </c>
      <c r="C109">
        <v>2.4310999999999998E-3</v>
      </c>
      <c r="D109">
        <v>2.7109E-3</v>
      </c>
      <c r="E109">
        <v>1.2144E-2</v>
      </c>
      <c r="F109">
        <v>3.9832000000000001E-3</v>
      </c>
      <c r="G109">
        <v>1.4425E-3</v>
      </c>
      <c r="H109">
        <v>4.2709999999999997E-4</v>
      </c>
      <c r="I109">
        <v>1.1129500000000001E-2</v>
      </c>
      <c r="J109">
        <v>3.0785452000000002</v>
      </c>
      <c r="K109">
        <v>0.99823930000000005</v>
      </c>
      <c r="L109">
        <v>0.55023460000000002</v>
      </c>
      <c r="M109">
        <v>5.7325834999999996</v>
      </c>
      <c r="N109">
        <v>3.0679354999999999</v>
      </c>
      <c r="O109">
        <v>0.99620019999999998</v>
      </c>
      <c r="P109">
        <v>0.55208170000000001</v>
      </c>
      <c r="Q109">
        <v>5.7047163999999997</v>
      </c>
      <c r="R109">
        <v>3.0906913999999999</v>
      </c>
      <c r="S109">
        <v>1.0019087</v>
      </c>
      <c r="T109">
        <v>0.55328379999999999</v>
      </c>
      <c r="U109">
        <v>5.7495697000000003</v>
      </c>
      <c r="V109">
        <v>3.0768558000000001</v>
      </c>
      <c r="W109">
        <v>0.99907520000000005</v>
      </c>
      <c r="X109">
        <v>0.5528014</v>
      </c>
      <c r="Y109">
        <v>5.7191858</v>
      </c>
      <c r="AA109" s="5">
        <f t="shared" si="72"/>
        <v>-3.9288999999999999E-3</v>
      </c>
      <c r="AB109" s="5">
        <f t="shared" si="72"/>
        <v>-9.8859999999999985E-4</v>
      </c>
      <c r="AC109" s="5">
        <f t="shared" si="72"/>
        <v>-2.2837999999999999E-3</v>
      </c>
      <c r="AD109" s="5">
        <f t="shared" si="72"/>
        <v>-1.0144999999999998E-3</v>
      </c>
      <c r="AE109" s="5">
        <f t="shared" si="73"/>
        <v>-1.0609700000000277E-2</v>
      </c>
      <c r="AF109" s="5">
        <f t="shared" si="73"/>
        <v>-2.0391000000000714E-3</v>
      </c>
      <c r="AG109" s="5">
        <f t="shared" si="73"/>
        <v>1.8470999999999904E-3</v>
      </c>
      <c r="AH109" s="5">
        <f t="shared" si="73"/>
        <v>-2.7867099999999922E-2</v>
      </c>
      <c r="AI109" s="5">
        <f t="shared" si="75"/>
        <v>7.0300000000055041E-4</v>
      </c>
      <c r="AJ109" s="5">
        <f t="shared" si="75"/>
        <v>1.9420000000013819E-4</v>
      </c>
      <c r="AK109" s="5">
        <f t="shared" si="75"/>
        <v>-4.5699999999984468E-5</v>
      </c>
      <c r="AL109" s="5">
        <f t="shared" si="75"/>
        <v>-1.5023000000004283E-3</v>
      </c>
      <c r="AM109" s="5"/>
      <c r="AN109" s="5"/>
      <c r="AO109" s="5"/>
      <c r="AP109" s="5"/>
      <c r="AQ109" s="5"/>
      <c r="AR109" s="5"/>
      <c r="AS109" s="5"/>
      <c r="AT109" s="5"/>
      <c r="AU109" s="5"/>
      <c r="AV109" s="5">
        <f t="shared" si="76"/>
        <v>2046.5</v>
      </c>
      <c r="AW109" s="3">
        <f t="shared" si="77"/>
        <v>-0.47039960055540575</v>
      </c>
      <c r="AX109" s="3">
        <f t="shared" si="78"/>
        <v>-0.30219320383185327</v>
      </c>
      <c r="AY109" s="3">
        <f t="shared" si="79"/>
        <v>-7.8928752296743454E-2</v>
      </c>
      <c r="AZ109" s="3">
        <f t="shared" si="80"/>
        <v>-0.50232628713066863</v>
      </c>
      <c r="BA109" s="3">
        <f t="shared" si="81"/>
        <v>-0.44765388094067649</v>
      </c>
      <c r="BB109" s="3">
        <f t="shared" si="82"/>
        <v>-0.28281020017092706</v>
      </c>
      <c r="BC109" s="3">
        <f t="shared" si="83"/>
        <v>-8.7188527840503183E-2</v>
      </c>
      <c r="BD109" s="3">
        <f t="shared" si="84"/>
        <v>-0.52845519900385507</v>
      </c>
      <c r="BE109" s="3">
        <f t="shared" si="85"/>
        <v>-0.32053345733578298</v>
      </c>
      <c r="BF109" s="3">
        <f t="shared" si="86"/>
        <v>-0.18413853477867176</v>
      </c>
      <c r="BG109" s="3">
        <f t="shared" si="87"/>
        <v>0.32558336246243846</v>
      </c>
      <c r="BH109" s="3">
        <f t="shared" si="88"/>
        <v>-0.51081040029830771</v>
      </c>
      <c r="BI109" s="3">
        <f t="shared" si="89"/>
        <v>-0.34327917695051269</v>
      </c>
      <c r="BJ109" s="3">
        <f t="shared" si="90"/>
        <v>-0.20352153843958748</v>
      </c>
      <c r="BK109" s="3">
        <f t="shared" si="91"/>
        <v>0.33384313800620774</v>
      </c>
      <c r="BL109" s="3">
        <f t="shared" si="92"/>
        <v>-0.48468148842512371</v>
      </c>
      <c r="BM109" s="2">
        <v>0</v>
      </c>
    </row>
    <row r="110" spans="1:65" x14ac:dyDescent="0.35">
      <c r="A110">
        <f t="shared" si="74"/>
        <v>107</v>
      </c>
      <c r="B110">
        <v>8.1539000000000004E-3</v>
      </c>
      <c r="C110">
        <v>2.5544999999999999E-3</v>
      </c>
      <c r="D110">
        <v>2.7972000000000001E-3</v>
      </c>
      <c r="E110">
        <v>1.23985E-2</v>
      </c>
      <c r="F110">
        <v>3.901E-3</v>
      </c>
      <c r="G110">
        <v>1.3998000000000001E-3</v>
      </c>
      <c r="H110">
        <v>4.839E-4</v>
      </c>
      <c r="I110">
        <v>1.1084200000000001E-2</v>
      </c>
      <c r="J110">
        <v>3.0783523000000002</v>
      </c>
      <c r="K110">
        <v>0.99813099999999999</v>
      </c>
      <c r="L110">
        <v>0.5501568</v>
      </c>
      <c r="M110">
        <v>5.7325103000000004</v>
      </c>
      <c r="N110">
        <v>3.0679585</v>
      </c>
      <c r="O110">
        <v>0.99611780000000005</v>
      </c>
      <c r="P110">
        <v>0.55215340000000002</v>
      </c>
      <c r="Q110">
        <v>5.7060589999999998</v>
      </c>
      <c r="R110">
        <v>3.0906913999999999</v>
      </c>
      <c r="S110">
        <v>1.0019087</v>
      </c>
      <c r="T110">
        <v>0.55328379999999999</v>
      </c>
      <c r="U110">
        <v>5.7495697000000003</v>
      </c>
      <c r="V110">
        <v>3.0767357999999998</v>
      </c>
      <c r="W110">
        <v>0.99893189999999998</v>
      </c>
      <c r="X110">
        <v>0.55292370000000002</v>
      </c>
      <c r="Y110">
        <v>5.7203575000000004</v>
      </c>
      <c r="AA110" s="5">
        <f t="shared" si="72"/>
        <v>-4.2529000000000004E-3</v>
      </c>
      <c r="AB110" s="5">
        <f t="shared" si="72"/>
        <v>-1.1546999999999998E-3</v>
      </c>
      <c r="AC110" s="5">
        <f t="shared" si="72"/>
        <v>-2.3132999999999999E-3</v>
      </c>
      <c r="AD110" s="5">
        <f t="shared" si="72"/>
        <v>-1.3142999999999991E-3</v>
      </c>
      <c r="AE110" s="5">
        <f t="shared" si="73"/>
        <v>-1.039380000000012E-2</v>
      </c>
      <c r="AF110" s="5">
        <f t="shared" si="73"/>
        <v>-2.0131999999999373E-3</v>
      </c>
      <c r="AG110" s="5">
        <f t="shared" si="73"/>
        <v>1.996600000000015E-3</v>
      </c>
      <c r="AH110" s="5">
        <f t="shared" si="73"/>
        <v>-2.6451300000000622E-2</v>
      </c>
      <c r="AI110" s="5">
        <f t="shared" si="75"/>
        <v>6.9110000000005209E-4</v>
      </c>
      <c r="AJ110" s="5">
        <f t="shared" si="75"/>
        <v>1.9109999999993542E-4</v>
      </c>
      <c r="AK110" s="5">
        <f t="shared" si="75"/>
        <v>-4.3399999999989454E-5</v>
      </c>
      <c r="AL110" s="5">
        <f t="shared" si="75"/>
        <v>-1.4465999999992915E-3</v>
      </c>
      <c r="AM110" s="5"/>
      <c r="AN110" s="5"/>
      <c r="AO110" s="5"/>
      <c r="AP110" s="5"/>
      <c r="AQ110" s="5"/>
      <c r="AR110" s="5"/>
      <c r="AS110" s="5"/>
      <c r="AT110" s="5"/>
      <c r="AU110" s="5"/>
      <c r="AV110" s="5">
        <f t="shared" si="76"/>
        <v>2046.75</v>
      </c>
      <c r="AW110" s="3">
        <f t="shared" si="77"/>
        <v>-0.47389719983043666</v>
      </c>
      <c r="AX110" s="3">
        <f t="shared" si="78"/>
        <v>-0.31618649483729772</v>
      </c>
      <c r="AY110" s="3">
        <f t="shared" si="79"/>
        <v>-5.7240063779200642E-2</v>
      </c>
      <c r="AZ110" s="3">
        <f t="shared" si="80"/>
        <v>-0.48291613892428542</v>
      </c>
      <c r="BA110" s="3">
        <f t="shared" si="81"/>
        <v>-0.45153650733295692</v>
      </c>
      <c r="BB110" s="3">
        <f t="shared" si="82"/>
        <v>-0.29711290060661233</v>
      </c>
      <c r="BC110" s="3">
        <f t="shared" si="83"/>
        <v>-6.5084139459708437E-2</v>
      </c>
      <c r="BD110" s="3">
        <f t="shared" si="84"/>
        <v>-0.5080762826477242</v>
      </c>
      <c r="BE110" s="3">
        <f t="shared" si="85"/>
        <v>-0.31393299246893636</v>
      </c>
      <c r="BF110" s="3">
        <f t="shared" si="86"/>
        <v>-0.18186287832414758</v>
      </c>
      <c r="BG110" s="3">
        <f t="shared" si="87"/>
        <v>0.35301955343713087</v>
      </c>
      <c r="BH110" s="3">
        <f t="shared" si="88"/>
        <v>-0.48521718068745456</v>
      </c>
      <c r="BI110" s="3">
        <f t="shared" si="89"/>
        <v>-0.33629368496641621</v>
      </c>
      <c r="BJ110" s="3">
        <f t="shared" si="90"/>
        <v>-0.20093647255482833</v>
      </c>
      <c r="BK110" s="3">
        <f t="shared" si="91"/>
        <v>0.36086362911764541</v>
      </c>
      <c r="BL110" s="3">
        <f t="shared" si="92"/>
        <v>-0.46005703696401179</v>
      </c>
      <c r="BM110" s="2">
        <v>0</v>
      </c>
    </row>
    <row r="111" spans="1:65" x14ac:dyDescent="0.35">
      <c r="A111">
        <f t="shared" si="74"/>
        <v>108</v>
      </c>
      <c r="B111">
        <v>8.3957000000000007E-3</v>
      </c>
      <c r="C111">
        <v>2.6737000000000002E-3</v>
      </c>
      <c r="D111">
        <v>2.6331000000000002E-3</v>
      </c>
      <c r="E111">
        <v>1.2625000000000001E-2</v>
      </c>
      <c r="F111">
        <v>3.8292000000000001E-3</v>
      </c>
      <c r="G111">
        <v>1.3621E-3</v>
      </c>
      <c r="H111">
        <v>5.2309999999999998E-4</v>
      </c>
      <c r="I111">
        <v>1.1051800000000001E-2</v>
      </c>
      <c r="J111">
        <v>3.0781589999999999</v>
      </c>
      <c r="K111">
        <v>0.99802670000000004</v>
      </c>
      <c r="L111">
        <v>0.55032910000000002</v>
      </c>
      <c r="M111">
        <v>5.7324593000000004</v>
      </c>
      <c r="N111">
        <v>3.0679813</v>
      </c>
      <c r="O111">
        <v>0.99603870000000005</v>
      </c>
      <c r="P111">
        <v>0.55028259999999996</v>
      </c>
      <c r="Q111">
        <v>5.7065334999999999</v>
      </c>
      <c r="R111">
        <v>3.0906913999999999</v>
      </c>
      <c r="S111">
        <v>1.0019087</v>
      </c>
      <c r="T111">
        <v>0.55328379999999999</v>
      </c>
      <c r="U111">
        <v>5.7495697000000003</v>
      </c>
      <c r="V111">
        <v>3.0766266999999998</v>
      </c>
      <c r="W111">
        <v>0.99879709999999999</v>
      </c>
      <c r="X111">
        <v>0.55108380000000001</v>
      </c>
      <c r="Y111">
        <v>5.7206777000000004</v>
      </c>
      <c r="AA111" s="5">
        <f t="shared" si="72"/>
        <v>-4.5665000000000011E-3</v>
      </c>
      <c r="AB111" s="5">
        <f t="shared" si="72"/>
        <v>-1.3116000000000002E-3</v>
      </c>
      <c r="AC111" s="5">
        <f t="shared" si="72"/>
        <v>-2.1100000000000003E-3</v>
      </c>
      <c r="AD111" s="5">
        <f t="shared" si="72"/>
        <v>-1.5732000000000003E-3</v>
      </c>
      <c r="AE111" s="5">
        <f t="shared" si="73"/>
        <v>-1.0177699999999845E-2</v>
      </c>
      <c r="AF111" s="5">
        <f t="shared" si="73"/>
        <v>-1.9879999999999898E-3</v>
      </c>
      <c r="AG111" s="5">
        <f t="shared" si="73"/>
        <v>-4.6500000000060382E-5</v>
      </c>
      <c r="AH111" s="5">
        <f t="shared" si="73"/>
        <v>-2.5925800000000443E-2</v>
      </c>
      <c r="AI111" s="5">
        <f t="shared" si="75"/>
        <v>6.7949999999980526E-4</v>
      </c>
      <c r="AJ111" s="5">
        <f t="shared" si="75"/>
        <v>1.8799999999999806E-4</v>
      </c>
      <c r="AK111" s="5">
        <f t="shared" si="75"/>
        <v>-4.3499999999919037E-5</v>
      </c>
      <c r="AL111" s="5">
        <f t="shared" si="75"/>
        <v>-1.3929999999994745E-3</v>
      </c>
      <c r="AM111" s="5"/>
      <c r="AN111" s="5"/>
      <c r="AO111" s="5"/>
      <c r="AP111" s="5"/>
      <c r="AQ111" s="5"/>
      <c r="AR111" s="5"/>
      <c r="AS111" s="5"/>
      <c r="AT111" s="5"/>
      <c r="AU111" s="5"/>
      <c r="AV111" s="5">
        <f t="shared" si="76"/>
        <v>2047</v>
      </c>
      <c r="AW111" s="3">
        <f t="shared" si="77"/>
        <v>-0.47705183377414673</v>
      </c>
      <c r="AX111" s="3">
        <f t="shared" si="78"/>
        <v>-0.32933140514699499</v>
      </c>
      <c r="AY111" s="3">
        <f t="shared" si="79"/>
        <v>-0.38976380656727355</v>
      </c>
      <c r="AZ111" s="3">
        <f t="shared" si="80"/>
        <v>-0.47827927018608785</v>
      </c>
      <c r="BA111" s="3">
        <f t="shared" si="81"/>
        <v>-0.45506646182792759</v>
      </c>
      <c r="BB111" s="3">
        <f t="shared" si="82"/>
        <v>-0.31056722034652379</v>
      </c>
      <c r="BC111" s="3">
        <f t="shared" si="83"/>
        <v>-0.39762595615486662</v>
      </c>
      <c r="BD111" s="3">
        <f t="shared" si="84"/>
        <v>-0.50250717023223346</v>
      </c>
      <c r="BE111" s="3">
        <f t="shared" si="85"/>
        <v>-0.30731634999210539</v>
      </c>
      <c r="BF111" s="3">
        <f t="shared" si="86"/>
        <v>-0.1796570885151535</v>
      </c>
      <c r="BG111" s="3">
        <f t="shared" si="87"/>
        <v>-1.626651638816002E-2</v>
      </c>
      <c r="BH111" s="3">
        <f t="shared" si="88"/>
        <v>-0.47514512259934433</v>
      </c>
      <c r="BI111" s="3">
        <f t="shared" si="89"/>
        <v>-0.32930172193832896</v>
      </c>
      <c r="BJ111" s="3">
        <f t="shared" si="90"/>
        <v>-0.19842127331562145</v>
      </c>
      <c r="BK111" s="3">
        <f t="shared" si="91"/>
        <v>-8.4043668005570338E-3</v>
      </c>
      <c r="BL111" s="3">
        <f t="shared" si="92"/>
        <v>-0.45091722255320155</v>
      </c>
      <c r="BM111" s="2">
        <v>0</v>
      </c>
    </row>
    <row r="112" spans="1:65" x14ac:dyDescent="0.35">
      <c r="A112">
        <f t="shared" si="74"/>
        <v>109</v>
      </c>
      <c r="B112">
        <v>8.5967000000000005E-3</v>
      </c>
      <c r="C112">
        <v>2.7721E-3</v>
      </c>
      <c r="D112">
        <v>2.4491000000000001E-3</v>
      </c>
      <c r="E112">
        <v>1.2796E-2</v>
      </c>
      <c r="F112">
        <v>3.7651E-3</v>
      </c>
      <c r="G112">
        <v>1.328E-3</v>
      </c>
      <c r="H112">
        <v>5.6820000000000004E-4</v>
      </c>
      <c r="I112">
        <v>1.1034499999999999E-2</v>
      </c>
      <c r="J112">
        <v>3.0780061999999999</v>
      </c>
      <c r="K112">
        <v>0.99794300000000002</v>
      </c>
      <c r="L112">
        <v>0.55052109999999999</v>
      </c>
      <c r="M112">
        <v>5.7324580000000003</v>
      </c>
      <c r="N112">
        <v>3.0678554</v>
      </c>
      <c r="O112">
        <v>0.99590259999999997</v>
      </c>
      <c r="P112">
        <v>0.55061660000000001</v>
      </c>
      <c r="Q112">
        <v>5.7072148</v>
      </c>
      <c r="R112">
        <v>3.0906913999999999</v>
      </c>
      <c r="S112">
        <v>1.0019087</v>
      </c>
      <c r="T112">
        <v>0.55328379999999999</v>
      </c>
      <c r="U112">
        <v>5.7495697000000003</v>
      </c>
      <c r="V112">
        <v>3.0763771000000002</v>
      </c>
      <c r="W112">
        <v>0.99860899999999997</v>
      </c>
      <c r="X112">
        <v>0.55145379999999999</v>
      </c>
      <c r="Y112">
        <v>5.7212236000000001</v>
      </c>
      <c r="AA112" s="5">
        <f t="shared" si="72"/>
        <v>-4.8316000000000001E-3</v>
      </c>
      <c r="AB112" s="5">
        <f t="shared" si="72"/>
        <v>-1.4441E-3</v>
      </c>
      <c r="AC112" s="5">
        <f t="shared" si="72"/>
        <v>-1.8809E-3</v>
      </c>
      <c r="AD112" s="5">
        <f t="shared" si="72"/>
        <v>-1.7615000000000009E-3</v>
      </c>
      <c r="AE112" s="5">
        <f t="shared" si="73"/>
        <v>-1.0150799999999904E-2</v>
      </c>
      <c r="AF112" s="5">
        <f t="shared" si="73"/>
        <v>-2.0404000000000533E-3</v>
      </c>
      <c r="AG112" s="5">
        <f t="shared" si="73"/>
        <v>9.550000000002612E-5</v>
      </c>
      <c r="AH112" s="5">
        <f t="shared" si="73"/>
        <v>-2.5243200000000243E-2</v>
      </c>
      <c r="AI112" s="5">
        <f t="shared" si="75"/>
        <v>6.6810000000023552E-4</v>
      </c>
      <c r="AJ112" s="5">
        <f t="shared" si="75"/>
        <v>1.8480000000003702E-4</v>
      </c>
      <c r="AK112" s="5">
        <f t="shared" si="75"/>
        <v>-4.4600000000024394E-5</v>
      </c>
      <c r="AL112" s="5">
        <f t="shared" si="75"/>
        <v>-1.3414000000000204E-3</v>
      </c>
      <c r="AM112" s="5"/>
      <c r="AN112" s="5"/>
      <c r="AO112" s="5"/>
      <c r="AP112" s="5"/>
      <c r="AQ112" s="5"/>
      <c r="AR112" s="5"/>
      <c r="AS112" s="5"/>
      <c r="AT112" s="5"/>
      <c r="AU112" s="5"/>
      <c r="AV112" s="5">
        <f t="shared" si="76"/>
        <v>2047.25</v>
      </c>
      <c r="AW112" s="3">
        <f t="shared" si="77"/>
        <v>-0.48475884716280332</v>
      </c>
      <c r="AX112" s="3">
        <f t="shared" si="78"/>
        <v>-0.34778618051725207</v>
      </c>
      <c r="AY112" s="3">
        <f t="shared" si="79"/>
        <v>-0.32269153732677047</v>
      </c>
      <c r="AZ112" s="3">
        <f t="shared" si="80"/>
        <v>-0.46968210507997216</v>
      </c>
      <c r="BA112" s="3">
        <f t="shared" si="81"/>
        <v>-0.46314232472383587</v>
      </c>
      <c r="BB112" s="3">
        <f t="shared" si="82"/>
        <v>-0.32934138609635955</v>
      </c>
      <c r="BC112" s="3">
        <f t="shared" si="83"/>
        <v>-0.33075249989245997</v>
      </c>
      <c r="BD112" s="3">
        <f t="shared" si="84"/>
        <v>-0.49301254666067029</v>
      </c>
      <c r="BE112" s="3">
        <f t="shared" si="85"/>
        <v>-0.30681484408309129</v>
      </c>
      <c r="BF112" s="3">
        <f t="shared" si="86"/>
        <v>-0.18520649636040373</v>
      </c>
      <c r="BG112" s="3">
        <f t="shared" si="87"/>
        <v>9.1996187128495117E-3</v>
      </c>
      <c r="BH112" s="3">
        <f t="shared" si="88"/>
        <v>-0.46237547133310708</v>
      </c>
      <c r="BI112" s="3">
        <f t="shared" si="89"/>
        <v>-0.32843136652206378</v>
      </c>
      <c r="BJ112" s="3">
        <f t="shared" si="90"/>
        <v>-0.20365129078129107</v>
      </c>
      <c r="BK112" s="3">
        <f t="shared" si="91"/>
        <v>1.726058127854568E-2</v>
      </c>
      <c r="BL112" s="3">
        <f t="shared" si="92"/>
        <v>-0.43904502975240461</v>
      </c>
      <c r="BM112" s="2">
        <v>0</v>
      </c>
    </row>
    <row r="113" spans="1:65" x14ac:dyDescent="0.35">
      <c r="A113">
        <f t="shared" si="74"/>
        <v>110</v>
      </c>
      <c r="B113">
        <v>8.7682999999999997E-3</v>
      </c>
      <c r="C113">
        <v>2.8563E-3</v>
      </c>
      <c r="D113">
        <v>2.3154999999999999E-3</v>
      </c>
      <c r="E113">
        <v>1.29249E-2</v>
      </c>
      <c r="F113">
        <v>3.7088999999999998E-3</v>
      </c>
      <c r="G113">
        <v>1.2976999999999999E-3</v>
      </c>
      <c r="H113">
        <v>6.0240000000000001E-4</v>
      </c>
      <c r="I113">
        <v>1.1027500000000001E-2</v>
      </c>
      <c r="J113">
        <v>3.0778824999999999</v>
      </c>
      <c r="K113">
        <v>0.99787340000000002</v>
      </c>
      <c r="L113">
        <v>0.5506626</v>
      </c>
      <c r="M113">
        <v>5.7324931000000001</v>
      </c>
      <c r="N113">
        <v>3.0678019000000001</v>
      </c>
      <c r="O113">
        <v>0.99581330000000001</v>
      </c>
      <c r="P113">
        <v>0.55047360000000001</v>
      </c>
      <c r="Q113">
        <v>5.7077916000000002</v>
      </c>
      <c r="R113">
        <v>3.0906913999999999</v>
      </c>
      <c r="S113">
        <v>1.0019087</v>
      </c>
      <c r="T113">
        <v>0.55328379999999999</v>
      </c>
      <c r="U113">
        <v>5.7495697000000003</v>
      </c>
      <c r="V113">
        <v>3.0762082999999998</v>
      </c>
      <c r="W113">
        <v>0.99847180000000002</v>
      </c>
      <c r="X113">
        <v>0.55133710000000002</v>
      </c>
      <c r="Y113">
        <v>5.7216788000000003</v>
      </c>
      <c r="AA113" s="5">
        <f t="shared" si="72"/>
        <v>-5.0594000000000004E-3</v>
      </c>
      <c r="AB113" s="5">
        <f t="shared" si="72"/>
        <v>-1.5586E-3</v>
      </c>
      <c r="AC113" s="5">
        <f t="shared" si="72"/>
        <v>-1.7131E-3</v>
      </c>
      <c r="AD113" s="5">
        <f t="shared" si="72"/>
        <v>-1.8973999999999987E-3</v>
      </c>
      <c r="AE113" s="5">
        <f t="shared" si="73"/>
        <v>-1.0080599999999773E-2</v>
      </c>
      <c r="AF113" s="5">
        <f t="shared" si="73"/>
        <v>-2.0601000000000091E-3</v>
      </c>
      <c r="AG113" s="5">
        <f t="shared" si="73"/>
        <v>-1.8899999999999473E-4</v>
      </c>
      <c r="AH113" s="5">
        <f t="shared" si="73"/>
        <v>-2.4701499999999932E-2</v>
      </c>
      <c r="AI113" s="5">
        <f t="shared" si="75"/>
        <v>6.5689999999969141E-4</v>
      </c>
      <c r="AJ113" s="5">
        <f t="shared" si="75"/>
        <v>1.8180000000004443E-4</v>
      </c>
      <c r="AK113" s="5">
        <f t="shared" si="75"/>
        <v>-4.459999999997322E-5</v>
      </c>
      <c r="AL113" s="5">
        <f t="shared" si="75"/>
        <v>-1.2920000000001194E-3</v>
      </c>
      <c r="AM113" s="5"/>
      <c r="AN113" s="5"/>
      <c r="AO113" s="5"/>
      <c r="AP113" s="5"/>
      <c r="AQ113" s="5"/>
      <c r="AR113" s="5"/>
      <c r="AS113" s="5"/>
      <c r="AT113" s="5"/>
      <c r="AU113" s="5"/>
      <c r="AV113" s="5">
        <f t="shared" si="76"/>
        <v>2047.5</v>
      </c>
      <c r="AW113" s="3">
        <f t="shared" si="77"/>
        <v>-0.48985802982464616</v>
      </c>
      <c r="AX113" s="3">
        <f t="shared" si="78"/>
        <v>-0.36118061456098838</v>
      </c>
      <c r="AY113" s="3">
        <f t="shared" si="79"/>
        <v>-0.34378378691008027</v>
      </c>
      <c r="AZ113" s="3">
        <f t="shared" si="80"/>
        <v>-0.46262418559774882</v>
      </c>
      <c r="BA113" s="3">
        <f t="shared" si="81"/>
        <v>-0.46860388584897483</v>
      </c>
      <c r="BB113" s="3">
        <f t="shared" si="82"/>
        <v>-0.34303524862095369</v>
      </c>
      <c r="BC113" s="3">
        <f t="shared" si="83"/>
        <v>-0.35184474947576055</v>
      </c>
      <c r="BD113" s="3">
        <f t="shared" si="84"/>
        <v>-0.48509543244601505</v>
      </c>
      <c r="BE113" s="3">
        <f t="shared" si="85"/>
        <v>-0.30490588610691272</v>
      </c>
      <c r="BF113" s="3">
        <f t="shared" si="86"/>
        <v>-0.18747217186556014</v>
      </c>
      <c r="BG113" s="3">
        <f t="shared" si="87"/>
        <v>-4.2220646980798096E-2</v>
      </c>
      <c r="BH113" s="3">
        <f t="shared" si="88"/>
        <v>-0.45209470197396207</v>
      </c>
      <c r="BI113" s="3">
        <f t="shared" si="89"/>
        <v>-0.32616003008258193</v>
      </c>
      <c r="BJ113" s="3">
        <f t="shared" si="90"/>
        <v>-0.20561753780559139</v>
      </c>
      <c r="BK113" s="3">
        <f t="shared" si="91"/>
        <v>-3.4159684415121988E-2</v>
      </c>
      <c r="BL113" s="3">
        <f t="shared" si="92"/>
        <v>-0.42962345512569283</v>
      </c>
      <c r="BM113" s="2">
        <v>0</v>
      </c>
    </row>
    <row r="114" spans="1:65" x14ac:dyDescent="0.35">
      <c r="A114">
        <f t="shared" si="74"/>
        <v>111</v>
      </c>
      <c r="B114">
        <v>8.9162000000000009E-3</v>
      </c>
      <c r="C114">
        <v>2.9291999999999999E-3</v>
      </c>
      <c r="D114">
        <v>2.1941999999999999E-3</v>
      </c>
      <c r="E114">
        <v>1.3014100000000001E-2</v>
      </c>
      <c r="F114">
        <v>3.6589000000000001E-3</v>
      </c>
      <c r="G114">
        <v>1.2703E-3</v>
      </c>
      <c r="H114">
        <v>6.3089999999999999E-4</v>
      </c>
      <c r="I114">
        <v>1.10279E-2</v>
      </c>
      <c r="J114">
        <v>3.0777822000000001</v>
      </c>
      <c r="K114">
        <v>0.99781500000000001</v>
      </c>
      <c r="L114">
        <v>0.55079160000000005</v>
      </c>
      <c r="M114">
        <v>5.7325625000000002</v>
      </c>
      <c r="N114">
        <v>3.0677563000000001</v>
      </c>
      <c r="O114">
        <v>0.99573579999999995</v>
      </c>
      <c r="P114">
        <v>0.55033430000000005</v>
      </c>
      <c r="Q114">
        <v>5.7082743999999996</v>
      </c>
      <c r="R114">
        <v>3.0906913999999999</v>
      </c>
      <c r="S114">
        <v>1.0019087</v>
      </c>
      <c r="T114">
        <v>0.55328379999999999</v>
      </c>
      <c r="U114">
        <v>5.7495697000000003</v>
      </c>
      <c r="V114">
        <v>3.0760540999999999</v>
      </c>
      <c r="W114">
        <v>0.99834940000000005</v>
      </c>
      <c r="X114">
        <v>0.55121940000000003</v>
      </c>
      <c r="Y114">
        <v>5.7220512000000001</v>
      </c>
      <c r="AA114" s="5">
        <f t="shared" si="72"/>
        <v>-5.2573000000000012E-3</v>
      </c>
      <c r="AB114" s="5">
        <f t="shared" si="72"/>
        <v>-1.6588999999999998E-3</v>
      </c>
      <c r="AC114" s="5">
        <f t="shared" si="72"/>
        <v>-1.5632999999999999E-3</v>
      </c>
      <c r="AD114" s="5">
        <f t="shared" si="72"/>
        <v>-1.9862000000000005E-3</v>
      </c>
      <c r="AE114" s="5">
        <f t="shared" si="73"/>
        <v>-1.0025900000000032E-2</v>
      </c>
      <c r="AF114" s="5">
        <f t="shared" si="73"/>
        <v>-2.0792000000000588E-3</v>
      </c>
      <c r="AG114" s="5">
        <f t="shared" si="73"/>
        <v>-4.5729999999999382E-4</v>
      </c>
      <c r="AH114" s="5">
        <f t="shared" si="73"/>
        <v>-2.428810000000059E-2</v>
      </c>
      <c r="AI114" s="5">
        <f t="shared" si="75"/>
        <v>6.4590000000006899E-4</v>
      </c>
      <c r="AJ114" s="5">
        <f t="shared" si="75"/>
        <v>1.7880000000012643E-4</v>
      </c>
      <c r="AK114" s="5">
        <f t="shared" si="75"/>
        <v>-4.3799999999972333E-5</v>
      </c>
      <c r="AL114" s="5">
        <f t="shared" si="75"/>
        <v>-1.2441999999996331E-3</v>
      </c>
      <c r="AM114" s="5"/>
      <c r="AN114" s="5"/>
      <c r="AO114" s="5"/>
      <c r="AP114" s="5"/>
      <c r="AQ114" s="5"/>
      <c r="AR114" s="5"/>
      <c r="AS114" s="5"/>
      <c r="AT114" s="5"/>
      <c r="AU114" s="5"/>
      <c r="AV114" s="5">
        <f t="shared" si="76"/>
        <v>2047.75</v>
      </c>
      <c r="AW114" s="3">
        <f t="shared" si="77"/>
        <v>-0.49449129731942931</v>
      </c>
      <c r="AX114" s="3">
        <f t="shared" si="78"/>
        <v>-0.37309786809916501</v>
      </c>
      <c r="AY114" s="3">
        <f t="shared" si="79"/>
        <v>-0.36520136682114929</v>
      </c>
      <c r="AZ114" s="3">
        <f t="shared" si="80"/>
        <v>-0.45697854571622271</v>
      </c>
      <c r="BA114" s="3">
        <f t="shared" si="81"/>
        <v>-0.4735930607630372</v>
      </c>
      <c r="BB114" s="3">
        <f t="shared" si="82"/>
        <v>-0.35525193063998067</v>
      </c>
      <c r="BC114" s="3">
        <f t="shared" si="83"/>
        <v>-0.37311773813004578</v>
      </c>
      <c r="BD114" s="3">
        <f t="shared" si="84"/>
        <v>-0.47861842600151838</v>
      </c>
      <c r="BE114" s="3">
        <f t="shared" si="85"/>
        <v>-0.30349196299572861</v>
      </c>
      <c r="BF114" s="3">
        <f t="shared" si="86"/>
        <v>-0.18967796167455422</v>
      </c>
      <c r="BG114" s="3">
        <f t="shared" si="87"/>
        <v>-9.0568348467806412E-2</v>
      </c>
      <c r="BH114" s="3">
        <f t="shared" si="88"/>
        <v>-0.44407323212378941</v>
      </c>
      <c r="BI114" s="3">
        <f t="shared" si="89"/>
        <v>-0.32439019955211423</v>
      </c>
      <c r="BJ114" s="3">
        <f t="shared" si="90"/>
        <v>-0.20752389913372932</v>
      </c>
      <c r="BK114" s="3">
        <f t="shared" si="91"/>
        <v>-8.2651977158918047E-2</v>
      </c>
      <c r="BL114" s="3">
        <f t="shared" si="92"/>
        <v>-0.42243335183849656</v>
      </c>
      <c r="BM114" s="2">
        <v>0</v>
      </c>
    </row>
    <row r="115" spans="1:65" x14ac:dyDescent="0.35">
      <c r="A115">
        <f t="shared" si="74"/>
        <v>112</v>
      </c>
      <c r="B115">
        <v>9.0422999999999996E-3</v>
      </c>
      <c r="C115">
        <v>2.9918000000000002E-3</v>
      </c>
      <c r="D115">
        <v>2.1013E-3</v>
      </c>
      <c r="E115">
        <v>1.30746E-2</v>
      </c>
      <c r="F115">
        <v>3.6142000000000001E-3</v>
      </c>
      <c r="G115">
        <v>1.2455999999999999E-3</v>
      </c>
      <c r="H115">
        <v>6.5419999999999996E-4</v>
      </c>
      <c r="I115">
        <v>1.1033599999999999E-2</v>
      </c>
      <c r="J115">
        <v>3.0777032000000002</v>
      </c>
      <c r="K115">
        <v>0.99776679999999995</v>
      </c>
      <c r="L115">
        <v>0.55089200000000005</v>
      </c>
      <c r="M115">
        <v>5.7326550999999997</v>
      </c>
      <c r="N115">
        <v>3.0677094</v>
      </c>
      <c r="O115">
        <v>0.9956623</v>
      </c>
      <c r="P115">
        <v>0.55027429999999999</v>
      </c>
      <c r="Q115">
        <v>5.7086151000000003</v>
      </c>
      <c r="R115">
        <v>3.0906913999999999</v>
      </c>
      <c r="S115">
        <v>1.0019087</v>
      </c>
      <c r="T115">
        <v>0.55328379999999999</v>
      </c>
      <c r="U115">
        <v>5.7495697000000003</v>
      </c>
      <c r="V115">
        <v>3.0759042999999999</v>
      </c>
      <c r="W115">
        <v>0.99823379999999995</v>
      </c>
      <c r="X115">
        <v>0.55117720000000003</v>
      </c>
      <c r="Y115">
        <v>5.7222903000000001</v>
      </c>
      <c r="AA115" s="5">
        <f t="shared" si="72"/>
        <v>-5.4280999999999999E-3</v>
      </c>
      <c r="AB115" s="5">
        <f t="shared" si="72"/>
        <v>-1.7462000000000003E-3</v>
      </c>
      <c r="AC115" s="5">
        <f t="shared" si="72"/>
        <v>-1.4471E-3</v>
      </c>
      <c r="AD115" s="5">
        <f t="shared" si="72"/>
        <v>-2.0410000000000011E-3</v>
      </c>
      <c r="AE115" s="5">
        <f t="shared" si="73"/>
        <v>-9.9938000000001637E-3</v>
      </c>
      <c r="AF115" s="5">
        <f t="shared" si="73"/>
        <v>-2.1044999999999536E-3</v>
      </c>
      <c r="AG115" s="5">
        <f t="shared" si="73"/>
        <v>-6.1770000000005432E-4</v>
      </c>
      <c r="AH115" s="5">
        <f t="shared" si="73"/>
        <v>-2.4039999999999395E-2</v>
      </c>
      <c r="AI115" s="5">
        <f t="shared" si="75"/>
        <v>6.3480000000022165E-4</v>
      </c>
      <c r="AJ115" s="5">
        <f t="shared" si="75"/>
        <v>1.7579999999991743E-4</v>
      </c>
      <c r="AK115" s="5">
        <f t="shared" si="75"/>
        <v>-4.1799999999904414E-5</v>
      </c>
      <c r="AL115" s="5">
        <f t="shared" si="75"/>
        <v>-1.1984000000008904E-3</v>
      </c>
      <c r="AM115" s="5"/>
      <c r="AN115" s="5"/>
      <c r="AO115" s="5"/>
      <c r="AP115" s="5"/>
      <c r="AQ115" s="5"/>
      <c r="AR115" s="5"/>
      <c r="AS115" s="5"/>
      <c r="AT115" s="5"/>
      <c r="AU115" s="5"/>
      <c r="AV115" s="5">
        <f t="shared" si="76"/>
        <v>2048</v>
      </c>
      <c r="AW115" s="3">
        <f t="shared" si="77"/>
        <v>-0.49897896632449829</v>
      </c>
      <c r="AX115" s="3">
        <f t="shared" si="78"/>
        <v>-0.38433641708071348</v>
      </c>
      <c r="AY115" s="3">
        <f t="shared" si="79"/>
        <v>-0.37319003375845344</v>
      </c>
      <c r="AZ115" s="3">
        <f t="shared" si="80"/>
        <v>-0.45361655499192216</v>
      </c>
      <c r="BA115" s="3">
        <f t="shared" si="81"/>
        <v>-0.47843987270938609</v>
      </c>
      <c r="BB115" s="3">
        <f t="shared" si="82"/>
        <v>-0.36678990810240858</v>
      </c>
      <c r="BC115" s="3">
        <f t="shared" si="83"/>
        <v>-0.3807449269253787</v>
      </c>
      <c r="BD115" s="3">
        <f t="shared" si="84"/>
        <v>-0.474459853926117</v>
      </c>
      <c r="BE115" s="3">
        <f t="shared" si="85"/>
        <v>-0.30281250337707272</v>
      </c>
      <c r="BF115" s="3">
        <f t="shared" si="86"/>
        <v>-0.19250257034398499</v>
      </c>
      <c r="BG115" s="3">
        <f t="shared" si="87"/>
        <v>-0.11919741731095761</v>
      </c>
      <c r="BH115" s="3">
        <f t="shared" si="88"/>
        <v>-0.43896154524398762</v>
      </c>
      <c r="BI115" s="3">
        <f t="shared" si="89"/>
        <v>-0.32335159699218641</v>
      </c>
      <c r="BJ115" s="3">
        <f t="shared" si="90"/>
        <v>-0.21004907932229291</v>
      </c>
      <c r="BK115" s="3">
        <f t="shared" si="91"/>
        <v>-0.11164252414403862</v>
      </c>
      <c r="BL115" s="3">
        <f t="shared" si="92"/>
        <v>-0.41811824630979588</v>
      </c>
      <c r="BM115" s="2">
        <v>0</v>
      </c>
    </row>
    <row r="116" spans="1:65" x14ac:dyDescent="0.35">
      <c r="A116">
        <f t="shared" si="74"/>
        <v>113</v>
      </c>
      <c r="B116">
        <v>9.1512999999999994E-3</v>
      </c>
      <c r="C116">
        <v>3.0463E-3</v>
      </c>
      <c r="D116">
        <v>2.0249999999999999E-3</v>
      </c>
      <c r="E116">
        <v>1.3113400000000001E-2</v>
      </c>
      <c r="F116">
        <v>3.5739999999999999E-3</v>
      </c>
      <c r="G116">
        <v>1.2229999999999999E-3</v>
      </c>
      <c r="H116">
        <v>6.7369999999999995E-4</v>
      </c>
      <c r="I116">
        <v>1.10425E-2</v>
      </c>
      <c r="J116">
        <v>3.0776411000000001</v>
      </c>
      <c r="K116">
        <v>0.99772660000000002</v>
      </c>
      <c r="L116">
        <v>0.55097560000000001</v>
      </c>
      <c r="M116">
        <v>5.7327645</v>
      </c>
      <c r="N116">
        <v>3.0676635999999999</v>
      </c>
      <c r="O116">
        <v>0.99559209999999998</v>
      </c>
      <c r="P116">
        <v>0.54999980000000004</v>
      </c>
      <c r="Q116">
        <v>5.7087950999999997</v>
      </c>
      <c r="R116">
        <v>3.0906913999999999</v>
      </c>
      <c r="S116">
        <v>1.0019087</v>
      </c>
      <c r="T116">
        <v>0.55328379999999999</v>
      </c>
      <c r="U116">
        <v>5.7495697000000003</v>
      </c>
      <c r="V116">
        <v>3.0757607999999999</v>
      </c>
      <c r="W116">
        <v>0.99812400000000001</v>
      </c>
      <c r="X116">
        <v>0.5509155</v>
      </c>
      <c r="Y116">
        <v>5.7223755000000001</v>
      </c>
      <c r="AA116" s="5">
        <f t="shared" si="72"/>
        <v>-5.5772999999999994E-3</v>
      </c>
      <c r="AB116" s="5">
        <f t="shared" si="72"/>
        <v>-1.8233000000000001E-3</v>
      </c>
      <c r="AC116" s="5">
        <f t="shared" si="72"/>
        <v>-1.3512999999999999E-3</v>
      </c>
      <c r="AD116" s="5">
        <f t="shared" si="72"/>
        <v>-2.0709000000000005E-3</v>
      </c>
      <c r="AE116" s="5">
        <f t="shared" si="73"/>
        <v>-9.9775000000001945E-3</v>
      </c>
      <c r="AF116" s="5">
        <f t="shared" si="73"/>
        <v>-2.1345000000000391E-3</v>
      </c>
      <c r="AG116" s="5">
        <f t="shared" si="73"/>
        <v>-9.7579999999997113E-4</v>
      </c>
      <c r="AH116" s="5">
        <f t="shared" si="73"/>
        <v>-2.3969400000000363E-2</v>
      </c>
      <c r="AI116" s="5">
        <f t="shared" si="75"/>
        <v>6.2420000000017878E-4</v>
      </c>
      <c r="AJ116" s="5">
        <f t="shared" si="75"/>
        <v>1.7310000000006487E-4</v>
      </c>
      <c r="AK116" s="5">
        <f t="shared" si="75"/>
        <v>-4.1200000000018999E-5</v>
      </c>
      <c r="AL116" s="5">
        <f t="shared" si="75"/>
        <v>-1.1538999999999161E-3</v>
      </c>
      <c r="AM116" s="5"/>
      <c r="AN116" s="5"/>
      <c r="AO116" s="5"/>
      <c r="AP116" s="5"/>
      <c r="AQ116" s="5"/>
      <c r="AR116" s="5"/>
      <c r="AS116" s="5"/>
      <c r="AT116" s="5"/>
      <c r="AU116" s="5"/>
      <c r="AV116" s="5">
        <f t="shared" si="76"/>
        <v>2048.25</v>
      </c>
      <c r="AW116" s="3">
        <f t="shared" si="77"/>
        <v>-0.50327897505393759</v>
      </c>
      <c r="AX116" s="3">
        <f t="shared" si="78"/>
        <v>-0.3950260138473734</v>
      </c>
      <c r="AY116" s="3">
        <f t="shared" si="79"/>
        <v>-0.42059789207635773</v>
      </c>
      <c r="AZ116" s="3">
        <f t="shared" si="80"/>
        <v>-0.45290867593100681</v>
      </c>
      <c r="BA116" s="3">
        <f t="shared" si="81"/>
        <v>-0.48308284677014396</v>
      </c>
      <c r="BB116" s="3">
        <f t="shared" si="82"/>
        <v>-0.37774899050182659</v>
      </c>
      <c r="BC116" s="3">
        <f t="shared" si="83"/>
        <v>-0.42804434180071599</v>
      </c>
      <c r="BD116" s="3">
        <f t="shared" si="84"/>
        <v>-0.4729780039017577</v>
      </c>
      <c r="BE116" s="3">
        <f t="shared" si="85"/>
        <v>-0.30262807862343999</v>
      </c>
      <c r="BF116" s="3">
        <f t="shared" si="86"/>
        <v>-0.19576634078534322</v>
      </c>
      <c r="BG116" s="3">
        <f t="shared" si="87"/>
        <v>-0.18381163518612592</v>
      </c>
      <c r="BH116" s="3">
        <f t="shared" si="88"/>
        <v>-0.43695965630263817</v>
      </c>
      <c r="BI116" s="3">
        <f t="shared" si="89"/>
        <v>-0.32282420690723751</v>
      </c>
      <c r="BJ116" s="3">
        <f t="shared" si="90"/>
        <v>-0.21304336413088729</v>
      </c>
      <c r="BK116" s="3">
        <f t="shared" si="91"/>
        <v>-0.17636518546177768</v>
      </c>
      <c r="BL116" s="3">
        <f t="shared" si="92"/>
        <v>-0.41689032833188128</v>
      </c>
      <c r="BM116" s="2">
        <v>0</v>
      </c>
    </row>
    <row r="117" spans="1:65" x14ac:dyDescent="0.35">
      <c r="A117">
        <f t="shared" si="74"/>
        <v>114</v>
      </c>
      <c r="B117">
        <v>9.2458000000000002E-3</v>
      </c>
      <c r="C117">
        <v>3.094E-3</v>
      </c>
      <c r="D117">
        <v>1.9639000000000002E-3</v>
      </c>
      <c r="E117">
        <v>1.3136699999999999E-2</v>
      </c>
      <c r="F117">
        <v>3.5377E-3</v>
      </c>
      <c r="G117">
        <v>1.2022999999999999E-3</v>
      </c>
      <c r="H117">
        <v>6.9749999999999999E-4</v>
      </c>
      <c r="I117">
        <v>1.10562E-2</v>
      </c>
      <c r="J117">
        <v>3.0775929999999998</v>
      </c>
      <c r="K117">
        <v>0.99769300000000005</v>
      </c>
      <c r="L117">
        <v>0.55104379999999997</v>
      </c>
      <c r="M117">
        <v>5.7328842</v>
      </c>
      <c r="N117">
        <v>3.0676082999999998</v>
      </c>
      <c r="O117">
        <v>0.99552300000000005</v>
      </c>
      <c r="P117">
        <v>0.55106060000000001</v>
      </c>
      <c r="Q117">
        <v>5.7093030000000002</v>
      </c>
      <c r="R117">
        <v>3.0906913999999999</v>
      </c>
      <c r="S117">
        <v>1.0019087</v>
      </c>
      <c r="T117">
        <v>0.55328379999999999</v>
      </c>
      <c r="U117">
        <v>5.7495697000000003</v>
      </c>
      <c r="V117">
        <v>3.0756122000000001</v>
      </c>
      <c r="W117">
        <v>0.99801720000000005</v>
      </c>
      <c r="X117">
        <v>0.55199310000000001</v>
      </c>
      <c r="Y117">
        <v>5.7227964</v>
      </c>
      <c r="AA117" s="5">
        <f t="shared" si="72"/>
        <v>-5.7081000000000007E-3</v>
      </c>
      <c r="AB117" s="5">
        <f t="shared" si="72"/>
        <v>-1.8917000000000001E-3</v>
      </c>
      <c r="AC117" s="5">
        <f t="shared" si="72"/>
        <v>-1.2664000000000002E-3</v>
      </c>
      <c r="AD117" s="5">
        <f t="shared" si="72"/>
        <v>-2.080499999999999E-3</v>
      </c>
      <c r="AE117" s="5">
        <f t="shared" si="73"/>
        <v>-9.9846999999999575E-3</v>
      </c>
      <c r="AF117" s="5">
        <f t="shared" si="73"/>
        <v>-2.1700000000000053E-3</v>
      </c>
      <c r="AG117" s="5">
        <f t="shared" si="73"/>
        <v>1.6800000000039006E-5</v>
      </c>
      <c r="AH117" s="5">
        <f t="shared" si="73"/>
        <v>-2.3581199999999747E-2</v>
      </c>
      <c r="AI117" s="5">
        <f t="shared" si="75"/>
        <v>6.1360000000022091E-4</v>
      </c>
      <c r="AJ117" s="5">
        <f t="shared" si="75"/>
        <v>1.7020000000006821E-4</v>
      </c>
      <c r="AK117" s="5">
        <f t="shared" si="75"/>
        <v>-4.1100000000016774E-5</v>
      </c>
      <c r="AL117" s="5">
        <f t="shared" si="75"/>
        <v>-1.1116000000005871E-3</v>
      </c>
      <c r="AM117" s="5"/>
      <c r="AN117" s="5"/>
      <c r="AO117" s="5"/>
      <c r="AP117" s="5"/>
      <c r="AQ117" s="5"/>
      <c r="AR117" s="5"/>
      <c r="AS117" s="5"/>
      <c r="AT117" s="5"/>
      <c r="AU117" s="5"/>
      <c r="AV117" s="5">
        <f t="shared" si="76"/>
        <v>2048.5</v>
      </c>
      <c r="AW117" s="3">
        <f t="shared" si="77"/>
        <v>-0.50774399540503978</v>
      </c>
      <c r="AX117" s="3">
        <f t="shared" si="78"/>
        <v>-0.405396220234439</v>
      </c>
      <c r="AY117" s="3">
        <f t="shared" si="79"/>
        <v>-0.22585154309595928</v>
      </c>
      <c r="AZ117" s="3">
        <f t="shared" si="80"/>
        <v>-0.44632383532979425</v>
      </c>
      <c r="BA117" s="3">
        <f t="shared" si="81"/>
        <v>-0.48789083245256182</v>
      </c>
      <c r="BB117" s="3">
        <f t="shared" si="82"/>
        <v>-0.38840864442038847</v>
      </c>
      <c r="BC117" s="3">
        <f t="shared" si="83"/>
        <v>-0.23327991891321923</v>
      </c>
      <c r="BD117" s="3">
        <f t="shared" si="84"/>
        <v>-0.46565745607015308</v>
      </c>
      <c r="BE117" s="3">
        <f t="shared" si="85"/>
        <v>-0.3032040015382847</v>
      </c>
      <c r="BF117" s="3">
        <f t="shared" si="86"/>
        <v>-0.19959902534032142</v>
      </c>
      <c r="BG117" s="3">
        <f t="shared" si="87"/>
        <v>-4.3919594247973856E-3</v>
      </c>
      <c r="BH117" s="3">
        <f t="shared" si="88"/>
        <v>-0.42947213945419954</v>
      </c>
      <c r="BI117" s="3">
        <f t="shared" si="89"/>
        <v>-0.32305716449076594</v>
      </c>
      <c r="BJ117" s="3">
        <f t="shared" si="90"/>
        <v>-0.21658660115437717</v>
      </c>
      <c r="BK117" s="3">
        <f t="shared" si="91"/>
        <v>3.0364163924624225E-3</v>
      </c>
      <c r="BL117" s="3">
        <f t="shared" si="92"/>
        <v>-0.41013851871383949</v>
      </c>
      <c r="BM117" s="2">
        <v>0</v>
      </c>
    </row>
    <row r="118" spans="1:65" x14ac:dyDescent="0.35">
      <c r="A118">
        <f t="shared" si="74"/>
        <v>115</v>
      </c>
      <c r="B118">
        <v>9.3287000000000005E-3</v>
      </c>
      <c r="C118">
        <v>3.1361000000000002E-3</v>
      </c>
      <c r="D118">
        <v>1.9143999999999999E-3</v>
      </c>
      <c r="E118">
        <v>1.3149299999999999E-2</v>
      </c>
      <c r="F118">
        <v>3.5054000000000001E-3</v>
      </c>
      <c r="G118">
        <v>1.1837E-3</v>
      </c>
      <c r="H118">
        <v>7.0350000000000002E-4</v>
      </c>
      <c r="I118">
        <v>1.1067E-2</v>
      </c>
      <c r="J118">
        <v>3.0775562999999999</v>
      </c>
      <c r="K118">
        <v>0.99766489999999997</v>
      </c>
      <c r="L118">
        <v>0.55110040000000005</v>
      </c>
      <c r="M118">
        <v>5.7330097999999996</v>
      </c>
      <c r="N118">
        <v>3.0676906000000002</v>
      </c>
      <c r="O118">
        <v>0.99552620000000003</v>
      </c>
      <c r="P118">
        <v>0.54902110000000004</v>
      </c>
      <c r="Q118">
        <v>5.7087760999999997</v>
      </c>
      <c r="R118">
        <v>3.0906913999999999</v>
      </c>
      <c r="S118">
        <v>1.0019087</v>
      </c>
      <c r="T118">
        <v>0.55328379999999999</v>
      </c>
      <c r="U118">
        <v>5.7495697000000003</v>
      </c>
      <c r="V118">
        <v>3.0756058999999998</v>
      </c>
      <c r="W118">
        <v>0.99798500000000001</v>
      </c>
      <c r="X118">
        <v>0.54995280000000002</v>
      </c>
      <c r="Y118">
        <v>5.7221823000000001</v>
      </c>
      <c r="AA118" s="5">
        <f t="shared" si="72"/>
        <v>-5.8233E-3</v>
      </c>
      <c r="AB118" s="5">
        <f t="shared" si="72"/>
        <v>-1.9524000000000002E-3</v>
      </c>
      <c r="AC118" s="5">
        <f t="shared" si="72"/>
        <v>-1.2109E-3</v>
      </c>
      <c r="AD118" s="5">
        <f t="shared" si="72"/>
        <v>-2.0822999999999987E-3</v>
      </c>
      <c r="AE118" s="5">
        <f t="shared" si="73"/>
        <v>-9.8656999999997552E-3</v>
      </c>
      <c r="AF118" s="5">
        <f t="shared" si="73"/>
        <v>-2.1386999999999379E-3</v>
      </c>
      <c r="AG118" s="5">
        <f t="shared" si="73"/>
        <v>-2.0793000000000061E-3</v>
      </c>
      <c r="AH118" s="5">
        <f t="shared" si="73"/>
        <v>-2.4233699999999914E-2</v>
      </c>
      <c r="AI118" s="5">
        <f t="shared" si="75"/>
        <v>6.0349999999967027E-4</v>
      </c>
      <c r="AJ118" s="5">
        <f t="shared" si="75"/>
        <v>1.6739999999996341E-4</v>
      </c>
      <c r="AK118" s="5">
        <f t="shared" si="75"/>
        <v>-4.0799999999966731E-5</v>
      </c>
      <c r="AL118" s="5">
        <f t="shared" si="75"/>
        <v>-1.0714000000003714E-3</v>
      </c>
      <c r="AM118" s="5"/>
      <c r="AN118" s="5"/>
      <c r="AO118" s="5"/>
      <c r="AP118" s="5"/>
      <c r="AQ118" s="5"/>
      <c r="AR118" s="5"/>
      <c r="AS118" s="5"/>
      <c r="AT118" s="5"/>
      <c r="AU118" s="5"/>
      <c r="AV118" s="5">
        <f t="shared" si="76"/>
        <v>2048.75</v>
      </c>
      <c r="AW118" s="3">
        <f t="shared" si="77"/>
        <v>-0.50762104556927801</v>
      </c>
      <c r="AX118" s="3">
        <f t="shared" si="78"/>
        <v>-0.40833061934684645</v>
      </c>
      <c r="AY118" s="3">
        <f t="shared" si="79"/>
        <v>-0.59466769133670749</v>
      </c>
      <c r="AZ118" s="3">
        <f t="shared" si="80"/>
        <v>-0.45770381738306282</v>
      </c>
      <c r="BA118" s="3">
        <f t="shared" si="81"/>
        <v>-0.48809467033816722</v>
      </c>
      <c r="BB118" s="3">
        <f t="shared" si="82"/>
        <v>-0.39162251011494104</v>
      </c>
      <c r="BC118" s="3">
        <f t="shared" si="83"/>
        <v>-0.60204184543266459</v>
      </c>
      <c r="BD118" s="3">
        <f t="shared" si="84"/>
        <v>-0.47633825536544555</v>
      </c>
      <c r="BE118" s="3">
        <f t="shared" si="85"/>
        <v>-0.29968051808731927</v>
      </c>
      <c r="BF118" s="3">
        <f t="shared" si="86"/>
        <v>-0.19675445477217726</v>
      </c>
      <c r="BG118" s="3">
        <f t="shared" si="87"/>
        <v>-0.3831849043836017</v>
      </c>
      <c r="BH118" s="3">
        <f t="shared" si="88"/>
        <v>-0.44012163205884147</v>
      </c>
      <c r="BI118" s="3">
        <f t="shared" si="89"/>
        <v>-0.31920689331842561</v>
      </c>
      <c r="BJ118" s="3">
        <f t="shared" si="90"/>
        <v>-0.21346256400407917</v>
      </c>
      <c r="BK118" s="3">
        <f t="shared" si="91"/>
        <v>-0.37581075028764738</v>
      </c>
      <c r="BL118" s="3">
        <f t="shared" si="92"/>
        <v>-0.42148719407645258</v>
      </c>
      <c r="BM118" s="2">
        <v>0</v>
      </c>
    </row>
    <row r="119" spans="1:65" x14ac:dyDescent="0.35">
      <c r="A119">
        <f t="shared" si="74"/>
        <v>116</v>
      </c>
      <c r="B119">
        <v>9.4018999999999995E-3</v>
      </c>
      <c r="C119">
        <v>3.1735999999999999E-3</v>
      </c>
      <c r="D119">
        <v>1.8741999999999999E-3</v>
      </c>
      <c r="E119">
        <v>1.3155099999999999E-2</v>
      </c>
      <c r="F119">
        <v>3.4751999999999999E-3</v>
      </c>
      <c r="G119">
        <v>1.1662E-3</v>
      </c>
      <c r="H119">
        <v>7.1259999999999997E-4</v>
      </c>
      <c r="I119">
        <v>1.1076000000000001E-2</v>
      </c>
      <c r="J119">
        <v>3.0775288999999999</v>
      </c>
      <c r="K119">
        <v>0.99764129999999995</v>
      </c>
      <c r="L119">
        <v>0.55114730000000001</v>
      </c>
      <c r="M119">
        <v>5.7331374999999998</v>
      </c>
      <c r="N119">
        <v>3.0675819</v>
      </c>
      <c r="O119">
        <v>0.99545039999999996</v>
      </c>
      <c r="P119">
        <v>0.54967350000000004</v>
      </c>
      <c r="Q119">
        <v>5.7079231000000004</v>
      </c>
      <c r="R119">
        <v>3.0906913999999999</v>
      </c>
      <c r="S119">
        <v>1.0019087</v>
      </c>
      <c r="T119">
        <v>0.55328379999999999</v>
      </c>
      <c r="U119">
        <v>5.7495697000000003</v>
      </c>
      <c r="V119">
        <v>3.0754109999999999</v>
      </c>
      <c r="W119">
        <v>0.99787510000000001</v>
      </c>
      <c r="X119">
        <v>0.55061210000000005</v>
      </c>
      <c r="Y119">
        <v>5.7212433999999996</v>
      </c>
      <c r="AA119" s="5">
        <f t="shared" si="72"/>
        <v>-5.9267E-3</v>
      </c>
      <c r="AB119" s="5">
        <f t="shared" si="72"/>
        <v>-2.0073999999999999E-3</v>
      </c>
      <c r="AC119" s="5">
        <f t="shared" si="72"/>
        <v>-1.1616E-3</v>
      </c>
      <c r="AD119" s="5">
        <f t="shared" si="72"/>
        <v>-2.0790999999999987E-3</v>
      </c>
      <c r="AE119" s="5">
        <f t="shared" si="73"/>
        <v>-9.9469999999999281E-3</v>
      </c>
      <c r="AF119" s="5">
        <f t="shared" si="73"/>
        <v>-2.1908999999999956E-3</v>
      </c>
      <c r="AG119" s="5">
        <f t="shared" si="73"/>
        <v>-1.4737999999999696E-3</v>
      </c>
      <c r="AH119" s="5">
        <f t="shared" si="73"/>
        <v>-2.5214399999999415E-2</v>
      </c>
      <c r="AI119" s="5">
        <f t="shared" si="75"/>
        <v>5.9329999999995636E-4</v>
      </c>
      <c r="AJ119" s="5">
        <f t="shared" si="75"/>
        <v>1.6470000000002455E-4</v>
      </c>
      <c r="AK119" s="5">
        <f t="shared" si="75"/>
        <v>-3.629999999997394E-5</v>
      </c>
      <c r="AL119" s="5">
        <f t="shared" si="75"/>
        <v>-1.0328000000012771E-3</v>
      </c>
      <c r="AM119" s="5"/>
      <c r="AN119" s="5"/>
      <c r="AO119" s="5"/>
      <c r="AP119" s="5"/>
      <c r="AQ119" s="5"/>
      <c r="AR119" s="5"/>
      <c r="AS119" s="5"/>
      <c r="AT119" s="5"/>
      <c r="AU119" s="5"/>
      <c r="AV119" s="5">
        <f t="shared" si="76"/>
        <v>2049</v>
      </c>
      <c r="AW119" s="3">
        <f t="shared" si="77"/>
        <v>-0.51359705469138484</v>
      </c>
      <c r="AX119" s="3">
        <f t="shared" si="78"/>
        <v>-0.41903019706286559</v>
      </c>
      <c r="AY119" s="3">
        <f t="shared" si="79"/>
        <v>-0.47631974765933316</v>
      </c>
      <c r="AZ119" s="3">
        <f t="shared" si="80"/>
        <v>-0.47470508966956976</v>
      </c>
      <c r="BA119" s="3">
        <f t="shared" si="81"/>
        <v>-0.49440070270360775</v>
      </c>
      <c r="BB119" s="3">
        <f t="shared" si="82"/>
        <v>-0.40259157346372687</v>
      </c>
      <c r="BC119" s="3">
        <f t="shared" si="83"/>
        <v>-0.48288057593588385</v>
      </c>
      <c r="BD119" s="3">
        <f t="shared" si="84"/>
        <v>-0.49266817306346755</v>
      </c>
      <c r="BE119" s="3">
        <f t="shared" si="85"/>
        <v>-0.30264102071142179</v>
      </c>
      <c r="BF119" s="3">
        <f t="shared" si="86"/>
        <v>-0.20223399597188627</v>
      </c>
      <c r="BG119" s="3">
        <f t="shared" si="87"/>
        <v>-0.27293407108611506</v>
      </c>
      <c r="BH119" s="3">
        <f t="shared" si="88"/>
        <v>-0.45650720609580808</v>
      </c>
      <c r="BI119" s="3">
        <f t="shared" si="89"/>
        <v>-0.32183737269919371</v>
      </c>
      <c r="BJ119" s="3">
        <f t="shared" si="90"/>
        <v>-0.21867261957102435</v>
      </c>
      <c r="BK119" s="3">
        <f t="shared" si="91"/>
        <v>-0.26637324280956171</v>
      </c>
      <c r="BL119" s="3">
        <f t="shared" si="92"/>
        <v>-0.43854412270190263</v>
      </c>
      <c r="BM119" s="2">
        <v>0</v>
      </c>
    </row>
    <row r="120" spans="1:65" x14ac:dyDescent="0.35">
      <c r="A120">
        <f t="shared" si="74"/>
        <v>117</v>
      </c>
      <c r="B120">
        <v>9.4669000000000003E-3</v>
      </c>
      <c r="C120">
        <v>3.2071999999999999E-3</v>
      </c>
      <c r="D120">
        <v>1.8416999999999999E-3</v>
      </c>
      <c r="E120">
        <v>1.31571E-2</v>
      </c>
      <c r="F120">
        <v>3.4470999999999998E-3</v>
      </c>
      <c r="G120">
        <v>1.1498000000000001E-3</v>
      </c>
      <c r="H120">
        <v>7.1759999999999999E-4</v>
      </c>
      <c r="I120">
        <v>1.1081499999999999E-2</v>
      </c>
      <c r="J120">
        <v>3.0775093</v>
      </c>
      <c r="K120">
        <v>0.99762139999999999</v>
      </c>
      <c r="L120">
        <v>0.55118650000000002</v>
      </c>
      <c r="M120">
        <v>5.7332643000000001</v>
      </c>
      <c r="N120">
        <v>3.0674765000000002</v>
      </c>
      <c r="O120">
        <v>0.99537149999999996</v>
      </c>
      <c r="P120">
        <v>0.54942869999999999</v>
      </c>
      <c r="Q120">
        <v>5.7063623999999997</v>
      </c>
      <c r="R120">
        <v>3.0906913999999999</v>
      </c>
      <c r="S120">
        <v>1.0019087</v>
      </c>
      <c r="T120">
        <v>0.55328379999999999</v>
      </c>
      <c r="U120">
        <v>5.7495697000000003</v>
      </c>
      <c r="V120">
        <v>3.0752223000000001</v>
      </c>
      <c r="W120">
        <v>0.99776350000000003</v>
      </c>
      <c r="X120">
        <v>0.55037000000000003</v>
      </c>
      <c r="Y120">
        <v>5.7195957999999996</v>
      </c>
      <c r="AA120" s="5">
        <f t="shared" si="72"/>
        <v>-6.0198000000000005E-3</v>
      </c>
      <c r="AB120" s="5">
        <f t="shared" si="72"/>
        <v>-2.0574E-3</v>
      </c>
      <c r="AC120" s="5">
        <f t="shared" si="72"/>
        <v>-1.1240999999999998E-3</v>
      </c>
      <c r="AD120" s="5">
        <f t="shared" si="72"/>
        <v>-2.0756000000000004E-3</v>
      </c>
      <c r="AE120" s="5">
        <f t="shared" si="73"/>
        <v>-1.0032799999999842E-2</v>
      </c>
      <c r="AF120" s="5">
        <f t="shared" si="73"/>
        <v>-2.2499000000000269E-3</v>
      </c>
      <c r="AG120" s="5">
        <f t="shared" si="73"/>
        <v>-1.7578000000000316E-3</v>
      </c>
      <c r="AH120" s="5">
        <f t="shared" si="73"/>
        <v>-2.6901900000000367E-2</v>
      </c>
      <c r="AI120" s="5">
        <f t="shared" si="75"/>
        <v>5.8350000000004926E-4</v>
      </c>
      <c r="AJ120" s="5">
        <f t="shared" si="75"/>
        <v>1.6210000000006688E-4</v>
      </c>
      <c r="AK120" s="5">
        <f t="shared" si="75"/>
        <v>-3.1899999999935019E-5</v>
      </c>
      <c r="AL120" s="5">
        <f t="shared" si="75"/>
        <v>-9.9640000000040738E-4</v>
      </c>
      <c r="AM120" s="5"/>
      <c r="AN120" s="5"/>
      <c r="AO120" s="5"/>
      <c r="AP120" s="5"/>
      <c r="AQ120" s="5"/>
      <c r="AR120" s="5"/>
      <c r="AS120" s="5"/>
      <c r="AT120" s="5"/>
      <c r="AU120" s="5"/>
      <c r="AV120" s="5">
        <f t="shared" si="76"/>
        <v>2049.25</v>
      </c>
      <c r="AW120" s="3">
        <f t="shared" si="77"/>
        <v>-0.519385403537857</v>
      </c>
      <c r="AX120" s="3">
        <f t="shared" si="78"/>
        <v>-0.42990943186739738</v>
      </c>
      <c r="AY120" s="3">
        <f t="shared" si="79"/>
        <v>-0.5208719286557878</v>
      </c>
      <c r="AZ120" s="3">
        <f t="shared" si="80"/>
        <v>-0.5039942380383764</v>
      </c>
      <c r="BA120" s="3">
        <f t="shared" si="81"/>
        <v>-0.50050613270544553</v>
      </c>
      <c r="BB120" s="3">
        <f t="shared" si="82"/>
        <v>-0.41373031295166518</v>
      </c>
      <c r="BC120" s="3">
        <f t="shared" si="83"/>
        <v>-0.5266375050200216</v>
      </c>
      <c r="BD120" s="3">
        <f t="shared" si="84"/>
        <v>-0.52132423057678168</v>
      </c>
      <c r="BE120" s="3">
        <f t="shared" si="85"/>
        <v>-0.30573417973725858</v>
      </c>
      <c r="BF120" s="3">
        <f t="shared" si="86"/>
        <v>-0.20838226077884872</v>
      </c>
      <c r="BG120" s="3">
        <f t="shared" si="87"/>
        <v>-0.3234687153319879</v>
      </c>
      <c r="BH120" s="3">
        <f t="shared" si="88"/>
        <v>-0.48522413772982653</v>
      </c>
      <c r="BI120" s="3">
        <f t="shared" si="89"/>
        <v>-0.32461345056966356</v>
      </c>
      <c r="BJ120" s="3">
        <f t="shared" si="90"/>
        <v>-0.22456137969457962</v>
      </c>
      <c r="BK120" s="3">
        <f t="shared" si="91"/>
        <v>-0.31770313896774705</v>
      </c>
      <c r="BL120" s="3">
        <f t="shared" si="92"/>
        <v>-0.46789414519142825</v>
      </c>
      <c r="BM120" s="2">
        <v>0</v>
      </c>
    </row>
    <row r="121" spans="1:65" x14ac:dyDescent="0.35">
      <c r="A121">
        <f t="shared" si="74"/>
        <v>118</v>
      </c>
      <c r="B121">
        <v>9.5251999999999993E-3</v>
      </c>
      <c r="C121">
        <v>3.2374999999999999E-3</v>
      </c>
      <c r="D121">
        <v>1.8154E-3</v>
      </c>
      <c r="E121">
        <v>1.3157800000000001E-2</v>
      </c>
      <c r="F121">
        <v>3.421E-3</v>
      </c>
      <c r="G121">
        <v>1.1345999999999999E-3</v>
      </c>
      <c r="H121">
        <v>7.2800000000000002E-4</v>
      </c>
      <c r="I121">
        <v>1.1088799999999999E-2</v>
      </c>
      <c r="J121">
        <v>3.0774960999999998</v>
      </c>
      <c r="K121">
        <v>0.99760470000000001</v>
      </c>
      <c r="L121">
        <v>0.55121929999999997</v>
      </c>
      <c r="M121">
        <v>5.7333879999999997</v>
      </c>
      <c r="N121">
        <v>3.0672568999999998</v>
      </c>
      <c r="O121">
        <v>0.99524509999999999</v>
      </c>
      <c r="P121">
        <v>0.58292290000000002</v>
      </c>
      <c r="Q121">
        <v>5.7121012000000002</v>
      </c>
      <c r="R121">
        <v>3.0906913999999999</v>
      </c>
      <c r="S121">
        <v>1.0019087</v>
      </c>
      <c r="T121">
        <v>0.55328379999999999</v>
      </c>
      <c r="U121">
        <v>5.7495697000000003</v>
      </c>
      <c r="V121">
        <v>3.0749219000000001</v>
      </c>
      <c r="W121">
        <v>0.99760550000000003</v>
      </c>
      <c r="X121">
        <v>0.58396910000000002</v>
      </c>
      <c r="Y121">
        <v>5.7495697000000003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output_transition_aggregates</vt:lpstr>
      <vt:lpstr>aggregates_normalized</vt:lpstr>
      <vt:lpstr>output_transition_firms_age</vt:lpstr>
      <vt:lpstr>for_matlab</vt:lpstr>
      <vt:lpstr>output_transition_decomposition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2021-11-25T14:50:31Z</dcterms:modified>
</cp:coreProperties>
</file>