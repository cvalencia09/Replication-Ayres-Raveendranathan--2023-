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Section_6.3\"/>
    </mc:Choice>
  </mc:AlternateContent>
  <xr:revisionPtr revIDLastSave="0" documentId="13_ncr:1_{3348EC89-0D18-4032-9238-F3C99F395C56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figure_14" sheetId="5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3" i="2" l="1"/>
  <c r="AK3" i="2"/>
  <c r="AK2" i="2"/>
  <c r="AK4" i="2" s="1"/>
  <c r="AK5" i="2" s="1"/>
  <c r="AK6" i="2" s="1"/>
  <c r="AK7" i="2" s="1"/>
  <c r="AK8" i="2" s="1"/>
  <c r="AK9" i="2" s="1"/>
  <c r="AK10" i="2" s="1"/>
  <c r="AK11" i="2" s="1"/>
  <c r="AK12" i="2" s="1"/>
  <c r="AK13" i="2" s="1"/>
  <c r="AK14" i="2" s="1"/>
  <c r="AK15" i="2" s="1"/>
  <c r="AK16" i="2" s="1"/>
  <c r="AK17" i="2" s="1"/>
  <c r="AK18" i="2" s="1"/>
  <c r="AK19" i="2" s="1"/>
  <c r="AK20" i="2" s="1"/>
  <c r="AK21" i="2" s="1"/>
  <c r="AK22" i="2" s="1"/>
  <c r="AK23" i="2" s="1"/>
  <c r="AK24" i="2" s="1"/>
  <c r="AK25" i="2" s="1"/>
  <c r="AK26" i="2" s="1"/>
  <c r="AK27" i="2" s="1"/>
  <c r="AK28" i="2" s="1"/>
  <c r="AK29" i="2" s="1"/>
  <c r="AK30" i="2" s="1"/>
  <c r="AK31" i="2" s="1"/>
  <c r="AK32" i="2" s="1"/>
  <c r="AK33" i="2" s="1"/>
  <c r="AK34" i="2" s="1"/>
  <c r="AK35" i="2" s="1"/>
  <c r="AK36" i="2" s="1"/>
  <c r="AK37" i="2" s="1"/>
  <c r="AK38" i="2" s="1"/>
  <c r="AK39" i="2" s="1"/>
  <c r="AK40" i="2" s="1"/>
  <c r="AK41" i="2" s="1"/>
  <c r="J42" i="55"/>
  <c r="AA42" i="11" l="1"/>
  <c r="AA41" i="1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K42" i="55" l="1"/>
  <c r="AL41" i="2"/>
  <c r="K41" i="55" s="1"/>
  <c r="AL40" i="2"/>
  <c r="K40" i="55" s="1"/>
  <c r="AL39" i="2"/>
  <c r="K39" i="55" s="1"/>
  <c r="AL38" i="2"/>
  <c r="K38" i="55" s="1"/>
  <c r="AL37" i="2"/>
  <c r="K37" i="55" s="1"/>
  <c r="AL36" i="2"/>
  <c r="K36" i="55" s="1"/>
  <c r="AL35" i="2"/>
  <c r="K35" i="55" s="1"/>
  <c r="AL34" i="2"/>
  <c r="K34" i="55" s="1"/>
  <c r="AL33" i="2"/>
  <c r="K33" i="55" s="1"/>
  <c r="AL32" i="2"/>
  <c r="K32" i="55" s="1"/>
  <c r="AL31" i="2"/>
  <c r="K31" i="55" s="1"/>
  <c r="AL30" i="2"/>
  <c r="K30" i="55" s="1"/>
  <c r="AL29" i="2"/>
  <c r="K29" i="55" s="1"/>
  <c r="AL28" i="2"/>
  <c r="K28" i="55" s="1"/>
  <c r="AL27" i="2"/>
  <c r="K27" i="55" s="1"/>
  <c r="AL26" i="2"/>
  <c r="K26" i="55" s="1"/>
  <c r="AL25" i="2"/>
  <c r="K25" i="55" s="1"/>
  <c r="AL24" i="2"/>
  <c r="K24" i="55" s="1"/>
  <c r="AL23" i="2"/>
  <c r="K23" i="55" s="1"/>
  <c r="AL22" i="2"/>
  <c r="K22" i="55" s="1"/>
  <c r="AL21" i="2"/>
  <c r="K21" i="55" s="1"/>
  <c r="AL20" i="2"/>
  <c r="K20" i="55" s="1"/>
  <c r="AL19" i="2"/>
  <c r="K19" i="55" s="1"/>
  <c r="AL18" i="2"/>
  <c r="K18" i="55" s="1"/>
  <c r="AL17" i="2"/>
  <c r="K17" i="55" s="1"/>
  <c r="AL16" i="2"/>
  <c r="K16" i="55" s="1"/>
  <c r="AL15" i="2"/>
  <c r="K15" i="55" s="1"/>
  <c r="AL14" i="2"/>
  <c r="K14" i="55" s="1"/>
  <c r="AL13" i="2"/>
  <c r="K13" i="55" s="1"/>
  <c r="AL12" i="2"/>
  <c r="K12" i="55" s="1"/>
  <c r="AL11" i="2"/>
  <c r="K11" i="55" s="1"/>
  <c r="AL10" i="2"/>
  <c r="K10" i="55" s="1"/>
  <c r="AL9" i="2"/>
  <c r="K9" i="55" s="1"/>
  <c r="AL8" i="2"/>
  <c r="K8" i="55" s="1"/>
  <c r="AL7" i="2"/>
  <c r="K7" i="55" s="1"/>
  <c r="AL6" i="2"/>
  <c r="K6" i="55" s="1"/>
  <c r="AL5" i="2"/>
  <c r="K5" i="55" s="1"/>
  <c r="AL4" i="2"/>
  <c r="K4" i="55" s="1"/>
  <c r="AL3" i="2"/>
  <c r="K3" i="55" s="1"/>
  <c r="AL2" i="2"/>
  <c r="K2" i="55" s="1"/>
  <c r="IJ14" i="18"/>
  <c r="II14" i="18" s="1"/>
  <c r="IJ15" i="18"/>
  <c r="II15" i="18" s="1"/>
  <c r="IJ16" i="18"/>
  <c r="AM10" i="2" s="1"/>
  <c r="IJ17" i="18"/>
  <c r="AM11" i="2" s="1"/>
  <c r="IJ18" i="18"/>
  <c r="AM12" i="2" s="1"/>
  <c r="IJ19" i="18"/>
  <c r="AM13" i="2" s="1"/>
  <c r="IJ20" i="18"/>
  <c r="AM14" i="2" s="1"/>
  <c r="IJ21" i="18"/>
  <c r="II21" i="18" s="1"/>
  <c r="IJ22" i="18"/>
  <c r="II22" i="18" s="1"/>
  <c r="IJ23" i="18"/>
  <c r="II23" i="18" s="1"/>
  <c r="IJ24" i="18"/>
  <c r="AM18" i="2" s="1"/>
  <c r="IJ25" i="18"/>
  <c r="AM19" i="2" s="1"/>
  <c r="IJ26" i="18"/>
  <c r="AM20" i="2" s="1"/>
  <c r="IJ27" i="18"/>
  <c r="AM21" i="2" s="1"/>
  <c r="IJ28" i="18"/>
  <c r="AM22" i="2" s="1"/>
  <c r="IJ29" i="18"/>
  <c r="II29" i="18" s="1"/>
  <c r="IJ30" i="18"/>
  <c r="II30" i="18" s="1"/>
  <c r="IJ31" i="18"/>
  <c r="II31" i="18" s="1"/>
  <c r="IJ32" i="18"/>
  <c r="AM26" i="2" s="1"/>
  <c r="IJ33" i="18"/>
  <c r="AM27" i="2" s="1"/>
  <c r="IJ34" i="18"/>
  <c r="AM28" i="2" s="1"/>
  <c r="IJ35" i="18"/>
  <c r="AM29" i="2" s="1"/>
  <c r="IJ36" i="18"/>
  <c r="AM30" i="2" s="1"/>
  <c r="IJ37" i="18"/>
  <c r="II37" i="18" s="1"/>
  <c r="IJ38" i="18"/>
  <c r="II38" i="18" s="1"/>
  <c r="IJ39" i="18"/>
  <c r="II39" i="18" s="1"/>
  <c r="IJ40" i="18"/>
  <c r="AM34" i="2" s="1"/>
  <c r="IJ41" i="18"/>
  <c r="AM35" i="2" s="1"/>
  <c r="IJ42" i="18"/>
  <c r="AM36" i="2" s="1"/>
  <c r="IJ43" i="18"/>
  <c r="AM37" i="2" s="1"/>
  <c r="IJ44" i="18"/>
  <c r="AM38" i="2" s="1"/>
  <c r="IJ45" i="18"/>
  <c r="II45" i="18" s="1"/>
  <c r="IJ46" i="18"/>
  <c r="II46" i="18" s="1"/>
  <c r="IJ47" i="18"/>
  <c r="II47" i="18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6" i="18"/>
  <c r="A5" i="18" s="1"/>
  <c r="A4" i="18" s="1"/>
  <c r="A3" i="18" s="1"/>
  <c r="A2" i="18" s="1"/>
  <c r="A7" i="18"/>
  <c r="E42" i="55"/>
  <c r="S42" i="11"/>
  <c r="I42" i="55" s="1"/>
  <c r="K42" i="11"/>
  <c r="D42" i="55" s="1"/>
  <c r="J42" i="11"/>
  <c r="H42" i="55" s="1"/>
  <c r="D42" i="11"/>
  <c r="R42" i="11"/>
  <c r="C42" i="55" s="1"/>
  <c r="A3" i="55"/>
  <c r="A4" i="55" s="1"/>
  <c r="A5" i="55" s="1"/>
  <c r="A6" i="55" s="1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A36" i="55" s="1"/>
  <c r="A37" i="55" s="1"/>
  <c r="A38" i="55" s="1"/>
  <c r="A39" i="55" s="1"/>
  <c r="A40" i="55" s="1"/>
  <c r="A41" i="55" s="1"/>
  <c r="A42" i="55" s="1"/>
  <c r="IJ13" i="18" l="1"/>
  <c r="K6" i="18"/>
  <c r="S6" i="18"/>
  <c r="AQ6" i="18"/>
  <c r="CE6" i="18"/>
  <c r="G6" i="18"/>
  <c r="O6" i="18"/>
  <c r="W6" i="18"/>
  <c r="BK6" i="18"/>
  <c r="C6" i="18"/>
  <c r="II43" i="18"/>
  <c r="II35" i="18"/>
  <c r="II27" i="18"/>
  <c r="II19" i="18"/>
  <c r="AM15" i="2"/>
  <c r="AM23" i="2"/>
  <c r="AM31" i="2"/>
  <c r="AM39" i="2"/>
  <c r="II42" i="18"/>
  <c r="II34" i="18"/>
  <c r="II26" i="18"/>
  <c r="II18" i="18"/>
  <c r="AM8" i="2"/>
  <c r="AM16" i="2"/>
  <c r="AM24" i="2"/>
  <c r="AM32" i="2"/>
  <c r="AM40" i="2"/>
  <c r="II41" i="18"/>
  <c r="II33" i="18"/>
  <c r="II25" i="18"/>
  <c r="II17" i="18"/>
  <c r="AM9" i="2"/>
  <c r="AM17" i="2"/>
  <c r="AM25" i="2"/>
  <c r="AM33" i="2"/>
  <c r="AM41" i="2"/>
  <c r="II40" i="18"/>
  <c r="II32" i="18"/>
  <c r="II24" i="18"/>
  <c r="II16" i="18"/>
  <c r="II44" i="18"/>
  <c r="II36" i="18"/>
  <c r="II28" i="18"/>
  <c r="II20" i="18"/>
  <c r="BK5" i="18" l="1"/>
  <c r="CE5" i="18"/>
  <c r="W5" i="18"/>
  <c r="AQ5" i="18"/>
  <c r="S5" i="18"/>
  <c r="K5" i="18"/>
  <c r="O5" i="18"/>
  <c r="IJ12" i="18"/>
  <c r="C5" i="18"/>
  <c r="G5" i="18"/>
  <c r="II13" i="18"/>
  <c r="AM7" i="2"/>
  <c r="W4" i="18" l="1"/>
  <c r="W3" i="18" s="1"/>
  <c r="W2" i="18" s="1"/>
  <c r="K4" i="18"/>
  <c r="K3" i="18" s="1"/>
  <c r="K2" i="18" s="1"/>
  <c r="AQ4" i="18"/>
  <c r="AQ3" i="18" s="1"/>
  <c r="AQ2" i="18" s="1"/>
  <c r="G4" i="18"/>
  <c r="G3" i="18" s="1"/>
  <c r="G2" i="18" s="1"/>
  <c r="IJ11" i="18"/>
  <c r="C4" i="18"/>
  <c r="S4" i="18"/>
  <c r="S3" i="18" s="1"/>
  <c r="S2" i="18" s="1"/>
  <c r="AM6" i="2"/>
  <c r="II12" i="18"/>
  <c r="O4" i="18"/>
  <c r="O3" i="18" s="1"/>
  <c r="O2" i="18" s="1"/>
  <c r="CE4" i="18"/>
  <c r="CE3" i="18" s="1"/>
  <c r="CE2" i="18" s="1"/>
  <c r="BK4" i="18"/>
  <c r="BK3" i="18" s="1"/>
  <c r="BK2" i="18" s="1"/>
  <c r="IJ10" i="18" l="1"/>
  <c r="C3" i="18"/>
  <c r="AM5" i="2"/>
  <c r="II11" i="18"/>
  <c r="IJ9" i="18" l="1"/>
  <c r="C2" i="18"/>
  <c r="IJ8" i="18" s="1"/>
  <c r="AM4" i="2"/>
  <c r="II10" i="18"/>
  <c r="E41" i="55"/>
  <c r="E40" i="55"/>
  <c r="E39" i="55"/>
  <c r="E38" i="55"/>
  <c r="E37" i="55"/>
  <c r="E36" i="55"/>
  <c r="E35" i="55"/>
  <c r="E34" i="55"/>
  <c r="E33" i="55"/>
  <c r="E32" i="55"/>
  <c r="E31" i="55"/>
  <c r="E30" i="55"/>
  <c r="E29" i="55"/>
  <c r="E28" i="55"/>
  <c r="E27" i="55"/>
  <c r="E26" i="55"/>
  <c r="E25" i="55"/>
  <c r="E24" i="55"/>
  <c r="E23" i="55"/>
  <c r="E22" i="55"/>
  <c r="E21" i="55"/>
  <c r="E20" i="55"/>
  <c r="E19" i="55"/>
  <c r="E18" i="55"/>
  <c r="E17" i="55"/>
  <c r="E16" i="55"/>
  <c r="E15" i="55"/>
  <c r="E14" i="55"/>
  <c r="E13" i="55"/>
  <c r="E12" i="55"/>
  <c r="E11" i="55"/>
  <c r="E10" i="55"/>
  <c r="E9" i="55"/>
  <c r="E8" i="55"/>
  <c r="E7" i="55"/>
  <c r="E6" i="55"/>
  <c r="E5" i="55"/>
  <c r="E4" i="55"/>
  <c r="E2" i="55"/>
  <c r="E3" i="55" l="1"/>
  <c r="AM3" i="2"/>
  <c r="II9" i="18"/>
  <c r="II8" i="18"/>
  <c r="G4" i="55" s="1"/>
  <c r="AM2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F3" i="55" l="1"/>
  <c r="G3" i="55"/>
  <c r="F39" i="55"/>
  <c r="F34" i="55"/>
  <c r="F24" i="55"/>
  <c r="F29" i="55"/>
  <c r="F42" i="55"/>
  <c r="F32" i="55"/>
  <c r="F25" i="55"/>
  <c r="F28" i="55"/>
  <c r="F33" i="55"/>
  <c r="F37" i="55"/>
  <c r="F36" i="55"/>
  <c r="F27" i="55"/>
  <c r="F31" i="55"/>
  <c r="F26" i="55"/>
  <c r="F30" i="55"/>
  <c r="F35" i="55"/>
  <c r="F38" i="55"/>
  <c r="F41" i="55"/>
  <c r="F40" i="55"/>
  <c r="F23" i="55"/>
  <c r="F6" i="55"/>
  <c r="F22" i="55"/>
  <c r="F21" i="55"/>
  <c r="F20" i="55"/>
  <c r="F19" i="55"/>
  <c r="F18" i="55"/>
  <c r="F14" i="55"/>
  <c r="F11" i="55"/>
  <c r="F17" i="55"/>
  <c r="F12" i="55"/>
  <c r="F15" i="55"/>
  <c r="F4" i="55"/>
  <c r="F5" i="55"/>
  <c r="F7" i="55"/>
  <c r="F13" i="55"/>
  <c r="F8" i="55"/>
  <c r="F10" i="55"/>
  <c r="F9" i="55"/>
  <c r="F2" i="55"/>
  <c r="F16" i="55"/>
  <c r="G23" i="55"/>
  <c r="G37" i="55"/>
  <c r="G35" i="55"/>
  <c r="G31" i="55"/>
  <c r="G34" i="55"/>
  <c r="G39" i="55"/>
  <c r="G42" i="55"/>
  <c r="G40" i="55"/>
  <c r="G33" i="55"/>
  <c r="G27" i="55"/>
  <c r="G32" i="55"/>
  <c r="G36" i="55"/>
  <c r="G25" i="55"/>
  <c r="G24" i="55"/>
  <c r="G41" i="55"/>
  <c r="G19" i="55"/>
  <c r="G14" i="55"/>
  <c r="G9" i="55"/>
  <c r="G12" i="55"/>
  <c r="G7" i="55"/>
  <c r="G30" i="55"/>
  <c r="G8" i="55"/>
  <c r="G22" i="55"/>
  <c r="G2" i="55"/>
  <c r="G28" i="55"/>
  <c r="G38" i="55"/>
  <c r="G20" i="55"/>
  <c r="G15" i="55"/>
  <c r="G26" i="55"/>
  <c r="G21" i="55"/>
  <c r="G11" i="55"/>
  <c r="G29" i="55"/>
  <c r="G17" i="55"/>
  <c r="G13" i="55"/>
  <c r="G16" i="55"/>
  <c r="G10" i="55"/>
  <c r="G18" i="55"/>
  <c r="G6" i="55"/>
  <c r="G5" i="55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P2" i="11"/>
  <c r="K41" i="11"/>
  <c r="D41" i="55" s="1"/>
  <c r="K40" i="11"/>
  <c r="D40" i="55" s="1"/>
  <c r="K39" i="11"/>
  <c r="D39" i="55" s="1"/>
  <c r="K38" i="11"/>
  <c r="D38" i="55" s="1"/>
  <c r="K37" i="11"/>
  <c r="D37" i="55" s="1"/>
  <c r="K36" i="11"/>
  <c r="D36" i="55" s="1"/>
  <c r="K35" i="11"/>
  <c r="D35" i="55" s="1"/>
  <c r="K34" i="11"/>
  <c r="D34" i="55" s="1"/>
  <c r="K33" i="11"/>
  <c r="D33" i="55" s="1"/>
  <c r="K32" i="11"/>
  <c r="D32" i="55" s="1"/>
  <c r="K31" i="11"/>
  <c r="D31" i="55" s="1"/>
  <c r="K30" i="11"/>
  <c r="D30" i="55" s="1"/>
  <c r="K29" i="11"/>
  <c r="D29" i="55" s="1"/>
  <c r="K28" i="11"/>
  <c r="D28" i="55" s="1"/>
  <c r="K27" i="11"/>
  <c r="D27" i="55" s="1"/>
  <c r="K26" i="11"/>
  <c r="D26" i="55" s="1"/>
  <c r="K25" i="11"/>
  <c r="D25" i="55" s="1"/>
  <c r="K24" i="11"/>
  <c r="D24" i="55" s="1"/>
  <c r="K23" i="11"/>
  <c r="D23" i="55" s="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C3" i="11"/>
  <c r="J3" i="55" s="1"/>
  <c r="D3" i="11"/>
  <c r="E3" i="11"/>
  <c r="F3" i="11"/>
  <c r="G3" i="11"/>
  <c r="H3" i="11"/>
  <c r="B4" i="11"/>
  <c r="C4" i="11"/>
  <c r="J4" i="55" s="1"/>
  <c r="D4" i="11"/>
  <c r="E4" i="11"/>
  <c r="F4" i="11"/>
  <c r="G4" i="11"/>
  <c r="H4" i="11"/>
  <c r="B5" i="11"/>
  <c r="C5" i="11"/>
  <c r="J5" i="55" s="1"/>
  <c r="D5" i="11"/>
  <c r="E5" i="11"/>
  <c r="F5" i="11"/>
  <c r="G5" i="11"/>
  <c r="H5" i="11"/>
  <c r="B6" i="11"/>
  <c r="C6" i="11"/>
  <c r="J6" i="55" s="1"/>
  <c r="D6" i="11"/>
  <c r="E6" i="11"/>
  <c r="F6" i="11"/>
  <c r="G6" i="11"/>
  <c r="H6" i="11"/>
  <c r="B7" i="11"/>
  <c r="C7" i="11"/>
  <c r="J7" i="55" s="1"/>
  <c r="D7" i="11"/>
  <c r="E7" i="11"/>
  <c r="F7" i="11"/>
  <c r="G7" i="11"/>
  <c r="H7" i="11"/>
  <c r="B8" i="11"/>
  <c r="C8" i="11"/>
  <c r="J8" i="55" s="1"/>
  <c r="D8" i="11"/>
  <c r="E8" i="11"/>
  <c r="F8" i="11"/>
  <c r="G8" i="11"/>
  <c r="H8" i="11"/>
  <c r="B9" i="11"/>
  <c r="C9" i="11"/>
  <c r="J9" i="55" s="1"/>
  <c r="D9" i="11"/>
  <c r="E9" i="11"/>
  <c r="F9" i="11"/>
  <c r="G9" i="11"/>
  <c r="H9" i="11"/>
  <c r="B10" i="11"/>
  <c r="C10" i="11"/>
  <c r="J10" i="55" s="1"/>
  <c r="D10" i="11"/>
  <c r="E10" i="11"/>
  <c r="F10" i="11"/>
  <c r="G10" i="11"/>
  <c r="H10" i="11"/>
  <c r="B11" i="11"/>
  <c r="C11" i="11"/>
  <c r="J11" i="55" s="1"/>
  <c r="D11" i="11"/>
  <c r="E11" i="11"/>
  <c r="F11" i="11"/>
  <c r="G11" i="11"/>
  <c r="H11" i="11"/>
  <c r="B12" i="11"/>
  <c r="C12" i="11"/>
  <c r="J12" i="55" s="1"/>
  <c r="D12" i="11"/>
  <c r="E12" i="11"/>
  <c r="F12" i="11"/>
  <c r="G12" i="11"/>
  <c r="H12" i="11"/>
  <c r="B13" i="11"/>
  <c r="C13" i="11"/>
  <c r="J13" i="55" s="1"/>
  <c r="D13" i="11"/>
  <c r="E13" i="11"/>
  <c r="F13" i="11"/>
  <c r="G13" i="11"/>
  <c r="H13" i="11"/>
  <c r="B14" i="11"/>
  <c r="C14" i="11"/>
  <c r="J14" i="55" s="1"/>
  <c r="D14" i="11"/>
  <c r="E14" i="11"/>
  <c r="F14" i="11"/>
  <c r="G14" i="11"/>
  <c r="H14" i="11"/>
  <c r="B15" i="11"/>
  <c r="C15" i="11"/>
  <c r="J15" i="55" s="1"/>
  <c r="D15" i="11"/>
  <c r="E15" i="11"/>
  <c r="F15" i="11"/>
  <c r="G15" i="11"/>
  <c r="H15" i="11"/>
  <c r="B16" i="11"/>
  <c r="C16" i="11"/>
  <c r="J16" i="55" s="1"/>
  <c r="D16" i="11"/>
  <c r="E16" i="11"/>
  <c r="F16" i="11"/>
  <c r="G16" i="11"/>
  <c r="H16" i="11"/>
  <c r="B17" i="11"/>
  <c r="C17" i="11"/>
  <c r="J17" i="55" s="1"/>
  <c r="D17" i="11"/>
  <c r="E17" i="11"/>
  <c r="F17" i="11"/>
  <c r="G17" i="11"/>
  <c r="H17" i="11"/>
  <c r="B18" i="11"/>
  <c r="C18" i="11"/>
  <c r="J18" i="55" s="1"/>
  <c r="D18" i="11"/>
  <c r="E18" i="11"/>
  <c r="F18" i="11"/>
  <c r="G18" i="11"/>
  <c r="H18" i="11"/>
  <c r="B19" i="11"/>
  <c r="C19" i="11"/>
  <c r="J19" i="55" s="1"/>
  <c r="D19" i="11"/>
  <c r="E19" i="11"/>
  <c r="F19" i="11"/>
  <c r="G19" i="11"/>
  <c r="H19" i="11"/>
  <c r="B20" i="11"/>
  <c r="C20" i="11"/>
  <c r="J20" i="55" s="1"/>
  <c r="D20" i="11"/>
  <c r="E20" i="11"/>
  <c r="F20" i="11"/>
  <c r="G20" i="11"/>
  <c r="H20" i="11"/>
  <c r="B21" i="11"/>
  <c r="C21" i="11"/>
  <c r="J21" i="55" s="1"/>
  <c r="D21" i="11"/>
  <c r="E21" i="11"/>
  <c r="F21" i="11"/>
  <c r="G21" i="11"/>
  <c r="H21" i="11"/>
  <c r="B22" i="11"/>
  <c r="C22" i="11"/>
  <c r="J22" i="55" s="1"/>
  <c r="D22" i="11"/>
  <c r="E22" i="11"/>
  <c r="F22" i="11"/>
  <c r="G22" i="11"/>
  <c r="H22" i="11"/>
  <c r="B23" i="11"/>
  <c r="C23" i="11"/>
  <c r="J23" i="55" s="1"/>
  <c r="D23" i="11"/>
  <c r="E23" i="11"/>
  <c r="F23" i="11"/>
  <c r="G23" i="11"/>
  <c r="H23" i="11"/>
  <c r="B24" i="11"/>
  <c r="C24" i="11"/>
  <c r="J24" i="55" s="1"/>
  <c r="D24" i="11"/>
  <c r="E24" i="11"/>
  <c r="F24" i="11"/>
  <c r="G24" i="11"/>
  <c r="H24" i="11"/>
  <c r="B25" i="11"/>
  <c r="C25" i="11"/>
  <c r="J25" i="55" s="1"/>
  <c r="D25" i="11"/>
  <c r="E25" i="11"/>
  <c r="F25" i="11"/>
  <c r="G25" i="11"/>
  <c r="H25" i="11"/>
  <c r="B26" i="11"/>
  <c r="C26" i="11"/>
  <c r="J26" i="55" s="1"/>
  <c r="D26" i="11"/>
  <c r="E26" i="11"/>
  <c r="F26" i="11"/>
  <c r="G26" i="11"/>
  <c r="H26" i="11"/>
  <c r="B27" i="11"/>
  <c r="C27" i="11"/>
  <c r="J27" i="55" s="1"/>
  <c r="D27" i="11"/>
  <c r="E27" i="11"/>
  <c r="F27" i="11"/>
  <c r="G27" i="11"/>
  <c r="H27" i="11"/>
  <c r="B28" i="11"/>
  <c r="C28" i="11"/>
  <c r="J28" i="55" s="1"/>
  <c r="D28" i="11"/>
  <c r="E28" i="11"/>
  <c r="F28" i="11"/>
  <c r="G28" i="11"/>
  <c r="H28" i="11"/>
  <c r="B29" i="11"/>
  <c r="C29" i="11"/>
  <c r="J29" i="55" s="1"/>
  <c r="D29" i="11"/>
  <c r="E29" i="11"/>
  <c r="F29" i="11"/>
  <c r="G29" i="11"/>
  <c r="H29" i="11"/>
  <c r="B30" i="11"/>
  <c r="C30" i="11"/>
  <c r="J30" i="55" s="1"/>
  <c r="D30" i="11"/>
  <c r="E30" i="11"/>
  <c r="F30" i="11"/>
  <c r="G30" i="11"/>
  <c r="H30" i="11"/>
  <c r="B31" i="11"/>
  <c r="C31" i="11"/>
  <c r="J31" i="55" s="1"/>
  <c r="D31" i="11"/>
  <c r="E31" i="11"/>
  <c r="F31" i="11"/>
  <c r="G31" i="11"/>
  <c r="H31" i="11"/>
  <c r="B32" i="11"/>
  <c r="C32" i="11"/>
  <c r="J32" i="55" s="1"/>
  <c r="D32" i="11"/>
  <c r="E32" i="11"/>
  <c r="F32" i="11"/>
  <c r="G32" i="11"/>
  <c r="H32" i="11"/>
  <c r="B33" i="11"/>
  <c r="C33" i="11"/>
  <c r="J33" i="55" s="1"/>
  <c r="D33" i="11"/>
  <c r="E33" i="11"/>
  <c r="F33" i="11"/>
  <c r="G33" i="11"/>
  <c r="H33" i="11"/>
  <c r="B34" i="11"/>
  <c r="C34" i="11"/>
  <c r="J34" i="55" s="1"/>
  <c r="D34" i="11"/>
  <c r="E34" i="11"/>
  <c r="F34" i="11"/>
  <c r="G34" i="11"/>
  <c r="H34" i="11"/>
  <c r="B35" i="11"/>
  <c r="C35" i="11"/>
  <c r="J35" i="55" s="1"/>
  <c r="D35" i="11"/>
  <c r="E35" i="11"/>
  <c r="F35" i="11"/>
  <c r="G35" i="11"/>
  <c r="H35" i="11"/>
  <c r="B36" i="11"/>
  <c r="C36" i="11"/>
  <c r="J36" i="55" s="1"/>
  <c r="D36" i="11"/>
  <c r="E36" i="11"/>
  <c r="F36" i="11"/>
  <c r="G36" i="11"/>
  <c r="H36" i="11"/>
  <c r="B37" i="11"/>
  <c r="C37" i="11"/>
  <c r="J37" i="55" s="1"/>
  <c r="D37" i="11"/>
  <c r="E37" i="11"/>
  <c r="F37" i="11"/>
  <c r="G37" i="11"/>
  <c r="H37" i="11"/>
  <c r="B38" i="11"/>
  <c r="C38" i="11"/>
  <c r="J38" i="55" s="1"/>
  <c r="D38" i="11"/>
  <c r="E38" i="11"/>
  <c r="F38" i="11"/>
  <c r="G38" i="11"/>
  <c r="H38" i="11"/>
  <c r="B39" i="11"/>
  <c r="C39" i="11"/>
  <c r="J39" i="55" s="1"/>
  <c r="D39" i="11"/>
  <c r="E39" i="11"/>
  <c r="F39" i="11"/>
  <c r="G39" i="11"/>
  <c r="H39" i="11"/>
  <c r="B40" i="11"/>
  <c r="C40" i="11"/>
  <c r="J40" i="55" s="1"/>
  <c r="D40" i="11"/>
  <c r="E40" i="11"/>
  <c r="F40" i="11"/>
  <c r="G40" i="11"/>
  <c r="H40" i="11"/>
  <c r="B41" i="11"/>
  <c r="C41" i="11"/>
  <c r="J41" i="55" s="1"/>
  <c r="D41" i="11"/>
  <c r="E41" i="11"/>
  <c r="F41" i="11"/>
  <c r="G41" i="11"/>
  <c r="H41" i="11"/>
  <c r="H2" i="11"/>
  <c r="E2" i="11"/>
  <c r="G2" i="11"/>
  <c r="F2" i="11"/>
  <c r="D2" i="11"/>
  <c r="C2" i="11"/>
  <c r="J2" i="55" s="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I23" i="55" s="1"/>
  <c r="S24" i="11"/>
  <c r="I24" i="55" s="1"/>
  <c r="S25" i="11"/>
  <c r="I25" i="55" s="1"/>
  <c r="S26" i="11"/>
  <c r="I26" i="55" s="1"/>
  <c r="S27" i="11"/>
  <c r="I27" i="55" s="1"/>
  <c r="S28" i="11"/>
  <c r="I28" i="55" s="1"/>
  <c r="S29" i="11"/>
  <c r="I29" i="55" s="1"/>
  <c r="S30" i="11"/>
  <c r="I30" i="55" s="1"/>
  <c r="S31" i="11"/>
  <c r="I31" i="55" s="1"/>
  <c r="S32" i="11"/>
  <c r="I32" i="55" s="1"/>
  <c r="S33" i="11"/>
  <c r="I33" i="55" s="1"/>
  <c r="S34" i="11"/>
  <c r="I34" i="55" s="1"/>
  <c r="S35" i="11"/>
  <c r="I35" i="55" s="1"/>
  <c r="S36" i="11"/>
  <c r="I36" i="55" s="1"/>
  <c r="S37" i="11"/>
  <c r="I37" i="55" s="1"/>
  <c r="S38" i="11"/>
  <c r="I38" i="55" s="1"/>
  <c r="S39" i="11"/>
  <c r="I39" i="55" s="1"/>
  <c r="S40" i="11"/>
  <c r="I40" i="55" s="1"/>
  <c r="S41" i="11"/>
  <c r="I41" i="55" s="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H23" i="55" s="1"/>
  <c r="J24" i="11"/>
  <c r="H24" i="55" s="1"/>
  <c r="J25" i="11"/>
  <c r="H25" i="55" s="1"/>
  <c r="J26" i="11"/>
  <c r="H26" i="55" s="1"/>
  <c r="J27" i="11"/>
  <c r="H27" i="55" s="1"/>
  <c r="J28" i="11"/>
  <c r="H28" i="55" s="1"/>
  <c r="J29" i="11"/>
  <c r="H29" i="55" s="1"/>
  <c r="J30" i="11"/>
  <c r="H30" i="55" s="1"/>
  <c r="J31" i="11"/>
  <c r="H31" i="55" s="1"/>
  <c r="J32" i="11"/>
  <c r="H32" i="55" s="1"/>
  <c r="J33" i="11"/>
  <c r="H33" i="55" s="1"/>
  <c r="J34" i="11"/>
  <c r="H34" i="55" s="1"/>
  <c r="J35" i="11"/>
  <c r="H35" i="55" s="1"/>
  <c r="J36" i="11"/>
  <c r="H36" i="55" s="1"/>
  <c r="J37" i="11"/>
  <c r="H37" i="55" s="1"/>
  <c r="J38" i="11"/>
  <c r="H38" i="55" s="1"/>
  <c r="J39" i="11"/>
  <c r="H39" i="55" s="1"/>
  <c r="J40" i="11"/>
  <c r="H40" i="55" s="1"/>
  <c r="J41" i="11"/>
  <c r="H41" i="55" s="1"/>
  <c r="J2" i="11"/>
  <c r="H2" i="55" s="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R2" i="11"/>
  <c r="C2" i="55" s="1"/>
  <c r="R41" i="11"/>
  <c r="C41" i="55" s="1"/>
  <c r="R40" i="11"/>
  <c r="C40" i="55" s="1"/>
  <c r="R39" i="11"/>
  <c r="C39" i="55" s="1"/>
  <c r="R38" i="11"/>
  <c r="C38" i="55" s="1"/>
  <c r="R37" i="11"/>
  <c r="C37" i="55" s="1"/>
  <c r="R36" i="11"/>
  <c r="C36" i="55" s="1"/>
  <c r="R35" i="11"/>
  <c r="C35" i="55" s="1"/>
  <c r="R34" i="11"/>
  <c r="C34" i="55" s="1"/>
  <c r="R33" i="11"/>
  <c r="C33" i="55" s="1"/>
  <c r="R32" i="11"/>
  <c r="C32" i="55" s="1"/>
  <c r="R31" i="11"/>
  <c r="C31" i="55" s="1"/>
  <c r="R30" i="11"/>
  <c r="C30" i="55" s="1"/>
  <c r="R29" i="11"/>
  <c r="C29" i="55" s="1"/>
  <c r="R28" i="11"/>
  <c r="C28" i="55" s="1"/>
  <c r="R27" i="11"/>
  <c r="C27" i="55" s="1"/>
  <c r="R26" i="11"/>
  <c r="C26" i="55" s="1"/>
  <c r="R25" i="11"/>
  <c r="C25" i="55" s="1"/>
  <c r="R24" i="11"/>
  <c r="C24" i="55" s="1"/>
  <c r="R23" i="11"/>
  <c r="C23" i="55" s="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<sst xmlns="http://schemas.openxmlformats.org/spreadsheetml/2006/main" count="321" uniqueCount="301">
  <si>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</si>
  <si>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</si>
  <si>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</si>
  <si>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</si>
  <si>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</si>
  <si>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</si>
  <si>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</si>
  <si>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</si>
  <si>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</si>
  <si>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</si>
  <si>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</si>
  <si>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</si>
  <si>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</si>
  <si>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</si>
  <si>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</si>
  <si>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</si>
  <si>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</si>
  <si>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</si>
  <si>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</si>
  <si>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</si>
  <si>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</si>
  <si>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</si>
  <si>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</si>
  <si>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</si>
  <si>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</si>
  <si>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</si>
  <si>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</si>
  <si>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</si>
  <si>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</si>
  <si>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</si>
  <si>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</si>
  <si>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</si>
  <si>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</si>
  <si>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</si>
  <si>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</si>
  <si>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</si>
  <si>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</si>
  <si>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</si>
  <si>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</si>
  <si>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</si>
  <si>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</si>
  <si>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</si>
  <si>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</si>
  <si>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</si>
  <si>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</si>
  <si>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</si>
  <si>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</si>
  <si>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</si>
  <si>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</si>
  <si>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</si>
  <si>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</si>
  <si>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</si>
  <si>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</si>
  <si>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</si>
  <si>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</si>
  <si>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</si>
  <si>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</si>
  <si>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</si>
  <si>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</si>
  <si>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</si>
  <si>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</si>
  <si>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</si>
  <si>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</si>
  <si>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</si>
  <si>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</si>
  <si>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</si>
  <si>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</si>
  <si>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</si>
  <si>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</si>
  <si>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</si>
  <si>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</si>
  <si>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</si>
  <si>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</si>
  <si>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</si>
  <si>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</si>
  <si>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</si>
  <si>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</si>
  <si>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</si>
  <si>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</si>
  <si>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</si>
  <si>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</si>
  <si>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</si>
  <si>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</si>
  <si>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</si>
  <si>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</si>
  <si>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</si>
  <si>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</si>
  <si>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</si>
  <si>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</si>
  <si>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</si>
  <si>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</si>
  <si>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</si>
  <si>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</si>
  <si>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</si>
  <si>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</si>
  <si>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</si>
  <si>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</si>
  <si>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</si>
  <si>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</si>
  <si>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</si>
  <si>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</si>
  <si>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</si>
  <si>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</si>
  <si>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</si>
  <si>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</si>
  <si>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</si>
  <si>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</si>
  <si>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</si>
  <si>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</si>
  <si>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</si>
  <si>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</si>
  <si>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</si>
  <si>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</si>
  <si>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</si>
  <si>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</si>
  <si>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</si>
  <si>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</si>
  <si>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</si>
  <si>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</si>
  <si>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</si>
  <si>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</si>
  <si>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</si>
  <si>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</si>
  <si>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</si>
  <si>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</si>
  <si>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</si>
  <si>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</si>
  <si>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</si>
  <si>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</si>
  <si>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</si>
  <si>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</si>
  <si>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</si>
  <si>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</si>
  <si>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</si>
  <si>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</si>
  <si>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</si>
  <si>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</si>
  <si>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</si>
  <si>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</si>
  <si>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</si>
  <si>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</si>
  <si>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</si>
  <si>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</si>
  <si>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</si>
  <si>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</si>
  <si>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</si>
  <si>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</si>
  <si>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</si>
  <si>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</si>
  <si>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</si>
  <si>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</si>
  <si>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</si>
  <si>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</si>
  <si>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</si>
  <si>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</si>
  <si>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</si>
  <si>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</si>
  <si>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</si>
  <si>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</si>
  <si>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</si>
  <si>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</si>
  <si>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</si>
  <si>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</si>
  <si>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</si>
  <si>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</si>
  <si>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</si>
  <si>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</si>
  <si>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</si>
  <si>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</si>
  <si>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</si>
  <si>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</si>
  <si>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</si>
  <si>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</si>
  <si>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</si>
  <si>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</si>
  <si>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</si>
  <si>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</si>
  <si>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</si>
  <si>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</si>
  <si>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</si>
  <si>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</si>
  <si>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</si>
  <si>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</si>
  <si>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</si>
  <si>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</si>
  <si>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</si>
  <si>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</si>
  <si>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</si>
  <si>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</si>
  <si>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</si>
  <si>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</si>
  <si>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</si>
  <si>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</si>
  <si>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</si>
  <si>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</si>
  <si>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</si>
  <si>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</si>
  <si>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</si>
  <si>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</si>
  <si>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</si>
  <si>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</si>
  <si>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</si>
  <si>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</si>
  <si>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</si>
  <si>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</si>
  <si>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</si>
  <si>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</si>
  <si>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</si>
  <si>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</si>
  <si>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</si>
  <si>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</si>
  <si>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</si>
  <si>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</si>
  <si>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</si>
  <si>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</si>
  <si>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</si>
  <si>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</si>
  <si>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</si>
  <si>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</si>
  <si>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</si>
  <si>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</si>
  <si>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</si>
  <si>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</si>
  <si>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</si>
  <si>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</si>
  <si>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</si>
  <si>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</si>
  <si>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</si>
  <si>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</si>
  <si>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</si>
  <si>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</si>
  <si>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</si>
  <si>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</si>
  <si>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</si>
  <si>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</si>
  <si>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</si>
  <si>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</si>
  <si>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</si>
  <si>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</si>
  <si>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</si>
  <si>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</si>
  <si>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</si>
  <si>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</si>
  <si>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</si>
  <si>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</si>
  <si>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</si>
  <si>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</si>
  <si>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</si>
  <si>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</si>
  <si>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</si>
  <si>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</si>
  <si>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</si>
  <si>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</si>
  <si>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</si>
  <si>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</si>
  <si>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</si>
  <si>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</si>
  <si>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</si>
  <si>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</si>
  <si>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</si>
  <si>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</si>
  <si>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</si>
  <si>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</si>
  <si>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</si>
  <si>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</si>
  <si>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</si>
  <si>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</si>
  <si>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</si>
  <si>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</si>
  <si>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</si>
  <si>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</si>
  <si>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</si>
  <si>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</si>
  <si>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</si>
  <si>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</si>
  <si>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</si>
  <si>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</si>
  <si>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</si>
  <si>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</si>
  <si>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</si>
  <si>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</si>
  <si>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</si>
  <si>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</si>
  <si>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</si>
  <si>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</si>
  <si>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</si>
  <si>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</si>
  <si>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total firms for normalization</t>
  </si>
  <si>
    <t>shock psi</t>
  </si>
  <si>
    <t>Firm subject to shutdown</t>
  </si>
  <si>
    <t>shock shutdown</t>
  </si>
  <si>
    <t>psi_c</t>
  </si>
  <si>
    <t>collat_binding</t>
  </si>
  <si>
    <t>output psi</t>
  </si>
  <si>
    <t>employment psi</t>
  </si>
  <si>
    <t>firm debt to output psi</t>
  </si>
  <si>
    <t>firm entry psi</t>
  </si>
  <si>
    <t>firm exit psi</t>
  </si>
  <si>
    <t>consumption psi</t>
  </si>
  <si>
    <t>investment psi</t>
  </si>
  <si>
    <t>labor productivity psi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</si>
</sst>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  <xf numFmtId="0" fontId="3" fillId="2" borderId="0" xfId="0" applyFont="1" applyFill="1"/>
    <xf numFmtId="1" fontId="3" fillId="2" borderId="0" xfId="0" applyNumberFormat="1" applyFont="1" applyFill="1"/>
    <xf numFmtId="2" fontId="3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1"/>
  <sheetViews>
    <sheetView zoomScale="90" zoomScaleNormal="90" workbookViewId="0">
      <pane xSplit="1" ySplit="1" topLeftCell="T101" activePane="bottomRight" state="frozen"/>
      <selection pane="topRight" activeCell="B1" sqref="B1"/>
      <selection pane="bottomLeft" activeCell="A2" sqref="A2"/>
      <selection pane="bottomRight" activeCell="A42" sqref="A42:XFD121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39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48</v>
      </c>
      <c r="H1" s="1" t="s">
        <v>49</v>
      </c>
      <c r="I1" s="1" t="s">
        <v>54</v>
      </c>
      <c r="J1" s="1" t="s">
        <v>11</v>
      </c>
      <c r="K1" s="1" t="s">
        <v>12</v>
      </c>
      <c r="L1" s="1" t="s">
        <v>10</v>
      </c>
      <c r="M1" s="1" t="s">
        <v>50</v>
      </c>
      <c r="N1" s="1" t="s">
        <v>13</v>
      </c>
      <c r="O1" s="1" t="s">
        <v>16</v>
      </c>
      <c r="P1" s="1" t="s">
        <v>18</v>
      </c>
      <c r="Q1" s="1" t="s">
        <v>5</v>
      </c>
      <c r="R1" s="1" t="s">
        <v>14</v>
      </c>
      <c r="S1" s="1" t="s">
        <v>15</v>
      </c>
      <c r="T1" s="1" t="s">
        <v>22</v>
      </c>
      <c r="U1" s="1" t="s">
        <v>17</v>
      </c>
      <c r="V1" s="1" t="s">
        <v>47</v>
      </c>
      <c r="W1" s="1" t="s">
        <v>21</v>
      </c>
      <c r="X1" s="1" t="s">
        <v>40</v>
      </c>
      <c r="Y1" s="1" t="s">
        <v>6</v>
      </c>
      <c r="Z1" s="1" t="s">
        <v>7</v>
      </c>
      <c r="AA1" s="1" t="s">
        <v>8</v>
      </c>
      <c r="AB1" s="1" t="s">
        <v>19</v>
      </c>
      <c r="AC1" s="1" t="s">
        <v>24</v>
      </c>
      <c r="AD1" s="1" t="s">
        <v>31</v>
      </c>
      <c r="AE1" s="1" t="s">
        <v>53</v>
      </c>
      <c r="AF1" s="1" t="s">
        <v>291</v>
      </c>
      <c r="AG1" s="1" t="s">
        <v>292</v>
      </c>
      <c r="AK1" s="1" t="s">
        <v>289</v>
      </c>
      <c r="AL1" s="1" t="s">
        <v>23</v>
      </c>
      <c r="AM1" s="1" t="s">
        <v>52</v>
      </c>
    </row>
    <row r="2" spans="1:39" x14ac:dyDescent="0.35">
      <c r="A2" s="1">
        <v>0</v>
      </c>
      <c r="B2" s="2">
        <v>1</v>
      </c>
      <c r="C2" s="2">
        <v>0.79263700000000004</v>
      </c>
      <c r="D2" s="2">
        <v>0.40354410000000002</v>
      </c>
      <c r="E2" s="2">
        <v>3.2342999999999998E-3</v>
      </c>
      <c r="F2" s="2">
        <v>1</v>
      </c>
      <c r="G2" s="2">
        <v>0.78018900000000002</v>
      </c>
      <c r="H2" s="2">
        <v>0</v>
      </c>
      <c r="I2" s="2">
        <v>0</v>
      </c>
      <c r="J2" s="2">
        <v>2.5286658000000002</v>
      </c>
      <c r="K2" s="2">
        <v>0.99755099999999997</v>
      </c>
      <c r="L2" s="2">
        <v>-4.5981648000000002</v>
      </c>
      <c r="M2" s="2">
        <v>1.0101000000000001E-2</v>
      </c>
      <c r="N2" s="2">
        <v>2.0018584000000001</v>
      </c>
      <c r="O2" s="2">
        <v>0.55909600000000004</v>
      </c>
      <c r="P2" s="9">
        <v>1.0654E-2</v>
      </c>
      <c r="Q2" s="9">
        <v>0.3604869</v>
      </c>
      <c r="R2" s="2">
        <v>3.0906913999999999</v>
      </c>
      <c r="S2" s="2">
        <v>0.55328379999999999</v>
      </c>
      <c r="T2" s="2">
        <v>-1</v>
      </c>
      <c r="U2" s="2">
        <v>1.0653899999999999E-2</v>
      </c>
      <c r="V2" s="2">
        <v>0</v>
      </c>
      <c r="W2" s="2">
        <v>2.6877955999999998</v>
      </c>
      <c r="X2" s="2">
        <v>0.64611940000000001</v>
      </c>
      <c r="Y2" s="2">
        <v>0</v>
      </c>
      <c r="Z2" s="2">
        <v>0</v>
      </c>
      <c r="AA2" s="2">
        <v>-5.7495697000000003</v>
      </c>
      <c r="AB2" s="2">
        <v>33.1899199</v>
      </c>
      <c r="AC2" s="2">
        <v>3.0906913999999999</v>
      </c>
      <c r="AD2" s="2">
        <v>0.55328379999999999</v>
      </c>
      <c r="AE2" s="2">
        <v>8.7417999999999992E-3</v>
      </c>
      <c r="AF2">
        <v>1</v>
      </c>
      <c r="AG2" s="2">
        <v>0</v>
      </c>
      <c r="AH2" s="2"/>
      <c r="AI2" s="2"/>
      <c r="AJ2" s="2"/>
      <c r="AK2" s="2">
        <f>100*0.02753520570695</f>
        <v>2.7535205706949997</v>
      </c>
      <c r="AL2">
        <f>100*(R2/K2-R$2/K$2)</f>
        <v>0</v>
      </c>
      <c r="AM2">
        <f>SUM(output_transition_firms_age!C9:F9)/output_transition_firms_age!IJ8</f>
        <v>0.11498167756396205</v>
      </c>
    </row>
    <row r="3" spans="1:39" x14ac:dyDescent="0.35">
      <c r="A3" s="1">
        <v>1</v>
      </c>
      <c r="B3" s="2">
        <v>1</v>
      </c>
      <c r="C3" s="2">
        <v>0.94198749999999998</v>
      </c>
      <c r="D3" s="2">
        <v>0.40354410000000002</v>
      </c>
      <c r="E3" s="2">
        <v>3.2342999999999998E-3</v>
      </c>
      <c r="F3" s="2">
        <v>1</v>
      </c>
      <c r="G3" s="2">
        <v>0.78018900000000002</v>
      </c>
      <c r="H3" s="2">
        <v>0</v>
      </c>
      <c r="I3" s="2">
        <v>0</v>
      </c>
      <c r="J3" s="2">
        <v>2.502313</v>
      </c>
      <c r="K3" s="2">
        <v>0.8615739</v>
      </c>
      <c r="L3" s="2">
        <v>-4.5981648000000002</v>
      </c>
      <c r="M3" s="2">
        <v>1.0101000000000001E-2</v>
      </c>
      <c r="N3" s="2">
        <v>2.2092029000000002</v>
      </c>
      <c r="O3" s="2">
        <v>0.68039439999999995</v>
      </c>
      <c r="P3" s="2">
        <v>8.3975000000000005E-3</v>
      </c>
      <c r="Q3" s="2">
        <v>0.3604869</v>
      </c>
      <c r="R3" s="2">
        <v>2.7966272000000001</v>
      </c>
      <c r="S3" s="2">
        <v>0.29431420000000003</v>
      </c>
      <c r="T3" s="2">
        <v>-1</v>
      </c>
      <c r="U3" s="2">
        <v>2.2174599999999999E-2</v>
      </c>
      <c r="V3" s="2">
        <v>0</v>
      </c>
      <c r="W3" s="2">
        <v>2.335639</v>
      </c>
      <c r="X3" s="2">
        <v>0.68018449999999997</v>
      </c>
      <c r="Y3" s="2">
        <v>0</v>
      </c>
      <c r="Z3" s="2">
        <v>0</v>
      </c>
      <c r="AA3" s="2">
        <v>-5.7495697000000003</v>
      </c>
      <c r="AB3" s="2">
        <v>33.159494799999997</v>
      </c>
      <c r="AC3" s="2">
        <v>2.7983682999999999</v>
      </c>
      <c r="AD3" s="2">
        <v>0.29605540000000002</v>
      </c>
      <c r="AE3" s="5">
        <v>0</v>
      </c>
      <c r="AF3">
        <v>1</v>
      </c>
      <c r="AG3" s="2">
        <v>0</v>
      </c>
      <c r="AH3" s="2"/>
      <c r="AI3" s="2"/>
      <c r="AJ3" s="2" t="e">
        <f>100*SUM(AI3:AI41)/AH3</f>
        <v>#DIV/0!</v>
      </c>
      <c r="AK3" s="2">
        <f>AK2*0.5</f>
        <v>1.3767602853474998</v>
      </c>
      <c r="AL3">
        <f t="shared" ref="AL3:AL41" si="0">100*(R3/K3-R$2/K$2)</f>
        <v>14.767253863454899</v>
      </c>
      <c r="AM3">
        <f>SUM(output_transition_firms_age!C10:F10)/output_transition_firms_age!IJ9</f>
        <v>0.10386329652974642</v>
      </c>
    </row>
    <row r="4" spans="1:39" x14ac:dyDescent="0.35">
      <c r="A4" s="1">
        <v>2</v>
      </c>
      <c r="B4" s="2">
        <v>1</v>
      </c>
      <c r="C4" s="2">
        <v>0.86731230000000004</v>
      </c>
      <c r="D4" s="2">
        <v>0.40354410000000002</v>
      </c>
      <c r="E4" s="2">
        <v>3.2342999999999998E-3</v>
      </c>
      <c r="F4" s="2">
        <v>1</v>
      </c>
      <c r="G4" s="2">
        <v>0.78018900000000002</v>
      </c>
      <c r="H4" s="2">
        <v>0</v>
      </c>
      <c r="I4" s="2">
        <v>0</v>
      </c>
      <c r="J4" s="2">
        <v>2.4994125</v>
      </c>
      <c r="K4" s="2">
        <v>0.92071219999999998</v>
      </c>
      <c r="L4" s="2">
        <v>-4.5384701999999999</v>
      </c>
      <c r="M4" s="2">
        <v>8.9449000000000004E-3</v>
      </c>
      <c r="N4" s="2">
        <v>2.1011337000000001</v>
      </c>
      <c r="O4" s="2">
        <v>0.52396200000000004</v>
      </c>
      <c r="P4" s="2">
        <v>9.8733999999999992E-3</v>
      </c>
      <c r="Q4" s="2">
        <v>0.34670980000000001</v>
      </c>
      <c r="R4" s="2">
        <v>2.9183528000000001</v>
      </c>
      <c r="S4" s="2">
        <v>0.41894029999999999</v>
      </c>
      <c r="T4" s="2">
        <v>-1</v>
      </c>
      <c r="U4" s="2">
        <v>7.9290000000000003E-3</v>
      </c>
      <c r="V4" s="2">
        <v>0</v>
      </c>
      <c r="W4" s="2">
        <v>2.5820325</v>
      </c>
      <c r="X4" s="2">
        <v>0.662663</v>
      </c>
      <c r="Y4" s="2">
        <v>0</v>
      </c>
      <c r="Z4" s="2">
        <v>0</v>
      </c>
      <c r="AA4" s="2">
        <v>-5.7069631000000003</v>
      </c>
      <c r="AB4" s="2">
        <v>32.919122000000002</v>
      </c>
      <c r="AC4" s="2">
        <v>2.919333</v>
      </c>
      <c r="AD4" s="2">
        <v>0.41992049999999997</v>
      </c>
      <c r="AE4" s="2">
        <v>0</v>
      </c>
      <c r="AF4">
        <v>1</v>
      </c>
      <c r="AG4" s="2">
        <v>0</v>
      </c>
      <c r="AH4" s="2"/>
      <c r="AI4" s="2"/>
      <c r="AJ4" s="2"/>
      <c r="AK4" s="2">
        <f t="shared" ref="AK4:AK41" si="1">AK3*0.5</f>
        <v>0.68838014267374992</v>
      </c>
      <c r="AL4">
        <f t="shared" si="0"/>
        <v>7.138978607365809</v>
      </c>
      <c r="AM4">
        <f>SUM(output_transition_firms_age!C11:F11)/output_transition_firms_age!IJ10</f>
        <v>0.10347879813286702</v>
      </c>
    </row>
    <row r="5" spans="1:39" x14ac:dyDescent="0.35">
      <c r="A5" s="1">
        <v>3</v>
      </c>
      <c r="B5" s="2">
        <v>1</v>
      </c>
      <c r="C5" s="2">
        <v>0.82997469999999995</v>
      </c>
      <c r="D5" s="2">
        <v>0.40354410000000002</v>
      </c>
      <c r="E5" s="2">
        <v>3.2342999999999998E-3</v>
      </c>
      <c r="F5" s="2">
        <v>1</v>
      </c>
      <c r="G5" s="2">
        <v>0.78018900000000002</v>
      </c>
      <c r="H5" s="2">
        <v>0</v>
      </c>
      <c r="I5" s="2">
        <v>0</v>
      </c>
      <c r="J5" s="2">
        <v>2.4985938000000001</v>
      </c>
      <c r="K5" s="2">
        <v>0.9539261</v>
      </c>
      <c r="L5" s="2">
        <v>-4.6050423</v>
      </c>
      <c r="M5" s="2">
        <v>9.6463E-3</v>
      </c>
      <c r="N5" s="2">
        <v>2.0461304999999999</v>
      </c>
      <c r="O5" s="2">
        <v>0.530802</v>
      </c>
      <c r="P5" s="2">
        <v>1.0309199999999999E-2</v>
      </c>
      <c r="Q5" s="2">
        <v>0.34865429999999997</v>
      </c>
      <c r="R5" s="2">
        <v>2.9819182</v>
      </c>
      <c r="S5" s="2">
        <v>0.48332439999999999</v>
      </c>
      <c r="T5" s="2">
        <v>-1</v>
      </c>
      <c r="U5" s="2">
        <v>8.4927000000000006E-3</v>
      </c>
      <c r="V5" s="2">
        <v>0</v>
      </c>
      <c r="W5" s="2">
        <v>2.6574209999999998</v>
      </c>
      <c r="X5" s="2">
        <v>0.65445799999999998</v>
      </c>
      <c r="Y5" s="2">
        <v>0</v>
      </c>
      <c r="Z5" s="2">
        <v>0</v>
      </c>
      <c r="AA5" s="2">
        <v>-5.6692919000000002</v>
      </c>
      <c r="AB5" s="2">
        <v>32.796339400000001</v>
      </c>
      <c r="AC5" s="2">
        <v>2.9823746</v>
      </c>
      <c r="AD5" s="2">
        <v>0.48378080000000001</v>
      </c>
      <c r="AE5" s="2">
        <v>0</v>
      </c>
      <c r="AF5">
        <v>1</v>
      </c>
      <c r="AG5" s="2">
        <v>0</v>
      </c>
      <c r="AH5" s="2"/>
      <c r="AI5" s="2"/>
      <c r="AJ5" s="2"/>
      <c r="AK5" s="2">
        <f t="shared" si="1"/>
        <v>0.34419007133687496</v>
      </c>
      <c r="AL5">
        <f t="shared" si="0"/>
        <v>2.7663479672242364</v>
      </c>
      <c r="AM5">
        <f>SUM(output_transition_firms_age!C12:F12)/output_transition_firms_age!IJ11</f>
        <v>0.10530602786954879</v>
      </c>
    </row>
    <row r="6" spans="1:39" x14ac:dyDescent="0.35">
      <c r="A6" s="1">
        <v>4</v>
      </c>
      <c r="B6" s="2">
        <v>1</v>
      </c>
      <c r="C6" s="2">
        <v>0.81130590000000002</v>
      </c>
      <c r="D6" s="2">
        <v>0.40354410000000002</v>
      </c>
      <c r="E6" s="2">
        <v>3.2342999999999998E-3</v>
      </c>
      <c r="F6" s="2">
        <v>1</v>
      </c>
      <c r="G6" s="2">
        <v>0.78018900000000002</v>
      </c>
      <c r="H6" s="2">
        <v>0</v>
      </c>
      <c r="I6" s="2">
        <v>0</v>
      </c>
      <c r="J6" s="2">
        <v>2.4985281000000001</v>
      </c>
      <c r="K6" s="2">
        <v>0.97168129999999997</v>
      </c>
      <c r="L6" s="2">
        <v>-4.6483910000000002</v>
      </c>
      <c r="M6" s="2">
        <v>9.9197999999999995E-3</v>
      </c>
      <c r="N6" s="2">
        <v>2.0184331000000002</v>
      </c>
      <c r="O6" s="2">
        <v>0.54083170000000003</v>
      </c>
      <c r="P6" s="2">
        <v>1.0734799999999999E-2</v>
      </c>
      <c r="Q6" s="2">
        <v>0.35047080000000003</v>
      </c>
      <c r="R6" s="2">
        <v>3.0148709</v>
      </c>
      <c r="S6" s="2">
        <v>0.51634279999999999</v>
      </c>
      <c r="T6" s="2">
        <v>-1</v>
      </c>
      <c r="U6" s="2">
        <v>9.7497E-3</v>
      </c>
      <c r="V6" s="2">
        <v>0</v>
      </c>
      <c r="W6" s="2">
        <v>2.6900713000000001</v>
      </c>
      <c r="X6" s="2">
        <v>0.65048640000000002</v>
      </c>
      <c r="Y6" s="2">
        <v>0</v>
      </c>
      <c r="Z6" s="2">
        <v>0</v>
      </c>
      <c r="AA6" s="2">
        <v>-5.6408158000000004</v>
      </c>
      <c r="AB6" s="2">
        <v>32.739304300000001</v>
      </c>
      <c r="AC6" s="2">
        <v>3.0150489</v>
      </c>
      <c r="AD6" s="2">
        <v>0.5165208</v>
      </c>
      <c r="AE6" s="2">
        <v>0</v>
      </c>
      <c r="AF6">
        <v>1</v>
      </c>
      <c r="AG6" s="2">
        <v>0</v>
      </c>
      <c r="AH6" s="2"/>
      <c r="AI6" s="2"/>
      <c r="AJ6" s="2"/>
      <c r="AK6" s="2">
        <f t="shared" si="1"/>
        <v>0.17209503566843748</v>
      </c>
      <c r="AL6">
        <f t="shared" si="0"/>
        <v>0.44572746821938125</v>
      </c>
      <c r="AM6">
        <f>SUM(output_transition_firms_age!C13:F13)/output_transition_firms_age!IJ12</f>
        <v>0.1077178779243311</v>
      </c>
    </row>
    <row r="7" spans="1:39" x14ac:dyDescent="0.35">
      <c r="A7" s="1">
        <v>5</v>
      </c>
      <c r="B7" s="2">
        <v>1</v>
      </c>
      <c r="C7" s="2">
        <v>0.8019714</v>
      </c>
      <c r="D7" s="2">
        <v>0.40354410000000002</v>
      </c>
      <c r="E7" s="2">
        <v>3.2342999999999998E-3</v>
      </c>
      <c r="F7" s="2">
        <v>1</v>
      </c>
      <c r="G7" s="2">
        <v>0.78018900000000002</v>
      </c>
      <c r="H7" s="2">
        <v>0</v>
      </c>
      <c r="I7" s="2">
        <v>0</v>
      </c>
      <c r="J7" s="2">
        <v>2.4988769</v>
      </c>
      <c r="K7" s="2">
        <v>0.98143610000000003</v>
      </c>
      <c r="L7" s="2">
        <v>-4.6731195000000003</v>
      </c>
      <c r="M7" s="2">
        <v>1.0047800000000001E-2</v>
      </c>
      <c r="N7" s="2">
        <v>2.0051546999999998</v>
      </c>
      <c r="O7" s="2">
        <v>0.53890369999999999</v>
      </c>
      <c r="P7" s="2">
        <v>1.1099700000000001E-2</v>
      </c>
      <c r="Q7" s="2">
        <v>0.35145589999999999</v>
      </c>
      <c r="R7" s="2">
        <v>3.0326849</v>
      </c>
      <c r="S7" s="2">
        <v>0.53380799999999995</v>
      </c>
      <c r="T7" s="2">
        <v>-1</v>
      </c>
      <c r="U7" s="2">
        <v>9.9500000000000005E-3</v>
      </c>
      <c r="V7" s="2">
        <v>0</v>
      </c>
      <c r="W7" s="2">
        <v>2.7069569000000002</v>
      </c>
      <c r="X7" s="2">
        <v>0.64889030000000003</v>
      </c>
      <c r="Y7" s="2">
        <v>0</v>
      </c>
      <c r="Z7" s="2">
        <v>0</v>
      </c>
      <c r="AA7" s="2">
        <v>-5.6216413999999997</v>
      </c>
      <c r="AB7" s="2">
        <v>32.714638999999998</v>
      </c>
      <c r="AC7" s="2">
        <v>3.0327215000000001</v>
      </c>
      <c r="AD7" s="2">
        <v>0.5338446</v>
      </c>
      <c r="AE7" s="2">
        <v>0</v>
      </c>
      <c r="AF7">
        <v>1</v>
      </c>
      <c r="AG7" s="2">
        <v>0</v>
      </c>
      <c r="AH7" s="2"/>
      <c r="AI7" s="2"/>
      <c r="AJ7" s="2"/>
      <c r="AK7" s="2">
        <f t="shared" si="1"/>
        <v>8.604751783421874E-2</v>
      </c>
      <c r="AL7">
        <f t="shared" si="0"/>
        <v>-0.82308388344314309</v>
      </c>
      <c r="AM7">
        <f>SUM(output_transition_firms_age!C14:F14)/output_transition_firms_age!IJ13</f>
        <v>0.115529039180995</v>
      </c>
    </row>
    <row r="8" spans="1:39" x14ac:dyDescent="0.35">
      <c r="A8" s="1">
        <v>6</v>
      </c>
      <c r="B8" s="2">
        <v>1</v>
      </c>
      <c r="C8" s="2">
        <v>0.79730420000000002</v>
      </c>
      <c r="D8" s="2">
        <v>0.40354410000000002</v>
      </c>
      <c r="E8" s="2">
        <v>3.2342999999999998E-3</v>
      </c>
      <c r="F8" s="2">
        <v>1</v>
      </c>
      <c r="G8" s="2">
        <v>0.78018900000000002</v>
      </c>
      <c r="H8" s="2">
        <v>0</v>
      </c>
      <c r="I8" s="2">
        <v>0</v>
      </c>
      <c r="J8" s="2">
        <v>2.4993264000000002</v>
      </c>
      <c r="K8" s="2">
        <v>0.98656429999999995</v>
      </c>
      <c r="L8" s="2">
        <v>-4.6941819999999996</v>
      </c>
      <c r="M8" s="2">
        <v>1.0152400000000001E-2</v>
      </c>
      <c r="N8" s="2">
        <v>1.9988062</v>
      </c>
      <c r="O8" s="2">
        <v>0.54257929999999999</v>
      </c>
      <c r="P8" s="2">
        <v>1.1099700000000001E-2</v>
      </c>
      <c r="Q8" s="2">
        <v>0.35260560000000002</v>
      </c>
      <c r="R8" s="2">
        <v>3.0421157000000001</v>
      </c>
      <c r="S8" s="2">
        <v>0.54278939999999998</v>
      </c>
      <c r="T8" s="2">
        <v>-1</v>
      </c>
      <c r="U8" s="2">
        <v>1.01575E-2</v>
      </c>
      <c r="V8" s="2">
        <v>0</v>
      </c>
      <c r="W8" s="2">
        <v>2.7124997</v>
      </c>
      <c r="X8" s="2">
        <v>0.64821510000000004</v>
      </c>
      <c r="Y8" s="2">
        <v>0</v>
      </c>
      <c r="Z8" s="2">
        <v>0</v>
      </c>
      <c r="AA8" s="2">
        <v>-5.6141323999999999</v>
      </c>
      <c r="AB8" s="2">
        <v>32.702089200000003</v>
      </c>
      <c r="AC8" s="2">
        <v>3.0420818000000001</v>
      </c>
      <c r="AD8" s="2">
        <v>0.54275549999999995</v>
      </c>
      <c r="AE8" s="2">
        <v>0</v>
      </c>
      <c r="AF8">
        <v>1</v>
      </c>
      <c r="AG8" s="2">
        <v>0</v>
      </c>
      <c r="AH8" s="2"/>
      <c r="AI8" s="2"/>
      <c r="AJ8" s="2"/>
      <c r="AK8" s="2">
        <f t="shared" si="1"/>
        <v>4.302375891710937E-2</v>
      </c>
      <c r="AL8">
        <f t="shared" si="0"/>
        <v>-1.4733796034939406</v>
      </c>
      <c r="AM8">
        <f>SUM(output_transition_firms_age!C15:F15)/output_transition_firms_age!IJ14</f>
        <v>0.11920328951228097</v>
      </c>
    </row>
    <row r="9" spans="1:39" x14ac:dyDescent="0.35">
      <c r="A9" s="1">
        <v>7</v>
      </c>
      <c r="B9" s="2">
        <v>1</v>
      </c>
      <c r="C9" s="2">
        <v>0.79497059999999997</v>
      </c>
      <c r="D9" s="2">
        <v>0.40354410000000002</v>
      </c>
      <c r="E9" s="2">
        <v>3.2342999999999998E-3</v>
      </c>
      <c r="F9" s="2">
        <v>1</v>
      </c>
      <c r="G9" s="2">
        <v>0.78018900000000002</v>
      </c>
      <c r="H9" s="2">
        <v>0</v>
      </c>
      <c r="I9" s="2">
        <v>0</v>
      </c>
      <c r="J9" s="2">
        <v>2.5001536</v>
      </c>
      <c r="K9" s="2">
        <v>0.98941539999999994</v>
      </c>
      <c r="L9" s="2">
        <v>-4.7083551000000003</v>
      </c>
      <c r="M9" s="2">
        <v>1.01969E-2</v>
      </c>
      <c r="N9" s="2">
        <v>1.9960211999999999</v>
      </c>
      <c r="O9" s="2">
        <v>0.54455730000000002</v>
      </c>
      <c r="P9" s="2">
        <v>1.1099700000000001E-2</v>
      </c>
      <c r="Q9" s="2">
        <v>0.35354780000000002</v>
      </c>
      <c r="R9" s="2">
        <v>3.0474741999999999</v>
      </c>
      <c r="S9" s="2">
        <v>0.54732060000000005</v>
      </c>
      <c r="T9" s="2">
        <v>-1</v>
      </c>
      <c r="U9" s="2">
        <v>1.0289899999999999E-2</v>
      </c>
      <c r="V9" s="2">
        <v>0</v>
      </c>
      <c r="W9" s="2">
        <v>2.7133099999999999</v>
      </c>
      <c r="X9" s="2">
        <v>0.6480477</v>
      </c>
      <c r="Y9" s="2">
        <v>0</v>
      </c>
      <c r="Z9" s="2">
        <v>0</v>
      </c>
      <c r="AA9" s="2">
        <v>-5.6114592999999999</v>
      </c>
      <c r="AB9" s="2">
        <v>32.698672899999998</v>
      </c>
      <c r="AC9" s="2">
        <v>3.0474093999999998</v>
      </c>
      <c r="AD9" s="2">
        <v>0.54725579999999996</v>
      </c>
      <c r="AE9" s="2">
        <v>0</v>
      </c>
      <c r="AF9">
        <v>1</v>
      </c>
      <c r="AG9" s="2">
        <v>0</v>
      </c>
      <c r="AH9" s="2"/>
      <c r="AI9" s="2"/>
      <c r="AJ9" s="2"/>
      <c r="AK9" s="2">
        <f t="shared" si="1"/>
        <v>2.1511879458554685E-2</v>
      </c>
      <c r="AL9">
        <f t="shared" si="0"/>
        <v>-1.8203517624817422</v>
      </c>
      <c r="AM9">
        <f>SUM(output_transition_firms_age!C16:F16)/output_transition_firms_age!IJ15</f>
        <v>0.12157559120791499</v>
      </c>
    </row>
    <row r="10" spans="1:39" x14ac:dyDescent="0.35">
      <c r="A10" s="1">
        <v>8</v>
      </c>
      <c r="B10" s="2">
        <v>1</v>
      </c>
      <c r="C10" s="2">
        <v>0.79380379999999995</v>
      </c>
      <c r="D10" s="2">
        <v>0.40354410000000002</v>
      </c>
      <c r="E10" s="2">
        <v>3.2342999999999998E-3</v>
      </c>
      <c r="F10" s="2">
        <v>1</v>
      </c>
      <c r="G10" s="2">
        <v>0.78018900000000002</v>
      </c>
      <c r="H10" s="2">
        <v>0</v>
      </c>
      <c r="I10" s="2">
        <v>0</v>
      </c>
      <c r="J10" s="2">
        <v>2.5009722999999999</v>
      </c>
      <c r="K10" s="2">
        <v>0.99106729999999998</v>
      </c>
      <c r="L10" s="2">
        <v>-4.7185999000000001</v>
      </c>
      <c r="M10" s="2">
        <v>1.02103E-2</v>
      </c>
      <c r="N10" s="2">
        <v>1.9949378</v>
      </c>
      <c r="O10" s="2">
        <v>0.54678159999999998</v>
      </c>
      <c r="P10" s="2">
        <v>1.1099700000000001E-2</v>
      </c>
      <c r="Q10" s="2">
        <v>0.35435759999999999</v>
      </c>
      <c r="R10" s="2">
        <v>3.0507631000000002</v>
      </c>
      <c r="S10" s="2">
        <v>0.54979080000000002</v>
      </c>
      <c r="T10" s="2">
        <v>-1</v>
      </c>
      <c r="U10" s="2">
        <v>1.04495E-2</v>
      </c>
      <c r="V10" s="2">
        <v>0</v>
      </c>
      <c r="W10" s="2">
        <v>2.7118158000000001</v>
      </c>
      <c r="X10" s="2">
        <v>0.64807999999999999</v>
      </c>
      <c r="Y10" s="2">
        <v>0</v>
      </c>
      <c r="Z10" s="2">
        <v>0</v>
      </c>
      <c r="AA10" s="2">
        <v>-5.6114179999999996</v>
      </c>
      <c r="AB10" s="2">
        <v>32.699614699999998</v>
      </c>
      <c r="AC10" s="2">
        <v>3.0506863000000002</v>
      </c>
      <c r="AD10" s="2">
        <v>0.54971400000000004</v>
      </c>
      <c r="AE10" s="2">
        <v>0</v>
      </c>
      <c r="AF10">
        <v>1</v>
      </c>
      <c r="AG10" s="2">
        <v>0</v>
      </c>
      <c r="AH10" s="2"/>
      <c r="AI10" s="2"/>
      <c r="AJ10" s="2"/>
      <c r="AK10" s="2">
        <f t="shared" si="1"/>
        <v>1.0755939729277342E-2</v>
      </c>
      <c r="AL10">
        <f t="shared" si="0"/>
        <v>-2.0018809916814817</v>
      </c>
      <c r="AM10">
        <f>SUM(output_transition_firms_age!C17:F17)/output_transition_firms_age!IJ16</f>
        <v>0.12265998656076878</v>
      </c>
    </row>
    <row r="11" spans="1:39" x14ac:dyDescent="0.35">
      <c r="A11" s="1">
        <v>9</v>
      </c>
      <c r="B11" s="2">
        <v>1</v>
      </c>
      <c r="C11" s="2">
        <v>0.79322040000000005</v>
      </c>
      <c r="D11" s="2">
        <v>0.40354410000000002</v>
      </c>
      <c r="E11" s="2">
        <v>3.2342999999999998E-3</v>
      </c>
      <c r="F11" s="2">
        <v>1</v>
      </c>
      <c r="G11" s="2">
        <v>0.78018900000000002</v>
      </c>
      <c r="H11" s="2">
        <v>0</v>
      </c>
      <c r="I11" s="2">
        <v>0</v>
      </c>
      <c r="J11" s="2">
        <v>2.5017982000000001</v>
      </c>
      <c r="K11" s="2">
        <v>0.99214040000000003</v>
      </c>
      <c r="L11" s="2">
        <v>-4.7253198999999997</v>
      </c>
      <c r="M11" s="2">
        <v>1.02191E-2</v>
      </c>
      <c r="N11" s="2">
        <v>1.9947368999999999</v>
      </c>
      <c r="O11" s="2">
        <v>0.54741989999999996</v>
      </c>
      <c r="P11" s="2">
        <v>1.1099700000000001E-2</v>
      </c>
      <c r="Q11" s="2">
        <v>0.35500779999999998</v>
      </c>
      <c r="R11" s="2">
        <v>3.0530290999999998</v>
      </c>
      <c r="S11" s="2">
        <v>0.55123089999999997</v>
      </c>
      <c r="T11" s="2">
        <v>-1</v>
      </c>
      <c r="U11" s="2">
        <v>1.04893E-2</v>
      </c>
      <c r="V11" s="2">
        <v>0</v>
      </c>
      <c r="W11" s="2">
        <v>2.7099351</v>
      </c>
      <c r="X11" s="2">
        <v>0.64823649999999999</v>
      </c>
      <c r="Y11" s="2">
        <v>0</v>
      </c>
      <c r="Z11" s="2">
        <v>0</v>
      </c>
      <c r="AA11" s="2">
        <v>-5.6127568999999999</v>
      </c>
      <c r="AB11" s="2">
        <v>32.702958899999999</v>
      </c>
      <c r="AC11" s="2">
        <v>3.0529500999999999</v>
      </c>
      <c r="AD11" s="2">
        <v>0.55115179999999997</v>
      </c>
      <c r="AE11" s="2">
        <v>0</v>
      </c>
      <c r="AF11">
        <v>1</v>
      </c>
      <c r="AG11" s="2">
        <v>0</v>
      </c>
      <c r="AH11" s="2"/>
      <c r="AI11" s="2"/>
      <c r="AJ11" s="2"/>
      <c r="AK11" s="2">
        <f t="shared" si="1"/>
        <v>5.3779698646386712E-3</v>
      </c>
      <c r="AL11">
        <f t="shared" si="0"/>
        <v>-2.1064308216962147</v>
      </c>
      <c r="AM11">
        <f>SUM(output_transition_firms_age!C18:F18)/output_transition_firms_age!IJ17</f>
        <v>0.12229373618771289</v>
      </c>
    </row>
    <row r="12" spans="1:39" x14ac:dyDescent="0.35">
      <c r="A12" s="1">
        <v>10</v>
      </c>
      <c r="B12" s="2">
        <v>1</v>
      </c>
      <c r="C12" s="2">
        <v>0.79292870000000004</v>
      </c>
      <c r="D12" s="2">
        <v>0.40354410000000002</v>
      </c>
      <c r="E12" s="2">
        <v>3.2342999999999998E-3</v>
      </c>
      <c r="F12" s="2">
        <v>1</v>
      </c>
      <c r="G12" s="2">
        <v>0.78018900000000002</v>
      </c>
      <c r="H12" s="2">
        <v>0</v>
      </c>
      <c r="I12" s="2">
        <v>0</v>
      </c>
      <c r="J12" s="2">
        <v>2.5027214</v>
      </c>
      <c r="K12" s="2">
        <v>0.99291759999999996</v>
      </c>
      <c r="L12" s="2">
        <v>-4.7303515999999997</v>
      </c>
      <c r="M12" s="2">
        <v>1.0223899999999999E-2</v>
      </c>
      <c r="N12" s="2">
        <v>1.9949577000000001</v>
      </c>
      <c r="O12" s="2">
        <v>0.54796270000000002</v>
      </c>
      <c r="P12" s="2">
        <v>1.1099700000000001E-2</v>
      </c>
      <c r="Q12" s="2">
        <v>0.3556182</v>
      </c>
      <c r="R12" s="2">
        <v>3.0547805000000001</v>
      </c>
      <c r="S12" s="2">
        <v>0.55205910000000002</v>
      </c>
      <c r="T12" s="2">
        <v>-1</v>
      </c>
      <c r="U12" s="2">
        <v>1.0524800000000001E-2</v>
      </c>
      <c r="V12" s="2">
        <v>0</v>
      </c>
      <c r="W12" s="2">
        <v>2.7075426</v>
      </c>
      <c r="X12" s="2">
        <v>0.64844329999999994</v>
      </c>
      <c r="Y12" s="2">
        <v>0</v>
      </c>
      <c r="Z12" s="2">
        <v>0</v>
      </c>
      <c r="AA12" s="2">
        <v>-5.6151318999999997</v>
      </c>
      <c r="AB12" s="2">
        <v>32.707639899999997</v>
      </c>
      <c r="AC12" s="2">
        <v>3.0547038999999998</v>
      </c>
      <c r="AD12" s="2">
        <v>0.55198250000000004</v>
      </c>
      <c r="AE12" s="2">
        <v>0</v>
      </c>
      <c r="AF12">
        <v>1</v>
      </c>
      <c r="AG12" s="2">
        <v>0</v>
      </c>
      <c r="AH12" s="2"/>
      <c r="AI12" s="2"/>
      <c r="AJ12" s="2"/>
      <c r="AK12" s="2">
        <f t="shared" si="1"/>
        <v>2.6889849323193356E-3</v>
      </c>
      <c r="AL12">
        <f t="shared" si="0"/>
        <v>-2.1709086116849186</v>
      </c>
      <c r="AM12">
        <f>SUM(output_transition_firms_age!C19:F19)/output_transition_firms_age!IJ18</f>
        <v>0.12197662220069172</v>
      </c>
    </row>
    <row r="13" spans="1:39" x14ac:dyDescent="0.35">
      <c r="A13" s="1">
        <v>11</v>
      </c>
      <c r="B13" s="2">
        <v>1</v>
      </c>
      <c r="C13" s="2">
        <v>0.79278289999999996</v>
      </c>
      <c r="D13" s="2">
        <v>0.40354410000000002</v>
      </c>
      <c r="E13" s="2">
        <v>3.2342999999999998E-3</v>
      </c>
      <c r="F13" s="2">
        <v>1</v>
      </c>
      <c r="G13" s="2">
        <v>0.78018900000000002</v>
      </c>
      <c r="H13" s="2">
        <v>0</v>
      </c>
      <c r="I13" s="2">
        <v>0</v>
      </c>
      <c r="J13" s="2">
        <v>2.5031417999999999</v>
      </c>
      <c r="K13" s="2">
        <v>0.99346509999999999</v>
      </c>
      <c r="L13" s="2">
        <v>-4.7339840999999998</v>
      </c>
      <c r="M13" s="2">
        <v>1.0215399999999999E-2</v>
      </c>
      <c r="N13" s="2">
        <v>1.9953312999999999</v>
      </c>
      <c r="O13" s="2">
        <v>0.54930319999999999</v>
      </c>
      <c r="P13" s="2">
        <v>1.1099700000000001E-2</v>
      </c>
      <c r="Q13" s="2">
        <v>0.35619319999999999</v>
      </c>
      <c r="R13" s="2">
        <v>3.0561642</v>
      </c>
      <c r="S13" s="2">
        <v>0.55302240000000003</v>
      </c>
      <c r="T13" s="2">
        <v>-1</v>
      </c>
      <c r="U13" s="2">
        <v>1.06406E-2</v>
      </c>
      <c r="V13" s="2">
        <v>0</v>
      </c>
      <c r="W13" s="2">
        <v>2.7047976</v>
      </c>
      <c r="X13" s="2">
        <v>0.64862830000000005</v>
      </c>
      <c r="Y13" s="2">
        <v>0</v>
      </c>
      <c r="Z13" s="2">
        <v>0</v>
      </c>
      <c r="AA13" s="2">
        <v>-5.6173783000000004</v>
      </c>
      <c r="AB13" s="2">
        <v>32.712874200000002</v>
      </c>
      <c r="AC13" s="2">
        <v>3.0560917999999999</v>
      </c>
      <c r="AD13" s="2">
        <v>0.55295000000000005</v>
      </c>
      <c r="AE13" s="2">
        <v>0</v>
      </c>
      <c r="AF13">
        <v>1</v>
      </c>
      <c r="AG13" s="2">
        <v>0</v>
      </c>
      <c r="AH13" s="2"/>
      <c r="AI13" s="2"/>
      <c r="AJ13" s="2"/>
      <c r="AK13" s="2">
        <f t="shared" si="1"/>
        <v>1.3444924661596678E-3</v>
      </c>
      <c r="AL13">
        <f t="shared" si="0"/>
        <v>-2.2011786306973313</v>
      </c>
      <c r="AM13">
        <f>SUM(output_transition_firms_age!C20:F20)/output_transition_firms_age!IJ19</f>
        <v>0.12158121173585139</v>
      </c>
    </row>
    <row r="14" spans="1:39" x14ac:dyDescent="0.35">
      <c r="A14" s="1">
        <v>12</v>
      </c>
      <c r="B14" s="2">
        <v>1</v>
      </c>
      <c r="C14" s="2">
        <v>0.79271000000000003</v>
      </c>
      <c r="D14" s="2">
        <v>0.40354410000000002</v>
      </c>
      <c r="E14" s="2">
        <v>3.2342999999999998E-3</v>
      </c>
      <c r="F14" s="2">
        <v>1</v>
      </c>
      <c r="G14" s="2">
        <v>0.78018900000000002</v>
      </c>
      <c r="H14" s="2">
        <v>0</v>
      </c>
      <c r="I14" s="2">
        <v>0</v>
      </c>
      <c r="J14" s="2">
        <v>2.5040306000000001</v>
      </c>
      <c r="K14" s="2">
        <v>0.99394720000000003</v>
      </c>
      <c r="L14" s="2">
        <v>-4.7352262999999999</v>
      </c>
      <c r="M14" s="2">
        <v>1.02132E-2</v>
      </c>
      <c r="N14" s="2">
        <v>1.9958058999999999</v>
      </c>
      <c r="O14" s="2">
        <v>0.54943050000000004</v>
      </c>
      <c r="P14" s="2">
        <v>1.1099700000000001E-2</v>
      </c>
      <c r="Q14" s="2">
        <v>0.35665219999999997</v>
      </c>
      <c r="R14" s="2">
        <v>3.0574164000000001</v>
      </c>
      <c r="S14" s="2">
        <v>0.55338589999999999</v>
      </c>
      <c r="T14" s="2">
        <v>-1</v>
      </c>
      <c r="U14" s="2">
        <v>1.0639600000000001E-2</v>
      </c>
      <c r="V14" s="2">
        <v>0</v>
      </c>
      <c r="W14" s="2">
        <v>2.7027287000000002</v>
      </c>
      <c r="X14" s="2">
        <v>0.64882969999999995</v>
      </c>
      <c r="Y14" s="2">
        <v>0</v>
      </c>
      <c r="Z14" s="2">
        <v>0</v>
      </c>
      <c r="AA14" s="2">
        <v>-5.6202131</v>
      </c>
      <c r="AB14" s="2">
        <v>32.719041199999999</v>
      </c>
      <c r="AC14" s="2">
        <v>3.0573492999999998</v>
      </c>
      <c r="AD14" s="2">
        <v>0.55331870000000005</v>
      </c>
      <c r="AE14" s="2">
        <v>0</v>
      </c>
      <c r="AF14">
        <v>1</v>
      </c>
      <c r="AG14" s="2">
        <v>0</v>
      </c>
      <c r="AH14" s="2"/>
      <c r="AI14" s="2"/>
      <c r="AJ14" s="2"/>
      <c r="AK14" s="2">
        <f t="shared" si="1"/>
        <v>6.722462330798339E-4</v>
      </c>
      <c r="AL14">
        <f t="shared" si="0"/>
        <v>-2.2244060682243383</v>
      </c>
      <c r="AM14">
        <f>SUM(output_transition_firms_age!C21:F21)/output_transition_firms_age!IJ20</f>
        <v>0.12133887133990101</v>
      </c>
    </row>
    <row r="15" spans="1:39" x14ac:dyDescent="0.35">
      <c r="A15" s="1">
        <v>13</v>
      </c>
      <c r="B15" s="2">
        <v>1</v>
      </c>
      <c r="C15" s="2">
        <v>0.79267350000000003</v>
      </c>
      <c r="D15" s="2">
        <v>0.40354410000000002</v>
      </c>
      <c r="E15" s="2">
        <v>3.2342999999999998E-3</v>
      </c>
      <c r="F15" s="2">
        <v>1</v>
      </c>
      <c r="G15" s="2">
        <v>0.78018900000000002</v>
      </c>
      <c r="H15" s="2">
        <v>0</v>
      </c>
      <c r="I15" s="2">
        <v>0</v>
      </c>
      <c r="J15" s="2">
        <v>2.5048213000000001</v>
      </c>
      <c r="K15" s="2">
        <v>0.9943708</v>
      </c>
      <c r="L15" s="2">
        <v>-4.7357803000000001</v>
      </c>
      <c r="M15" s="2">
        <v>1.02106E-2</v>
      </c>
      <c r="N15" s="2">
        <v>1.9963109999999999</v>
      </c>
      <c r="O15" s="2">
        <v>0.54972739999999998</v>
      </c>
      <c r="P15" s="2">
        <v>1.1099700000000001E-2</v>
      </c>
      <c r="Q15" s="2">
        <v>0.3571124</v>
      </c>
      <c r="R15" s="2">
        <v>3.0585575999999999</v>
      </c>
      <c r="S15" s="2">
        <v>0.55373629999999996</v>
      </c>
      <c r="T15" s="2">
        <v>-1</v>
      </c>
      <c r="U15" s="2">
        <v>1.0667599999999999E-2</v>
      </c>
      <c r="V15" s="2">
        <v>0</v>
      </c>
      <c r="W15" s="2">
        <v>2.7005043</v>
      </c>
      <c r="X15" s="2">
        <v>0.64902760000000004</v>
      </c>
      <c r="Y15" s="2">
        <v>0</v>
      </c>
      <c r="Z15" s="2">
        <v>0</v>
      </c>
      <c r="AA15" s="2">
        <v>-5.6231723999999996</v>
      </c>
      <c r="AB15" s="2">
        <v>32.725456100000002</v>
      </c>
      <c r="AC15" s="2">
        <v>3.0584959999999999</v>
      </c>
      <c r="AD15" s="2">
        <v>0.55367480000000002</v>
      </c>
      <c r="AE15" s="2">
        <v>0</v>
      </c>
      <c r="AF15">
        <v>1</v>
      </c>
      <c r="AG15" s="2">
        <v>0</v>
      </c>
      <c r="AH15" s="2"/>
      <c r="AI15" s="2"/>
      <c r="AJ15" s="2"/>
      <c r="AK15" s="2">
        <f t="shared" si="1"/>
        <v>3.3612311653991695E-4</v>
      </c>
      <c r="AL15">
        <f t="shared" si="0"/>
        <v>-2.2406785127193629</v>
      </c>
      <c r="AM15">
        <f>SUM(output_transition_firms_age!C22:F22)/output_transition_firms_age!IJ21</f>
        <v>0.12112716725736591</v>
      </c>
    </row>
    <row r="16" spans="1:39" x14ac:dyDescent="0.35">
      <c r="A16" s="1">
        <v>14</v>
      </c>
      <c r="B16" s="2">
        <v>1</v>
      </c>
      <c r="C16" s="2">
        <v>0.79265529999999995</v>
      </c>
      <c r="D16" s="2">
        <v>0.40354410000000002</v>
      </c>
      <c r="E16" s="2">
        <v>3.2342999999999998E-3</v>
      </c>
      <c r="F16" s="2">
        <v>1</v>
      </c>
      <c r="G16" s="2">
        <v>0.78018900000000002</v>
      </c>
      <c r="H16" s="2">
        <v>0</v>
      </c>
      <c r="I16" s="2">
        <v>0</v>
      </c>
      <c r="J16" s="2">
        <v>2.5056040999999998</v>
      </c>
      <c r="K16" s="2">
        <v>0.99476450000000005</v>
      </c>
      <c r="L16" s="2">
        <v>-4.7354431000000003</v>
      </c>
      <c r="M16" s="2">
        <v>1.02053E-2</v>
      </c>
      <c r="N16" s="2">
        <v>1.9968167999999999</v>
      </c>
      <c r="O16" s="2">
        <v>0.54987569999999997</v>
      </c>
      <c r="P16" s="2">
        <v>1.1099700000000001E-2</v>
      </c>
      <c r="Q16" s="2">
        <v>0.35754449999999999</v>
      </c>
      <c r="R16" s="2">
        <v>3.0596294999999998</v>
      </c>
      <c r="S16" s="2">
        <v>0.55402549999999995</v>
      </c>
      <c r="T16" s="2">
        <v>-1</v>
      </c>
      <c r="U16" s="2">
        <v>1.0685E-2</v>
      </c>
      <c r="V16" s="2">
        <v>0</v>
      </c>
      <c r="W16" s="2">
        <v>2.6984073999999998</v>
      </c>
      <c r="X16" s="2">
        <v>0.64922049999999998</v>
      </c>
      <c r="Y16" s="2">
        <v>0</v>
      </c>
      <c r="Z16" s="2">
        <v>0</v>
      </c>
      <c r="AA16" s="2">
        <v>-5.6260041999999997</v>
      </c>
      <c r="AB16" s="2">
        <v>32.732104499999998</v>
      </c>
      <c r="AC16" s="2">
        <v>3.0595735999999998</v>
      </c>
      <c r="AD16" s="2">
        <v>0.5539695</v>
      </c>
      <c r="AE16" s="2">
        <v>0</v>
      </c>
      <c r="AF16">
        <v>1</v>
      </c>
      <c r="AG16" s="2">
        <v>0</v>
      </c>
      <c r="AH16" s="2"/>
      <c r="AI16" s="2"/>
      <c r="AJ16" s="2"/>
      <c r="AK16" s="2">
        <f t="shared" si="1"/>
        <v>1.6806155826995848E-4</v>
      </c>
      <c r="AL16">
        <f t="shared" si="0"/>
        <v>-2.2546587989729527</v>
      </c>
      <c r="AM16">
        <f>SUM(output_transition_firms_age!C23:F23)/output_transition_firms_age!IJ22</f>
        <v>0.12093751432890863</v>
      </c>
    </row>
    <row r="17" spans="1:39" x14ac:dyDescent="0.35">
      <c r="A17" s="1">
        <v>15</v>
      </c>
      <c r="B17" s="2">
        <v>1</v>
      </c>
      <c r="C17" s="2">
        <v>0.79264619999999997</v>
      </c>
      <c r="D17" s="2">
        <v>0.40354410000000002</v>
      </c>
      <c r="E17" s="2">
        <v>3.2342999999999998E-3</v>
      </c>
      <c r="F17" s="2">
        <v>1</v>
      </c>
      <c r="G17" s="2">
        <v>0.78018900000000002</v>
      </c>
      <c r="H17" s="2">
        <v>0</v>
      </c>
      <c r="I17" s="2">
        <v>0</v>
      </c>
      <c r="J17" s="2">
        <v>2.5063759000000001</v>
      </c>
      <c r="K17" s="2">
        <v>0.99514009999999997</v>
      </c>
      <c r="L17" s="2">
        <v>-4.7344258999999997</v>
      </c>
      <c r="M17" s="2">
        <v>1.0204100000000001E-2</v>
      </c>
      <c r="N17" s="2">
        <v>1.9973091999999999</v>
      </c>
      <c r="O17" s="2">
        <v>0.5499868</v>
      </c>
      <c r="P17" s="2">
        <v>1.1099700000000001E-2</v>
      </c>
      <c r="Q17" s="2">
        <v>0.35795919999999998</v>
      </c>
      <c r="R17" s="2">
        <v>3.0606697</v>
      </c>
      <c r="S17" s="2">
        <v>0.55429379999999995</v>
      </c>
      <c r="T17" s="2">
        <v>-1</v>
      </c>
      <c r="U17" s="2">
        <v>1.07049E-2</v>
      </c>
      <c r="V17" s="2">
        <v>0</v>
      </c>
      <c r="W17" s="2">
        <v>2.6963946999999999</v>
      </c>
      <c r="X17" s="2">
        <v>0.64940419999999999</v>
      </c>
      <c r="Y17" s="2">
        <v>0</v>
      </c>
      <c r="Z17" s="2">
        <v>0</v>
      </c>
      <c r="AA17" s="2">
        <v>-5.6290234999999997</v>
      </c>
      <c r="AB17" s="2">
        <v>32.738920100000001</v>
      </c>
      <c r="AC17" s="2">
        <v>3.0606192000000001</v>
      </c>
      <c r="AD17" s="2">
        <v>0.55424329999999999</v>
      </c>
      <c r="AE17" s="2">
        <v>0</v>
      </c>
      <c r="AF17">
        <v>1</v>
      </c>
      <c r="AG17" s="2">
        <v>0</v>
      </c>
      <c r="AH17" s="2"/>
      <c r="AI17" s="2"/>
      <c r="AJ17" s="2"/>
      <c r="AK17" s="2">
        <f t="shared" si="1"/>
        <v>8.4030779134979238E-5</v>
      </c>
      <c r="AL17">
        <f t="shared" si="0"/>
        <v>-2.2662194954072401</v>
      </c>
      <c r="AM17">
        <f>SUM(output_transition_firms_age!C24:F24)/output_transition_firms_age!IJ23</f>
        <v>0.1207656843373832</v>
      </c>
    </row>
    <row r="18" spans="1:39" x14ac:dyDescent="0.35">
      <c r="A18" s="1">
        <v>16</v>
      </c>
      <c r="B18" s="2">
        <v>1</v>
      </c>
      <c r="C18" s="2">
        <v>0.79264159999999995</v>
      </c>
      <c r="D18" s="2">
        <v>0.40354410000000002</v>
      </c>
      <c r="E18" s="2">
        <v>3.2342999999999998E-3</v>
      </c>
      <c r="F18" s="2">
        <v>1</v>
      </c>
      <c r="G18" s="2">
        <v>0.78018900000000002</v>
      </c>
      <c r="H18" s="2">
        <v>0</v>
      </c>
      <c r="I18" s="2">
        <v>0</v>
      </c>
      <c r="J18" s="2">
        <v>2.5072040000000002</v>
      </c>
      <c r="K18" s="2">
        <v>0.99547439999999998</v>
      </c>
      <c r="L18" s="2">
        <v>-4.7327759</v>
      </c>
      <c r="M18" s="2">
        <v>1.01983E-2</v>
      </c>
      <c r="N18" s="2">
        <v>1.9977461000000001</v>
      </c>
      <c r="O18" s="2">
        <v>0.5507225</v>
      </c>
      <c r="P18" s="2">
        <v>1.1099700000000001E-2</v>
      </c>
      <c r="Q18" s="2">
        <v>0.3583539</v>
      </c>
      <c r="R18" s="2">
        <v>3.0616523999999998</v>
      </c>
      <c r="S18" s="2">
        <v>0.55444850000000001</v>
      </c>
      <c r="T18" s="2">
        <v>-1</v>
      </c>
      <c r="U18" s="2">
        <v>1.07657E-2</v>
      </c>
      <c r="V18" s="2">
        <v>0</v>
      </c>
      <c r="W18" s="2">
        <v>2.6944183000000002</v>
      </c>
      <c r="X18" s="2">
        <v>0.64955490000000005</v>
      </c>
      <c r="Y18" s="2">
        <v>0</v>
      </c>
      <c r="Z18" s="2">
        <v>0</v>
      </c>
      <c r="AA18" s="2">
        <v>-5.6320307999999999</v>
      </c>
      <c r="AB18" s="2">
        <v>32.745823600000001</v>
      </c>
      <c r="AC18" s="2">
        <v>3.0616067999999999</v>
      </c>
      <c r="AD18" s="2">
        <v>0.55440279999999997</v>
      </c>
      <c r="AE18" s="2">
        <v>0</v>
      </c>
      <c r="AF18">
        <v>1</v>
      </c>
      <c r="AG18" s="2">
        <v>0</v>
      </c>
      <c r="AH18" s="2"/>
      <c r="AI18" s="2"/>
      <c r="AJ18" s="2"/>
      <c r="AK18" s="2">
        <f t="shared" si="1"/>
        <v>4.2015389567489619E-5</v>
      </c>
      <c r="AL18">
        <f t="shared" si="0"/>
        <v>-2.2707880434787331</v>
      </c>
      <c r="AM18">
        <f>SUM(output_transition_firms_age!C25:F25)/output_transition_firms_age!IJ24</f>
        <v>0.12060737117276889</v>
      </c>
    </row>
    <row r="19" spans="1:39" x14ac:dyDescent="0.35">
      <c r="A19" s="1">
        <v>17</v>
      </c>
      <c r="B19" s="2">
        <v>1</v>
      </c>
      <c r="C19" s="2">
        <v>0.79263930000000005</v>
      </c>
      <c r="D19" s="2">
        <v>0.40354410000000002</v>
      </c>
      <c r="E19" s="2">
        <v>3.2342999999999998E-3</v>
      </c>
      <c r="F19" s="2">
        <v>1</v>
      </c>
      <c r="G19" s="2">
        <v>0.78018900000000002</v>
      </c>
      <c r="H19" s="2">
        <v>0</v>
      </c>
      <c r="I19" s="2">
        <v>0</v>
      </c>
      <c r="J19" s="2">
        <v>2.5079039000000001</v>
      </c>
      <c r="K19" s="2">
        <v>0.99576220000000004</v>
      </c>
      <c r="L19" s="2">
        <v>-4.7300456000000004</v>
      </c>
      <c r="M19" s="2">
        <v>1.01911E-2</v>
      </c>
      <c r="N19" s="2">
        <v>1.9981487</v>
      </c>
      <c r="O19" s="2">
        <v>0.55118610000000001</v>
      </c>
      <c r="P19" s="2">
        <v>1.1099700000000001E-2</v>
      </c>
      <c r="Q19" s="2">
        <v>0.35868800000000001</v>
      </c>
      <c r="R19" s="2">
        <v>3.0625453</v>
      </c>
      <c r="S19" s="2">
        <v>0.55464139999999995</v>
      </c>
      <c r="T19" s="2">
        <v>-1</v>
      </c>
      <c r="U19" s="2">
        <v>1.08141E-2</v>
      </c>
      <c r="V19" s="2">
        <v>0</v>
      </c>
      <c r="W19" s="2">
        <v>2.6927637999999998</v>
      </c>
      <c r="X19" s="2">
        <v>0.64968340000000002</v>
      </c>
      <c r="Y19" s="2">
        <v>0</v>
      </c>
      <c r="Z19" s="2">
        <v>0</v>
      </c>
      <c r="AA19" s="2">
        <v>-5.6348735999999997</v>
      </c>
      <c r="AB19" s="2">
        <v>32.7527039</v>
      </c>
      <c r="AC19" s="2">
        <v>3.0625041</v>
      </c>
      <c r="AD19" s="2">
        <v>0.55460019999999999</v>
      </c>
      <c r="AE19" s="2">
        <v>0</v>
      </c>
      <c r="AF19">
        <v>1</v>
      </c>
      <c r="AG19" s="2">
        <v>0</v>
      </c>
      <c r="AH19" s="2"/>
      <c r="AI19" s="2"/>
      <c r="AJ19" s="2"/>
      <c r="AK19" s="2">
        <f t="shared" si="1"/>
        <v>2.1007694783744809E-5</v>
      </c>
      <c r="AL19">
        <f t="shared" si="0"/>
        <v>-2.2700096842291018</v>
      </c>
      <c r="AM19">
        <f>SUM(output_transition_firms_age!C26:F26)/output_transition_firms_age!IJ25</f>
        <v>0.12046342095955295</v>
      </c>
    </row>
    <row r="20" spans="1:39" x14ac:dyDescent="0.35">
      <c r="A20" s="1">
        <v>18</v>
      </c>
      <c r="B20" s="2">
        <v>1</v>
      </c>
      <c r="C20" s="2">
        <v>0.79263819999999996</v>
      </c>
      <c r="D20" s="2">
        <v>0.40354410000000002</v>
      </c>
      <c r="E20" s="2">
        <v>3.2342999999999998E-3</v>
      </c>
      <c r="F20" s="2">
        <v>1</v>
      </c>
      <c r="G20" s="2">
        <v>0.78018900000000002</v>
      </c>
      <c r="H20" s="2">
        <v>0</v>
      </c>
      <c r="I20" s="2">
        <v>0</v>
      </c>
      <c r="J20" s="2">
        <v>2.5068530999999998</v>
      </c>
      <c r="K20" s="2">
        <v>0.99621320000000002</v>
      </c>
      <c r="L20" s="2">
        <v>-4.7265471000000003</v>
      </c>
      <c r="M20" s="2">
        <v>1.01946E-2</v>
      </c>
      <c r="N20" s="2">
        <v>1.9983105000000001</v>
      </c>
      <c r="O20" s="2">
        <v>0.55099640000000005</v>
      </c>
      <c r="P20" s="2">
        <v>1.1099700000000001E-2</v>
      </c>
      <c r="Q20" s="2">
        <v>0.3589736</v>
      </c>
      <c r="R20" s="2">
        <v>3.0637444999999999</v>
      </c>
      <c r="S20" s="2">
        <v>0.55689149999999998</v>
      </c>
      <c r="T20" s="2">
        <v>-1</v>
      </c>
      <c r="U20" s="2">
        <v>1.08047E-2</v>
      </c>
      <c r="V20" s="2">
        <v>0</v>
      </c>
      <c r="W20" s="2">
        <v>2.6919227000000001</v>
      </c>
      <c r="X20" s="2">
        <v>0.64978000000000002</v>
      </c>
      <c r="Y20" s="2">
        <v>0</v>
      </c>
      <c r="Z20" s="2">
        <v>0</v>
      </c>
      <c r="AA20" s="2">
        <v>-5.6377880999999999</v>
      </c>
      <c r="AB20" s="2">
        <v>32.759702099999998</v>
      </c>
      <c r="AC20" s="2">
        <v>3.0637051</v>
      </c>
      <c r="AD20" s="2">
        <v>0.55685209999999996</v>
      </c>
      <c r="AE20" s="2">
        <v>0</v>
      </c>
      <c r="AF20">
        <v>1</v>
      </c>
      <c r="AG20" s="2">
        <v>0</v>
      </c>
      <c r="AH20" s="2"/>
      <c r="AI20" s="2"/>
      <c r="AJ20" s="2"/>
      <c r="AK20" s="2">
        <f t="shared" si="1"/>
        <v>1.0503847391872405E-5</v>
      </c>
      <c r="AL20">
        <f t="shared" si="0"/>
        <v>-2.2888697157841698</v>
      </c>
      <c r="AM20">
        <f>SUM(output_transition_firms_age!C27:F27)/output_transition_firms_age!IJ26</f>
        <v>0.12033217357026252</v>
      </c>
    </row>
    <row r="21" spans="1:39" x14ac:dyDescent="0.35">
      <c r="A21" s="1">
        <v>19</v>
      </c>
      <c r="B21" s="2">
        <v>1</v>
      </c>
      <c r="C21" s="2">
        <v>0.79263760000000005</v>
      </c>
      <c r="D21" s="2">
        <v>0.40354410000000002</v>
      </c>
      <c r="E21" s="2">
        <v>3.2342999999999998E-3</v>
      </c>
      <c r="F21" s="2">
        <v>1</v>
      </c>
      <c r="G21" s="2">
        <v>0.78018900000000002</v>
      </c>
      <c r="H21" s="2">
        <v>0</v>
      </c>
      <c r="I21" s="2">
        <v>0</v>
      </c>
      <c r="J21" s="2">
        <v>2.5095485000000002</v>
      </c>
      <c r="K21" s="2">
        <v>0.99588239999999995</v>
      </c>
      <c r="L21" s="2">
        <v>-4.7210682999999998</v>
      </c>
      <c r="M21" s="2">
        <v>1.01966E-2</v>
      </c>
      <c r="N21" s="2">
        <v>1.9983274</v>
      </c>
      <c r="O21" s="2">
        <v>0.55673510000000004</v>
      </c>
      <c r="P21" s="2">
        <v>1.0734799999999999E-2</v>
      </c>
      <c r="Q21" s="2">
        <v>0.35926859999999999</v>
      </c>
      <c r="R21" s="2">
        <v>3.0634575000000002</v>
      </c>
      <c r="S21" s="2">
        <v>0.55390899999999998</v>
      </c>
      <c r="T21" s="2">
        <v>-1</v>
      </c>
      <c r="U21" s="2">
        <v>1.0815200000000001E-2</v>
      </c>
      <c r="V21" s="2">
        <v>0</v>
      </c>
      <c r="W21" s="2">
        <v>2.6915665999999998</v>
      </c>
      <c r="X21" s="2">
        <v>0.64963740000000003</v>
      </c>
      <c r="Y21" s="2">
        <v>0</v>
      </c>
      <c r="Z21" s="2">
        <v>0</v>
      </c>
      <c r="AA21" s="2">
        <v>-5.6411861999999999</v>
      </c>
      <c r="AB21" s="2">
        <v>32.7639189</v>
      </c>
      <c r="AC21" s="2">
        <v>3.0634196</v>
      </c>
      <c r="AD21" s="2">
        <v>0.55387109999999995</v>
      </c>
      <c r="AE21" s="2">
        <v>0</v>
      </c>
      <c r="AF21">
        <v>1</v>
      </c>
      <c r="AG21" s="2">
        <v>0</v>
      </c>
      <c r="AH21" s="2"/>
      <c r="AI21" s="2"/>
      <c r="AJ21" s="2"/>
      <c r="AK21" s="2">
        <f t="shared" si="1"/>
        <v>5.2519236959362024E-6</v>
      </c>
      <c r="AL21">
        <f t="shared" si="0"/>
        <v>-2.2155338339111985</v>
      </c>
      <c r="AM21">
        <f>SUM(output_transition_firms_age!C28:F28)/output_transition_firms_age!IJ27</f>
        <v>0.11920532018772485</v>
      </c>
    </row>
    <row r="22" spans="1:39" x14ac:dyDescent="0.35">
      <c r="A22" s="1">
        <v>20</v>
      </c>
      <c r="B22" s="2">
        <v>1</v>
      </c>
      <c r="C22" s="2">
        <v>0.79263729999999999</v>
      </c>
      <c r="D22" s="2">
        <v>0.40354410000000002</v>
      </c>
      <c r="E22" s="2">
        <v>3.2342999999999998E-3</v>
      </c>
      <c r="F22" s="2">
        <v>1</v>
      </c>
      <c r="G22" s="2">
        <v>0.78018900000000002</v>
      </c>
      <c r="H22" s="2">
        <v>0</v>
      </c>
      <c r="I22" s="2">
        <v>0</v>
      </c>
      <c r="J22" s="2">
        <v>2.5104492999999999</v>
      </c>
      <c r="K22" s="2">
        <v>0.99585409999999996</v>
      </c>
      <c r="L22" s="2">
        <v>-4.7130285000000001</v>
      </c>
      <c r="M22" s="2">
        <v>1.01808E-2</v>
      </c>
      <c r="N22" s="2">
        <v>1.9984309</v>
      </c>
      <c r="O22" s="2">
        <v>0.55675280000000005</v>
      </c>
      <c r="P22" s="2">
        <v>1.0734799999999999E-2</v>
      </c>
      <c r="Q22" s="2">
        <v>0.35918820000000001</v>
      </c>
      <c r="R22" s="2">
        <v>3.0637780999999999</v>
      </c>
      <c r="S22" s="2">
        <v>0.55332879999999995</v>
      </c>
      <c r="T22" s="2">
        <v>-1</v>
      </c>
      <c r="U22" s="2">
        <v>1.08194E-2</v>
      </c>
      <c r="V22" s="2">
        <v>0</v>
      </c>
      <c r="W22" s="2">
        <v>2.6920704</v>
      </c>
      <c r="X22" s="2">
        <v>0.64958320000000003</v>
      </c>
      <c r="Y22" s="2">
        <v>0</v>
      </c>
      <c r="Z22" s="2">
        <v>0</v>
      </c>
      <c r="AA22" s="2">
        <v>-5.6436427</v>
      </c>
      <c r="AB22" s="2">
        <v>32.770793400000002</v>
      </c>
      <c r="AC22" s="2">
        <v>3.0637412999999998</v>
      </c>
      <c r="AD22" s="2">
        <v>0.55329200000000001</v>
      </c>
      <c r="AE22" s="2">
        <v>0</v>
      </c>
      <c r="AF22">
        <v>1</v>
      </c>
      <c r="AG22" s="2">
        <v>0</v>
      </c>
      <c r="AH22" s="2"/>
      <c r="AI22" s="2"/>
      <c r="AJ22" s="2"/>
      <c r="AK22" s="2">
        <f t="shared" si="1"/>
        <v>2.6259618479681012E-6</v>
      </c>
      <c r="AL22">
        <f t="shared" si="0"/>
        <v>-2.1745986906966053</v>
      </c>
      <c r="AM22">
        <f>SUM(output_transition_firms_age!C29:F29)/output_transition_firms_age!IJ28</f>
        <v>0.11812908284416329</v>
      </c>
    </row>
    <row r="23" spans="1:39" x14ac:dyDescent="0.35">
      <c r="A23" s="1">
        <v>21</v>
      </c>
      <c r="B23" s="2">
        <v>1</v>
      </c>
      <c r="C23" s="2">
        <v>0.79263720000000004</v>
      </c>
      <c r="D23" s="2">
        <v>0.40354410000000002</v>
      </c>
      <c r="E23" s="2">
        <v>3.2342999999999998E-3</v>
      </c>
      <c r="F23" s="2">
        <v>1</v>
      </c>
      <c r="G23" s="2">
        <v>0.78018900000000002</v>
      </c>
      <c r="H23" s="2">
        <v>0</v>
      </c>
      <c r="I23" s="2">
        <v>0</v>
      </c>
      <c r="J23" s="2">
        <v>2.5114991999999998</v>
      </c>
      <c r="K23" s="2">
        <v>0.99581450000000005</v>
      </c>
      <c r="L23" s="2">
        <v>-4.7057045999999998</v>
      </c>
      <c r="M23" s="2">
        <v>1.01721E-2</v>
      </c>
      <c r="N23" s="2">
        <v>1.998535</v>
      </c>
      <c r="O23" s="2">
        <v>0.55658719999999995</v>
      </c>
      <c r="P23" s="2">
        <v>1.0734799999999999E-2</v>
      </c>
      <c r="Q23" s="2">
        <v>0.35910360000000002</v>
      </c>
      <c r="R23" s="2">
        <v>3.0640369999999999</v>
      </c>
      <c r="S23" s="2">
        <v>0.55253779999999997</v>
      </c>
      <c r="T23" s="2">
        <v>-1</v>
      </c>
      <c r="U23" s="2">
        <v>1.0815399999999999E-2</v>
      </c>
      <c r="V23" s="2">
        <v>0</v>
      </c>
      <c r="W23" s="2">
        <v>2.6925650999999999</v>
      </c>
      <c r="X23" s="2">
        <v>0.64953260000000002</v>
      </c>
      <c r="Y23" s="2">
        <v>0</v>
      </c>
      <c r="Z23" s="2">
        <v>0</v>
      </c>
      <c r="AA23" s="2">
        <v>-5.6455921</v>
      </c>
      <c r="AB23" s="2">
        <v>32.776992499999999</v>
      </c>
      <c r="AC23" s="2">
        <v>3.0640013000000001</v>
      </c>
      <c r="AD23" s="2">
        <v>0.5525021</v>
      </c>
      <c r="AE23" s="2">
        <v>0</v>
      </c>
      <c r="AF23">
        <v>1</v>
      </c>
      <c r="AG23" s="2">
        <v>0</v>
      </c>
      <c r="AH23" s="2"/>
      <c r="AI23" s="2"/>
      <c r="AJ23" s="2"/>
      <c r="AK23" s="2">
        <f t="shared" si="1"/>
        <v>1.3129809239840506E-6</v>
      </c>
      <c r="AL23">
        <f t="shared" si="0"/>
        <v>-2.1363655950042304</v>
      </c>
      <c r="AM23">
        <f>SUM(output_transition_firms_age!C30:F30)/output_transition_firms_age!IJ29</f>
        <v>0.11713547121836924</v>
      </c>
    </row>
    <row r="24" spans="1:39" x14ac:dyDescent="0.35">
      <c r="A24" s="1">
        <v>22</v>
      </c>
      <c r="B24" s="2">
        <v>1</v>
      </c>
      <c r="C24" s="2">
        <v>0.79263709999999998</v>
      </c>
      <c r="D24" s="2">
        <v>0.40354410000000002</v>
      </c>
      <c r="E24" s="2">
        <v>3.2342999999999998E-3</v>
      </c>
      <c r="F24" s="2">
        <v>1</v>
      </c>
      <c r="G24" s="2">
        <v>0.78018900000000002</v>
      </c>
      <c r="H24" s="2">
        <v>0</v>
      </c>
      <c r="I24" s="2">
        <v>0</v>
      </c>
      <c r="J24" s="2">
        <v>2.5115991000000002</v>
      </c>
      <c r="K24" s="2">
        <v>0.99577260000000001</v>
      </c>
      <c r="L24" s="2">
        <v>-4.6994869000000001</v>
      </c>
      <c r="M24" s="2">
        <v>1.0168399999999999E-2</v>
      </c>
      <c r="N24" s="2">
        <v>1.9986539999999999</v>
      </c>
      <c r="O24" s="2">
        <v>0.55644309999999997</v>
      </c>
      <c r="P24" s="2">
        <v>1.0734799999999999E-2</v>
      </c>
      <c r="Q24" s="2">
        <v>0.35902299999999998</v>
      </c>
      <c r="R24" s="2">
        <v>3.0642521</v>
      </c>
      <c r="S24" s="2">
        <v>0.55265299999999995</v>
      </c>
      <c r="T24" s="2">
        <v>-1</v>
      </c>
      <c r="U24" s="2">
        <v>1.07987E-2</v>
      </c>
      <c r="V24" s="2">
        <v>0</v>
      </c>
      <c r="W24" s="2">
        <v>2.6930410999999999</v>
      </c>
      <c r="X24" s="2">
        <v>0.64949880000000004</v>
      </c>
      <c r="Y24" s="2">
        <v>0</v>
      </c>
      <c r="Z24" s="2">
        <v>0</v>
      </c>
      <c r="AA24" s="2">
        <v>-5.6473085999999997</v>
      </c>
      <c r="AB24" s="2">
        <v>32.782339399999998</v>
      </c>
      <c r="AC24" s="2">
        <v>3.0642176999999999</v>
      </c>
      <c r="AD24" s="2">
        <v>0.55261859999999996</v>
      </c>
      <c r="AE24" s="2">
        <v>0</v>
      </c>
      <c r="AF24">
        <v>1</v>
      </c>
      <c r="AG24" s="2">
        <v>0</v>
      </c>
      <c r="AH24" s="2"/>
      <c r="AI24" s="2"/>
      <c r="AJ24" s="2"/>
      <c r="AK24" s="2">
        <f t="shared" si="1"/>
        <v>6.564904619920253E-7</v>
      </c>
      <c r="AL24">
        <f t="shared" si="0"/>
        <v>-2.10181726976435</v>
      </c>
      <c r="AM24">
        <f>SUM(output_transition_firms_age!C31:F31)/output_transition_firms_age!IJ30</f>
        <v>0.11631599163798596</v>
      </c>
    </row>
    <row r="25" spans="1:39" x14ac:dyDescent="0.35">
      <c r="A25" s="1">
        <v>23</v>
      </c>
      <c r="B25" s="2">
        <v>1</v>
      </c>
      <c r="C25" s="2">
        <v>0.79263709999999998</v>
      </c>
      <c r="D25" s="2">
        <v>0.40354410000000002</v>
      </c>
      <c r="E25" s="2">
        <v>3.2342999999999998E-3</v>
      </c>
      <c r="F25" s="2">
        <v>1</v>
      </c>
      <c r="G25" s="2">
        <v>0.78018900000000002</v>
      </c>
      <c r="H25" s="2">
        <v>0</v>
      </c>
      <c r="I25" s="2">
        <v>0</v>
      </c>
      <c r="J25" s="2">
        <v>2.5124010999999999</v>
      </c>
      <c r="K25" s="2">
        <v>0.99578520000000004</v>
      </c>
      <c r="L25" s="2">
        <v>-4.6933881</v>
      </c>
      <c r="M25" s="2">
        <v>1.01633E-2</v>
      </c>
      <c r="N25" s="2">
        <v>1.9987823</v>
      </c>
      <c r="O25" s="2">
        <v>0.55591219999999997</v>
      </c>
      <c r="P25" s="2">
        <v>1.0734799999999999E-2</v>
      </c>
      <c r="Q25" s="2">
        <v>0.35895909999999998</v>
      </c>
      <c r="R25" s="2">
        <v>3.0645661999999998</v>
      </c>
      <c r="S25" s="2">
        <v>0.55216509999999996</v>
      </c>
      <c r="T25" s="2">
        <v>-1</v>
      </c>
      <c r="U25" s="2">
        <v>1.07539E-2</v>
      </c>
      <c r="V25" s="2">
        <v>0</v>
      </c>
      <c r="W25" s="2">
        <v>2.6935364000000002</v>
      </c>
      <c r="X25" s="2">
        <v>0.64948079999999997</v>
      </c>
      <c r="Y25" s="2">
        <v>0</v>
      </c>
      <c r="Z25" s="2">
        <v>0</v>
      </c>
      <c r="AA25" s="2">
        <v>-5.6489760999999996</v>
      </c>
      <c r="AB25" s="2">
        <v>32.787743599999999</v>
      </c>
      <c r="AC25" s="2">
        <v>3.0645332000000001</v>
      </c>
      <c r="AD25" s="2">
        <v>0.55213210000000001</v>
      </c>
      <c r="AE25" s="2">
        <v>0</v>
      </c>
      <c r="AF25">
        <v>1</v>
      </c>
      <c r="AG25" s="2">
        <v>0</v>
      </c>
      <c r="AH25" s="2"/>
      <c r="AI25" s="2"/>
      <c r="AJ25" s="2"/>
      <c r="AK25" s="2">
        <f t="shared" si="1"/>
        <v>3.2824523099601265E-7</v>
      </c>
      <c r="AL25">
        <f t="shared" si="0"/>
        <v>-2.0741680827209397</v>
      </c>
      <c r="AM25">
        <f>SUM(output_transition_firms_age!C32:F32)/output_transition_firms_age!IJ31</f>
        <v>0.11629195294093407</v>
      </c>
    </row>
    <row r="26" spans="1:39" x14ac:dyDescent="0.35">
      <c r="A26" s="1">
        <v>24</v>
      </c>
      <c r="B26" s="2">
        <v>1</v>
      </c>
      <c r="C26" s="2">
        <v>0.79263709999999998</v>
      </c>
      <c r="D26" s="2">
        <v>0.40354410000000002</v>
      </c>
      <c r="E26" s="2">
        <v>3.2342999999999998E-3</v>
      </c>
      <c r="F26" s="2">
        <v>1</v>
      </c>
      <c r="G26" s="2">
        <v>0.78018900000000002</v>
      </c>
      <c r="H26" s="2">
        <v>0</v>
      </c>
      <c r="I26" s="2">
        <v>0</v>
      </c>
      <c r="J26" s="2">
        <v>2.512813</v>
      </c>
      <c r="K26" s="2">
        <v>0.99581450000000005</v>
      </c>
      <c r="L26" s="2">
        <v>-4.6884011000000001</v>
      </c>
      <c r="M26" s="2">
        <v>1.0160600000000001E-2</v>
      </c>
      <c r="N26" s="2">
        <v>1.9989220000000001</v>
      </c>
      <c r="O26" s="2">
        <v>0.55572410000000005</v>
      </c>
      <c r="P26" s="2">
        <v>1.0734799999999999E-2</v>
      </c>
      <c r="Q26" s="2">
        <v>0.35893999999999998</v>
      </c>
      <c r="R26" s="2">
        <v>3.0648848000000002</v>
      </c>
      <c r="S26" s="2">
        <v>0.5520718</v>
      </c>
      <c r="T26" s="2">
        <v>-1</v>
      </c>
      <c r="U26" s="2">
        <v>1.0728700000000001E-2</v>
      </c>
      <c r="V26" s="2">
        <v>0</v>
      </c>
      <c r="W26" s="2">
        <v>2.6937530999999999</v>
      </c>
      <c r="X26" s="2">
        <v>0.64947710000000003</v>
      </c>
      <c r="Y26" s="2">
        <v>0</v>
      </c>
      <c r="Z26" s="2">
        <v>0</v>
      </c>
      <c r="AA26" s="2">
        <v>-5.6506930000000004</v>
      </c>
      <c r="AB26" s="2">
        <v>32.792609599999999</v>
      </c>
      <c r="AC26" s="2">
        <v>3.0648532999999998</v>
      </c>
      <c r="AD26" s="2">
        <v>0.55204030000000004</v>
      </c>
      <c r="AE26" s="2">
        <v>0</v>
      </c>
      <c r="AF26">
        <v>1</v>
      </c>
      <c r="AG26" s="2">
        <v>0</v>
      </c>
      <c r="AH26" s="2"/>
      <c r="AI26" s="2"/>
      <c r="AJ26" s="2"/>
      <c r="AK26" s="2">
        <f t="shared" si="1"/>
        <v>1.6412261549800632E-7</v>
      </c>
      <c r="AL26">
        <f t="shared" si="0"/>
        <v>-2.0512292568608981</v>
      </c>
      <c r="AM26">
        <f>SUM(output_transition_firms_age!C33:F33)/output_transition_firms_age!IJ32</f>
        <v>0.11628066392798322</v>
      </c>
    </row>
    <row r="27" spans="1:39" x14ac:dyDescent="0.35">
      <c r="A27" s="1">
        <v>25</v>
      </c>
      <c r="B27" s="2">
        <v>1</v>
      </c>
      <c r="C27" s="2">
        <v>0.79263709999999998</v>
      </c>
      <c r="D27" s="2">
        <v>0.40354410000000002</v>
      </c>
      <c r="E27" s="2">
        <v>3.2342999999999998E-3</v>
      </c>
      <c r="F27" s="2">
        <v>1</v>
      </c>
      <c r="G27" s="2">
        <v>0.78018900000000002</v>
      </c>
      <c r="H27" s="2">
        <v>0</v>
      </c>
      <c r="I27" s="2">
        <v>0</v>
      </c>
      <c r="J27" s="2">
        <v>2.5135776999999999</v>
      </c>
      <c r="K27" s="2">
        <v>0.99585979999999996</v>
      </c>
      <c r="L27" s="2">
        <v>-4.6837485000000001</v>
      </c>
      <c r="M27" s="2">
        <v>1.0157299999999999E-2</v>
      </c>
      <c r="N27" s="2">
        <v>1.9990646000000001</v>
      </c>
      <c r="O27" s="2">
        <v>0.55560100000000001</v>
      </c>
      <c r="P27" s="2">
        <v>1.0734799999999999E-2</v>
      </c>
      <c r="Q27" s="2">
        <v>0.35894609999999999</v>
      </c>
      <c r="R27" s="2">
        <v>3.0652240000000002</v>
      </c>
      <c r="S27" s="2">
        <v>0.55164630000000003</v>
      </c>
      <c r="T27" s="2">
        <v>-1</v>
      </c>
      <c r="U27" s="2">
        <v>1.0713E-2</v>
      </c>
      <c r="V27" s="2">
        <v>0</v>
      </c>
      <c r="W27" s="2">
        <v>2.6938268000000001</v>
      </c>
      <c r="X27" s="2">
        <v>0.64947969999999999</v>
      </c>
      <c r="Y27" s="2">
        <v>0</v>
      </c>
      <c r="Z27" s="2">
        <v>0</v>
      </c>
      <c r="AA27" s="2">
        <v>-5.6524929999999998</v>
      </c>
      <c r="AB27" s="2">
        <v>32.797329699999999</v>
      </c>
      <c r="AC27" s="2">
        <v>3.065194</v>
      </c>
      <c r="AD27" s="2">
        <v>0.55161629999999995</v>
      </c>
      <c r="AE27" s="2">
        <v>0</v>
      </c>
      <c r="AF27">
        <v>1</v>
      </c>
      <c r="AG27" s="2">
        <v>0</v>
      </c>
      <c r="AH27" s="2"/>
      <c r="AI27" s="2"/>
      <c r="AJ27" s="2"/>
      <c r="AK27" s="2">
        <f t="shared" si="1"/>
        <v>8.2061307749003162E-8</v>
      </c>
      <c r="AL27">
        <f t="shared" si="0"/>
        <v>-2.0311684848243861</v>
      </c>
      <c r="AM27">
        <f>SUM(output_transition_firms_age!C34:F34)/output_transition_firms_age!IJ33</f>
        <v>0.11628062021111918</v>
      </c>
    </row>
    <row r="28" spans="1:39" x14ac:dyDescent="0.35">
      <c r="A28" s="1">
        <v>26</v>
      </c>
      <c r="B28" s="2">
        <v>1</v>
      </c>
      <c r="C28" s="2">
        <v>0.79263709999999998</v>
      </c>
      <c r="D28" s="2">
        <v>0.40354410000000002</v>
      </c>
      <c r="E28" s="2">
        <v>3.2342999999999998E-3</v>
      </c>
      <c r="F28" s="2">
        <v>1</v>
      </c>
      <c r="G28" s="2">
        <v>0.78018900000000002</v>
      </c>
      <c r="H28" s="2">
        <v>0</v>
      </c>
      <c r="I28" s="2">
        <v>0</v>
      </c>
      <c r="J28" s="2">
        <v>2.5140878</v>
      </c>
      <c r="K28" s="2">
        <v>0.99591200000000002</v>
      </c>
      <c r="L28" s="2">
        <v>-4.6796908999999998</v>
      </c>
      <c r="M28" s="2">
        <v>1.01543E-2</v>
      </c>
      <c r="N28" s="2">
        <v>1.9992076000000001</v>
      </c>
      <c r="O28" s="2">
        <v>0.55548149999999996</v>
      </c>
      <c r="P28" s="2">
        <v>1.0734799999999999E-2</v>
      </c>
      <c r="Q28" s="2">
        <v>0.35896790000000001</v>
      </c>
      <c r="R28" s="2">
        <v>3.0655586000000001</v>
      </c>
      <c r="S28" s="2">
        <v>0.55147080000000004</v>
      </c>
      <c r="T28" s="2">
        <v>-1</v>
      </c>
      <c r="U28" s="2">
        <v>1.07026E-2</v>
      </c>
      <c r="V28" s="2">
        <v>0</v>
      </c>
      <c r="W28" s="2">
        <v>2.6938149</v>
      </c>
      <c r="X28" s="2">
        <v>0.64949029999999996</v>
      </c>
      <c r="Y28" s="2">
        <v>0</v>
      </c>
      <c r="Z28" s="2">
        <v>0</v>
      </c>
      <c r="AA28" s="2">
        <v>-5.6542908000000001</v>
      </c>
      <c r="AB28" s="2">
        <v>32.801561900000003</v>
      </c>
      <c r="AC28" s="2">
        <v>3.0655302</v>
      </c>
      <c r="AD28" s="2">
        <v>0.5514424</v>
      </c>
      <c r="AE28" s="2">
        <v>0</v>
      </c>
      <c r="AF28">
        <v>1</v>
      </c>
      <c r="AG28" s="2">
        <v>0</v>
      </c>
      <c r="AH28" s="2"/>
      <c r="AI28" s="2"/>
      <c r="AJ28" s="2"/>
      <c r="AK28" s="2">
        <f t="shared" si="1"/>
        <v>4.1030653874501581E-8</v>
      </c>
      <c r="AL28">
        <f t="shared" si="0"/>
        <v>-2.0137040801694983</v>
      </c>
      <c r="AM28">
        <f>SUM(output_transition_firms_age!C35:F35)/output_transition_firms_age!IJ34</f>
        <v>0.11629089310276698</v>
      </c>
    </row>
    <row r="29" spans="1:39" x14ac:dyDescent="0.35">
      <c r="A29" s="1">
        <v>27</v>
      </c>
      <c r="B29" s="2">
        <v>1</v>
      </c>
      <c r="C29" s="2">
        <v>0.79263700000000004</v>
      </c>
      <c r="D29" s="2">
        <v>0.40354410000000002</v>
      </c>
      <c r="E29" s="2">
        <v>3.2342999999999998E-3</v>
      </c>
      <c r="F29" s="2">
        <v>1</v>
      </c>
      <c r="G29" s="2">
        <v>0.78018900000000002</v>
      </c>
      <c r="H29" s="2">
        <v>0</v>
      </c>
      <c r="I29" s="2">
        <v>0</v>
      </c>
      <c r="J29" s="2">
        <v>2.5146150999999999</v>
      </c>
      <c r="K29" s="2">
        <v>0.99597190000000002</v>
      </c>
      <c r="L29" s="2">
        <v>-4.6759623000000001</v>
      </c>
      <c r="M29" s="2">
        <v>1.0152100000000001E-2</v>
      </c>
      <c r="N29" s="2">
        <v>1.9993512</v>
      </c>
      <c r="O29" s="2">
        <v>0.55533200000000005</v>
      </c>
      <c r="P29" s="2">
        <v>1.0734799999999999E-2</v>
      </c>
      <c r="Q29" s="2">
        <v>0.35900009999999999</v>
      </c>
      <c r="R29" s="2">
        <v>3.0658965999999999</v>
      </c>
      <c r="S29" s="2">
        <v>0.55128149999999998</v>
      </c>
      <c r="T29" s="2">
        <v>-1</v>
      </c>
      <c r="U29" s="2">
        <v>1.06934E-2</v>
      </c>
      <c r="V29" s="2">
        <v>0</v>
      </c>
      <c r="W29" s="2">
        <v>2.6937440000000001</v>
      </c>
      <c r="X29" s="2">
        <v>0.64950459999999999</v>
      </c>
      <c r="Y29" s="2">
        <v>0</v>
      </c>
      <c r="Z29" s="2">
        <v>0</v>
      </c>
      <c r="AA29" s="2">
        <v>-5.6562264999999998</v>
      </c>
      <c r="AB29" s="2">
        <v>32.805566900000002</v>
      </c>
      <c r="AC29" s="2">
        <v>3.0658696999999999</v>
      </c>
      <c r="AD29" s="2">
        <v>0.55125460000000004</v>
      </c>
      <c r="AE29" s="2">
        <v>0</v>
      </c>
      <c r="AF29">
        <v>1</v>
      </c>
      <c r="AG29" s="2">
        <v>0</v>
      </c>
      <c r="AH29" s="2"/>
      <c r="AI29" s="2"/>
      <c r="AJ29" s="2"/>
      <c r="AK29" s="2">
        <f t="shared" si="1"/>
        <v>2.0515326937250791E-8</v>
      </c>
      <c r="AL29">
        <f t="shared" si="0"/>
        <v>-1.9982800213658614</v>
      </c>
      <c r="AM29">
        <f>SUM(output_transition_firms_age!C36:F36)/output_transition_firms_age!IJ35</f>
        <v>0.11629625585449267</v>
      </c>
    </row>
    <row r="30" spans="1:39" x14ac:dyDescent="0.35">
      <c r="A30" s="1">
        <v>28</v>
      </c>
      <c r="B30" s="2">
        <v>1</v>
      </c>
      <c r="C30" s="2">
        <v>0.79263700000000004</v>
      </c>
      <c r="D30" s="2">
        <v>0.40354410000000002</v>
      </c>
      <c r="E30" s="2">
        <v>3.2342999999999998E-3</v>
      </c>
      <c r="F30" s="2">
        <v>1</v>
      </c>
      <c r="G30" s="2">
        <v>0.78018900000000002</v>
      </c>
      <c r="H30" s="2">
        <v>0</v>
      </c>
      <c r="I30" s="2">
        <v>0</v>
      </c>
      <c r="J30" s="2">
        <v>2.5151995</v>
      </c>
      <c r="K30" s="2">
        <v>0.99603549999999996</v>
      </c>
      <c r="L30" s="2">
        <v>-4.6725946</v>
      </c>
      <c r="M30" s="2">
        <v>1.0149200000000001E-2</v>
      </c>
      <c r="N30" s="2">
        <v>1.9994923</v>
      </c>
      <c r="O30" s="2">
        <v>0.55521419999999999</v>
      </c>
      <c r="P30" s="2">
        <v>1.0734799999999999E-2</v>
      </c>
      <c r="Q30" s="2">
        <v>0.35904160000000002</v>
      </c>
      <c r="R30" s="2">
        <v>3.0662248999999999</v>
      </c>
      <c r="S30" s="2">
        <v>0.5510254</v>
      </c>
      <c r="T30" s="2">
        <v>-1</v>
      </c>
      <c r="U30" s="2">
        <v>1.0687E-2</v>
      </c>
      <c r="V30" s="2">
        <v>0</v>
      </c>
      <c r="W30" s="2">
        <v>2.6936097000000001</v>
      </c>
      <c r="X30" s="2">
        <v>0.64952089999999996</v>
      </c>
      <c r="Y30" s="2">
        <v>0</v>
      </c>
      <c r="Z30" s="2">
        <v>0</v>
      </c>
      <c r="AA30" s="2">
        <v>-5.6581235000000003</v>
      </c>
      <c r="AB30" s="2">
        <v>32.809329499999997</v>
      </c>
      <c r="AC30" s="2">
        <v>3.0661995000000002</v>
      </c>
      <c r="AD30" s="2">
        <v>0.55100000000000005</v>
      </c>
      <c r="AE30" s="2">
        <v>0</v>
      </c>
      <c r="AF30">
        <v>1</v>
      </c>
      <c r="AG30" s="2">
        <v>0</v>
      </c>
      <c r="AH30" s="2"/>
      <c r="AI30" s="2"/>
      <c r="AJ30" s="2"/>
      <c r="AK30" s="2">
        <f t="shared" si="1"/>
        <v>1.0257663468625395E-8</v>
      </c>
      <c r="AL30">
        <f t="shared" si="0"/>
        <v>-1.9849752389301756</v>
      </c>
      <c r="AM30">
        <f>SUM(output_transition_firms_age!C37:F37)/output_transition_firms_age!IJ36</f>
        <v>0.11629600734743596</v>
      </c>
    </row>
    <row r="31" spans="1:39" x14ac:dyDescent="0.35">
      <c r="A31" s="1">
        <v>29</v>
      </c>
      <c r="B31" s="2">
        <v>1</v>
      </c>
      <c r="C31" s="2">
        <v>0.79263700000000004</v>
      </c>
      <c r="D31" s="2">
        <v>0.40354410000000002</v>
      </c>
      <c r="E31" s="2">
        <v>3.2342999999999998E-3</v>
      </c>
      <c r="F31" s="2">
        <v>1</v>
      </c>
      <c r="G31" s="2">
        <v>0.78018900000000002</v>
      </c>
      <c r="H31" s="2">
        <v>0</v>
      </c>
      <c r="I31" s="2">
        <v>0</v>
      </c>
      <c r="J31" s="2">
        <v>2.5156114000000001</v>
      </c>
      <c r="K31" s="2">
        <v>0.99610189999999998</v>
      </c>
      <c r="L31" s="2">
        <v>-4.6696165000000001</v>
      </c>
      <c r="M31" s="2">
        <v>1.0147400000000001E-2</v>
      </c>
      <c r="N31" s="2">
        <v>1.9996318</v>
      </c>
      <c r="O31" s="2">
        <v>0.55515939999999997</v>
      </c>
      <c r="P31" s="2">
        <v>1.0734799999999999E-2</v>
      </c>
      <c r="Q31" s="2">
        <v>0.3590894</v>
      </c>
      <c r="R31" s="2">
        <v>3.0665477000000001</v>
      </c>
      <c r="S31" s="2">
        <v>0.55093639999999999</v>
      </c>
      <c r="T31" s="2">
        <v>-1</v>
      </c>
      <c r="U31" s="2">
        <v>1.0682499999999999E-2</v>
      </c>
      <c r="V31" s="2">
        <v>0</v>
      </c>
      <c r="W31" s="2">
        <v>2.6934406000000002</v>
      </c>
      <c r="X31" s="2">
        <v>0.64954069999999997</v>
      </c>
      <c r="Y31" s="2">
        <v>0</v>
      </c>
      <c r="Z31" s="2">
        <v>0</v>
      </c>
      <c r="AA31" s="2">
        <v>-5.6601226000000002</v>
      </c>
      <c r="AB31" s="2">
        <v>32.812781999999999</v>
      </c>
      <c r="AC31" s="2">
        <v>3.0665238000000001</v>
      </c>
      <c r="AD31" s="2">
        <v>0.55091250000000003</v>
      </c>
      <c r="AE31" s="2">
        <v>0</v>
      </c>
      <c r="AF31">
        <v>1</v>
      </c>
      <c r="AG31" s="2">
        <v>0</v>
      </c>
      <c r="AH31" s="2"/>
      <c r="AI31" s="2"/>
      <c r="AJ31" s="2"/>
      <c r="AK31" s="2">
        <f t="shared" si="1"/>
        <v>5.1288317343126976E-9</v>
      </c>
      <c r="AL31">
        <f t="shared" si="0"/>
        <v>-1.9730896785991714</v>
      </c>
      <c r="AM31">
        <f>SUM(output_transition_firms_age!C38:F38)/output_transition_firms_age!IJ37</f>
        <v>0.11629063983340072</v>
      </c>
    </row>
    <row r="32" spans="1:39" x14ac:dyDescent="0.35">
      <c r="A32" s="1">
        <v>30</v>
      </c>
      <c r="B32" s="2">
        <v>1</v>
      </c>
      <c r="C32" s="2">
        <v>0.79263700000000004</v>
      </c>
      <c r="D32" s="2">
        <v>0.40354410000000002</v>
      </c>
      <c r="E32" s="2">
        <v>3.2342999999999998E-3</v>
      </c>
      <c r="F32" s="2">
        <v>1</v>
      </c>
      <c r="G32" s="2">
        <v>0.78018900000000002</v>
      </c>
      <c r="H32" s="2">
        <v>0</v>
      </c>
      <c r="I32" s="2">
        <v>0</v>
      </c>
      <c r="J32" s="2">
        <v>2.5161788999999999</v>
      </c>
      <c r="K32" s="2">
        <v>0.99617129999999998</v>
      </c>
      <c r="L32" s="2">
        <v>-4.6667915999999998</v>
      </c>
      <c r="M32" s="2">
        <v>1.0146000000000001E-2</v>
      </c>
      <c r="N32" s="2">
        <v>1.9997701000000001</v>
      </c>
      <c r="O32" s="2">
        <v>0.55512870000000003</v>
      </c>
      <c r="P32" s="2">
        <v>1.0734799999999999E-2</v>
      </c>
      <c r="Q32" s="2">
        <v>0.35914170000000001</v>
      </c>
      <c r="R32" s="2">
        <v>3.0668707999999998</v>
      </c>
      <c r="S32" s="2">
        <v>0.55069190000000001</v>
      </c>
      <c r="T32" s="2">
        <v>-1</v>
      </c>
      <c r="U32" s="2">
        <v>1.0679299999999999E-2</v>
      </c>
      <c r="V32" s="2">
        <v>0</v>
      </c>
      <c r="W32" s="2">
        <v>2.6932461000000001</v>
      </c>
      <c r="X32" s="2">
        <v>0.64956190000000003</v>
      </c>
      <c r="Y32" s="2">
        <v>0</v>
      </c>
      <c r="Z32" s="2">
        <v>0</v>
      </c>
      <c r="AA32" s="2">
        <v>-5.6622683</v>
      </c>
      <c r="AB32" s="2">
        <v>32.816096000000002</v>
      </c>
      <c r="AC32" s="2">
        <v>3.0668484</v>
      </c>
      <c r="AD32" s="2">
        <v>0.55066950000000003</v>
      </c>
      <c r="AE32" s="2">
        <v>0</v>
      </c>
      <c r="AF32">
        <v>1</v>
      </c>
      <c r="AG32" s="2">
        <v>0</v>
      </c>
      <c r="AH32" s="2"/>
      <c r="AI32" s="2"/>
      <c r="AJ32" s="2"/>
      <c r="AK32" s="2">
        <f t="shared" si="1"/>
        <v>2.5644158671563488E-9</v>
      </c>
      <c r="AL32">
        <f t="shared" si="0"/>
        <v>-1.9621027373266653</v>
      </c>
      <c r="AM32">
        <f>SUM(output_transition_firms_age!C39:F39)/output_transition_firms_age!IJ38</f>
        <v>0.11628014012618489</v>
      </c>
    </row>
    <row r="33" spans="1:39" x14ac:dyDescent="0.35">
      <c r="A33" s="1">
        <v>31</v>
      </c>
      <c r="B33" s="2">
        <v>1</v>
      </c>
      <c r="C33" s="2">
        <v>0.79263700000000004</v>
      </c>
      <c r="D33" s="2">
        <v>0.40354410000000002</v>
      </c>
      <c r="E33" s="2">
        <v>3.2342999999999998E-3</v>
      </c>
      <c r="F33" s="2">
        <v>1</v>
      </c>
      <c r="G33" s="2">
        <v>0.78018900000000002</v>
      </c>
      <c r="H33" s="2">
        <v>0</v>
      </c>
      <c r="I33" s="2">
        <v>0</v>
      </c>
      <c r="J33" s="2">
        <v>2.5166493999999999</v>
      </c>
      <c r="K33" s="2">
        <v>0.99623779999999995</v>
      </c>
      <c r="L33" s="2">
        <v>-4.6642508999999999</v>
      </c>
      <c r="M33" s="2">
        <v>1.0144800000000001E-2</v>
      </c>
      <c r="N33" s="2">
        <v>1.9999043000000001</v>
      </c>
      <c r="O33" s="2">
        <v>0.55505939999999998</v>
      </c>
      <c r="P33" s="2">
        <v>1.0734799999999999E-2</v>
      </c>
      <c r="Q33" s="2">
        <v>0.35919719999999999</v>
      </c>
      <c r="R33" s="2">
        <v>3.0671743999999999</v>
      </c>
      <c r="S33" s="2">
        <v>0.55052500000000004</v>
      </c>
      <c r="T33" s="2">
        <v>-1</v>
      </c>
      <c r="U33" s="2">
        <v>1.0678999999999999E-2</v>
      </c>
      <c r="V33" s="2">
        <v>0</v>
      </c>
      <c r="W33" s="2">
        <v>2.6930263999999999</v>
      </c>
      <c r="X33" s="2">
        <v>0.64958539999999998</v>
      </c>
      <c r="Y33" s="2">
        <v>0</v>
      </c>
      <c r="Z33" s="2">
        <v>0</v>
      </c>
      <c r="AA33" s="2">
        <v>-5.6644005999999996</v>
      </c>
      <c r="AB33" s="2">
        <v>32.819115400000001</v>
      </c>
      <c r="AC33" s="2">
        <v>3.0671534</v>
      </c>
      <c r="AD33" s="2">
        <v>0.55050399999999999</v>
      </c>
      <c r="AE33" s="2">
        <v>0</v>
      </c>
      <c r="AF33">
        <v>1</v>
      </c>
      <c r="AG33" s="2">
        <v>0</v>
      </c>
      <c r="AH33" s="2"/>
      <c r="AI33" s="2"/>
      <c r="AJ33" s="2"/>
      <c r="AK33" s="2">
        <f t="shared" si="1"/>
        <v>1.2822079335781744E-9</v>
      </c>
      <c r="AL33">
        <f t="shared" si="0"/>
        <v>-1.952178476358446</v>
      </c>
      <c r="AM33">
        <f>SUM(output_transition_firms_age!C40:F40)/output_transition_firms_age!IJ39</f>
        <v>0.11626695384527126</v>
      </c>
    </row>
    <row r="34" spans="1:39" x14ac:dyDescent="0.35">
      <c r="A34" s="1">
        <v>32</v>
      </c>
      <c r="B34" s="2">
        <v>1</v>
      </c>
      <c r="C34" s="2">
        <v>0.79263700000000004</v>
      </c>
      <c r="D34" s="2">
        <v>0.40354410000000002</v>
      </c>
      <c r="E34" s="2">
        <v>3.2342999999999998E-3</v>
      </c>
      <c r="F34" s="2">
        <v>1</v>
      </c>
      <c r="G34" s="2">
        <v>0.78018900000000002</v>
      </c>
      <c r="H34" s="2">
        <v>0</v>
      </c>
      <c r="I34" s="2">
        <v>0</v>
      </c>
      <c r="J34" s="2">
        <v>2.5171104</v>
      </c>
      <c r="K34" s="2">
        <v>0.99630320000000006</v>
      </c>
      <c r="L34" s="2">
        <v>-4.6619481</v>
      </c>
      <c r="M34" s="2">
        <v>1.01438E-2</v>
      </c>
      <c r="N34" s="2">
        <v>2.0000360000000001</v>
      </c>
      <c r="O34" s="2">
        <v>0.55506290000000003</v>
      </c>
      <c r="P34" s="2">
        <v>1.0734799999999999E-2</v>
      </c>
      <c r="Q34" s="2">
        <v>0.35925309999999999</v>
      </c>
      <c r="R34" s="2">
        <v>3.0674687</v>
      </c>
      <c r="S34" s="2">
        <v>0.55035829999999997</v>
      </c>
      <c r="T34" s="2">
        <v>-1</v>
      </c>
      <c r="U34" s="2">
        <v>1.06788E-2</v>
      </c>
      <c r="V34" s="2">
        <v>0</v>
      </c>
      <c r="W34" s="2">
        <v>2.6927984999999999</v>
      </c>
      <c r="X34" s="2">
        <v>0.64960859999999998</v>
      </c>
      <c r="Y34" s="2">
        <v>0</v>
      </c>
      <c r="Z34" s="2">
        <v>0</v>
      </c>
      <c r="AA34" s="2">
        <v>-5.6666141000000003</v>
      </c>
      <c r="AB34" s="2">
        <v>32.821920499999997</v>
      </c>
      <c r="AC34" s="2">
        <v>3.0674491000000002</v>
      </c>
      <c r="AD34" s="2">
        <v>0.55033880000000002</v>
      </c>
      <c r="AE34" s="2">
        <v>0</v>
      </c>
      <c r="AF34">
        <v>1</v>
      </c>
      <c r="AG34" s="2">
        <v>0</v>
      </c>
      <c r="AH34" s="2"/>
      <c r="AI34" s="2"/>
      <c r="AJ34" s="2"/>
      <c r="AK34" s="2">
        <f t="shared" si="1"/>
        <v>6.411039667890872E-10</v>
      </c>
      <c r="AL34">
        <f t="shared" si="0"/>
        <v>-1.9428490601192117</v>
      </c>
      <c r="AM34">
        <f>SUM(output_transition_firms_age!C41:F41)/output_transition_firms_age!IJ40</f>
        <v>0.11625167842782931</v>
      </c>
    </row>
    <row r="35" spans="1:39" x14ac:dyDescent="0.35">
      <c r="A35" s="1">
        <v>33</v>
      </c>
      <c r="B35" s="2">
        <v>1</v>
      </c>
      <c r="C35" s="2">
        <v>0.79263700000000004</v>
      </c>
      <c r="D35" s="2">
        <v>0.40354410000000002</v>
      </c>
      <c r="E35" s="2">
        <v>3.2342999999999998E-3</v>
      </c>
      <c r="F35" s="2">
        <v>1</v>
      </c>
      <c r="G35" s="2">
        <v>0.78018900000000002</v>
      </c>
      <c r="H35" s="2">
        <v>0</v>
      </c>
      <c r="I35" s="2">
        <v>0</v>
      </c>
      <c r="J35" s="2">
        <v>2.5177520000000002</v>
      </c>
      <c r="K35" s="2">
        <v>0.9963651</v>
      </c>
      <c r="L35" s="2">
        <v>-4.6598103999999996</v>
      </c>
      <c r="M35" s="2">
        <v>1.01434E-2</v>
      </c>
      <c r="N35" s="2">
        <v>2.0001644999999999</v>
      </c>
      <c r="O35" s="2">
        <v>0.55501250000000002</v>
      </c>
      <c r="P35" s="2">
        <v>1.0734799999999999E-2</v>
      </c>
      <c r="Q35" s="2">
        <v>0.35930899999999999</v>
      </c>
      <c r="R35" s="2">
        <v>3.0677492000000002</v>
      </c>
      <c r="S35" s="2">
        <v>0.54999719999999996</v>
      </c>
      <c r="T35" s="2">
        <v>-1</v>
      </c>
      <c r="U35" s="2">
        <v>1.0680500000000001E-2</v>
      </c>
      <c r="V35" s="2">
        <v>0</v>
      </c>
      <c r="W35" s="2">
        <v>2.6925587000000002</v>
      </c>
      <c r="X35" s="2">
        <v>0.64963110000000002</v>
      </c>
      <c r="Y35" s="2">
        <v>0</v>
      </c>
      <c r="Z35" s="2">
        <v>0</v>
      </c>
      <c r="AA35" s="2">
        <v>-5.6688549000000004</v>
      </c>
      <c r="AB35" s="2">
        <v>32.824513400000001</v>
      </c>
      <c r="AC35" s="2">
        <v>3.0677310000000002</v>
      </c>
      <c r="AD35" s="2">
        <v>0.549979</v>
      </c>
      <c r="AE35" s="2">
        <v>0</v>
      </c>
      <c r="AF35">
        <v>1</v>
      </c>
      <c r="AG35" s="2">
        <v>0</v>
      </c>
      <c r="AH35" s="2"/>
      <c r="AI35" s="2"/>
      <c r="AJ35" s="2"/>
      <c r="AK35" s="2">
        <f t="shared" si="1"/>
        <v>3.205519833945436E-10</v>
      </c>
      <c r="AL35">
        <f t="shared" si="0"/>
        <v>-1.9338243413512313</v>
      </c>
      <c r="AM35">
        <f>SUM(output_transition_firms_age!C42:F42)/output_transition_firms_age!IJ41</f>
        <v>0.11623510834858912</v>
      </c>
    </row>
    <row r="36" spans="1:39" x14ac:dyDescent="0.35">
      <c r="A36" s="1">
        <v>34</v>
      </c>
      <c r="B36" s="2">
        <v>1</v>
      </c>
      <c r="C36" s="2">
        <v>0.79263700000000004</v>
      </c>
      <c r="D36" s="2">
        <v>0.40354410000000002</v>
      </c>
      <c r="E36" s="2">
        <v>3.2342999999999998E-3</v>
      </c>
      <c r="F36" s="2">
        <v>1</v>
      </c>
      <c r="G36" s="2">
        <v>0.78018900000000002</v>
      </c>
      <c r="H36" s="2">
        <v>0</v>
      </c>
      <c r="I36" s="2">
        <v>0</v>
      </c>
      <c r="J36" s="2">
        <v>2.5180256999999999</v>
      </c>
      <c r="K36" s="2">
        <v>0.99642149999999996</v>
      </c>
      <c r="L36" s="2">
        <v>-4.6580979999999998</v>
      </c>
      <c r="M36" s="2">
        <v>1.01455E-2</v>
      </c>
      <c r="N36" s="2">
        <v>2.0002906</v>
      </c>
      <c r="O36" s="2">
        <v>0.55498809999999998</v>
      </c>
      <c r="P36" s="2">
        <v>1.0734799999999999E-2</v>
      </c>
      <c r="Q36" s="2">
        <v>0.3593633</v>
      </c>
      <c r="R36" s="2">
        <v>3.0680022</v>
      </c>
      <c r="S36" s="2">
        <v>0.54997649999999998</v>
      </c>
      <c r="T36" s="2">
        <v>-1</v>
      </c>
      <c r="U36" s="2">
        <v>1.06806E-2</v>
      </c>
      <c r="V36" s="2">
        <v>0</v>
      </c>
      <c r="W36" s="2">
        <v>2.6923189999999999</v>
      </c>
      <c r="X36" s="2">
        <v>0.6496556</v>
      </c>
      <c r="Y36" s="2">
        <v>0</v>
      </c>
      <c r="Z36" s="2">
        <v>0</v>
      </c>
      <c r="AA36" s="2">
        <v>-5.6710428999999998</v>
      </c>
      <c r="AB36" s="2">
        <v>32.826705099999998</v>
      </c>
      <c r="AC36" s="2">
        <v>3.0679853000000001</v>
      </c>
      <c r="AD36" s="2">
        <v>0.54995970000000005</v>
      </c>
      <c r="AE36" s="2">
        <v>0</v>
      </c>
      <c r="AF36">
        <v>1</v>
      </c>
      <c r="AG36" s="2">
        <v>0</v>
      </c>
      <c r="AH36" s="2"/>
      <c r="AI36" s="2"/>
      <c r="AJ36" s="2"/>
      <c r="AK36" s="2">
        <f t="shared" si="1"/>
        <v>1.602759916972718E-10</v>
      </c>
      <c r="AL36">
        <f t="shared" si="0"/>
        <v>-1.9258610711380353</v>
      </c>
      <c r="AM36">
        <f>SUM(output_transition_firms_age!C43:F43)/output_transition_firms_age!IJ42</f>
        <v>0.11621740307479893</v>
      </c>
    </row>
    <row r="37" spans="1:39" x14ac:dyDescent="0.35">
      <c r="A37" s="1">
        <v>35</v>
      </c>
      <c r="B37" s="2">
        <v>1</v>
      </c>
      <c r="C37" s="2">
        <v>0.79263700000000004</v>
      </c>
      <c r="D37" s="2">
        <v>0.40354410000000002</v>
      </c>
      <c r="E37" s="2">
        <v>3.2342999999999998E-3</v>
      </c>
      <c r="F37" s="2">
        <v>1</v>
      </c>
      <c r="G37" s="2">
        <v>0.78018900000000002</v>
      </c>
      <c r="H37" s="2">
        <v>0</v>
      </c>
      <c r="I37" s="2">
        <v>0</v>
      </c>
      <c r="J37" s="2">
        <v>2.5185597999999998</v>
      </c>
      <c r="K37" s="2">
        <v>0.99631729999999996</v>
      </c>
      <c r="L37" s="2">
        <v>-4.6564193999999999</v>
      </c>
      <c r="M37" s="2">
        <v>1.01449E-2</v>
      </c>
      <c r="N37" s="2">
        <v>2.0002833</v>
      </c>
      <c r="O37" s="2">
        <v>0.55674970000000001</v>
      </c>
      <c r="P37" s="2">
        <v>1.0654E-2</v>
      </c>
      <c r="Q37" s="2">
        <v>0.3594175</v>
      </c>
      <c r="R37" s="2">
        <v>3.0679528999999999</v>
      </c>
      <c r="S37" s="2">
        <v>0.54939320000000003</v>
      </c>
      <c r="T37" s="2">
        <v>-1</v>
      </c>
      <c r="U37" s="2">
        <v>1.07207E-2</v>
      </c>
      <c r="V37" s="2">
        <v>0</v>
      </c>
      <c r="W37" s="2">
        <v>2.6922286999999998</v>
      </c>
      <c r="X37" s="2">
        <v>0.64959520000000004</v>
      </c>
      <c r="Y37" s="2">
        <v>0</v>
      </c>
      <c r="Z37" s="2">
        <v>0</v>
      </c>
      <c r="AA37" s="2">
        <v>-5.6730016000000001</v>
      </c>
      <c r="AB37" s="2">
        <v>32.827703200000002</v>
      </c>
      <c r="AC37" s="2">
        <v>3.0679360999999998</v>
      </c>
      <c r="AD37" s="2">
        <v>0.54937639999999999</v>
      </c>
      <c r="AE37" s="2">
        <v>0</v>
      </c>
      <c r="AF37">
        <v>1</v>
      </c>
      <c r="AG37" s="2">
        <v>0</v>
      </c>
      <c r="AH37" s="2"/>
      <c r="AI37" s="2"/>
      <c r="AJ37" s="2"/>
      <c r="AK37" s="2">
        <f t="shared" si="1"/>
        <v>8.01379958486359E-11</v>
      </c>
      <c r="AL37">
        <f t="shared" si="0"/>
        <v>-1.8986073103661738</v>
      </c>
      <c r="AM37">
        <f>SUM(output_transition_firms_age!C44:F44)/output_transition_firms_age!IJ43</f>
        <v>0.11597943219835297</v>
      </c>
    </row>
    <row r="38" spans="1:39" x14ac:dyDescent="0.35">
      <c r="A38" s="1">
        <v>36</v>
      </c>
      <c r="B38" s="2">
        <v>1</v>
      </c>
      <c r="C38" s="2">
        <v>0.79263700000000004</v>
      </c>
      <c r="D38" s="2">
        <v>0.40354410000000002</v>
      </c>
      <c r="E38" s="2">
        <v>3.2342999999999998E-3</v>
      </c>
      <c r="F38" s="2">
        <v>1</v>
      </c>
      <c r="G38" s="2">
        <v>0.78018900000000002</v>
      </c>
      <c r="H38" s="2">
        <v>0</v>
      </c>
      <c r="I38" s="2">
        <v>0</v>
      </c>
      <c r="J38" s="2">
        <v>2.5189602999999998</v>
      </c>
      <c r="K38" s="2">
        <v>0.99629080000000003</v>
      </c>
      <c r="L38" s="2">
        <v>-4.6536815000000002</v>
      </c>
      <c r="M38" s="2">
        <v>1.0141900000000001E-2</v>
      </c>
      <c r="N38" s="2">
        <v>2.0003174000000001</v>
      </c>
      <c r="O38" s="2">
        <v>0.55650730000000004</v>
      </c>
      <c r="P38" s="2">
        <v>1.0654E-2</v>
      </c>
      <c r="Q38" s="2">
        <v>0.35935080000000003</v>
      </c>
      <c r="R38" s="2">
        <v>3.0680489</v>
      </c>
      <c r="S38" s="2">
        <v>0.54908860000000004</v>
      </c>
      <c r="T38" s="2">
        <v>-1</v>
      </c>
      <c r="U38" s="2">
        <v>1.07011E-2</v>
      </c>
      <c r="V38" s="2">
        <v>0</v>
      </c>
      <c r="W38" s="2">
        <v>2.6926421999999999</v>
      </c>
      <c r="X38" s="2">
        <v>0.64956860000000005</v>
      </c>
      <c r="Y38" s="2">
        <v>0</v>
      </c>
      <c r="Z38" s="2">
        <v>0</v>
      </c>
      <c r="AA38" s="2">
        <v>-5.6748935999999999</v>
      </c>
      <c r="AB38" s="2">
        <v>32.829391999999999</v>
      </c>
      <c r="AC38" s="2">
        <v>3.0680325000000002</v>
      </c>
      <c r="AD38" s="2">
        <v>0.54907220000000001</v>
      </c>
      <c r="AE38" s="2">
        <v>0</v>
      </c>
      <c r="AF38">
        <v>1</v>
      </c>
      <c r="AG38" s="2">
        <v>0</v>
      </c>
      <c r="AH38" s="2"/>
      <c r="AI38" s="2"/>
      <c r="AJ38" s="2"/>
      <c r="AK38" s="2">
        <f t="shared" si="1"/>
        <v>4.006899792431795E-11</v>
      </c>
      <c r="AL38">
        <f t="shared" si="0"/>
        <v>-1.8807810627657684</v>
      </c>
      <c r="AM38">
        <f>SUM(output_transition_firms_age!C45:F45)/output_transition_firms_age!IJ44</f>
        <v>0.11575092859668637</v>
      </c>
    </row>
    <row r="39" spans="1:39" x14ac:dyDescent="0.35">
      <c r="A39" s="1">
        <v>37</v>
      </c>
      <c r="B39" s="2">
        <v>1</v>
      </c>
      <c r="C39" s="2">
        <v>0.79263700000000004</v>
      </c>
      <c r="D39" s="2">
        <v>0.40354410000000002</v>
      </c>
      <c r="E39" s="2">
        <v>3.2342999999999998E-3</v>
      </c>
      <c r="F39" s="2">
        <v>1</v>
      </c>
      <c r="G39" s="2">
        <v>0.78018900000000002</v>
      </c>
      <c r="H39" s="2">
        <v>0</v>
      </c>
      <c r="I39" s="2">
        <v>0</v>
      </c>
      <c r="J39" s="2">
        <v>2.5193918000000002</v>
      </c>
      <c r="K39" s="2">
        <v>0.9962683</v>
      </c>
      <c r="L39" s="2">
        <v>-4.6515884999999999</v>
      </c>
      <c r="M39" s="2">
        <v>1.01438E-2</v>
      </c>
      <c r="N39" s="2">
        <v>2.0003601</v>
      </c>
      <c r="O39" s="2">
        <v>0.55596129999999999</v>
      </c>
      <c r="P39" s="2">
        <v>1.0654E-2</v>
      </c>
      <c r="Q39" s="2">
        <v>0.3593037</v>
      </c>
      <c r="R39" s="2">
        <v>3.0681316999999999</v>
      </c>
      <c r="S39" s="2">
        <v>0.54873989999999995</v>
      </c>
      <c r="T39" s="2">
        <v>-1</v>
      </c>
      <c r="U39" s="2">
        <v>1.0688100000000001E-2</v>
      </c>
      <c r="V39" s="2">
        <v>0</v>
      </c>
      <c r="W39" s="2">
        <v>2.6929246</v>
      </c>
      <c r="X39" s="2">
        <v>0.64955019999999997</v>
      </c>
      <c r="Y39" s="2">
        <v>0</v>
      </c>
      <c r="Z39" s="2">
        <v>0</v>
      </c>
      <c r="AA39" s="2">
        <v>-5.6764842</v>
      </c>
      <c r="AB39" s="2">
        <v>32.830765999999997</v>
      </c>
      <c r="AC39" s="2">
        <v>3.0681156999999999</v>
      </c>
      <c r="AD39" s="2">
        <v>0.54872390000000004</v>
      </c>
      <c r="AE39" s="2">
        <v>0</v>
      </c>
      <c r="AF39">
        <v>1</v>
      </c>
      <c r="AG39" s="2">
        <v>0</v>
      </c>
      <c r="AH39" s="2"/>
      <c r="AI39" s="2"/>
      <c r="AJ39" s="2"/>
      <c r="AK39" s="2">
        <f t="shared" si="1"/>
        <v>2.0034498962158975E-11</v>
      </c>
      <c r="AL39">
        <f t="shared" si="0"/>
        <v>-1.8655152850948209</v>
      </c>
      <c r="AM39">
        <f>SUM(output_transition_firms_age!C46:F46)/output_transition_firms_age!IJ45</f>
        <v>0.11553871362014441</v>
      </c>
    </row>
    <row r="40" spans="1:39" x14ac:dyDescent="0.35">
      <c r="A40" s="1">
        <v>38</v>
      </c>
      <c r="B40" s="2">
        <v>1</v>
      </c>
      <c r="C40" s="2">
        <v>0.79263700000000004</v>
      </c>
      <c r="D40" s="2">
        <v>0.40354410000000002</v>
      </c>
      <c r="E40" s="2">
        <v>3.2342999999999998E-3</v>
      </c>
      <c r="F40" s="2">
        <v>1</v>
      </c>
      <c r="G40" s="2">
        <v>0.78018900000000002</v>
      </c>
      <c r="H40" s="2">
        <v>0</v>
      </c>
      <c r="I40" s="2">
        <v>0</v>
      </c>
      <c r="J40" s="2">
        <v>2.5200480000000001</v>
      </c>
      <c r="K40" s="2">
        <v>0.99623810000000002</v>
      </c>
      <c r="L40" s="2">
        <v>-4.6505590000000003</v>
      </c>
      <c r="M40" s="2">
        <v>1.01654E-2</v>
      </c>
      <c r="N40" s="2">
        <v>2.0004314000000001</v>
      </c>
      <c r="O40" s="2">
        <v>0.55534550000000005</v>
      </c>
      <c r="P40" s="2">
        <v>1.0654E-2</v>
      </c>
      <c r="Q40" s="2">
        <v>0.35926960000000002</v>
      </c>
      <c r="R40" s="2">
        <v>3.0681786999999998</v>
      </c>
      <c r="S40" s="2">
        <v>0.55704949999999998</v>
      </c>
      <c r="T40" s="2">
        <v>-1</v>
      </c>
      <c r="U40" s="2">
        <v>1.0674400000000001E-2</v>
      </c>
      <c r="V40" s="2">
        <v>0</v>
      </c>
      <c r="W40" s="2">
        <v>2.6930930000000002</v>
      </c>
      <c r="X40" s="2">
        <v>0.64954400000000001</v>
      </c>
      <c r="Y40" s="2">
        <v>0</v>
      </c>
      <c r="Z40" s="2">
        <v>0</v>
      </c>
      <c r="AA40" s="2">
        <v>-5.6778931000000004</v>
      </c>
      <c r="AB40" s="2">
        <v>32.831782099999998</v>
      </c>
      <c r="AC40" s="2">
        <v>3.0681634999999998</v>
      </c>
      <c r="AD40" s="2">
        <v>0.55703429999999998</v>
      </c>
      <c r="AE40" s="2">
        <v>8.9189000000000004E-3</v>
      </c>
      <c r="AF40">
        <v>1</v>
      </c>
      <c r="AG40" s="2">
        <v>0</v>
      </c>
      <c r="AH40" s="2"/>
      <c r="AI40" s="2"/>
      <c r="AJ40" s="2"/>
      <c r="AK40" s="2">
        <f t="shared" si="1"/>
        <v>1.0017249481079488E-11</v>
      </c>
      <c r="AL40">
        <f t="shared" si="0"/>
        <v>-1.8514619535904941</v>
      </c>
      <c r="AM40">
        <f>SUM(output_transition_firms_age!C47:F47)/output_transition_firms_age!IJ46</f>
        <v>0.11530720024953454</v>
      </c>
    </row>
    <row r="41" spans="1:39" x14ac:dyDescent="0.35">
      <c r="A41" s="1">
        <v>39</v>
      </c>
      <c r="B41" s="2">
        <v>1</v>
      </c>
      <c r="C41" s="2">
        <v>0.79263700000000004</v>
      </c>
      <c r="D41" s="2">
        <v>0.40354410000000002</v>
      </c>
      <c r="E41" s="2">
        <v>3.2342999999999998E-3</v>
      </c>
      <c r="F41" s="2">
        <v>1</v>
      </c>
      <c r="G41" s="2">
        <v>0.78018900000000002</v>
      </c>
      <c r="H41" s="2">
        <v>0</v>
      </c>
      <c r="I41" s="2">
        <v>0</v>
      </c>
      <c r="J41" s="2">
        <v>2.5286658000000002</v>
      </c>
      <c r="K41" s="2">
        <v>0.99755099999999997</v>
      </c>
      <c r="L41" s="2">
        <v>-4.5981648000000002</v>
      </c>
      <c r="M41" s="2">
        <v>1.0101000000000001E-2</v>
      </c>
      <c r="N41" s="2">
        <v>2.0018584000000001</v>
      </c>
      <c r="O41" s="2">
        <v>0.55909600000000004</v>
      </c>
      <c r="P41" s="2">
        <v>1.0654E-2</v>
      </c>
      <c r="Q41" s="2">
        <v>0.3604869</v>
      </c>
      <c r="R41" s="2">
        <v>3.0906913999999999</v>
      </c>
      <c r="S41" s="2">
        <v>0.55328379999999999</v>
      </c>
      <c r="T41" s="2">
        <v>-1</v>
      </c>
      <c r="U41" s="2">
        <v>1.0653899999999999E-2</v>
      </c>
      <c r="V41" s="2">
        <v>0</v>
      </c>
      <c r="W41" s="2">
        <v>2.6877955999999998</v>
      </c>
      <c r="X41" s="2">
        <v>0.64611940000000001</v>
      </c>
      <c r="Y41" s="2">
        <v>0</v>
      </c>
      <c r="Z41" s="2">
        <v>0</v>
      </c>
      <c r="AA41" s="2">
        <v>-5.7495697000000003</v>
      </c>
      <c r="AB41" s="2">
        <v>33.1899199</v>
      </c>
      <c r="AC41" s="2">
        <v>3.0906913999999999</v>
      </c>
      <c r="AD41" s="2">
        <v>0.55328379999999999</v>
      </c>
      <c r="AE41" s="2">
        <v>8.7417999999999992E-3</v>
      </c>
      <c r="AF41">
        <v>1</v>
      </c>
      <c r="AG41" s="2">
        <v>0</v>
      </c>
      <c r="AH41" s="2"/>
      <c r="AI41" s="2"/>
      <c r="AJ41" s="2"/>
      <c r="AK41" s="2">
        <f t="shared" si="1"/>
        <v>5.0086247405397438E-12</v>
      </c>
      <c r="AL41">
        <f t="shared" si="0"/>
        <v>0</v>
      </c>
      <c r="AM41">
        <f>SUM(output_transition_firms_age!C48:F48)/output_transition_firms_age!IJ47</f>
        <v>0</v>
      </c>
    </row>
    <row r="42" spans="1:39" x14ac:dyDescent="0.3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G42" s="2"/>
      <c r="AH42" s="2"/>
      <c r="AI42" s="2"/>
      <c r="AJ42" s="2"/>
      <c r="AK42" s="2"/>
    </row>
    <row r="43" spans="1:39" x14ac:dyDescent="0.3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G43" s="2"/>
      <c r="AH43" s="2"/>
      <c r="AI43" s="2"/>
      <c r="AJ43" s="2"/>
      <c r="AK43" s="2"/>
    </row>
    <row r="44" spans="1:39" x14ac:dyDescent="0.35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G44" s="2"/>
      <c r="AH44" s="2"/>
      <c r="AI44" s="2"/>
      <c r="AJ44" s="2"/>
      <c r="AK44" s="2"/>
    </row>
    <row r="45" spans="1:39" x14ac:dyDescent="0.35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G45" s="2"/>
      <c r="AH45" s="2"/>
      <c r="AI45" s="2"/>
      <c r="AJ45" s="2"/>
      <c r="AK45" s="2"/>
    </row>
    <row r="46" spans="1:39" x14ac:dyDescent="0.35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G46" s="2"/>
      <c r="AH46" s="2"/>
      <c r="AI46" s="2"/>
      <c r="AJ46" s="2"/>
      <c r="AK46" s="2"/>
    </row>
    <row r="47" spans="1:39" x14ac:dyDescent="0.3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G47" s="2"/>
      <c r="AH47" s="2"/>
      <c r="AI47" s="2"/>
      <c r="AJ47" s="2"/>
      <c r="AK47" s="2"/>
    </row>
    <row r="48" spans="1:39" x14ac:dyDescent="0.35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G48" s="2"/>
      <c r="AH48" s="2"/>
      <c r="AI48" s="2"/>
      <c r="AJ48" s="2"/>
      <c r="AK48" s="2"/>
    </row>
    <row r="49" spans="2:37" x14ac:dyDescent="0.35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G49" s="2"/>
      <c r="AH49" s="2"/>
      <c r="AI49" s="2"/>
      <c r="AJ49" s="2"/>
      <c r="AK49" s="2"/>
    </row>
    <row r="50" spans="2:37" x14ac:dyDescent="0.35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G50" s="2"/>
      <c r="AH50" s="2"/>
      <c r="AI50" s="2"/>
      <c r="AJ50" s="2"/>
      <c r="AK50" s="2"/>
    </row>
    <row r="51" spans="2:37" x14ac:dyDescent="0.35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G51" s="2"/>
      <c r="AH51" s="2"/>
      <c r="AI51" s="2"/>
      <c r="AJ51" s="2"/>
      <c r="AK51" s="2"/>
    </row>
    <row r="52" spans="2:37" x14ac:dyDescent="0.35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G52" s="2"/>
      <c r="AH52" s="2"/>
      <c r="AI52" s="2"/>
      <c r="AJ52" s="2"/>
      <c r="AK52" s="2"/>
    </row>
    <row r="53" spans="2:37" x14ac:dyDescent="0.35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G53" s="2"/>
      <c r="AH53" s="2"/>
      <c r="AI53" s="2"/>
      <c r="AJ53" s="2"/>
      <c r="AK53" s="2"/>
    </row>
    <row r="54" spans="2:37" x14ac:dyDescent="0.3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G54" s="2"/>
      <c r="AH54" s="2"/>
      <c r="AI54" s="2"/>
      <c r="AJ54" s="2"/>
      <c r="AK54" s="2"/>
    </row>
    <row r="55" spans="2:37" x14ac:dyDescent="0.35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G55" s="2"/>
      <c r="AH55" s="2"/>
      <c r="AI55" s="2"/>
      <c r="AJ55" s="2"/>
      <c r="AK55" s="2"/>
    </row>
    <row r="56" spans="2:37" x14ac:dyDescent="0.3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G56" s="2"/>
      <c r="AH56" s="2"/>
      <c r="AI56" s="2"/>
      <c r="AJ56" s="2"/>
      <c r="AK56" s="2"/>
    </row>
    <row r="57" spans="2:37" x14ac:dyDescent="0.35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G57" s="2"/>
      <c r="AH57" s="2"/>
      <c r="AI57" s="2"/>
      <c r="AJ57" s="2"/>
      <c r="AK57" s="2"/>
    </row>
    <row r="58" spans="2:37" x14ac:dyDescent="0.35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G58" s="2"/>
      <c r="AH58" s="2"/>
      <c r="AI58" s="2"/>
      <c r="AJ58" s="2"/>
      <c r="AK58" s="2"/>
    </row>
    <row r="59" spans="2:37" x14ac:dyDescent="0.35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G59" s="2"/>
      <c r="AH59" s="2"/>
      <c r="AI59" s="2"/>
      <c r="AJ59" s="2"/>
      <c r="AK59" s="2"/>
    </row>
    <row r="60" spans="2:37" x14ac:dyDescent="0.35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G60" s="2"/>
      <c r="AH60" s="2"/>
      <c r="AI60" s="2"/>
      <c r="AJ60" s="2"/>
      <c r="AK60" s="2"/>
    </row>
    <row r="61" spans="2:37" x14ac:dyDescent="0.3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G61" s="2"/>
      <c r="AH61" s="2"/>
      <c r="AI61" s="2"/>
      <c r="AJ61" s="2"/>
      <c r="AK61" s="2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15" activePane="bottomRight" state="frozen"/>
      <selection pane="topRight" activeCell="B1" sqref="B1"/>
      <selection pane="bottomLeft" activeCell="A2" sqref="A2"/>
      <selection pane="bottomRight" activeCell="A42" sqref="A42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32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48</v>
      </c>
      <c r="H1" s="1" t="s">
        <v>49</v>
      </c>
      <c r="I1" s="1" t="s">
        <v>54</v>
      </c>
      <c r="J1" s="1" t="s">
        <v>33</v>
      </c>
      <c r="K1" s="1" t="s">
        <v>35</v>
      </c>
      <c r="L1" s="1" t="s">
        <v>10</v>
      </c>
      <c r="M1" s="1" t="s">
        <v>51</v>
      </c>
      <c r="N1" s="1" t="s">
        <v>36</v>
      </c>
      <c r="O1" s="1" t="s">
        <v>16</v>
      </c>
      <c r="P1" s="1" t="s">
        <v>39</v>
      </c>
      <c r="Q1" s="1" t="s">
        <v>5</v>
      </c>
      <c r="R1" s="1" t="s">
        <v>55</v>
      </c>
      <c r="S1" s="1" t="s">
        <v>34</v>
      </c>
      <c r="T1" s="1" t="s">
        <v>38</v>
      </c>
      <c r="U1" s="1" t="s">
        <v>17</v>
      </c>
      <c r="V1" s="1" t="s">
        <v>47</v>
      </c>
      <c r="W1" s="1" t="s">
        <v>21</v>
      </c>
      <c r="X1" s="1" t="s">
        <v>20</v>
      </c>
      <c r="Y1" s="1" t="s">
        <v>6</v>
      </c>
      <c r="Z1" s="1" t="s">
        <v>7</v>
      </c>
      <c r="AA1" s="1" t="s">
        <v>37</v>
      </c>
      <c r="AB1" s="1" t="s">
        <v>19</v>
      </c>
      <c r="AC1" s="1" t="s">
        <v>24</v>
      </c>
      <c r="AD1" s="1" t="s">
        <v>31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33.1899199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0</v>
      </c>
      <c r="C3" s="6">
        <f>100*(output_transition_aggregates!C3/output_transition_aggregates!C$2-1)</f>
        <v>18.842231689916055</v>
      </c>
      <c r="D3" s="6">
        <f>100*(output_transition_aggregates!D3/output_transition_aggregates!D$2-1)</f>
        <v>0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-1.0421622343292691</v>
      </c>
      <c r="K3" s="8">
        <f>100*(output_transition_aggregates!K3-output_transition_aggregates!K$2)</f>
        <v>-13.597709999999996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10.357600717413384</v>
      </c>
      <c r="O3" s="6">
        <f>output_transition_aggregates!O3/output_transition_aggregates!O$2</f>
        <v>1.2169545122841157</v>
      </c>
      <c r="P3" s="3">
        <f>100*(output_transition_aggregates!P3/SUM(output_transition_aggregates!P3:Q3)-output_transition_aggregates!P$2/SUM(output_transition_aggregates!P$2:Q$2))</f>
        <v>-0.59414947683050012</v>
      </c>
      <c r="Q3" s="6">
        <f>output_transition_aggregates!Q3/output_transition_aggregates!Q$2</f>
        <v>1</v>
      </c>
      <c r="R3" s="4">
        <f>100*(output_transition_aggregates!R3/output_transition_aggregates!R$2-1)</f>
        <v>-9.5145118661798413</v>
      </c>
      <c r="S3" s="6">
        <f>100*(output_transition_aggregates!S3/output_transition_aggregates!S$2-1)</f>
        <v>-46.805924915929218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3.1406789387950678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0.86897939709403504</v>
      </c>
      <c r="X3" s="7">
        <f>100*(output_transition_aggregates!X3-output_transition_aggregates!X$2)</f>
        <v>3.4065099999999959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33.159494799999997</v>
      </c>
      <c r="AC3" s="6">
        <f>output_transition_aggregates!AC3/output_transition_aggregates!AC$2</f>
        <v>0.90541821807249989</v>
      </c>
      <c r="AD3" s="6">
        <f>output_transition_aggregates!AD3/output_transition_aggregates!AD$2</f>
        <v>0.53508777954460263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0</v>
      </c>
      <c r="C4" s="6">
        <f>100*(output_transition_aggregates!C4/output_transition_aggregates!C$2-1)</f>
        <v>9.4211221530158262</v>
      </c>
      <c r="D4" s="6">
        <f>100*(output_transition_aggregates!D4/output_transition_aggregates!D$2-1)</f>
        <v>0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-1.1568669928624042</v>
      </c>
      <c r="K4" s="8">
        <f>100*(output_transition_aggregates!K4-output_transition_aggregates!K$2)</f>
        <v>-7.6838799999999985</v>
      </c>
      <c r="L4" s="6">
        <f>100*(output_transition_aggregates!L4/output_transition_aggregates!L$2-1)</f>
        <v>-1.29822663163357</v>
      </c>
      <c r="M4" s="6">
        <f>100*(output_transition_aggregates!M4-output_transition_aggregates!M$2)</f>
        <v>-0.11561000000000002</v>
      </c>
      <c r="N4" s="6">
        <f>100*(output_transition_aggregates!N4/output_transition_aggregates!N$2-1)</f>
        <v>4.9591569513607991</v>
      </c>
      <c r="O4" s="6">
        <f>output_transition_aggregates!O4/output_transition_aggregates!O$2</f>
        <v>0.93715927139525235</v>
      </c>
      <c r="P4" s="7">
        <f>100*(output_transition_aggregates!P4/SUM(output_transition_aggregates!P4:Q4)-output_transition_aggregates!P$2/SUM(output_transition_aggregates!P$2:Q$2))</f>
        <v>-0.10171693830960428</v>
      </c>
      <c r="Q4" s="6">
        <f>output_transition_aggregates!Q4/output_transition_aggregates!Q$2</f>
        <v>0.96178196766650881</v>
      </c>
      <c r="R4" s="4">
        <f>100*(output_transition_aggregates!R4/output_transition_aggregates!R$2-1)</f>
        <v>-5.5760533063896283</v>
      </c>
      <c r="S4" s="6">
        <f>100*(output_transition_aggregates!S4/output_transition_aggregates!S$2-1)</f>
        <v>-24.281119382132644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-0.6469764800992005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0.96065061643824412</v>
      </c>
      <c r="X4" s="7">
        <f>100*(output_transition_aggregates!X4-output_transition_aggregates!X$2)</f>
        <v>1.6543599999999992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-0.74103980337867359</v>
      </c>
      <c r="AB4" s="7">
        <f>output_transition_aggregates!AB4</f>
        <v>32.919122000000002</v>
      </c>
      <c r="AC4" s="6">
        <f>output_transition_aggregates!AC4/output_transition_aggregates!AC$2</f>
        <v>0.94455661280191228</v>
      </c>
      <c r="AD4" s="6">
        <f>output_transition_aggregates!AD4/output_transition_aggregates!AD$2</f>
        <v>0.75896041055241448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0</v>
      </c>
      <c r="C5" s="6">
        <f>100*(output_transition_aggregates!C5/output_transition_aggregates!C$2-1)</f>
        <v>4.7105673845656781</v>
      </c>
      <c r="D5" s="6">
        <f>100*(output_transition_aggregates!D5/output_transition_aggregates!D$2-1)</f>
        <v>0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-1.1892437505976461</v>
      </c>
      <c r="K5" s="8">
        <f>100*(output_transition_aggregates!K5-output_transition_aggregates!K$2)</f>
        <v>-4.3624899999999966</v>
      </c>
      <c r="L5" s="6">
        <f>100*(output_transition_aggregates!L5/output_transition_aggregates!L$2-1)</f>
        <v>0.14957054170829931</v>
      </c>
      <c r="M5" s="6">
        <f>100*(output_transition_aggregates!M5-output_transition_aggregates!M$2)</f>
        <v>-4.5470000000000059E-2</v>
      </c>
      <c r="N5" s="6">
        <f>100*(output_transition_aggregates!N5/output_transition_aggregates!N$2-1)</f>
        <v>2.2115500277142264</v>
      </c>
      <c r="O5" s="6">
        <f>output_transition_aggregates!O5/output_transition_aggregates!O$2</f>
        <v>0.94939330633737307</v>
      </c>
      <c r="P5" s="7">
        <f>100*(output_transition_aggregates!P5/SUM(output_transition_aggregates!P5:Q5)-output_transition_aggregates!P$2/SUM(output_transition_aggregates!P$2:Q$2))</f>
        <v>1.32754627175935E-3</v>
      </c>
      <c r="Q5" s="6">
        <f>output_transition_aggregates!Q5/output_transition_aggregates!Q$2</f>
        <v>0.96717606104410447</v>
      </c>
      <c r="R5" s="4">
        <f>100*(output_transition_aggregates!R5/output_transition_aggregates!R$2-1)</f>
        <v>-3.5193808090966283</v>
      </c>
      <c r="S5" s="6">
        <f>100*(output_transition_aggregates!S5/output_transition_aggregates!S$2-1)</f>
        <v>-12.64439696228229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-0.50468581750254016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0.98869906625340109</v>
      </c>
      <c r="X5" s="7">
        <f>100*(output_transition_aggregates!X5-output_transition_aggregates!X$2)</f>
        <v>0.83385999999999738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-1.3962401395012258</v>
      </c>
      <c r="AB5" s="7">
        <f>output_transition_aggregates!AB5</f>
        <v>32.796339400000001</v>
      </c>
      <c r="AC5" s="6">
        <f>output_transition_aggregates!AC5/output_transition_aggregates!AC$2</f>
        <v>0.96495386113281967</v>
      </c>
      <c r="AD5" s="6">
        <f>output_transition_aggregates!AD5/output_transition_aggregates!AD$2</f>
        <v>0.87438092349712759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0</v>
      </c>
      <c r="C6" s="6">
        <f>100*(output_transition_aggregates!C6/output_transition_aggregates!C$2-1)</f>
        <v>2.3552900003406263</v>
      </c>
      <c r="D6" s="6">
        <f>100*(output_transition_aggregates!D6/output_transition_aggregates!D$2-1)</f>
        <v>0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-1.1918419587119811</v>
      </c>
      <c r="K6" s="8">
        <f>100*(output_transition_aggregates!K6-output_transition_aggregates!K$2)</f>
        <v>-2.5869699999999995</v>
      </c>
      <c r="L6" s="6">
        <f>100*(output_transition_aggregates!L6/output_transition_aggregates!L$2-1)</f>
        <v>1.0923096971209079</v>
      </c>
      <c r="M6" s="6">
        <f>100*(output_transition_aggregates!M6-output_transition_aggregates!M$2)</f>
        <v>-1.8120000000000115E-2</v>
      </c>
      <c r="N6" s="6">
        <f>100*(output_transition_aggregates!N6/output_transition_aggregates!N$2-1)</f>
        <v>0.82796565431402236</v>
      </c>
      <c r="O6" s="6">
        <f>output_transition_aggregates!O6/output_transition_aggregates!O$2</f>
        <v>0.96733244380213768</v>
      </c>
      <c r="P6" s="7">
        <f>100*(output_transition_aggregates!P6/SUM(output_transition_aggregates!P6:Q6)-output_transition_aggregates!P$2/SUM(output_transition_aggregates!P$2:Q$2))</f>
        <v>0.10132830355020217</v>
      </c>
      <c r="Q6" s="6">
        <f>output_transition_aggregates!Q6/output_transition_aggregates!Q$2</f>
        <v>0.97221507910550986</v>
      </c>
      <c r="R6" s="4">
        <f>100*(output_transition_aggregates!R6/output_transition_aggregates!R$2-1)</f>
        <v>-2.4531889531254958</v>
      </c>
      <c r="S6" s="6">
        <f>100*(output_transition_aggregates!S6/output_transition_aggregates!S$2-1)</f>
        <v>-6.6766820210532156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-0.17137031379176776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1.0008466789662132</v>
      </c>
      <c r="X6" s="7">
        <f>100*(output_transition_aggregates!X6-output_transition_aggregates!X$2)</f>
        <v>0.43670000000000098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-1.8915137249314484</v>
      </c>
      <c r="AB6" s="7">
        <f>output_transition_aggregates!AB6</f>
        <v>32.739304300000001</v>
      </c>
      <c r="AC6" s="6">
        <f>output_transition_aggregates!AC6/output_transition_aggregates!AC$2</f>
        <v>0.97552570276023032</v>
      </c>
      <c r="AD6" s="6">
        <f>output_transition_aggregates!AD6/output_transition_aggregates!AD$2</f>
        <v>0.93355489533581137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0</v>
      </c>
      <c r="C7" s="6">
        <f>100*(output_transition_aggregates!C7/output_transition_aggregates!C$2-1)</f>
        <v>1.177638692112537</v>
      </c>
      <c r="D7" s="6">
        <f>100*(output_transition_aggregates!D7/output_transition_aggregates!D$2-1)</f>
        <v>0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-1.1780481232435025</v>
      </c>
      <c r="K7" s="8">
        <f>100*(output_transition_aggregates!K7-output_transition_aggregates!K$2)</f>
        <v>-1.6114899999999932</v>
      </c>
      <c r="L7" s="6">
        <f>100*(output_transition_aggregates!L7/output_transition_aggregates!L$2-1)</f>
        <v>1.6301003391614</v>
      </c>
      <c r="M7" s="6">
        <f>100*(output_transition_aggregates!M7-output_transition_aggregates!M$2)</f>
        <v>-5.3199999999999775E-3</v>
      </c>
      <c r="N7" s="6">
        <f>100*(output_transition_aggregates!N7/output_transition_aggregates!N$2-1)</f>
        <v>0.16466199607323428</v>
      </c>
      <c r="O7" s="6">
        <f>output_transition_aggregates!O7/output_transition_aggregates!O$2</f>
        <v>0.96388401991786732</v>
      </c>
      <c r="P7" s="7">
        <f>100*(output_transition_aggregates!P7/SUM(output_transition_aggregates!P7:Q7)-output_transition_aggregates!P$2/SUM(output_transition_aggregates!P$2:Q$2))</f>
        <v>0.19090873238258518</v>
      </c>
      <c r="Q7" s="6">
        <f>output_transition_aggregates!Q7/output_transition_aggregates!Q$2</f>
        <v>0.97494777202722205</v>
      </c>
      <c r="R7" s="4">
        <f>100*(output_transition_aggregates!R7/output_transition_aggregates!R$2-1)</f>
        <v>-1.8768130651931059</v>
      </c>
      <c r="S7" s="6">
        <f>100*(output_transition_aggregates!S7/output_transition_aggregates!S$2-1)</f>
        <v>-3.5200379985822927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-0.12617430625162968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1.0071290019226167</v>
      </c>
      <c r="X7" s="7">
        <f>100*(output_transition_aggregates!X7-output_transition_aggregates!X$2)</f>
        <v>0.27709000000000206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-2.2250065078783354</v>
      </c>
      <c r="AB7" s="7">
        <f>output_transition_aggregates!AB7</f>
        <v>32.714638999999998</v>
      </c>
      <c r="AC7" s="6">
        <f>output_transition_aggregates!AC7/output_transition_aggregates!AC$2</f>
        <v>0.98124371135856536</v>
      </c>
      <c r="AD7" s="6">
        <f>output_transition_aggregates!AD7/output_transition_aggregates!AD$2</f>
        <v>0.96486577051415567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0</v>
      </c>
      <c r="C8" s="6">
        <f>100*(output_transition_aggregates!C8/output_transition_aggregates!C$2-1)</f>
        <v>0.58881934605625741</v>
      </c>
      <c r="D8" s="6">
        <f>100*(output_transition_aggregates!D8/output_transition_aggregates!D$2-1)</f>
        <v>0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-1.1602719505282244</v>
      </c>
      <c r="K8" s="8">
        <f>100*(output_transition_aggregates!K8-output_transition_aggregates!K$2)</f>
        <v>-1.0986700000000016</v>
      </c>
      <c r="L8" s="6">
        <f>100*(output_transition_aggregates!L8/output_transition_aggregates!L$2-1)</f>
        <v>2.0881635212378624</v>
      </c>
      <c r="M8" s="6">
        <f>100*(output_transition_aggregates!M8-output_transition_aggregates!M$2)</f>
        <v>5.1400000000000057E-3</v>
      </c>
      <c r="N8" s="6">
        <f>100*(output_transition_aggregates!N8/output_transition_aggregates!N$2-1)</f>
        <v>-0.15246832643108776</v>
      </c>
      <c r="O8" s="6">
        <f>output_transition_aggregates!O8/output_transition_aggregates!O$2</f>
        <v>0.97045820395781757</v>
      </c>
      <c r="P8" s="7">
        <f>100*(output_transition_aggregates!P8/SUM(output_transition_aggregates!P8:Q8)-output_transition_aggregates!P$2/SUM(output_transition_aggregates!P$2:Q$2))</f>
        <v>0.18123104642740473</v>
      </c>
      <c r="Q8" s="6">
        <f>output_transition_aggregates!Q8/output_transition_aggregates!Q$2</f>
        <v>0.97813706961334801</v>
      </c>
      <c r="R8" s="4">
        <f>100*(output_transition_aggregates!R8/output_transition_aggregates!R$2-1)</f>
        <v>-1.5716774570246561</v>
      </c>
      <c r="S8" s="6">
        <f>100*(output_transition_aggregates!S8/output_transition_aggregates!S$2-1)</f>
        <v>-1.8967481064871228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-7.7797899107338517E-2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1.0091912123079598</v>
      </c>
      <c r="X8" s="7">
        <f>100*(output_transition_aggregates!X8-output_transition_aggregates!X$2)</f>
        <v>0.20957000000000336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-2.3556075857294245</v>
      </c>
      <c r="AB8" s="7">
        <f>output_transition_aggregates!AB8</f>
        <v>32.702089200000003</v>
      </c>
      <c r="AC8" s="6">
        <f>output_transition_aggregates!AC8/output_transition_aggregates!AC$2</f>
        <v>0.98427225701019527</v>
      </c>
      <c r="AD8" s="6">
        <f>output_transition_aggregates!AD8/output_transition_aggregates!AD$2</f>
        <v>0.98097124839006666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0</v>
      </c>
      <c r="C9" s="6">
        <f>100*(output_transition_aggregates!C9/output_transition_aggregates!C$2-1)</f>
        <v>0.2944096730281176</v>
      </c>
      <c r="D9" s="6">
        <f>100*(output_transition_aggregates!D9/output_transition_aggregates!D$2-1)</f>
        <v>0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-1.1275590471465313</v>
      </c>
      <c r="K9" s="8">
        <f>100*(output_transition_aggregates!K9-output_transition_aggregates!K$2)</f>
        <v>-0.81356000000000206</v>
      </c>
      <c r="L9" s="6">
        <f>100*(output_transition_aggregates!L9/output_transition_aggregates!L$2-1)</f>
        <v>2.3963973627043611</v>
      </c>
      <c r="M9" s="6">
        <f>100*(output_transition_aggregates!M9-output_transition_aggregates!M$2)</f>
        <v>9.5899999999999458E-3</v>
      </c>
      <c r="N9" s="6">
        <f>100*(output_transition_aggregates!N9/output_transition_aggregates!N$2-1)</f>
        <v>-0.29158905544968139</v>
      </c>
      <c r="O9" s="6">
        <f>output_transition_aggregates!O9/output_transition_aggregates!O$2</f>
        <v>0.97399605792207422</v>
      </c>
      <c r="P9" s="7">
        <f>100*(output_transition_aggregates!P9/SUM(output_transition_aggregates!P9:Q9)-output_transition_aggregates!P$2/SUM(output_transition_aggregates!P$2:Q$2))</f>
        <v>0.17334550585340266</v>
      </c>
      <c r="Q9" s="6">
        <f>output_transition_aggregates!Q9/output_transition_aggregates!Q$2</f>
        <v>0.98075075682361834</v>
      </c>
      <c r="R9" s="4">
        <f>100*(output_transition_aggregates!R9/output_transition_aggregates!R$2-1)</f>
        <v>-1.3983020109998634</v>
      </c>
      <c r="S9" s="6">
        <f>100*(output_transition_aggregates!S9/output_transition_aggregates!S$2-1)</f>
        <v>-1.0777832280648658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-4.8705035992661211E-2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1.0094926861253883</v>
      </c>
      <c r="X9" s="7">
        <f>100*(output_transition_aggregates!X9-output_transition_aggregates!X$2)</f>
        <v>0.19282999999999939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-2.4020997606133965</v>
      </c>
      <c r="AB9" s="7">
        <f>output_transition_aggregates!AB9</f>
        <v>32.698672899999998</v>
      </c>
      <c r="AC9" s="6">
        <f>output_transition_aggregates!AC9/output_transition_aggregates!AC$2</f>
        <v>0.98599601370748302</v>
      </c>
      <c r="AD9" s="6">
        <f>output_transition_aggregates!AD9/output_transition_aggregates!AD$2</f>
        <v>0.98910504880135652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0</v>
      </c>
      <c r="C10" s="6">
        <f>100*(output_transition_aggregates!C10/output_transition_aggregates!C$2-1)</f>
        <v>0.1472048365140477</v>
      </c>
      <c r="D10" s="6">
        <f>100*(output_transition_aggregates!D10/output_transition_aggregates!D$2-1)</f>
        <v>0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-1.0951822894112895</v>
      </c>
      <c r="K10" s="8">
        <f>100*(output_transition_aggregates!K10-output_transition_aggregates!K$2)</f>
        <v>-0.64836999999999811</v>
      </c>
      <c r="L10" s="6">
        <f>100*(output_transition_aggregates!L10/output_transition_aggregates!L$2-1)</f>
        <v>2.6191992944663456</v>
      </c>
      <c r="M10" s="6">
        <f>100*(output_transition_aggregates!M10-output_transition_aggregates!M$2)</f>
        <v>1.0929999999999968E-2</v>
      </c>
      <c r="N10" s="6">
        <f>100*(output_transition_aggregates!N10/output_transition_aggregates!N$2-1)</f>
        <v>-0.34570876741333301</v>
      </c>
      <c r="O10" s="6">
        <f>output_transition_aggregates!O10/output_transition_aggregates!O$2</f>
        <v>0.97797444446034298</v>
      </c>
      <c r="P10" s="7">
        <f>100*(output_transition_aggregates!P10/SUM(output_transition_aggregates!P10:Q10)-output_transition_aggregates!P$2/SUM(output_transition_aggregates!P$2:Q$2))</f>
        <v>0.16660054968742899</v>
      </c>
      <c r="Q10" s="6">
        <f>output_transition_aggregates!Q10/output_transition_aggregates!Q$2</f>
        <v>0.9829971630037041</v>
      </c>
      <c r="R10" s="4">
        <f>100*(output_transition_aggregates!R10/output_transition_aggregates!R$2-1)</f>
        <v>-1.2918889281537393</v>
      </c>
      <c r="S10" s="6">
        <f>100*(output_transition_aggregates!S10/output_transition_aggregates!S$2-1)</f>
        <v>-0.63132157493134278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-1.1286588258934901E-2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1.0089367658760957</v>
      </c>
      <c r="X10" s="7">
        <f>100*(output_transition_aggregates!X10-output_transition_aggregates!X$2)</f>
        <v>0.1960599999999979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-2.4028180752378892</v>
      </c>
      <c r="AB10" s="7">
        <f>output_transition_aggregates!AB10</f>
        <v>32.699614699999998</v>
      </c>
      <c r="AC10" s="6">
        <f>output_transition_aggregates!AC10/output_transition_aggregates!AC$2</f>
        <v>0.98705626190955209</v>
      </c>
      <c r="AD10" s="6">
        <f>output_transition_aggregates!AD10/output_transition_aggregates!AD$2</f>
        <v>0.99354797664417438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0</v>
      </c>
      <c r="C11" s="6">
        <f>100*(output_transition_aggregates!C11/output_transition_aggregates!C$2-1)</f>
        <v>7.3602418257023849E-2</v>
      </c>
      <c r="D11" s="6">
        <f>100*(output_transition_aggregates!D11/output_transition_aggregates!D$2-1)</f>
        <v>0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-1.0625207965402228</v>
      </c>
      <c r="K11" s="8">
        <f>100*(output_transition_aggregates!K11-output_transition_aggregates!K$2)</f>
        <v>-0.54105999999999321</v>
      </c>
      <c r="L11" s="6">
        <f>100*(output_transition_aggregates!L11/output_transition_aggregates!L$2-1)</f>
        <v>2.7653445565935186</v>
      </c>
      <c r="M11" s="6">
        <f>100*(output_transition_aggregates!M11-output_transition_aggregates!M$2)</f>
        <v>1.1809999999999946E-2</v>
      </c>
      <c r="N11" s="6">
        <f>100*(output_transition_aggregates!N11/output_transition_aggregates!N$2-1)</f>
        <v>-0.35574444226426083</v>
      </c>
      <c r="O11" s="6">
        <f>output_transition_aggregates!O11/output_transition_aggregates!O$2</f>
        <v>0.97911610886144762</v>
      </c>
      <c r="P11" s="7">
        <f>100*(output_transition_aggregates!P11/SUM(output_transition_aggregates!P11:Q11)-output_transition_aggregates!P$2/SUM(output_transition_aggregates!P$2:Q$2))</f>
        <v>0.16120652488659964</v>
      </c>
      <c r="Q11" s="6">
        <f>output_transition_aggregates!Q11/output_transition_aggregates!Q$2</f>
        <v>0.9848008346489151</v>
      </c>
      <c r="R11" s="4">
        <f>100*(output_transition_aggregates!R11/output_transition_aggregates!R$2-1)</f>
        <v>-1.2185719997797273</v>
      </c>
      <c r="S11" s="6">
        <f>100*(output_transition_aggregates!S11/output_transition_aggregates!S$2-1)</f>
        <v>-0.3710392388137973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-5.4935170946564943E-3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1.0082370474897719</v>
      </c>
      <c r="X11" s="7">
        <f>100*(output_transition_aggregates!X11-output_transition_aggregates!X$2)</f>
        <v>0.21170999999999829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-2.3795311151719845</v>
      </c>
      <c r="AB11" s="7">
        <f>output_transition_aggregates!AB11</f>
        <v>32.702958899999999</v>
      </c>
      <c r="AC11" s="6">
        <f>output_transition_aggregates!AC11/output_transition_aggregates!AC$2</f>
        <v>0.98778871937845369</v>
      </c>
      <c r="AD11" s="6">
        <f>output_transition_aggregates!AD11/output_transition_aggregates!AD$2</f>
        <v>0.99614664300671729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0</v>
      </c>
      <c r="C12" s="6">
        <f>100*(output_transition_aggregates!C12/output_transition_aggregates!C$2-1)</f>
        <v>3.6801209128523027E-2</v>
      </c>
      <c r="D12" s="6">
        <f>100*(output_transition_aggregates!D12/output_transition_aggregates!D$2-1)</f>
        <v>0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-1.0260114246809615</v>
      </c>
      <c r="K12" s="8">
        <f>100*(output_transition_aggregates!K12-output_transition_aggregates!K$2)</f>
        <v>-0.46334000000000097</v>
      </c>
      <c r="L12" s="6">
        <f>100*(output_transition_aggregates!L12/output_transition_aggregates!L$2-1)</f>
        <v>2.8747729963919388</v>
      </c>
      <c r="M12" s="6">
        <f>100*(output_transition_aggregates!M12-output_transition_aggregates!M$2)</f>
        <v>1.228999999999987E-2</v>
      </c>
      <c r="N12" s="6">
        <f>100*(output_transition_aggregates!N12/output_transition_aggregates!N$2-1)</f>
        <v>-0.34471469110902708</v>
      </c>
      <c r="O12" s="6">
        <f>output_transition_aggregates!O12/output_transition_aggregates!O$2</f>
        <v>0.98008696180977861</v>
      </c>
      <c r="P12" s="7">
        <f>100*(output_transition_aggregates!P12/SUM(output_transition_aggregates!P12:Q12)-output_transition_aggregates!P$2/SUM(output_transition_aggregates!P$2:Q$2))</f>
        <v>0.15616008585080179</v>
      </c>
      <c r="Q12" s="6">
        <f>output_transition_aggregates!Q12/output_transition_aggregates!Q$2</f>
        <v>0.98649410006299809</v>
      </c>
      <c r="R12" s="4">
        <f>100*(output_transition_aggregates!R12/output_transition_aggregates!R$2-1)</f>
        <v>-1.1619050675845455</v>
      </c>
      <c r="S12" s="6">
        <f>100*(output_transition_aggregates!S12/output_transition_aggregates!S$2-1)</f>
        <v>-0.22135114022857616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-5.8197438969551096E-4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1.0073469128381638</v>
      </c>
      <c r="X12" s="7">
        <f>100*(output_transition_aggregates!X12-output_transition_aggregates!X$2)</f>
        <v>0.23238999999999344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-2.3382236761126718</v>
      </c>
      <c r="AB12" s="7">
        <f>output_transition_aggregates!AB12</f>
        <v>32.707639899999997</v>
      </c>
      <c r="AC12" s="6">
        <f>output_transition_aggregates!AC12/output_transition_aggregates!AC$2</f>
        <v>0.98835616522568381</v>
      </c>
      <c r="AD12" s="6">
        <f>output_transition_aggregates!AD12/output_transition_aggregates!AD$2</f>
        <v>0.99764804246934402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0</v>
      </c>
      <c r="C13" s="6">
        <f>100*(output_transition_aggregates!C13/output_transition_aggregates!C$2-1)</f>
        <v>1.8406912622026539E-2</v>
      </c>
      <c r="D13" s="6">
        <f>100*(output_transition_aggregates!D13/output_transition_aggregates!D$2-1)</f>
        <v>0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-1.0093860564729606</v>
      </c>
      <c r="K13" s="8">
        <f>100*(output_transition_aggregates!K13-output_transition_aggregates!K$2)</f>
        <v>-0.40858999999999757</v>
      </c>
      <c r="L13" s="6">
        <f>100*(output_transition_aggregates!L13/output_transition_aggregates!L$2-1)</f>
        <v>2.9537719048260191</v>
      </c>
      <c r="M13" s="6">
        <f>100*(output_transition_aggregates!M13-output_transition_aggregates!M$2)</f>
        <v>1.1439999999999888E-2</v>
      </c>
      <c r="N13" s="6">
        <f>100*(output_transition_aggregates!N13/output_transition_aggregates!N$2-1)</f>
        <v>-0.32605203245146264</v>
      </c>
      <c r="O13" s="6">
        <f>output_transition_aggregates!O13/output_transition_aggregates!O$2</f>
        <v>0.98248458225421031</v>
      </c>
      <c r="P13" s="7">
        <f>100*(output_transition_aggregates!P13/SUM(output_transition_aggregates!P13:Q13)-output_transition_aggregates!P$2/SUM(output_transition_aggregates!P$2:Q$2))</f>
        <v>0.15142165613283959</v>
      </c>
      <c r="Q13" s="6">
        <f>output_transition_aggregates!Q13/output_transition_aggregates!Q$2</f>
        <v>0.98808916495994714</v>
      </c>
      <c r="R13" s="6">
        <f>100*(output_transition_aggregates!R13/output_transition_aggregates!R$2-1)</f>
        <v>-1.1171351497596849</v>
      </c>
      <c r="S13" s="6">
        <f>100*(output_transition_aggregates!S13/output_transition_aggregates!S$2-1)</f>
        <v>-4.7245193154032972E-2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2.6452990307008692E-2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1.0063256298209582</v>
      </c>
      <c r="X13" s="7">
        <f>100*(output_transition_aggregates!X13-output_transition_aggregates!X$2)</f>
        <v>0.25089000000000361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-2.2991529261746302</v>
      </c>
      <c r="AB13" s="7">
        <f>output_transition_aggregates!AB13</f>
        <v>32.712874200000002</v>
      </c>
      <c r="AC13" s="6">
        <f>output_transition_aggregates!AC13/output_transition_aggregates!AC$2</f>
        <v>0.98880522332316967</v>
      </c>
      <c r="AD13" s="6">
        <f>output_transition_aggregates!AD13/output_transition_aggregates!AD$2</f>
        <v>0.99939669298107059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0</v>
      </c>
      <c r="C14" s="6">
        <f>100*(output_transition_aggregates!C14/output_transition_aggregates!C$2-1)</f>
        <v>9.2097643688004993E-3</v>
      </c>
      <c r="D14" s="6">
        <f>100*(output_transition_aggregates!D14/output_transition_aggregates!D$2-1)</f>
        <v>0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-0.9742370858181415</v>
      </c>
      <c r="K14" s="8">
        <f>100*(output_transition_aggregates!K14-output_transition_aggregates!K$2)</f>
        <v>-0.36037999999999348</v>
      </c>
      <c r="L14" s="6">
        <f>100*(output_transition_aggregates!L14/output_transition_aggregates!L$2-1)</f>
        <v>2.9807870305126993</v>
      </c>
      <c r="M14" s="6">
        <f>100*(output_transition_aggregates!M14-output_transition_aggregates!M$2)</f>
        <v>1.121999999999998E-2</v>
      </c>
      <c r="N14" s="6">
        <f>100*(output_transition_aggregates!N14/output_transition_aggregates!N$2-1)</f>
        <v>-0.30234406189769691</v>
      </c>
      <c r="O14" s="6">
        <f>output_transition_aggregates!O14/output_transition_aggregates!O$2</f>
        <v>0.98271227123785543</v>
      </c>
      <c r="P14" s="7">
        <f>100*(output_transition_aggregates!P14/SUM(output_transition_aggregates!P14:Q14)-output_transition_aggregates!P$2/SUM(output_transition_aggregates!P$2:Q$2))</f>
        <v>0.14764978828710543</v>
      </c>
      <c r="Q14" s="6">
        <f>output_transition_aggregates!Q14/output_transition_aggregates!Q$2</f>
        <v>0.98936244285159869</v>
      </c>
      <c r="R14" s="6">
        <f>100*(output_transition_aggregates!R14/output_transition_aggregates!R$2-1)</f>
        <v>-1.0766199433563495</v>
      </c>
      <c r="S14" s="6">
        <f>100*(output_transition_aggregates!S14/output_transition_aggregates!S$2-1)</f>
        <v>1.8453459146994255E-2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2.2565210034676195E-2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1.0055558912292291</v>
      </c>
      <c r="X14" s="7">
        <f>100*(output_transition_aggregates!X14-output_transition_aggregates!X$2)</f>
        <v>0.27102999999999433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-2.2498483669134428</v>
      </c>
      <c r="AB14" s="7">
        <f>output_transition_aggregates!AB14</f>
        <v>32.719041199999999</v>
      </c>
      <c r="AC14" s="6">
        <f>output_transition_aggregates!AC14/output_transition_aggregates!AC$2</f>
        <v>0.98921209021385959</v>
      </c>
      <c r="AD14" s="6">
        <f>output_transition_aggregates!AD14/output_transition_aggregates!AD$2</f>
        <v>1.000063077935772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0</v>
      </c>
      <c r="C15" s="6">
        <f>100*(output_transition_aggregates!C15/output_transition_aggregates!C$2-1)</f>
        <v>4.6048821844113519E-3</v>
      </c>
      <c r="D15" s="6">
        <f>100*(output_transition_aggregates!D15/output_transition_aggregates!D$2-1)</f>
        <v>0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-0.94296763138885797</v>
      </c>
      <c r="K15" s="8">
        <f>100*(output_transition_aggregates!K15-output_transition_aggregates!K$2)</f>
        <v>-0.31801999999999664</v>
      </c>
      <c r="L15" s="6">
        <f>100*(output_transition_aggregates!L15/output_transition_aggregates!L$2-1)</f>
        <v>2.9928353155154408</v>
      </c>
      <c r="M15" s="6">
        <f>100*(output_transition_aggregates!M15-output_transition_aggregates!M$2)</f>
        <v>1.0959999999999963E-2</v>
      </c>
      <c r="N15" s="6">
        <f>100*(output_transition_aggregates!N15/output_transition_aggregates!N$2-1)</f>
        <v>-0.27711250705845236</v>
      </c>
      <c r="O15" s="6">
        <f>output_transition_aggregates!O15/output_transition_aggregates!O$2</f>
        <v>0.98324330705281371</v>
      </c>
      <c r="P15" s="7">
        <f>100*(output_transition_aggregates!P15/SUM(output_transition_aggregates!P15:Q15)-output_transition_aggregates!P$2/SUM(output_transition_aggregates!P$2:Q$2))</f>
        <v>0.14387750000895289</v>
      </c>
      <c r="Q15" s="6">
        <f>output_transition_aggregates!Q15/output_transition_aggregates!Q$2</f>
        <v>0.99063904957433957</v>
      </c>
      <c r="R15" s="6">
        <f>100*(output_transition_aggregates!R15/output_transition_aggregates!R$2-1)</f>
        <v>-1.0396961663658777</v>
      </c>
      <c r="S15" s="6">
        <f>100*(output_transition_aggregates!S15/output_transition_aggregates!S$2-1)</f>
        <v>8.1784429618214638E-2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2.6553601871368362E-2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1.0047282985357964</v>
      </c>
      <c r="X15" s="7">
        <f>100*(output_transition_aggregates!X15-output_transition_aggregates!X$2)</f>
        <v>0.29082000000000274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-2.198378428215253</v>
      </c>
      <c r="AB15" s="7">
        <f>output_transition_aggregates!AB15</f>
        <v>32.725456100000002</v>
      </c>
      <c r="AC15" s="6">
        <f>output_transition_aggregates!AC15/output_transition_aggregates!AC$2</f>
        <v>0.98958310752086087</v>
      </c>
      <c r="AD15" s="6">
        <f>output_transition_aggregates!AD15/output_transition_aggregates!AD$2</f>
        <v>1.0007066897675299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0</v>
      </c>
      <c r="C16" s="6">
        <f>100*(output_transition_aggregates!C16/output_transition_aggregates!C$2-1)</f>
        <v>2.3087491499707014E-3</v>
      </c>
      <c r="D16" s="6">
        <f>100*(output_transition_aggregates!D16/output_transition_aggregates!D$2-1)</f>
        <v>0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-0.91201059467804768</v>
      </c>
      <c r="K16" s="8">
        <f>100*(output_transition_aggregates!K16-output_transition_aggregates!K$2)</f>
        <v>-0.2786499999999914</v>
      </c>
      <c r="L16" s="6">
        <f>100*(output_transition_aggregates!L16/output_transition_aggregates!L$2-1)</f>
        <v>2.985501955040859</v>
      </c>
      <c r="M16" s="6">
        <f>100*(output_transition_aggregates!M16-output_transition_aggregates!M$2)</f>
        <v>1.0429999999999988E-2</v>
      </c>
      <c r="N16" s="6">
        <f>100*(output_transition_aggregates!N16/output_transition_aggregates!N$2-1)</f>
        <v>-0.25184598471101882</v>
      </c>
      <c r="O16" s="6">
        <f>output_transition_aggregates!O16/output_transition_aggregates!O$2</f>
        <v>0.98350855667005299</v>
      </c>
      <c r="P16" s="7">
        <f>100*(output_transition_aggregates!P16/SUM(output_transition_aggregates!P16:Q16)-output_transition_aggregates!P$2/SUM(output_transition_aggregates!P$2:Q$2))</f>
        <v>0.14034412245448671</v>
      </c>
      <c r="Q16" s="6">
        <f>output_transition_aggregates!Q16/output_transition_aggregates!Q$2</f>
        <v>0.99183770616907296</v>
      </c>
      <c r="R16" s="6">
        <f>100*(output_transition_aggregates!R16/output_transition_aggregates!R$2-1)</f>
        <v>-1.0050146061169385</v>
      </c>
      <c r="S16" s="6">
        <f>100*(output_transition_aggregates!S16/output_transition_aggregates!S$2-1)</f>
        <v>0.13405416894547439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2.7877773408584508E-2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1.0039481424852394</v>
      </c>
      <c r="X16" s="7">
        <f>100*(output_transition_aggregates!X16-output_transition_aggregates!X$2)</f>
        <v>0.31010999999999678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-2.149126046771821</v>
      </c>
      <c r="AB16" s="7">
        <f>output_transition_aggregates!AB16</f>
        <v>32.732104499999998</v>
      </c>
      <c r="AC16" s="6">
        <f>output_transition_aggregates!AC16/output_transition_aggregates!AC$2</f>
        <v>0.98993176737088662</v>
      </c>
      <c r="AD16" s="6">
        <f>output_transition_aggregates!AD16/output_transition_aggregates!AD$2</f>
        <v>1.0012393278097063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0</v>
      </c>
      <c r="C17" s="6">
        <f>100*(output_transition_aggregates!C17/output_transition_aggregates!C$2-1)</f>
        <v>1.1606826327836828E-3</v>
      </c>
      <c r="D17" s="6">
        <f>100*(output_transition_aggregates!D17/output_transition_aggregates!D$2-1)</f>
        <v>0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-0.88148856998027103</v>
      </c>
      <c r="K17" s="8">
        <f>100*(output_transition_aggregates!K17-output_transition_aggregates!K$2)</f>
        <v>-0.24108999999999936</v>
      </c>
      <c r="L17" s="6">
        <f>100*(output_transition_aggregates!L17/output_transition_aggregates!L$2-1)</f>
        <v>2.9633800858986037</v>
      </c>
      <c r="M17" s="6">
        <f>100*(output_transition_aggregates!M17-output_transition_aggregates!M$2)</f>
        <v>1.0310000000000007E-2</v>
      </c>
      <c r="N17" s="6">
        <f>100*(output_transition_aggregates!N17/output_transition_aggregates!N$2-1)</f>
        <v>-0.22724884037753634</v>
      </c>
      <c r="O17" s="6">
        <f>output_transition_aggregates!O17/output_transition_aggregates!O$2</f>
        <v>0.98370727030778249</v>
      </c>
      <c r="P17" s="7">
        <f>100*(output_transition_aggregates!P17/SUM(output_transition_aggregates!P17:Q17)-output_transition_aggregates!P$2/SUM(output_transition_aggregates!P$2:Q$2))</f>
        <v>0.13696080937299454</v>
      </c>
      <c r="Q17" s="6">
        <f>output_transition_aggregates!Q17/output_transition_aggregates!Q$2</f>
        <v>0.99298809471301175</v>
      </c>
      <c r="R17" s="6">
        <f>100*(output_transition_aggregates!R17/output_transition_aggregates!R$2-1)</f>
        <v>-0.97135870633994204</v>
      </c>
      <c r="S17" s="6">
        <f>100*(output_transition_aggregates!S17/output_transition_aggregates!S$2-1)</f>
        <v>0.18254646168927025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3.0012958779786908E-2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1.0031993132215857</v>
      </c>
      <c r="X17" s="7">
        <f>100*(output_transition_aggregates!X17-output_transition_aggregates!X$2)</f>
        <v>0.32847999999999766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-2.0966125517184464</v>
      </c>
      <c r="AB17" s="7">
        <f>output_transition_aggregates!AB17</f>
        <v>32.738920100000001</v>
      </c>
      <c r="AC17" s="6">
        <f>output_transition_aggregates!AC17/output_transition_aggregates!AC$2</f>
        <v>0.99027007355053309</v>
      </c>
      <c r="AD17" s="6">
        <f>output_transition_aggregates!AD17/output_transition_aggregates!AD$2</f>
        <v>1.0017341913860482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0</v>
      </c>
      <c r="C18" s="6">
        <f>100*(output_transition_aggregates!C18/output_transition_aggregates!C$2-1)</f>
        <v>5.8034131638073916E-4</v>
      </c>
      <c r="D18" s="6">
        <f>100*(output_transition_aggregates!D18/output_transition_aggregates!D$2-1)</f>
        <v>0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-0.84874007470658874</v>
      </c>
      <c r="K18" s="8">
        <f>100*(output_transition_aggregates!K18-output_transition_aggregates!K$2)</f>
        <v>-0.2076599999999984</v>
      </c>
      <c r="L18" s="6">
        <f>100*(output_transition_aggregates!L18/output_transition_aggregates!L$2-1)</f>
        <v>2.9274962045727326</v>
      </c>
      <c r="M18" s="6">
        <f>100*(output_transition_aggregates!M18-output_transition_aggregates!M$2)</f>
        <v>9.7299999999999817E-3</v>
      </c>
      <c r="N18" s="6">
        <f>100*(output_transition_aggregates!N18/output_transition_aggregates!N$2-1)</f>
        <v>-0.2054241199077822</v>
      </c>
      <c r="O18" s="6">
        <f>output_transition_aggregates!O18/output_transition_aggregates!O$2</f>
        <v>0.98502314450470041</v>
      </c>
      <c r="P18" s="7">
        <f>100*(output_transition_aggregates!P18/SUM(output_transition_aggregates!P18:Q18)-output_transition_aggregates!P$2/SUM(output_transition_aggregates!P$2:Q$2))</f>
        <v>0.13374772017839787</v>
      </c>
      <c r="Q18" s="6">
        <f>output_transition_aggregates!Q18/output_transition_aggregates!Q$2</f>
        <v>0.9940830027387958</v>
      </c>
      <c r="R18" s="6">
        <f>100*(output_transition_aggregates!R18/output_transition_aggregates!R$2-1)</f>
        <v>-0.9395632317092506</v>
      </c>
      <c r="S18" s="6">
        <f>100*(output_transition_aggregates!S18/output_transition_aggregates!S$2-1)</f>
        <v>0.21050679596981148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4.3370889468077531E-2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1.0024639894491978</v>
      </c>
      <c r="X18" s="7">
        <f>100*(output_transition_aggregates!X18-output_transition_aggregates!X$2)</f>
        <v>0.34355000000000357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-2.0443077679361044</v>
      </c>
      <c r="AB18" s="7">
        <f>output_transition_aggregates!AB18</f>
        <v>32.745823600000001</v>
      </c>
      <c r="AC18" s="6">
        <f>output_transition_aggregates!AC18/output_transition_aggregates!AC$2</f>
        <v>0.99058961370261678</v>
      </c>
      <c r="AD18" s="6">
        <f>output_transition_aggregates!AD18/output_transition_aggregates!AD$2</f>
        <v>1.0020224702042604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0</v>
      </c>
      <c r="C19" s="6">
        <f>100*(output_transition_aggregates!C19/output_transition_aggregates!C$2-1)</f>
        <v>2.9017065819036958E-4</v>
      </c>
      <c r="D19" s="6">
        <f>100*(output_transition_aggregates!D19/output_transition_aggregates!D$2-1)</f>
        <v>0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-0.8210614467123345</v>
      </c>
      <c r="K19" s="8">
        <f>100*(output_transition_aggregates!K19-output_transition_aggregates!K$2)</f>
        <v>-0.17887999999999238</v>
      </c>
      <c r="L19" s="6">
        <f>100*(output_transition_aggregates!L19/output_transition_aggregates!L$2-1)</f>
        <v>2.868118167491529</v>
      </c>
      <c r="M19" s="6">
        <f>100*(output_transition_aggregates!M19-output_transition_aggregates!M$2)</f>
        <v>9.0099999999999208E-3</v>
      </c>
      <c r="N19" s="6">
        <f>100*(output_transition_aggregates!N19/output_transition_aggregates!N$2-1)</f>
        <v>-0.18531280733943278</v>
      </c>
      <c r="O19" s="6">
        <f>output_transition_aggregates!O19/output_transition_aggregates!O$2</f>
        <v>0.98585234020633306</v>
      </c>
      <c r="P19" s="7">
        <f>100*(output_transition_aggregates!P19/SUM(output_transition_aggregates!P19:Q19)-output_transition_aggregates!P$2/SUM(output_transition_aggregates!P$2:Q$2))</f>
        <v>0.13103331076698699</v>
      </c>
      <c r="Q19" s="6">
        <f>output_transition_aggregates!Q19/output_transition_aggregates!Q$2</f>
        <v>0.99500980479457091</v>
      </c>
      <c r="R19" s="6">
        <f>100*(output_transition_aggregates!R19/output_transition_aggregates!R$2-1)</f>
        <v>-0.91067325582877556</v>
      </c>
      <c r="S19" s="6">
        <f>100*(output_transition_aggregates!S19/output_transition_aggregates!S$2-1)</f>
        <v>0.2453713627617482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5.3826750190347217E-2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1.0018484292481169</v>
      </c>
      <c r="X19" s="7">
        <f>100*(output_transition_aggregates!X19-output_transition_aggregates!X$2)</f>
        <v>0.35640000000000116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-1.9948640678275509</v>
      </c>
      <c r="AB19" s="7">
        <f>output_transition_aggregates!AB19</f>
        <v>32.7527039</v>
      </c>
      <c r="AC19" s="6">
        <f>output_transition_aggregates!AC19/output_transition_aggregates!AC$2</f>
        <v>0.99087993709109878</v>
      </c>
      <c r="AD19" s="6">
        <f>output_transition_aggregates!AD19/output_transition_aggregates!AD$2</f>
        <v>1.002379249130374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0</v>
      </c>
      <c r="C20" s="6">
        <f>100*(output_transition_aggregates!C20/output_transition_aggregates!C$2-1)</f>
        <v>1.5139338687131243E-4</v>
      </c>
      <c r="D20" s="6">
        <f>100*(output_transition_aggregates!D20/output_transition_aggregates!D$2-1)</f>
        <v>0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-0.86261695792304582</v>
      </c>
      <c r="K20" s="8">
        <f>100*(output_transition_aggregates!K20-output_transition_aggregates!K$2)</f>
        <v>-0.13377999999999446</v>
      </c>
      <c r="L20" s="6">
        <f>100*(output_transition_aggregates!L20/output_transition_aggregates!L$2-1)</f>
        <v>2.792033465177246</v>
      </c>
      <c r="M20" s="6">
        <f>100*(output_transition_aggregates!M20-output_transition_aggregates!M$2)</f>
        <v>9.3599999999999239E-3</v>
      </c>
      <c r="N20" s="6">
        <f>100*(output_transition_aggregates!N20/output_transition_aggregates!N$2-1)</f>
        <v>-0.17723031758889451</v>
      </c>
      <c r="O20" s="6">
        <f>output_transition_aggregates!O20/output_transition_aggregates!O$2</f>
        <v>0.9855130424828652</v>
      </c>
      <c r="P20" s="7">
        <f>100*(output_transition_aggregates!P20/SUM(output_transition_aggregates!P20:Q20)-output_transition_aggregates!P$2/SUM(output_transition_aggregates!P$2:Q$2))</f>
        <v>0.12871682716728144</v>
      </c>
      <c r="Q20" s="6">
        <f>output_transition_aggregates!Q20/output_transition_aggregates!Q$2</f>
        <v>0.99580206659382076</v>
      </c>
      <c r="R20" s="6">
        <f>100*(output_transition_aggregates!R20/output_transition_aggregates!R$2-1)</f>
        <v>-0.87187287608203601</v>
      </c>
      <c r="S20" s="6">
        <f>100*(output_transition_aggregates!S20/output_transition_aggregates!S$2-1)</f>
        <v>0.65205234637268905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4.9029833359958558E-2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1.0015354962259779</v>
      </c>
      <c r="X20" s="7">
        <f>100*(output_transition_aggregates!X20-output_transition_aggregates!X$2)</f>
        <v>0.36606000000000138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-1.9441733178745646</v>
      </c>
      <c r="AB20" s="7">
        <f>output_transition_aggregates!AB20</f>
        <v>32.759702099999998</v>
      </c>
      <c r="AC20" s="6">
        <f>output_transition_aggregates!AC20/output_transition_aggregates!AC$2</f>
        <v>0.99126852328252513</v>
      </c>
      <c r="AD20" s="6">
        <f>output_transition_aggregates!AD20/output_transition_aggregates!AD$2</f>
        <v>1.0064493122697609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0</v>
      </c>
      <c r="C21" s="6">
        <f>100*(output_transition_aggregates!C21/output_transition_aggregates!C$2-1)</f>
        <v>7.5696693446758445E-5</v>
      </c>
      <c r="D21" s="6">
        <f>100*(output_transition_aggregates!D21/output_transition_aggregates!D$2-1)</f>
        <v>0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-0.75602319610602597</v>
      </c>
      <c r="K21" s="8">
        <f>100*(output_transition_aggregates!K21-output_transition_aggregates!K$2)</f>
        <v>-0.16686000000000201</v>
      </c>
      <c r="L21" s="6">
        <f>100*(output_transition_aggregates!L21/output_transition_aggregates!L$2-1)</f>
        <v>2.6728815809298423</v>
      </c>
      <c r="M21" s="6">
        <f>100*(output_transition_aggregates!M21-output_transition_aggregates!M$2)</f>
        <v>9.5599999999999505E-3</v>
      </c>
      <c r="N21" s="6">
        <f>100*(output_transition_aggregates!N21/output_transition_aggregates!N$2-1)</f>
        <v>-0.17638610203399852</v>
      </c>
      <c r="O21" s="6">
        <f>output_transition_aggregates!O21/output_transition_aggregates!O$2</f>
        <v>0.99577729048320862</v>
      </c>
      <c r="P21" s="7">
        <f>100*(output_transition_aggregates!P21/SUM(output_transition_aggregates!P21:Q21)-output_transition_aggregates!P$2/SUM(output_transition_aggregates!P$2:Q$2))</f>
        <v>3.0662735768426791E-2</v>
      </c>
      <c r="Q21" s="6">
        <f>output_transition_aggregates!Q21/output_transition_aggregates!Q$2</f>
        <v>0.99662040423660336</v>
      </c>
      <c r="R21" s="6">
        <f>100*(output_transition_aggregates!R21/output_transition_aggregates!R$2-1)</f>
        <v>-0.88115882420353175</v>
      </c>
      <c r="S21" s="6">
        <f>100*(output_transition_aggregates!S21/output_transition_aggregates!S$2-1)</f>
        <v>0.11299806717637306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5.2419209766403282E-2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1.0014030084728169</v>
      </c>
      <c r="X21" s="7">
        <f>100*(output_transition_aggregates!X21-output_transition_aggregates!X$2)</f>
        <v>0.35180000000000211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-1.8850715036987986</v>
      </c>
      <c r="AB21" s="7">
        <f>output_transition_aggregates!AB21</f>
        <v>32.7639189</v>
      </c>
      <c r="AC21" s="6">
        <f>output_transition_aggregates!AC21/output_transition_aggregates!AC$2</f>
        <v>0.99117614912960905</v>
      </c>
      <c r="AD21" s="6">
        <f>output_transition_aggregates!AD21/output_transition_aggregates!AD$2</f>
        <v>1.0010614805638625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0</v>
      </c>
      <c r="C22" s="6">
        <f>100*(output_transition_aggregates!C22/output_transition_aggregates!C$2-1)</f>
        <v>3.7848346723379223E-5</v>
      </c>
      <c r="D22" s="6">
        <f>100*(output_transition_aggregates!D22/output_transition_aggregates!D$2-1)</f>
        <v>0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-0.72039966689153578</v>
      </c>
      <c r="K22" s="8">
        <f>100*(output_transition_aggregates!K22-output_transition_aggregates!K$2)</f>
        <v>-0.16969000000000012</v>
      </c>
      <c r="L22" s="6">
        <f>100*(output_transition_aggregates!L22/output_transition_aggregates!L$2-1)</f>
        <v>2.4980335633033368</v>
      </c>
      <c r="M22" s="6">
        <f>100*(output_transition_aggregates!M22-output_transition_aggregates!M$2)</f>
        <v>7.9799999999999663E-3</v>
      </c>
      <c r="N22" s="6">
        <f>100*(output_transition_aggregates!N22/output_transition_aggregates!N$2-1)</f>
        <v>-0.17121590617998894</v>
      </c>
      <c r="O22" s="6">
        <f>output_transition_aggregates!O22/output_transition_aggregates!O$2</f>
        <v>0.99580894873152381</v>
      </c>
      <c r="P22" s="7">
        <f>100*(output_transition_aggregates!P22/SUM(output_transition_aggregates!P22:Q22)-output_transition_aggregates!P$2/SUM(output_transition_aggregates!P$2:Q$2))</f>
        <v>3.1293305263193488E-2</v>
      </c>
      <c r="Q22" s="6">
        <f>output_transition_aggregates!Q22/output_transition_aggregates!Q$2</f>
        <v>0.99639737255362126</v>
      </c>
      <c r="R22" s="6">
        <f>100*(output_transition_aggregates!R22/output_transition_aggregates!R$2-1)</f>
        <v>-0.87078574069219261</v>
      </c>
      <c r="S22" s="6">
        <f>100*(output_transition_aggregates!S22/output_transition_aggregates!S$2-1)</f>
        <v>8.1332581940651849E-3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5.4189873427296781E-2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1.0015904483212936</v>
      </c>
      <c r="X22" s="7">
        <f>100*(output_transition_aggregates!X22-output_transition_aggregates!X$2)</f>
        <v>0.34638000000000169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-1.8423465672570249</v>
      </c>
      <c r="AB22" s="7">
        <f>output_transition_aggregates!AB22</f>
        <v>32.770793400000002</v>
      </c>
      <c r="AC22" s="6">
        <f>output_transition_aggregates!AC22/output_transition_aggregates!AC$2</f>
        <v>0.99128023587214176</v>
      </c>
      <c r="AD22" s="6">
        <f>output_transition_aggregates!AD22/output_transition_aggregates!AD$2</f>
        <v>1.0000148206038204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0</v>
      </c>
      <c r="C23" s="6">
        <f>100*(output_transition_aggregates!C23/output_transition_aggregates!C$2-1)</f>
        <v>2.5232231148919482E-5</v>
      </c>
      <c r="D23" s="6">
        <f>100*(output_transition_aggregates!D23/output_transition_aggregates!D$2-1)</f>
        <v>0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-0.67887974757282477</v>
      </c>
      <c r="K23" s="8">
        <f>100*(output_transition_aggregates!K23-output_transition_aggregates!K$2)</f>
        <v>-0.17364999999999187</v>
      </c>
      <c r="L23" s="6">
        <f>100*(output_transition_aggregates!L23/output_transition_aggregates!L$2-1)</f>
        <v>2.338754800610876</v>
      </c>
      <c r="M23" s="6">
        <f>100*(output_transition_aggregates!M23-output_transition_aggregates!M$2)</f>
        <v>7.1099999999999289E-3</v>
      </c>
      <c r="N23" s="6">
        <f>100*(output_transition_aggregates!N23/output_transition_aggregates!N$2-1)</f>
        <v>-0.16601573817609516</v>
      </c>
      <c r="O23" s="6">
        <f>output_transition_aggregates!O23/output_transition_aggregates!O$2</f>
        <v>0.99551275630660907</v>
      </c>
      <c r="P23" s="7">
        <f>100*(output_transition_aggregates!P23/SUM(output_transition_aggregates!P23:Q23)-output_transition_aggregates!P$2/SUM(output_transition_aggregates!P$2:Q$2))</f>
        <v>3.1957110974193542E-2</v>
      </c>
      <c r="Q23" s="6">
        <f>output_transition_aggregates!Q23/output_transition_aggregates!Q$2</f>
        <v>0.99616268996182666</v>
      </c>
      <c r="R23" s="6">
        <f>100*(output_transition_aggregates!R23/output_transition_aggregates!R$2-1)</f>
        <v>-0.86240897425087226</v>
      </c>
      <c r="S23" s="6">
        <f>100*(output_transition_aggregates!S23/output_transition_aggregates!S$2-1)</f>
        <v>-0.13483134695070342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5.3777357074954665E-2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1.001774502495651</v>
      </c>
      <c r="X23" s="7">
        <f>100*(output_transition_aggregates!X23-output_transition_aggregates!X$2)</f>
        <v>0.34132000000000051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-1.8084414212771516</v>
      </c>
      <c r="AB23" s="7">
        <f>output_transition_aggregates!AB23</f>
        <v>32.776992499999999</v>
      </c>
      <c r="AC23" s="6">
        <f>output_transition_aggregates!AC23/output_transition_aggregates!AC$2</f>
        <v>0.99136435944397439</v>
      </c>
      <c r="AD23" s="6">
        <f>output_transition_aggregates!AD23/output_transition_aggregates!AD$2</f>
        <v>0.99858716268215331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0</v>
      </c>
      <c r="C24" s="6">
        <f>100*(output_transition_aggregates!C24/output_transition_aggregates!C$2-1)</f>
        <v>1.2616115574459741E-5</v>
      </c>
      <c r="D24" s="6">
        <f>100*(output_transition_aggregates!D24/output_transition_aggregates!D$2-1)</f>
        <v>0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-0.67492904756334404</v>
      </c>
      <c r="K24" s="8">
        <f>100*(output_transition_aggregates!K24-output_transition_aggregates!K$2)</f>
        <v>-0.17783999999999578</v>
      </c>
      <c r="L24" s="6">
        <f>100*(output_transition_aggregates!L24/output_transition_aggregates!L$2-1)</f>
        <v>2.2035334618715652</v>
      </c>
      <c r="M24" s="6">
        <f>100*(output_transition_aggregates!M24-output_transition_aggregates!M$2)</f>
        <v>6.7399999999998711E-3</v>
      </c>
      <c r="N24" s="6">
        <f>100*(output_transition_aggregates!N24/output_transition_aggregates!N$2-1)</f>
        <v>-0.16007126178355646</v>
      </c>
      <c r="O24" s="6">
        <f>output_transition_aggregates!O24/output_transition_aggregates!O$2</f>
        <v>0.99525501881608869</v>
      </c>
      <c r="P24" s="7">
        <f>100*(output_transition_aggregates!P24/SUM(output_transition_aggregates!P24:Q24)-output_transition_aggregates!P$2/SUM(output_transition_aggregates!P$2:Q$2))</f>
        <v>3.2589813624365332E-2</v>
      </c>
      <c r="Q24" s="6">
        <f>output_transition_aggregates!Q24/output_transition_aggregates!Q$2</f>
        <v>0.99593910347366288</v>
      </c>
      <c r="R24" s="6">
        <f>100*(output_transition_aggregates!R24/output_transition_aggregates!R$2-1)</f>
        <v>-0.85544936644272873</v>
      </c>
      <c r="S24" s="6">
        <f>100*(output_transition_aggregates!S24/output_transition_aggregates!S$2-1)</f>
        <v>-0.11401020597386902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4.9898340270266434E-2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1.0019515992957202</v>
      </c>
      <c r="X24" s="7">
        <f>100*(output_transition_aggregates!X24-output_transition_aggregates!X$2)</f>
        <v>0.33794000000000324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-1.7785870132159709</v>
      </c>
      <c r="AB24" s="7">
        <f>output_transition_aggregates!AB24</f>
        <v>32.782339399999998</v>
      </c>
      <c r="AC24" s="6">
        <f>output_transition_aggregates!AC24/output_transition_aggregates!AC$2</f>
        <v>0.99143437613991481</v>
      </c>
      <c r="AD24" s="6">
        <f>output_transition_aggregates!AD24/output_transition_aggregates!AD$2</f>
        <v>0.99879772369984443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0</v>
      </c>
      <c r="C25" s="6">
        <f>100*(output_transition_aggregates!C25/output_transition_aggregates!C$2-1)</f>
        <v>1.2616115574459741E-5</v>
      </c>
      <c r="D25" s="6">
        <f>100*(output_transition_aggregates!D25/output_transition_aggregates!D$2-1)</f>
        <v>0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-0.64321271715701567</v>
      </c>
      <c r="K25" s="8">
        <f>100*(output_transition_aggregates!K25-output_transition_aggregates!K$2)</f>
        <v>-0.17657999999999285</v>
      </c>
      <c r="L25" s="6">
        <f>100*(output_transition_aggregates!L25/output_transition_aggregates!L$2-1)</f>
        <v>2.07089793736841</v>
      </c>
      <c r="M25" s="6">
        <f>100*(output_transition_aggregates!M25-output_transition_aggregates!M$2)</f>
        <v>6.2299999999999509E-3</v>
      </c>
      <c r="N25" s="6">
        <f>100*(output_transition_aggregates!N25/output_transition_aggregates!N$2-1)</f>
        <v>-0.15366221706790695</v>
      </c>
      <c r="O25" s="6">
        <f>output_transition_aggregates!O25/output_transition_aggregates!O$2</f>
        <v>0.99430545022679451</v>
      </c>
      <c r="P25" s="7">
        <f>100*(output_transition_aggregates!P25/SUM(output_transition_aggregates!P25:Q25)-output_transition_aggregates!P$2/SUM(output_transition_aggregates!P$2:Q$2))</f>
        <v>3.3091618858310454E-2</v>
      </c>
      <c r="Q25" s="6">
        <f>output_transition_aggregates!Q25/output_transition_aggregates!Q$2</f>
        <v>0.99576184321815853</v>
      </c>
      <c r="R25" s="6">
        <f>100*(output_transition_aggregates!R25/output_transition_aggregates!R$2-1)</f>
        <v>-0.84528659186097199</v>
      </c>
      <c r="S25" s="6">
        <f>100*(output_transition_aggregates!S25/output_transition_aggregates!S$2-1)</f>
        <v>-0.20219279870475892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3.8284999144302945E-2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1.0021358767013386</v>
      </c>
      <c r="X25" s="7">
        <f>100*(output_transition_aggregates!X25-output_transition_aggregates!X$2)</f>
        <v>0.33613999999999589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-1.7495848428448646</v>
      </c>
      <c r="AB25" s="7">
        <f>output_transition_aggregates!AB25</f>
        <v>32.787743599999999</v>
      </c>
      <c r="AC25" s="6">
        <f>output_transition_aggregates!AC25/output_transition_aggregates!AC$2</f>
        <v>0.99153645685881164</v>
      </c>
      <c r="AD25" s="6">
        <f>output_transition_aggregates!AD25/output_transition_aggregates!AD$2</f>
        <v>0.99791842811952924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0</v>
      </c>
      <c r="C26" s="6">
        <f>100*(output_transition_aggregates!C26/output_transition_aggregates!C$2-1)</f>
        <v>1.2616115574459741E-5</v>
      </c>
      <c r="D26" s="6">
        <f>100*(output_transition_aggregates!D26/output_transition_aggregates!D$2-1)</f>
        <v>0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-0.62692349459545493</v>
      </c>
      <c r="K26" s="8">
        <f>100*(output_transition_aggregates!K26-output_transition_aggregates!K$2)</f>
        <v>-0.17364999999999187</v>
      </c>
      <c r="L26" s="6">
        <f>100*(output_transition_aggregates!L26/output_transition_aggregates!L$2-1)</f>
        <v>1.9624416245368037</v>
      </c>
      <c r="M26" s="6">
        <f>100*(output_transition_aggregates!M26-output_transition_aggregates!M$2)</f>
        <v>5.9599999999999931E-3</v>
      </c>
      <c r="N26" s="6">
        <f>100*(output_transition_aggregates!N26/output_transition_aggregates!N$2-1)</f>
        <v>-0.14668370150456855</v>
      </c>
      <c r="O26" s="6">
        <f>output_transition_aggregates!O26/output_transition_aggregates!O$2</f>
        <v>0.99396901426588635</v>
      </c>
      <c r="P26" s="7">
        <f>100*(output_transition_aggregates!P26/SUM(output_transition_aggregates!P26:Q26)-output_transition_aggregates!P$2/SUM(output_transition_aggregates!P$2:Q$2))</f>
        <v>3.3241644396521733E-2</v>
      </c>
      <c r="Q26" s="6">
        <f>output_transition_aggregates!Q26/output_transition_aggregates!Q$2</f>
        <v>0.99570885932332076</v>
      </c>
      <c r="R26" s="6">
        <f>100*(output_transition_aggregates!R26/output_transition_aggregates!R$2-1)</f>
        <v>-0.83497821878948386</v>
      </c>
      <c r="S26" s="6">
        <f>100*(output_transition_aggregates!S26/output_transition_aggregates!S$2-1)</f>
        <v>-0.21905575402713096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3.1618489389695359E-2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1.0022165003916221</v>
      </c>
      <c r="X26" s="7">
        <f>100*(output_transition_aggregates!X26-output_transition_aggregates!X$2)</f>
        <v>0.3357700000000019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-1.7197234777412973</v>
      </c>
      <c r="AB26" s="7">
        <f>output_transition_aggregates!AB26</f>
        <v>32.792609599999999</v>
      </c>
      <c r="AC26" s="6">
        <f>output_transition_aggregates!AC26/output_transition_aggregates!AC$2</f>
        <v>0.9916400259178253</v>
      </c>
      <c r="AD26" s="6">
        <f>output_transition_aggregates!AD26/output_transition_aggregates!AD$2</f>
        <v>0.99775250965237017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0</v>
      </c>
      <c r="C27" s="6">
        <f>100*(output_transition_aggregates!C27/output_transition_aggregates!C$2-1)</f>
        <v>1.2616115574459741E-5</v>
      </c>
      <c r="D27" s="6">
        <f>100*(output_transition_aggregates!D27/output_transition_aggregates!D$2-1)</f>
        <v>0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-0.59668225037884381</v>
      </c>
      <c r="K27" s="8">
        <f>100*(output_transition_aggregates!K27-output_transition_aggregates!K$2)</f>
        <v>-0.16912000000000038</v>
      </c>
      <c r="L27" s="6">
        <f>100*(output_transition_aggregates!L27/output_transition_aggregates!L$2-1)</f>
        <v>1.8612577783206019</v>
      </c>
      <c r="M27" s="6">
        <f>100*(output_transition_aggregates!M27-output_transition_aggregates!M$2)</f>
        <v>5.6299999999998712E-3</v>
      </c>
      <c r="N27" s="6">
        <f>100*(output_transition_aggregates!N27/output_transition_aggregates!N$2-1)</f>
        <v>-0.13956032055014722</v>
      </c>
      <c r="O27" s="6">
        <f>output_transition_aggregates!O27/output_transition_aggregates!O$2</f>
        <v>0.99374883740896014</v>
      </c>
      <c r="P27" s="7">
        <f>100*(output_transition_aggregates!P27/SUM(output_transition_aggregates!P27:Q27)-output_transition_aggregates!P$2/SUM(output_transition_aggregates!P$2:Q$2))</f>
        <v>3.3193728796261646E-2</v>
      </c>
      <c r="Q27" s="6">
        <f>output_transition_aggregates!Q27/output_transition_aggregates!Q$2</f>
        <v>0.99572578088135799</v>
      </c>
      <c r="R27" s="6">
        <f>100*(output_transition_aggregates!R27/output_transition_aggregates!R$2-1)</f>
        <v>-0.82400332818732824</v>
      </c>
      <c r="S27" s="6">
        <f>100*(output_transition_aggregates!S27/output_transition_aggregates!S$2-1)</f>
        <v>-0.2959602287288976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2.7323695104611648E-2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1.0022439206314648</v>
      </c>
      <c r="X27" s="7">
        <f>100*(output_transition_aggregates!X27-output_transition_aggregates!X$2)</f>
        <v>0.33602999999999827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-1.6884167870858335</v>
      </c>
      <c r="AB27" s="7">
        <f>output_transition_aggregates!AB27</f>
        <v>32.797329699999999</v>
      </c>
      <c r="AC27" s="6">
        <f>output_transition_aggregates!AC27/output_transition_aggregates!AC$2</f>
        <v>0.99175026015214596</v>
      </c>
      <c r="AD27" s="6">
        <f>output_transition_aggregates!AD27/output_transition_aggregates!AD$2</f>
        <v>0.99698617599141703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0</v>
      </c>
      <c r="C28" s="6">
        <f>100*(output_transition_aggregates!C28/output_transition_aggregates!C$2-1)</f>
        <v>1.2616115574459741E-5</v>
      </c>
      <c r="D28" s="6">
        <f>100*(output_transition_aggregates!D28/output_transition_aggregates!D$2-1)</f>
        <v>0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-0.57650955693711037</v>
      </c>
      <c r="K28" s="8">
        <f>100*(output_transition_aggregates!K28-output_transition_aggregates!K$2)</f>
        <v>-0.16389999999999461</v>
      </c>
      <c r="L28" s="6">
        <f>100*(output_transition_aggregates!L28/output_transition_aggregates!L$2-1)</f>
        <v>1.7730138771885562</v>
      </c>
      <c r="M28" s="6">
        <f>100*(output_transition_aggregates!M28-output_transition_aggregates!M$2)</f>
        <v>5.3299999999999181E-3</v>
      </c>
      <c r="N28" s="6">
        <f>100*(output_transition_aggregates!N28/output_transition_aggregates!N$2-1)</f>
        <v>-0.13241695816247345</v>
      </c>
      <c r="O28" s="6">
        <f>output_transition_aggregates!O28/output_transition_aggregates!O$2</f>
        <v>0.99353509951779284</v>
      </c>
      <c r="P28" s="7">
        <f>100*(output_transition_aggregates!P28/SUM(output_transition_aggregates!P28:Q28)-output_transition_aggregates!P$2/SUM(output_transition_aggregates!P$2:Q$2))</f>
        <v>3.3022502360711969E-2</v>
      </c>
      <c r="Q28" s="6">
        <f>output_transition_aggregates!Q28/output_transition_aggregates!Q$2</f>
        <v>0.99578625464614667</v>
      </c>
      <c r="R28" s="6">
        <f>100*(output_transition_aggregates!R28/output_transition_aggregates!R$2-1)</f>
        <v>-0.81317727159688769</v>
      </c>
      <c r="S28" s="6">
        <f>100*(output_transition_aggregates!S28/output_transition_aggregates!S$2-1)</f>
        <v>-0.32767993568579845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2.4339745240513702E-2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1.0022394932114631</v>
      </c>
      <c r="X28" s="7">
        <f>100*(output_transition_aggregates!X28-output_transition_aggregates!X$2)</f>
        <v>0.33708999999999545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-1.6571483601633741</v>
      </c>
      <c r="AB28" s="7">
        <f>output_transition_aggregates!AB28</f>
        <v>32.801561900000003</v>
      </c>
      <c r="AC28" s="6">
        <f>output_transition_aggregates!AC28/output_transition_aggregates!AC$2</f>
        <v>0.9918590384015693</v>
      </c>
      <c r="AD28" s="6">
        <f>output_transition_aggregates!AD28/output_transition_aggregates!AD$2</f>
        <v>0.99667187074698371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0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0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-0.55565666289314475</v>
      </c>
      <c r="K29" s="8">
        <f>100*(output_transition_aggregates!K29-output_transition_aggregates!K$2)</f>
        <v>-0.15790999999999444</v>
      </c>
      <c r="L29" s="6">
        <f>100*(output_transition_aggregates!L29/output_transition_aggregates!L$2-1)</f>
        <v>1.6919250045148493</v>
      </c>
      <c r="M29" s="6">
        <f>100*(output_transition_aggregates!M29-output_transition_aggregates!M$2)</f>
        <v>5.1100000000000104E-3</v>
      </c>
      <c r="N29" s="6">
        <f>100*(output_transition_aggregates!N29/output_transition_aggregates!N$2-1)</f>
        <v>-0.12524362362493768</v>
      </c>
      <c r="O29" s="6">
        <f>output_transition_aggregates!O29/output_transition_aggregates!O$2</f>
        <v>0.99326770357863414</v>
      </c>
      <c r="P29" s="7">
        <f>100*(output_transition_aggregates!P29/SUM(output_transition_aggregates!P29:Q29)-output_transition_aggregates!P$2/SUM(output_transition_aggregates!P$2:Q$2))</f>
        <v>3.2769626857223622E-2</v>
      </c>
      <c r="Q29" s="6">
        <f>output_transition_aggregates!Q29/output_transition_aggregates!Q$2</f>
        <v>0.99587557828037576</v>
      </c>
      <c r="R29" s="6">
        <f>100*(output_transition_aggregates!R29/output_transition_aggregates!R$2-1)</f>
        <v>-0.80224120725866932</v>
      </c>
      <c r="S29" s="6">
        <f>100*(output_transition_aggregates!S29/output_transition_aggregates!S$2-1)</f>
        <v>-0.36189384182222506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2.1599358962073878E-2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1.0022131147175031</v>
      </c>
      <c r="X29" s="7">
        <f>100*(output_transition_aggregates!X29-output_transition_aggregates!X$2)</f>
        <v>0.33851999999999771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-1.6234814928845931</v>
      </c>
      <c r="AB29" s="7">
        <f>output_transition_aggregates!AB29</f>
        <v>32.805566900000002</v>
      </c>
      <c r="AC29" s="6">
        <f>output_transition_aggregates!AC29/output_transition_aggregates!AC$2</f>
        <v>0.99196888437325059</v>
      </c>
      <c r="AD29" s="6">
        <f>output_transition_aggregates!AD29/output_transition_aggregates!AD$2</f>
        <v>0.99633244277168431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0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0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-0.53254566103595469</v>
      </c>
      <c r="K30" s="8">
        <f>100*(output_transition_aggregates!K30-output_transition_aggregates!K$2)</f>
        <v>-0.1515500000000003</v>
      </c>
      <c r="L30" s="6">
        <f>100*(output_transition_aggregates!L30/output_transition_aggregates!L$2-1)</f>
        <v>1.6186849153383864</v>
      </c>
      <c r="M30" s="6">
        <f>100*(output_transition_aggregates!M30-output_transition_aggregates!M$2)</f>
        <v>4.8199999999999979E-3</v>
      </c>
      <c r="N30" s="6">
        <f>100*(output_transition_aggregates!N30/output_transition_aggregates!N$2-1)</f>
        <v>-0.11819517304521021</v>
      </c>
      <c r="O30" s="6">
        <f>output_transition_aggregates!O30/output_transition_aggregates!O$2</f>
        <v>0.99305700631018634</v>
      </c>
      <c r="P30" s="7">
        <f>100*(output_transition_aggregates!P30/SUM(output_transition_aggregates!P30:Q30)-output_transition_aggregates!P$2/SUM(output_transition_aggregates!P$2:Q$2))</f>
        <v>3.2443780839428588E-2</v>
      </c>
      <c r="Q30" s="6">
        <f>output_transition_aggregates!Q30/output_transition_aggregates!Q$2</f>
        <v>0.99599070035554693</v>
      </c>
      <c r="R30" s="6">
        <f>100*(output_transition_aggregates!R30/output_transition_aggregates!R$2-1)</f>
        <v>-0.79161898855382162</v>
      </c>
      <c r="S30" s="6">
        <f>100*(output_transition_aggregates!S30/output_transition_aggregates!S$2-1)</f>
        <v>-0.40818111790007494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1.9543993927627692E-2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1.0021631481203408</v>
      </c>
      <c r="X30" s="7">
        <f>100*(output_transition_aggregates!X30-output_transition_aggregates!X$2)</f>
        <v>0.34014999999999462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-1.5904877194549027</v>
      </c>
      <c r="AB30" s="7">
        <f>output_transition_aggregates!AB30</f>
        <v>32.809329499999997</v>
      </c>
      <c r="AC30" s="6">
        <f>output_transition_aggregates!AC30/output_transition_aggregates!AC$2</f>
        <v>0.99207559188859828</v>
      </c>
      <c r="AD30" s="6">
        <f>output_transition_aggregates!AD30/output_transition_aggregates!AD$2</f>
        <v>0.99587228109697057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0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0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-0.51625643847439395</v>
      </c>
      <c r="K31" s="8">
        <f>100*(output_transition_aggregates!K31-output_transition_aggregates!K$2)</f>
        <v>-0.1449099999999981</v>
      </c>
      <c r="L31" s="6">
        <f>100*(output_transition_aggregates!L31/output_transition_aggregates!L$2-1)</f>
        <v>1.5539177717162289</v>
      </c>
      <c r="M31" s="6">
        <f>100*(output_transition_aggregates!M31-output_transition_aggregates!M$2)</f>
        <v>4.640000000000026E-3</v>
      </c>
      <c r="N31" s="6">
        <f>100*(output_transition_aggregates!N31/output_transition_aggregates!N$2-1)</f>
        <v>-0.11122664819850359</v>
      </c>
      <c r="O31" s="6">
        <f>output_transition_aggregates!O31/output_transition_aggregates!O$2</f>
        <v>0.99295899094252138</v>
      </c>
      <c r="P31" s="7">
        <f>100*(output_transition_aggregates!P31/SUM(output_transition_aggregates!P31:Q31)-output_transition_aggregates!P$2/SUM(output_transition_aggregates!P$2:Q$2))</f>
        <v>3.2068559665687779E-2</v>
      </c>
      <c r="Q31" s="6">
        <f>output_transition_aggregates!Q31/output_transition_aggregates!Q$2</f>
        <v>0.9961232987939368</v>
      </c>
      <c r="R31" s="6">
        <f>100*(output_transition_aggregates!R31/output_transition_aggregates!R$2-1)</f>
        <v>-0.78117472355860862</v>
      </c>
      <c r="S31" s="6">
        <f>100*(output_transition_aggregates!S31/output_transition_aggregates!S$2-1)</f>
        <v>-0.42426689521725125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1.7953649183647183E-2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1.0021002341100642</v>
      </c>
      <c r="X31" s="7">
        <f>100*(output_transition_aggregates!X31-output_transition_aggregates!X$2)</f>
        <v>0.34212999999999605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-1.5557181609608173</v>
      </c>
      <c r="AB31" s="7">
        <f>output_transition_aggregates!AB31</f>
        <v>32.812781999999999</v>
      </c>
      <c r="AC31" s="6">
        <f>output_transition_aggregates!AC31/output_transition_aggregates!AC$2</f>
        <v>0.9921805198668493</v>
      </c>
      <c r="AD31" s="6">
        <f>output_transition_aggregates!AD31/output_transition_aggregates!AD$2</f>
        <v>0.99571413440986345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0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0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-0.49381377325545817</v>
      </c>
      <c r="K32" s="8">
        <f>100*(output_transition_aggregates!K32-output_transition_aggregates!K$2)</f>
        <v>-0.13796999999999837</v>
      </c>
      <c r="L32" s="6">
        <f>100*(output_transition_aggregates!L32/output_transition_aggregates!L$2-1)</f>
        <v>1.4924823921056429</v>
      </c>
      <c r="M32" s="6">
        <f>100*(output_transition_aggregates!M32-output_transition_aggregates!M$2)</f>
        <v>4.4999999999999901E-3</v>
      </c>
      <c r="N32" s="6">
        <f>100*(output_transition_aggregates!N32/output_transition_aggregates!N$2-1)</f>
        <v>-0.10431806765154317</v>
      </c>
      <c r="O32" s="6">
        <f>output_transition_aggregates!O32/output_transition_aggregates!O$2</f>
        <v>0.99290408087340987</v>
      </c>
      <c r="P32" s="7">
        <f>100*(output_transition_aggregates!P32/SUM(output_transition_aggregates!P32:Q32)-output_transition_aggregates!P$2/SUM(output_transition_aggregates!P$2:Q$2))</f>
        <v>3.1658125429115738E-2</v>
      </c>
      <c r="Q32" s="6">
        <f>output_transition_aggregates!Q32/output_transition_aggregates!Q$2</f>
        <v>0.99626838034891141</v>
      </c>
      <c r="R32" s="6">
        <f>100*(output_transition_aggregates!R32/output_transition_aggregates!R$2-1)</f>
        <v>-0.77072075199743351</v>
      </c>
      <c r="S32" s="6">
        <f>100*(output_transition_aggregates!S32/output_transition_aggregates!S$2-1)</f>
        <v>-0.46845759807172538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1.6680060945635511E-2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1.0020278699764225</v>
      </c>
      <c r="X32" s="7">
        <f>100*(output_transition_aggregates!X32-output_transition_aggregates!X$2)</f>
        <v>0.3442500000000015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-1.5183988464388953</v>
      </c>
      <c r="AB32" s="7">
        <f>output_transition_aggregates!AB32</f>
        <v>32.816096000000002</v>
      </c>
      <c r="AC32" s="6">
        <f>output_transition_aggregates!AC32/output_transition_aggregates!AC$2</f>
        <v>0.99228554491076015</v>
      </c>
      <c r="AD32" s="6">
        <f>output_transition_aggregates!AD32/output_transition_aggregates!AD$2</f>
        <v>0.99527493846738335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0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0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-0.47520712306071689</v>
      </c>
      <c r="K33" s="8">
        <f>100*(output_transition_aggregates!K33-output_transition_aggregates!K$2)</f>
        <v>-0.13132000000000144</v>
      </c>
      <c r="L33" s="6">
        <f>100*(output_transition_aggregates!L33/output_transition_aggregates!L$2-1)</f>
        <v>1.4372277392058708</v>
      </c>
      <c r="M33" s="6">
        <f>100*(output_transition_aggregates!M33-output_transition_aggregates!M$2)</f>
        <v>4.3800000000000089E-3</v>
      </c>
      <c r="N33" s="6">
        <f>100*(output_transition_aggregates!N33/output_transition_aggregates!N$2-1)</f>
        <v>-9.7614296795422995E-2</v>
      </c>
      <c r="O33" s="6">
        <f>output_transition_aggregates!O33/output_transition_aggregates!O$2</f>
        <v>0.9927801307825489</v>
      </c>
      <c r="P33" s="7">
        <f>100*(output_transition_aggregates!P33/SUM(output_transition_aggregates!P33:Q33)-output_transition_aggregates!P$2/SUM(output_transition_aggregates!P$2:Q$2))</f>
        <v>3.1222705501999029E-2</v>
      </c>
      <c r="Q33" s="6">
        <f>output_transition_aggregates!Q33/output_transition_aggregates!Q$2</f>
        <v>0.99642233878679087</v>
      </c>
      <c r="R33" s="6">
        <f>100*(output_transition_aggregates!R33/output_transition_aggregates!R$2-1)</f>
        <v>-0.7608977072249945</v>
      </c>
      <c r="S33" s="6">
        <f>100*(output_transition_aggregates!S33/output_transition_aggregates!S$2-1)</f>
        <v>-0.49862294901820148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1.6165796198302704E-2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1.0019461301298358</v>
      </c>
      <c r="X33" s="7">
        <f>100*(output_transition_aggregates!X33-output_transition_aggregates!X$2)</f>
        <v>0.34659999999999691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-1.4813125928363036</v>
      </c>
      <c r="AB33" s="7">
        <f>output_transition_aggregates!AB33</f>
        <v>32.819115400000001</v>
      </c>
      <c r="AC33" s="6">
        <f>output_transition_aggregates!AC33/output_transition_aggregates!AC$2</f>
        <v>0.9923842283315637</v>
      </c>
      <c r="AD33" s="6">
        <f>output_transition_aggregates!AD33/output_transition_aggregates!AD$2</f>
        <v>0.99497581530491219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0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0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-0.45697616505906424</v>
      </c>
      <c r="K34" s="8">
        <f>100*(output_transition_aggregates!K34-output_transition_aggregates!K$2)</f>
        <v>-0.12477999999999101</v>
      </c>
      <c r="L34" s="6">
        <f>100*(output_transition_aggregates!L34/output_transition_aggregates!L$2-1)</f>
        <v>1.3871468895590766</v>
      </c>
      <c r="M34" s="6">
        <f>100*(output_transition_aggregates!M34-output_transition_aggregates!M$2)</f>
        <v>4.2799999999999089E-3</v>
      </c>
      <c r="N34" s="6">
        <f>100*(output_transition_aggregates!N34/output_transition_aggregates!N$2-1)</f>
        <v>-9.1035409897122221E-2</v>
      </c>
      <c r="O34" s="6">
        <f>output_transition_aggregates!O34/output_transition_aggregates!O$2</f>
        <v>0.99278639088814802</v>
      </c>
      <c r="P34" s="7">
        <f>100*(output_transition_aggregates!P34/SUM(output_transition_aggregates!P34:Q34)-output_transition_aggregates!P$2/SUM(output_transition_aggregates!P$2:Q$2))</f>
        <v>3.0784279459107264E-2</v>
      </c>
      <c r="Q34" s="6">
        <f>output_transition_aggregates!Q34/output_transition_aggregates!Q$2</f>
        <v>0.99657740683503337</v>
      </c>
      <c r="R34" s="6">
        <f>100*(output_transition_aggregates!R34/output_transition_aggregates!R$2-1)</f>
        <v>-0.75137556599794708</v>
      </c>
      <c r="S34" s="6">
        <f>100*(output_transition_aggregates!S34/output_transition_aggregates!S$2-1)</f>
        <v>-0.52875215215049121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1.5675593292969331E-2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1.0018613394560212</v>
      </c>
      <c r="X34" s="7">
        <f>100*(output_transition_aggregates!X34-output_transition_aggregates!X$2)</f>
        <v>0.34891999999999701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-1.4428140596330241</v>
      </c>
      <c r="AB34" s="7">
        <f>output_transition_aggregates!AB34</f>
        <v>32.821920499999997</v>
      </c>
      <c r="AC34" s="6">
        <f>output_transition_aggregates!AC34/output_transition_aggregates!AC$2</f>
        <v>0.99247990271691322</v>
      </c>
      <c r="AD34" s="6">
        <f>output_transition_aggregates!AD34/output_transition_aggregates!AD$2</f>
        <v>0.99467723435965416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0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0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-0.43160310073399044</v>
      </c>
      <c r="K35" s="8">
        <f>100*(output_transition_aggregates!K35-output_transition_aggregates!K$2)</f>
        <v>-0.1185899999999962</v>
      </c>
      <c r="L35" s="6">
        <f>100*(output_transition_aggregates!L35/output_transition_aggregates!L$2-1)</f>
        <v>1.3406566028255407</v>
      </c>
      <c r="M35" s="6">
        <f>100*(output_transition_aggregates!M35-output_transition_aggregates!M$2)</f>
        <v>4.239999999999973E-3</v>
      </c>
      <c r="N35" s="6">
        <f>100*(output_transition_aggregates!N35/output_transition_aggregates!N$2-1)</f>
        <v>-8.4616374464863142E-2</v>
      </c>
      <c r="O35" s="6">
        <f>output_transition_aggregates!O35/output_transition_aggregates!O$2</f>
        <v>0.99269624536752188</v>
      </c>
      <c r="P35" s="7">
        <f>100*(output_transition_aggregates!P35/SUM(output_transition_aggregates!P35:Q35)-output_transition_aggregates!P$2/SUM(output_transition_aggregates!P$2:Q$2))</f>
        <v>3.0345985876295903E-2</v>
      </c>
      <c r="Q35" s="6">
        <f>output_transition_aggregates!Q35/output_transition_aggregates!Q$2</f>
        <v>0.99673247488327588</v>
      </c>
      <c r="R35" s="6">
        <f>100*(output_transition_aggregates!R35/output_transition_aggregates!R$2-1)</f>
        <v>-0.74229992680601153</v>
      </c>
      <c r="S35" s="6">
        <f>100*(output_transition_aggregates!S35/output_transition_aggregates!S$2-1)</f>
        <v>-0.59401703068118206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1.5698991222685282E-2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1.0017721213622048</v>
      </c>
      <c r="X35" s="7">
        <f>100*(output_transition_aggregates!X35-output_transition_aggregates!X$2)</f>
        <v>0.35117000000000065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-1.4038407082881399</v>
      </c>
      <c r="AB35" s="7">
        <f>output_transition_aggregates!AB35</f>
        <v>32.824513400000001</v>
      </c>
      <c r="AC35" s="6">
        <f>output_transition_aggregates!AC35/output_transition_aggregates!AC$2</f>
        <v>0.99257111208191162</v>
      </c>
      <c r="AD35" s="6">
        <f>output_transition_aggregates!AD35/output_transition_aggregates!AD$2</f>
        <v>0.99402693518226992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0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0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-0.42077921091827619</v>
      </c>
      <c r="K36" s="8">
        <f>100*(output_transition_aggregates!K36-output_transition_aggregates!K$2)</f>
        <v>-0.11295000000000055</v>
      </c>
      <c r="L36" s="6">
        <f>100*(output_transition_aggregates!L36/output_transition_aggregates!L$2-1)</f>
        <v>1.3034156583513479</v>
      </c>
      <c r="M36" s="6">
        <f>100*(output_transition_aggregates!M36-output_transition_aggregates!M$2)</f>
        <v>4.4499999999999401E-3</v>
      </c>
      <c r="N36" s="6">
        <f>100*(output_transition_aggregates!N36/output_transition_aggregates!N$2-1)</f>
        <v>-7.8317227632085373E-2</v>
      </c>
      <c r="O36" s="6">
        <f>output_transition_aggregates!O36/output_transition_aggregates!O$2</f>
        <v>0.99265260348848849</v>
      </c>
      <c r="P36" s="7">
        <f>100*(output_transition_aggregates!P36/SUM(output_transition_aggregates!P36:Q36)-output_transition_aggregates!P$2/SUM(output_transition_aggregates!P$2:Q$2))</f>
        <v>2.9920364139603833E-2</v>
      </c>
      <c r="Q36" s="6">
        <f>output_transition_aggregates!Q36/output_transition_aggregates!Q$2</f>
        <v>0.99688310449006612</v>
      </c>
      <c r="R36" s="6">
        <f>100*(output_transition_aggregates!R36/output_transition_aggregates!R$2-1)</f>
        <v>-0.73411405616231606</v>
      </c>
      <c r="S36" s="6">
        <f>100*(output_transition_aggregates!S36/output_transition_aggregates!S$2-1)</f>
        <v>-0.59775832945045959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1.5302542277925366E-2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1.0016829404735985</v>
      </c>
      <c r="X36" s="7">
        <f>100*(output_transition_aggregates!X36-output_transition_aggregates!X$2)</f>
        <v>0.35361999999999894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-1.3657856865358253</v>
      </c>
      <c r="AB36" s="7">
        <f>output_transition_aggregates!AB36</f>
        <v>32.826705099999998</v>
      </c>
      <c r="AC36" s="6">
        <f>output_transition_aggregates!AC36/output_transition_aggregates!AC$2</f>
        <v>0.99265339140620779</v>
      </c>
      <c r="AD36" s="6">
        <f>output_transition_aggregates!AD36/output_transition_aggregates!AD$2</f>
        <v>0.99399205254157097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0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0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-0.39965740035715625</v>
      </c>
      <c r="K37" s="8">
        <f>100*(output_transition_aggregates!K37-output_transition_aggregates!K$2)</f>
        <v>-0.12337000000000042</v>
      </c>
      <c r="L37" s="6">
        <f>100*(output_transition_aggregates!L37/output_transition_aggregates!L$2-1)</f>
        <v>1.2669097897491488</v>
      </c>
      <c r="M37" s="6">
        <f>100*(output_transition_aggregates!M37-output_transition_aggregates!M$2)</f>
        <v>4.3899999999999495E-3</v>
      </c>
      <c r="N37" s="6">
        <f>100*(output_transition_aggregates!N37/output_transition_aggregates!N$2-1)</f>
        <v>-7.8681888788945109E-2</v>
      </c>
      <c r="O37" s="6">
        <f>output_transition_aggregates!O37/output_transition_aggregates!O$2</f>
        <v>0.99580340406656453</v>
      </c>
      <c r="P37" s="7">
        <f>100*(output_transition_aggregates!P37/SUM(output_transition_aggregates!P37:Q37)-output_transition_aggregates!P$2/SUM(output_transition_aggregates!P$2:Q$2))</f>
        <v>8.295229677366886E-3</v>
      </c>
      <c r="Q37" s="6">
        <f>output_transition_aggregates!Q37/output_transition_aggregates!Q$2</f>
        <v>0.99703345669426546</v>
      </c>
      <c r="R37" s="6">
        <f>100*(output_transition_aggregates!R37/output_transition_aggregates!R$2-1)</f>
        <v>-0.73570916850513868</v>
      </c>
      <c r="S37" s="6">
        <f>100*(output_transition_aggregates!S37/output_transition_aggregates!S$2-1)</f>
        <v>-0.70318342955278945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2.6345717721286063E-2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1.0016493441688794</v>
      </c>
      <c r="X37" s="7">
        <f>100*(output_transition_aggregates!X37-output_transition_aggregates!X$2)</f>
        <v>0.34758000000000289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-1.3317187893208793</v>
      </c>
      <c r="AB37" s="7">
        <f>output_transition_aggregates!AB37</f>
        <v>32.827703200000002</v>
      </c>
      <c r="AC37" s="6">
        <f>output_transition_aggregates!AC37/output_transition_aggregates!AC$2</f>
        <v>0.9926374726379994</v>
      </c>
      <c r="AD37" s="6">
        <f>output_transition_aggregates!AD37/output_transition_aggregates!AD$2</f>
        <v>0.99293780154054756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0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0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-0.38381900842729966</v>
      </c>
      <c r="K38" s="8">
        <f>100*(output_transition_aggregates!K38-output_transition_aggregates!K$2)</f>
        <v>-0.12601999999999336</v>
      </c>
      <c r="L38" s="6">
        <f>100*(output_transition_aggregates!L38/output_transition_aggregates!L$2-1)</f>
        <v>1.2073664693357689</v>
      </c>
      <c r="M38" s="6">
        <f>100*(output_transition_aggregates!M38-output_transition_aggregates!M$2)</f>
        <v>4.0899999999999964E-3</v>
      </c>
      <c r="N38" s="6">
        <f>100*(output_transition_aggregates!N38/output_transition_aggregates!N$2-1)</f>
        <v>-7.6978471604183252E-2</v>
      </c>
      <c r="O38" s="6">
        <f>output_transition_aggregates!O38/output_transition_aggregates!O$2</f>
        <v>0.99536984703879117</v>
      </c>
      <c r="P38" s="7">
        <f>100*(output_transition_aggregates!P38/SUM(output_transition_aggregates!P38:Q38)-output_transition_aggregates!P$2/SUM(output_transition_aggregates!P$2:Q$2))</f>
        <v>8.8142035902179922E-3</v>
      </c>
      <c r="Q38" s="6">
        <f>output_transition_aggregates!Q38/output_transition_aggregates!Q$2</f>
        <v>0.99684842916621941</v>
      </c>
      <c r="R38" s="6">
        <f>100*(output_transition_aggregates!R38/output_transition_aggregates!R$2-1)</f>
        <v>-0.73260306739132419</v>
      </c>
      <c r="S38" s="6">
        <f>100*(output_transition_aggregates!S38/output_transition_aggregates!S$2-1)</f>
        <v>-0.75823655057313255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2.1570712124658817E-2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1.001803187712637</v>
      </c>
      <c r="X38" s="7">
        <f>100*(output_transition_aggregates!X38-output_transition_aggregates!X$2)</f>
        <v>0.34492000000000411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-1.2988119789207997</v>
      </c>
      <c r="AB38" s="7">
        <f>output_transition_aggregates!AB38</f>
        <v>32.829391999999999</v>
      </c>
      <c r="AC38" s="6">
        <f>output_transition_aggregates!AC38/output_transition_aggregates!AC$2</f>
        <v>0.99266866307001733</v>
      </c>
      <c r="AD38" s="6">
        <f>output_transition_aggregates!AD38/output_transition_aggregates!AD$2</f>
        <v>0.99238799328662797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0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0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-0.36675467355156144</v>
      </c>
      <c r="K39" s="8">
        <f>100*(output_transition_aggregates!K39-output_transition_aggregates!K$2)</f>
        <v>-0.128269999999997</v>
      </c>
      <c r="L39" s="6">
        <f>100*(output_transition_aggregates!L39/output_transition_aggregates!L$2-1)</f>
        <v>1.161848309569069</v>
      </c>
      <c r="M39" s="6">
        <f>100*(output_transition_aggregates!M39-output_transition_aggregates!M$2)</f>
        <v>4.2799999999999089E-3</v>
      </c>
      <c r="N39" s="6">
        <f>100*(output_transition_aggregates!N39/output_transition_aggregates!N$2-1)</f>
        <v>-7.4845453604521772E-2</v>
      </c>
      <c r="O39" s="6">
        <f>output_transition_aggregates!O39/output_transition_aggregates!O$2</f>
        <v>0.9943932705653411</v>
      </c>
      <c r="P39" s="7">
        <f>100*(output_transition_aggregates!P39/SUM(output_transition_aggregates!P39:Q39)-output_transition_aggregates!P$2/SUM(output_transition_aggregates!P$2:Q$2))</f>
        <v>9.180788151468694E-3</v>
      </c>
      <c r="Q39" s="6">
        <f>output_transition_aggregates!Q39/output_transition_aggregates!Q$2</f>
        <v>0.99671777254596494</v>
      </c>
      <c r="R39" s="6">
        <f>100*(output_transition_aggregates!R39/output_transition_aggregates!R$2-1)</f>
        <v>-0.72992405518066406</v>
      </c>
      <c r="S39" s="6">
        <f>100*(output_transition_aggregates!S39/output_transition_aggregates!S$2-1)</f>
        <v>-0.82126026462370216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1.8425002070855678E-2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1.0019082552259555</v>
      </c>
      <c r="X39" s="7">
        <f>100*(output_transition_aggregates!X39-output_transition_aggregates!X$2)</f>
        <v>0.34307999999999561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-1.271147299944908</v>
      </c>
      <c r="AB39" s="7">
        <f>output_transition_aggregates!AB39</f>
        <v>32.830765999999997</v>
      </c>
      <c r="AC39" s="6">
        <f>output_transition_aggregates!AC39/output_transition_aggregates!AC$2</f>
        <v>0.99269558261300372</v>
      </c>
      <c r="AD39" s="6">
        <f>output_transition_aggregates!AD39/output_transition_aggregates!AD$2</f>
        <v>0.99175847910240644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0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0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-0.34080422964553048</v>
      </c>
      <c r="K40" s="8">
        <f>100*(output_transition_aggregates!K40-output_transition_aggregates!K$2)</f>
        <v>-0.13128999999999502</v>
      </c>
      <c r="L40" s="6">
        <f>100*(output_transition_aggregates!L40/output_transition_aggregates!L$2-1)</f>
        <v>1.139458942402416</v>
      </c>
      <c r="M40" s="6">
        <f>100*(output_transition_aggregates!M40-output_transition_aggregates!M$2)</f>
        <v>6.439999999999918E-3</v>
      </c>
      <c r="N40" s="6">
        <f>100*(output_transition_aggregates!N40/output_transition_aggregates!N$2-1)</f>
        <v>-7.1283763127305555E-2</v>
      </c>
      <c r="O40" s="6">
        <f>output_transition_aggregates!O40/output_transition_aggregates!O$2</f>
        <v>0.99329184970023043</v>
      </c>
      <c r="P40" s="7">
        <f>100*(output_transition_aggregates!P40/SUM(output_transition_aggregates!P40:Q40)-output_transition_aggregates!P$2/SUM(output_transition_aggregates!P$2:Q$2))</f>
        <v>9.446250518041141E-3</v>
      </c>
      <c r="Q40" s="6">
        <f>output_transition_aggregates!Q40/output_transition_aggregates!Q$2</f>
        <v>0.99662317826251112</v>
      </c>
      <c r="R40" s="6">
        <f>100*(output_transition_aggregates!R40/output_transition_aggregates!R$2-1)</f>
        <v>-0.72840335984368787</v>
      </c>
      <c r="S40" s="6">
        <f>100*(output_transition_aggregates!S40/output_transition_aggregates!S$2-1)</f>
        <v>0.68060911958744974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1.4987846677723404E-2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1.0019709087997615</v>
      </c>
      <c r="X40" s="7">
        <f>100*(output_transition_aggregates!X40-output_transition_aggregates!X$2)</f>
        <v>0.34245999999999999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-1.2466428574646193</v>
      </c>
      <c r="AB40" s="7">
        <f>output_transition_aggregates!AB40</f>
        <v>32.831782099999998</v>
      </c>
      <c r="AC40" s="6">
        <f>output_transition_aggregates!AC40/output_transition_aggregates!AC$2</f>
        <v>0.99271104840813285</v>
      </c>
      <c r="AD40" s="6">
        <f>output_transition_aggregates!AD40/output_transition_aggregates!AD$2</f>
        <v>1.0067786188570855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0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0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0</v>
      </c>
      <c r="K41" s="8">
        <f>100*(output_transition_aggregates!K41-output_transition_aggregates!K$2)</f>
        <v>0</v>
      </c>
      <c r="L41" s="6">
        <f>100*(output_transition_aggregates!L41/output_transition_aggregates!L$2-1)</f>
        <v>0</v>
      </c>
      <c r="M41" s="6">
        <f>100*(output_transition_aggregates!M41-output_transition_aggregates!M$2)</f>
        <v>0</v>
      </c>
      <c r="N41" s="6">
        <f>100*(output_transition_aggregates!N41/output_transition_aggregates!N$2-1)</f>
        <v>0</v>
      </c>
      <c r="O41" s="6">
        <f>output_transition_aggregates!O41/output_transition_aggregates!O$2</f>
        <v>1</v>
      </c>
      <c r="P41" s="7">
        <f>100*(output_transition_aggregates!P41/SUM(output_transition_aggregates!P41:Q41)-output_transition_aggregates!P$2/SUM(output_transition_aggregates!P$2:Q$2))</f>
        <v>0</v>
      </c>
      <c r="Q41" s="6">
        <f>output_transition_aggregates!Q41/output_transition_aggregates!Q$2</f>
        <v>1</v>
      </c>
      <c r="R41" s="6">
        <f>100*(output_transition_aggregates!R41/output_transition_aggregates!R$2-1)</f>
        <v>0</v>
      </c>
      <c r="S41" s="6">
        <f>100*(output_transition_aggregates!S41/output_transition_aggregates!S$2-1)</f>
        <v>0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0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1</v>
      </c>
      <c r="X41" s="7">
        <f>100*(output_transition_aggregates!X41-output_transition_aggregates!X$2)</f>
        <v>0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0</v>
      </c>
      <c r="AB41" s="7">
        <f>output_transition_aggregates!AB41</f>
        <v>33.1899199</v>
      </c>
      <c r="AC41" s="6">
        <f>output_transition_aggregates!AC41/output_transition_aggregates!AC$2</f>
        <v>1</v>
      </c>
      <c r="AD41" s="6">
        <f>output_transition_aggregates!AD41/output_transition_aggregates!AD$2</f>
        <v>1</v>
      </c>
      <c r="AE41" s="2"/>
      <c r="AF41" s="3"/>
      <c r="AG41" s="3"/>
    </row>
    <row r="42" spans="1:33" x14ac:dyDescent="0.35">
      <c r="B42" s="6"/>
      <c r="C42" s="6"/>
      <c r="D42" s="6">
        <f>100*(output_transition_aggregates!D42/output_transition_aggregates!D$2-1)</f>
        <v>-100</v>
      </c>
      <c r="E42" s="6"/>
      <c r="F42" s="6"/>
      <c r="G42" s="6"/>
      <c r="H42" s="6"/>
      <c r="I42" s="6"/>
      <c r="J42" s="6">
        <f>100*(output_transition_aggregates!J42/output_transition_aggregates!J$2-1)</f>
        <v>-100</v>
      </c>
      <c r="K42" s="8">
        <f>100*(output_transition_aggregates!K42-output_transition_aggregates!K$2)</f>
        <v>-99.755099999999999</v>
      </c>
      <c r="L42" s="6"/>
      <c r="M42" s="6"/>
      <c r="N42" s="6"/>
      <c r="O42" s="6"/>
      <c r="P42" s="7"/>
      <c r="Q42" s="6"/>
      <c r="R42" s="6">
        <f>100*(output_transition_aggregates!R42/output_transition_aggregates!R$2-1)</f>
        <v>-100</v>
      </c>
      <c r="S42" s="6">
        <f>100*(output_transition_aggregates!S42/output_transition_aggregates!S$2-1)</f>
        <v>-100</v>
      </c>
      <c r="T42" s="7"/>
      <c r="U42" s="7"/>
      <c r="V42" s="7"/>
      <c r="W42" s="6"/>
      <c r="X42" s="7"/>
      <c r="Y42" s="6"/>
      <c r="Z42" s="6"/>
      <c r="AA42" s="6">
        <f>100*(output_transition_aggregates!AA42/output_transition_aggregates!AA$2-1)</f>
        <v>-100</v>
      </c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S67"/>
  <sheetViews>
    <sheetView workbookViewId="0">
      <pane xSplit="1" ySplit="1" topLeftCell="B45" activePane="bottomRight" state="frozen"/>
      <selection pane="topRight" activeCell="B1" sqref="B1"/>
      <selection pane="bottomLeft" activeCell="A2" sqref="A2"/>
      <selection pane="bottomRight" activeCell="I56" sqref="I56"/>
    </sheetView>
  </sheetViews>
  <sheetFormatPr defaultRowHeight="14.5" x14ac:dyDescent="0.35"/>
  <cols>
    <col min="1" max="1" width="9.1796875" style="1"/>
    <col min="247" max="247" width="14" bestFit="1" customWidth="1"/>
    <col min="258" max="258" width="25.81640625" bestFit="1" customWidth="1"/>
  </cols>
  <sheetData>
    <row r="1" spans="1:279" s="1" customFormat="1" x14ac:dyDescent="0.35">
      <c r="A1" s="1" t="s">
        <v>0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30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1" t="s">
        <v>63</v>
      </c>
      <c r="N1" s="1" t="s">
        <v>64</v>
      </c>
      <c r="O1" s="1" t="s">
        <v>65</v>
      </c>
      <c r="P1" s="1" t="s">
        <v>66</v>
      </c>
      <c r="Q1" s="1" t="s">
        <v>67</v>
      </c>
      <c r="R1" s="1" t="s">
        <v>68</v>
      </c>
      <c r="S1" s="1" t="s">
        <v>69</v>
      </c>
      <c r="T1" s="1" t="s">
        <v>70</v>
      </c>
      <c r="U1" s="1" t="s">
        <v>71</v>
      </c>
      <c r="V1" s="1" t="s">
        <v>72</v>
      </c>
      <c r="W1" s="1" t="s">
        <v>73</v>
      </c>
      <c r="X1" s="1" t="s">
        <v>74</v>
      </c>
      <c r="Y1" s="1" t="s">
        <v>75</v>
      </c>
      <c r="Z1" s="1" t="s">
        <v>76</v>
      </c>
      <c r="AA1" s="1" t="s">
        <v>77</v>
      </c>
      <c r="AB1" s="1" t="s">
        <v>78</v>
      </c>
      <c r="AC1" s="1" t="s">
        <v>79</v>
      </c>
      <c r="AD1" s="1" t="s">
        <v>80</v>
      </c>
      <c r="AE1" s="1" t="s">
        <v>81</v>
      </c>
      <c r="AF1" s="1" t="s">
        <v>82</v>
      </c>
      <c r="AG1" s="1" t="s">
        <v>83</v>
      </c>
      <c r="AH1" s="1" t="s">
        <v>84</v>
      </c>
      <c r="AI1" s="1" t="s">
        <v>85</v>
      </c>
      <c r="AJ1" s="1" t="s">
        <v>86</v>
      </c>
      <c r="AK1" s="1" t="s">
        <v>87</v>
      </c>
      <c r="AL1" s="1" t="s">
        <v>88</v>
      </c>
      <c r="AM1" s="1" t="s">
        <v>89</v>
      </c>
      <c r="AN1" s="1" t="s">
        <v>90</v>
      </c>
      <c r="AO1" s="1" t="s">
        <v>91</v>
      </c>
      <c r="AP1" s="1" t="s">
        <v>92</v>
      </c>
      <c r="AQ1" s="1" t="s">
        <v>93</v>
      </c>
      <c r="AR1" s="1" t="s">
        <v>94</v>
      </c>
      <c r="AS1" s="1" t="s">
        <v>95</v>
      </c>
      <c r="AT1" s="1" t="s">
        <v>96</v>
      </c>
      <c r="AU1" s="1" t="s">
        <v>97</v>
      </c>
      <c r="AV1" s="1" t="s">
        <v>98</v>
      </c>
      <c r="AW1" s="1" t="s">
        <v>99</v>
      </c>
      <c r="AX1" s="1" t="s">
        <v>100</v>
      </c>
      <c r="AY1" s="1" t="s">
        <v>101</v>
      </c>
      <c r="AZ1" s="1" t="s">
        <v>102</v>
      </c>
      <c r="BA1" s="1" t="s">
        <v>103</v>
      </c>
      <c r="BB1" s="1" t="s">
        <v>104</v>
      </c>
      <c r="BC1" s="1" t="s">
        <v>105</v>
      </c>
      <c r="BD1" s="1" t="s">
        <v>106</v>
      </c>
      <c r="BE1" s="1" t="s">
        <v>107</v>
      </c>
      <c r="BF1" s="1" t="s">
        <v>108</v>
      </c>
      <c r="BG1" s="1" t="s">
        <v>109</v>
      </c>
      <c r="BH1" s="1" t="s">
        <v>110</v>
      </c>
      <c r="BI1" s="1" t="s">
        <v>111</v>
      </c>
      <c r="BJ1" s="1" t="s">
        <v>112</v>
      </c>
      <c r="BK1" s="1" t="s">
        <v>113</v>
      </c>
      <c r="BL1" s="1" t="s">
        <v>114</v>
      </c>
      <c r="BM1" s="1" t="s">
        <v>115</v>
      </c>
      <c r="BN1" s="1" t="s">
        <v>116</v>
      </c>
      <c r="BO1" s="1" t="s">
        <v>117</v>
      </c>
      <c r="BP1" s="1" t="s">
        <v>118</v>
      </c>
      <c r="BQ1" s="1" t="s">
        <v>119</v>
      </c>
      <c r="BR1" s="1" t="s">
        <v>120</v>
      </c>
      <c r="BS1" s="1" t="s">
        <v>121</v>
      </c>
      <c r="BT1" s="1" t="s">
        <v>122</v>
      </c>
      <c r="BU1" s="1" t="s">
        <v>123</v>
      </c>
      <c r="BV1" s="1" t="s">
        <v>124</v>
      </c>
      <c r="BW1" s="1" t="s">
        <v>125</v>
      </c>
      <c r="BX1" s="1" t="s">
        <v>126</v>
      </c>
      <c r="BY1" s="1" t="s">
        <v>127</v>
      </c>
      <c r="BZ1" s="1" t="s">
        <v>128</v>
      </c>
      <c r="CA1" s="1" t="s">
        <v>129</v>
      </c>
      <c r="CB1" s="1" t="s">
        <v>130</v>
      </c>
      <c r="CC1" s="1" t="s">
        <v>131</v>
      </c>
      <c r="CD1" s="1" t="s">
        <v>132</v>
      </c>
      <c r="CE1" s="1" t="s">
        <v>133</v>
      </c>
      <c r="CF1" s="1" t="s">
        <v>134</v>
      </c>
      <c r="CG1" s="1" t="s">
        <v>135</v>
      </c>
      <c r="CH1" s="1" t="s">
        <v>136</v>
      </c>
      <c r="CI1" s="1" t="s">
        <v>137</v>
      </c>
      <c r="CJ1" s="1" t="s">
        <v>138</v>
      </c>
      <c r="CK1" s="1" t="s">
        <v>139</v>
      </c>
      <c r="CL1" s="1" t="s">
        <v>140</v>
      </c>
      <c r="CM1" s="1" t="s">
        <v>141</v>
      </c>
      <c r="CN1" s="1" t="s">
        <v>142</v>
      </c>
      <c r="CO1" s="1" t="s">
        <v>143</v>
      </c>
      <c r="CP1" s="1" t="s">
        <v>144</v>
      </c>
      <c r="CQ1" s="1" t="s">
        <v>145</v>
      </c>
      <c r="CR1" s="1" t="s">
        <v>146</v>
      </c>
      <c r="CS1" s="1" t="s">
        <v>147</v>
      </c>
      <c r="CT1" s="1" t="s">
        <v>148</v>
      </c>
      <c r="CU1" s="1" t="s">
        <v>149</v>
      </c>
      <c r="CV1" s="1" t="s">
        <v>150</v>
      </c>
      <c r="CW1" s="1" t="s">
        <v>151</v>
      </c>
      <c r="CX1" s="1" t="s">
        <v>152</v>
      </c>
      <c r="CY1" s="1" t="s">
        <v>153</v>
      </c>
      <c r="CZ1" s="1" t="s">
        <v>154</v>
      </c>
      <c r="DA1" s="1" t="s">
        <v>155</v>
      </c>
      <c r="DB1" s="1" t="s">
        <v>156</v>
      </c>
      <c r="DC1" s="1" t="s">
        <v>157</v>
      </c>
      <c r="DD1" s="1" t="s">
        <v>158</v>
      </c>
      <c r="DE1" s="1" t="s">
        <v>159</v>
      </c>
      <c r="DF1" s="1" t="s">
        <v>160</v>
      </c>
      <c r="DG1" s="1" t="s">
        <v>161</v>
      </c>
      <c r="DH1" s="1" t="s">
        <v>162</v>
      </c>
      <c r="DI1" s="1" t="s">
        <v>163</v>
      </c>
      <c r="DJ1" s="1" t="s">
        <v>164</v>
      </c>
      <c r="DK1" s="1" t="s">
        <v>165</v>
      </c>
      <c r="DL1" s="1" t="s">
        <v>166</v>
      </c>
      <c r="DM1" s="1" t="s">
        <v>167</v>
      </c>
      <c r="DN1" s="1" t="s">
        <v>168</v>
      </c>
      <c r="DO1" s="1" t="s">
        <v>169</v>
      </c>
      <c r="DP1" s="1" t="s">
        <v>170</v>
      </c>
      <c r="DQ1" s="1" t="s">
        <v>171</v>
      </c>
      <c r="DR1" s="1" t="s">
        <v>41</v>
      </c>
      <c r="DS1" s="1" t="s">
        <v>42</v>
      </c>
      <c r="DT1" s="1" t="s">
        <v>43</v>
      </c>
      <c r="DU1" s="1" t="s">
        <v>44</v>
      </c>
      <c r="DV1" s="1" t="s">
        <v>45</v>
      </c>
      <c r="DW1" s="1" t="s">
        <v>46</v>
      </c>
      <c r="DX1" s="1" t="s">
        <v>172</v>
      </c>
      <c r="DY1" s="1" t="s">
        <v>173</v>
      </c>
      <c r="DZ1" s="1" t="s">
        <v>174</v>
      </c>
      <c r="EA1" s="1" t="s">
        <v>175</v>
      </c>
      <c r="EB1" s="1" t="s">
        <v>176</v>
      </c>
      <c r="EC1" s="1" t="s">
        <v>177</v>
      </c>
      <c r="ED1" s="1" t="s">
        <v>178</v>
      </c>
      <c r="EE1" s="1" t="s">
        <v>179</v>
      </c>
      <c r="EF1" s="1" t="s">
        <v>180</v>
      </c>
      <c r="EG1" s="1" t="s">
        <v>181</v>
      </c>
      <c r="EH1" s="1" t="s">
        <v>182</v>
      </c>
      <c r="EI1" s="1" t="s">
        <v>183</v>
      </c>
      <c r="EJ1" s="1" t="s">
        <v>184</v>
      </c>
      <c r="EK1" s="1" t="s">
        <v>185</v>
      </c>
      <c r="EL1" s="1" t="s">
        <v>186</v>
      </c>
      <c r="EM1" s="1" t="s">
        <v>187</v>
      </c>
      <c r="EN1" s="1" t="s">
        <v>188</v>
      </c>
      <c r="EO1" s="1" t="s">
        <v>189</v>
      </c>
      <c r="EP1" s="1" t="s">
        <v>190</v>
      </c>
      <c r="EQ1" s="1" t="s">
        <v>191</v>
      </c>
      <c r="ER1" s="1" t="s">
        <v>192</v>
      </c>
      <c r="ES1" s="1" t="s">
        <v>193</v>
      </c>
      <c r="ET1" s="1" t="s">
        <v>194</v>
      </c>
      <c r="EU1" s="1" t="s">
        <v>195</v>
      </c>
      <c r="EV1" s="1" t="s">
        <v>196</v>
      </c>
      <c r="EW1" s="1" t="s">
        <v>197</v>
      </c>
      <c r="EX1" s="1" t="s">
        <v>198</v>
      </c>
      <c r="EY1" s="1" t="s">
        <v>199</v>
      </c>
      <c r="EZ1" s="1" t="s">
        <v>200</v>
      </c>
      <c r="FA1" s="1" t="s">
        <v>201</v>
      </c>
      <c r="FB1" s="1" t="s">
        <v>202</v>
      </c>
      <c r="FC1" s="1" t="s">
        <v>203</v>
      </c>
      <c r="FD1" s="1" t="s">
        <v>204</v>
      </c>
      <c r="FE1" s="1" t="s">
        <v>205</v>
      </c>
      <c r="FF1" s="1" t="s">
        <v>206</v>
      </c>
      <c r="FG1" s="1" t="s">
        <v>207</v>
      </c>
      <c r="FH1" s="1" t="s">
        <v>208</v>
      </c>
      <c r="FI1" s="1" t="s">
        <v>209</v>
      </c>
      <c r="FJ1" s="1" t="s">
        <v>210</v>
      </c>
      <c r="FK1" s="1" t="s">
        <v>211</v>
      </c>
      <c r="FL1" s="1" t="s">
        <v>212</v>
      </c>
      <c r="FM1" s="1" t="s">
        <v>213</v>
      </c>
      <c r="FN1" s="1" t="s">
        <v>214</v>
      </c>
      <c r="FO1" s="1" t="s">
        <v>215</v>
      </c>
      <c r="FP1" s="1" t="s">
        <v>216</v>
      </c>
      <c r="FQ1" s="1" t="s">
        <v>217</v>
      </c>
      <c r="FR1" s="1" t="s">
        <v>218</v>
      </c>
      <c r="FS1" s="1" t="s">
        <v>219</v>
      </c>
      <c r="FT1" s="1" t="s">
        <v>220</v>
      </c>
      <c r="FU1" s="1" t="s">
        <v>221</v>
      </c>
      <c r="FV1" s="1" t="s">
        <v>222</v>
      </c>
      <c r="FW1" s="1" t="s">
        <v>223</v>
      </c>
      <c r="FX1" s="1" t="s">
        <v>224</v>
      </c>
      <c r="FY1" s="1" t="s">
        <v>225</v>
      </c>
      <c r="FZ1" s="1" t="s">
        <v>226</v>
      </c>
      <c r="GA1" s="1" t="s">
        <v>227</v>
      </c>
      <c r="GB1" s="1" t="s">
        <v>228</v>
      </c>
      <c r="GC1" s="1" t="s">
        <v>229</v>
      </c>
      <c r="GD1" s="1" t="s">
        <v>230</v>
      </c>
      <c r="GE1" s="1" t="s">
        <v>231</v>
      </c>
      <c r="GF1" s="1" t="s">
        <v>232</v>
      </c>
      <c r="GG1" s="1" t="s">
        <v>233</v>
      </c>
      <c r="GH1" s="1" t="s">
        <v>234</v>
      </c>
      <c r="GI1" s="1" t="s">
        <v>235</v>
      </c>
      <c r="GJ1" s="1" t="s">
        <v>236</v>
      </c>
      <c r="GK1" s="1" t="s">
        <v>237</v>
      </c>
      <c r="GL1" s="1" t="s">
        <v>238</v>
      </c>
      <c r="GM1" s="1" t="s">
        <v>239</v>
      </c>
      <c r="GN1" s="1" t="s">
        <v>240</v>
      </c>
      <c r="GO1" s="1" t="s">
        <v>241</v>
      </c>
      <c r="GP1" s="1" t="s">
        <v>242</v>
      </c>
      <c r="GQ1" s="1" t="s">
        <v>243</v>
      </c>
      <c r="GR1" s="1" t="s">
        <v>244</v>
      </c>
      <c r="GS1" s="1" t="s">
        <v>245</v>
      </c>
      <c r="GT1" s="1" t="s">
        <v>246</v>
      </c>
      <c r="GU1" s="1" t="s">
        <v>247</v>
      </c>
      <c r="GV1" s="1" t="s">
        <v>248</v>
      </c>
      <c r="GW1" s="1" t="s">
        <v>249</v>
      </c>
      <c r="GX1" s="1" t="s">
        <v>250</v>
      </c>
      <c r="GY1" s="1" t="s">
        <v>251</v>
      </c>
      <c r="GZ1" s="1" t="s">
        <v>252</v>
      </c>
      <c r="HA1" s="1" t="s">
        <v>253</v>
      </c>
      <c r="HB1" s="1" t="s">
        <v>254</v>
      </c>
      <c r="HC1" s="1" t="s">
        <v>255</v>
      </c>
      <c r="HD1" s="1" t="s">
        <v>256</v>
      </c>
      <c r="HE1" s="1" t="s">
        <v>257</v>
      </c>
      <c r="HF1" s="1" t="s">
        <v>258</v>
      </c>
      <c r="HG1" s="1" t="s">
        <v>259</v>
      </c>
      <c r="HH1" s="1" t="s">
        <v>260</v>
      </c>
      <c r="HI1" s="1" t="s">
        <v>261</v>
      </c>
      <c r="HJ1" s="1" t="s">
        <v>262</v>
      </c>
      <c r="HK1" s="1" t="s">
        <v>263</v>
      </c>
      <c r="HL1" s="1" t="s">
        <v>264</v>
      </c>
      <c r="HM1" s="1" t="s">
        <v>265</v>
      </c>
      <c r="HN1" s="1" t="s">
        <v>266</v>
      </c>
      <c r="HO1" s="1" t="s">
        <v>267</v>
      </c>
      <c r="HP1" s="1" t="s">
        <v>268</v>
      </c>
      <c r="HQ1" s="1" t="s">
        <v>269</v>
      </c>
      <c r="HR1" s="1" t="s">
        <v>270</v>
      </c>
      <c r="HS1" s="1" t="s">
        <v>271</v>
      </c>
      <c r="HT1" s="1" t="s">
        <v>272</v>
      </c>
      <c r="HU1" s="1" t="s">
        <v>273</v>
      </c>
      <c r="HV1" s="1" t="s">
        <v>274</v>
      </c>
      <c r="HW1" s="1" t="s">
        <v>275</v>
      </c>
      <c r="HX1" s="1" t="s">
        <v>276</v>
      </c>
      <c r="HY1" s="1" t="s">
        <v>277</v>
      </c>
      <c r="HZ1" s="1" t="s">
        <v>278</v>
      </c>
      <c r="IA1" s="1" t="s">
        <v>279</v>
      </c>
      <c r="IB1" s="1" t="s">
        <v>280</v>
      </c>
      <c r="IC1" s="1" t="s">
        <v>281</v>
      </c>
      <c r="ID1" s="1" t="s">
        <v>282</v>
      </c>
      <c r="IE1" s="1" t="s">
        <v>283</v>
      </c>
      <c r="IF1" s="1" t="s">
        <v>284</v>
      </c>
      <c r="IG1" s="1" t="s">
        <v>285</v>
      </c>
      <c r="II1" s="1" t="s">
        <v>286</v>
      </c>
      <c r="IJ1" s="1" t="s">
        <v>287</v>
      </c>
    </row>
    <row r="2" spans="1:279" s="1" customFormat="1" x14ac:dyDescent="0.35">
      <c r="A2" s="1">
        <f t="shared" ref="A2:A6" si="0">A3-1</f>
        <v>-6</v>
      </c>
      <c r="B2" s="10">
        <f t="shared" ref="B2:B6" si="1">B3</f>
        <v>1.0654E-2</v>
      </c>
      <c r="C2" s="10">
        <f t="shared" ref="C2:C6" si="2">C3</f>
        <v>1.0654E-2</v>
      </c>
      <c r="D2" s="10">
        <f t="shared" ref="D2:D6" si="3">D3</f>
        <v>1.06058E-2</v>
      </c>
      <c r="E2" s="10">
        <f t="shared" ref="E2:E6" si="4">E3</f>
        <v>1.04361E-2</v>
      </c>
      <c r="F2" s="10">
        <f t="shared" ref="F2:F6" si="5">F3</f>
        <v>9.7535E-3</v>
      </c>
      <c r="G2" s="10">
        <f t="shared" ref="G2:G6" si="6">G3</f>
        <v>9.1403999999999999E-3</v>
      </c>
      <c r="H2" s="10">
        <f t="shared" ref="H2:H6" si="7">H3</f>
        <v>8.5669000000000006E-3</v>
      </c>
      <c r="I2" s="10">
        <f t="shared" ref="I2:I6" si="8">I3</f>
        <v>7.9711000000000001E-3</v>
      </c>
      <c r="J2" s="10">
        <f t="shared" ref="J2:J6" si="9">J3</f>
        <v>7.4428000000000003E-3</v>
      </c>
      <c r="K2" s="10">
        <f t="shared" ref="K2:K6" si="10">K3</f>
        <v>6.9601000000000003E-3</v>
      </c>
      <c r="L2" s="10">
        <f t="shared" ref="L2:L6" si="11">L3</f>
        <v>6.5317999999999999E-3</v>
      </c>
      <c r="M2" s="10">
        <f t="shared" ref="M2:M6" si="12">M3</f>
        <v>6.1491999999999996E-3</v>
      </c>
      <c r="N2" s="10">
        <f t="shared" ref="N2:N6" si="13">N3</f>
        <v>5.8079999999999998E-3</v>
      </c>
      <c r="O2" s="10">
        <f t="shared" ref="O2:O6" si="14">O3</f>
        <v>5.5024999999999996E-3</v>
      </c>
      <c r="P2" s="10">
        <f t="shared" ref="P2:P6" si="15">P3</f>
        <v>5.2283E-3</v>
      </c>
      <c r="Q2" s="10">
        <f t="shared" ref="Q2:Q6" si="16">Q3</f>
        <v>4.9813000000000001E-3</v>
      </c>
      <c r="R2" s="10">
        <f t="shared" ref="R2:R6" si="17">R3</f>
        <v>4.7580000000000001E-3</v>
      </c>
      <c r="S2" s="10">
        <f t="shared" ref="S2:S6" si="18">S3</f>
        <v>4.5554000000000002E-3</v>
      </c>
      <c r="T2" s="10">
        <f t="shared" ref="T2:T6" si="19">T3</f>
        <v>4.3709999999999999E-3</v>
      </c>
      <c r="U2" s="10">
        <f t="shared" ref="U2:U6" si="20">U3</f>
        <v>4.2025999999999999E-3</v>
      </c>
      <c r="V2" s="10">
        <f t="shared" ref="V2:V6" si="21">V3</f>
        <v>4.0480999999999998E-3</v>
      </c>
      <c r="W2" s="10">
        <f t="shared" ref="W2:W6" si="22">W3</f>
        <v>3.9061E-3</v>
      </c>
      <c r="X2" s="10">
        <f t="shared" ref="X2:X6" si="23">X3</f>
        <v>3.7750000000000001E-3</v>
      </c>
      <c r="Y2" s="10">
        <f t="shared" ref="Y2:Y6" si="24">Y3</f>
        <v>3.6537000000000002E-3</v>
      </c>
      <c r="Z2" s="10">
        <f t="shared" ref="Z2:Z6" si="25">Z3</f>
        <v>3.5412E-3</v>
      </c>
      <c r="AA2" s="10">
        <f t="shared" ref="AA2:AA6" si="26">AA3</f>
        <v>3.4364E-3</v>
      </c>
      <c r="AB2" s="10">
        <f t="shared" ref="AB2:AB6" si="27">AB3</f>
        <v>3.3384999999999999E-3</v>
      </c>
      <c r="AC2" s="10">
        <f t="shared" ref="AC2:AC6" si="28">AC3</f>
        <v>3.2468000000000002E-3</v>
      </c>
      <c r="AD2" s="10">
        <f t="shared" ref="AD2:AD6" si="29">AD3</f>
        <v>3.1606999999999998E-3</v>
      </c>
      <c r="AE2" s="10">
        <f t="shared" ref="AE2:AE6" si="30">AE3</f>
        <v>3.0796999999999999E-3</v>
      </c>
      <c r="AF2" s="10">
        <f t="shared" ref="AF2:AF6" si="31">AF3</f>
        <v>3.0030999999999999E-3</v>
      </c>
      <c r="AG2" s="10">
        <f t="shared" ref="AG2:AG6" si="32">AG3</f>
        <v>2.9307000000000001E-3</v>
      </c>
      <c r="AH2" s="10">
        <f t="shared" ref="AH2:AH6" si="33">AH3</f>
        <v>2.8620999999999998E-3</v>
      </c>
      <c r="AI2" s="10">
        <f t="shared" ref="AI2:AI6" si="34">AI3</f>
        <v>2.7969000000000002E-3</v>
      </c>
      <c r="AJ2" s="10">
        <f t="shared" ref="AJ2:AJ6" si="35">AJ3</f>
        <v>2.7349000000000002E-3</v>
      </c>
      <c r="AK2" s="10">
        <f t="shared" ref="AK2:AK6" si="36">AK3</f>
        <v>2.6759000000000002E-3</v>
      </c>
      <c r="AL2" s="10">
        <f t="shared" ref="AL2:AL6" si="37">AL3</f>
        <v>2.6194999999999999E-3</v>
      </c>
      <c r="AM2" s="10">
        <f t="shared" ref="AM2:AM6" si="38">AM3</f>
        <v>2.5657000000000002E-3</v>
      </c>
      <c r="AN2" s="10">
        <f t="shared" ref="AN2:AN6" si="39">AN3</f>
        <v>2.5143000000000001E-3</v>
      </c>
      <c r="AO2" s="10">
        <f t="shared" ref="AO2:AO6" si="40">AO3</f>
        <v>2.4650000000000002E-3</v>
      </c>
      <c r="AP2" s="10">
        <f t="shared" ref="AP2:AP6" si="41">AP3</f>
        <v>2.4177000000000001E-3</v>
      </c>
      <c r="AQ2" s="10">
        <f t="shared" ref="AQ2:AQ6" si="42">AQ3</f>
        <v>2.3722999999999999E-3</v>
      </c>
      <c r="AR2" s="10">
        <f t="shared" ref="AR2:AR6" si="43">AR3</f>
        <v>2.3287E-3</v>
      </c>
      <c r="AS2" s="10">
        <f t="shared" ref="AS2:AS6" si="44">AS3</f>
        <v>2.2867E-3</v>
      </c>
      <c r="AT2" s="10">
        <f t="shared" ref="AT2:AT6" si="45">AT3</f>
        <v>2.2461999999999998E-3</v>
      </c>
      <c r="AU2" s="10">
        <f t="shared" ref="AU2:AU6" si="46">AU3</f>
        <v>2.2071999999999999E-3</v>
      </c>
      <c r="AV2" s="10">
        <f t="shared" ref="AV2:AV6" si="47">AV3</f>
        <v>2.1695E-3</v>
      </c>
      <c r="AW2" s="10">
        <f t="shared" ref="AW2:AW6" si="48">AW3</f>
        <v>2.1329999999999999E-3</v>
      </c>
      <c r="AX2" s="10">
        <f t="shared" ref="AX2:AX6" si="49">AX3</f>
        <v>2.0977000000000001E-3</v>
      </c>
      <c r="AY2" s="10">
        <f t="shared" ref="AY2:AY6" si="50">AY3</f>
        <v>2.0634E-3</v>
      </c>
      <c r="AZ2" s="10">
        <f t="shared" ref="AZ2:AZ6" si="51">AZ3</f>
        <v>2.0301999999999998E-3</v>
      </c>
      <c r="BA2" s="10">
        <f t="shared" ref="BA2:BA6" si="52">BA3</f>
        <v>1.9980000000000002E-3</v>
      </c>
      <c r="BB2" s="10">
        <f t="shared" ref="BB2:BB6" si="53">BB3</f>
        <v>1.9666000000000002E-3</v>
      </c>
      <c r="BC2" s="10">
        <f t="shared" ref="BC2:BC6" si="54">BC3</f>
        <v>1.9361000000000001E-3</v>
      </c>
      <c r="BD2" s="10">
        <f t="shared" ref="BD2:BD6" si="55">BD3</f>
        <v>1.9063000000000001E-3</v>
      </c>
      <c r="BE2" s="10">
        <f t="shared" ref="BE2:BE6" si="56">BE3</f>
        <v>1.8772999999999999E-3</v>
      </c>
      <c r="BF2" s="10">
        <f t="shared" ref="BF2:BF6" si="57">BF3</f>
        <v>1.8489999999999999E-3</v>
      </c>
      <c r="BG2" s="10">
        <f t="shared" ref="BG2:BG6" si="58">BG3</f>
        <v>1.8213000000000001E-3</v>
      </c>
      <c r="BH2" s="10">
        <f t="shared" ref="BH2:BH6" si="59">BH3</f>
        <v>1.7943E-3</v>
      </c>
      <c r="BI2" s="10">
        <f t="shared" ref="BI2:BI6" si="60">BI3</f>
        <v>1.7677999999999999E-3</v>
      </c>
      <c r="BJ2" s="10">
        <f t="shared" ref="BJ2:BJ6" si="61">BJ3</f>
        <v>1.7419E-3</v>
      </c>
      <c r="BK2" s="10">
        <f t="shared" ref="BK2:BK6" si="62">BK3</f>
        <v>1.7166E-3</v>
      </c>
      <c r="BL2" s="10">
        <f t="shared" ref="BL2:BL6" si="63">BL3</f>
        <v>1.6917E-3</v>
      </c>
      <c r="BM2" s="10">
        <f t="shared" ref="BM2:BM6" si="64">BM3</f>
        <v>1.6673E-3</v>
      </c>
      <c r="BN2" s="10">
        <f t="shared" ref="BN2:BN6" si="65">BN3</f>
        <v>1.6433999999999999E-3</v>
      </c>
      <c r="BO2" s="10">
        <f t="shared" ref="BO2:BO6" si="66">BO3</f>
        <v>1.6199000000000001E-3</v>
      </c>
      <c r="BP2" s="10">
        <f t="shared" ref="BP2:BP6" si="67">BP3</f>
        <v>1.5968E-3</v>
      </c>
      <c r="BQ2" s="10">
        <f t="shared" ref="BQ2:BQ6" si="68">BQ3</f>
        <v>1.5740999999999999E-3</v>
      </c>
      <c r="BR2" s="10">
        <f t="shared" ref="BR2:BR6" si="69">BR3</f>
        <v>1.5518000000000001E-3</v>
      </c>
      <c r="BS2" s="10">
        <f t="shared" ref="BS2:BS6" si="70">BS3</f>
        <v>1.5299000000000001E-3</v>
      </c>
      <c r="BT2" s="10">
        <f t="shared" ref="BT2:BT6" si="71">BT3</f>
        <v>1.5083E-3</v>
      </c>
      <c r="BU2" s="10">
        <f t="shared" ref="BU2:BU6" si="72">BU3</f>
        <v>1.4871000000000001E-3</v>
      </c>
      <c r="BV2" s="10">
        <f t="shared" ref="BV2:BV6" si="73">BV3</f>
        <v>1.4662E-3</v>
      </c>
      <c r="BW2" s="10">
        <f t="shared" ref="BW2:BW6" si="74">BW3</f>
        <v>1.4457000000000001E-3</v>
      </c>
      <c r="BX2" s="10">
        <f t="shared" ref="BX2:BX6" si="75">BX3</f>
        <v>1.4254000000000001E-3</v>
      </c>
      <c r="BY2" s="10">
        <f t="shared" ref="BY2:BY6" si="76">BY3</f>
        <v>1.4055000000000001E-3</v>
      </c>
      <c r="BZ2" s="10">
        <f t="shared" ref="BZ2:BZ6" si="77">BZ3</f>
        <v>1.3858E-3</v>
      </c>
      <c r="CA2" s="10">
        <f t="shared" ref="CA2:CA6" si="78">CA3</f>
        <v>1.3664E-3</v>
      </c>
      <c r="CB2" s="10">
        <f t="shared" ref="CB2:CB6" si="79">CB3</f>
        <v>1.3473999999999999E-3</v>
      </c>
      <c r="CC2" s="10">
        <f t="shared" ref="CC2:CC6" si="80">CC3</f>
        <v>1.3285E-3</v>
      </c>
      <c r="CD2" s="10">
        <f t="shared" ref="CD2:CD6" si="81">CD3</f>
        <v>1.31E-3</v>
      </c>
      <c r="CE2" s="10">
        <f t="shared" ref="CE2:CE6" si="82">CE3</f>
        <v>1.2917E-3</v>
      </c>
      <c r="CF2" s="10">
        <f t="shared" ref="CF2:CF6" si="83">CF3</f>
        <v>1.2737E-3</v>
      </c>
      <c r="CG2" s="10">
        <f t="shared" ref="CG2:CG6" si="84">CG3</f>
        <v>1.2558999999999999E-3</v>
      </c>
      <c r="CH2" s="10">
        <f t="shared" ref="CH2:CH6" si="85">CH3</f>
        <v>1.2384E-3</v>
      </c>
      <c r="CI2" s="10">
        <f t="shared" ref="CI2:CI6" si="86">CI3</f>
        <v>1.2210999999999999E-3</v>
      </c>
      <c r="CJ2" s="10">
        <f t="shared" ref="CJ2:CJ6" si="87">CJ3</f>
        <v>1.2041E-3</v>
      </c>
      <c r="CK2" s="10">
        <f t="shared" ref="CK2:CK6" si="88">CK3</f>
        <v>1.1873000000000001E-3</v>
      </c>
      <c r="CL2" s="10">
        <f t="shared" ref="CL2:CL6" si="89">CL3</f>
        <v>1.1707E-3</v>
      </c>
      <c r="CM2" s="10">
        <f t="shared" ref="CM2:CM6" si="90">CM3</f>
        <v>1.1543E-3</v>
      </c>
      <c r="CN2" s="10">
        <f t="shared" ref="CN2:CN6" si="91">CN3</f>
        <v>1.1382E-3</v>
      </c>
      <c r="CO2" s="10">
        <f t="shared" ref="CO2:CO6" si="92">CO3</f>
        <v>1.1222999999999999E-3</v>
      </c>
      <c r="CP2" s="10">
        <f t="shared" ref="CP2:CP6" si="93">CP3</f>
        <v>1.1065999999999999E-3</v>
      </c>
      <c r="CQ2" s="10">
        <f t="shared" ref="CQ2:CQ6" si="94">CQ3</f>
        <v>1.0911E-3</v>
      </c>
      <c r="CR2" s="10">
        <f t="shared" ref="CR2:CR6" si="95">CR3</f>
        <v>1.0759000000000001E-3</v>
      </c>
      <c r="CS2" s="10">
        <f t="shared" ref="CS2:CS6" si="96">CS3</f>
        <v>1.0608E-3</v>
      </c>
      <c r="CT2" s="10">
        <f t="shared" ref="CT2:CT6" si="97">CT3</f>
        <v>1.0459E-3</v>
      </c>
      <c r="CU2" s="10">
        <f t="shared" ref="CU2:CU6" si="98">CU3</f>
        <v>1.0313E-3</v>
      </c>
      <c r="CV2" s="10">
        <f t="shared" ref="CV2:CV6" si="99">CV3</f>
        <v>1.0168E-3</v>
      </c>
      <c r="CW2" s="10">
        <f t="shared" ref="CW2:CW6" si="100">CW3</f>
        <v>1.0026E-3</v>
      </c>
      <c r="CX2" s="10">
        <f t="shared" ref="CX2:CX6" si="101">CX3</f>
        <v>9.8850000000000001E-4</v>
      </c>
      <c r="CY2" s="10">
        <f t="shared" ref="CY2:CY6" si="102">CY3</f>
        <v>9.7460000000000005E-4</v>
      </c>
      <c r="CZ2" s="10">
        <f t="shared" ref="CZ2:CZ6" si="103">CZ3</f>
        <v>9.6089999999999999E-4</v>
      </c>
      <c r="DA2" s="10">
        <f t="shared" ref="DA2:DA6" si="104">DA3</f>
        <v>9.4740000000000004E-4</v>
      </c>
      <c r="DB2" s="10">
        <f t="shared" ref="DB2:DB6" si="105">DB3</f>
        <v>9.3409999999999999E-4</v>
      </c>
      <c r="DC2" s="10">
        <f t="shared" ref="DC2:DC6" si="106">DC3</f>
        <v>9.2100000000000005E-4</v>
      </c>
      <c r="DD2" s="10">
        <f t="shared" ref="DD2:DD6" si="107">DD3</f>
        <v>9.0799999999999995E-4</v>
      </c>
      <c r="DE2" s="10">
        <f t="shared" ref="DE2:DE6" si="108">DE3</f>
        <v>8.9519999999999997E-4</v>
      </c>
      <c r="DF2" s="10">
        <f t="shared" ref="DF2:DF6" si="109">DF3</f>
        <v>8.8259999999999999E-4</v>
      </c>
      <c r="DG2" s="10">
        <f t="shared" ref="DG2:DG6" si="110">DG3</f>
        <v>8.7020000000000001E-4</v>
      </c>
      <c r="DH2" s="10">
        <f t="shared" ref="DH2:DH6" si="111">DH3</f>
        <v>8.5789999999999998E-4</v>
      </c>
      <c r="DI2" s="10">
        <f t="shared" ref="DI2:DI6" si="112">DI3</f>
        <v>8.4579999999999996E-4</v>
      </c>
      <c r="DJ2" s="10">
        <f t="shared" ref="DJ2:DJ6" si="113">DJ3</f>
        <v>8.3390000000000005E-4</v>
      </c>
      <c r="DK2" s="10">
        <f t="shared" ref="DK2:DK6" si="114">DK3</f>
        <v>8.2209999999999998E-4</v>
      </c>
      <c r="DL2" s="10">
        <f t="shared" ref="DL2:DL6" si="115">DL3</f>
        <v>8.1050000000000002E-4</v>
      </c>
      <c r="DM2" s="10">
        <f t="shared" ref="DM2:DM6" si="116">DM3</f>
        <v>7.9909999999999996E-4</v>
      </c>
      <c r="DN2" s="10">
        <f t="shared" ref="DN2:DN6" si="117">DN3</f>
        <v>7.8779999999999996E-4</v>
      </c>
      <c r="DO2" s="10">
        <f t="shared" ref="DO2:DO6" si="118">DO3</f>
        <v>7.7669999999999996E-4</v>
      </c>
      <c r="DP2" s="10">
        <f t="shared" ref="DP2:DP6" si="119">DP3</f>
        <v>7.6570000000000002E-4</v>
      </c>
      <c r="DQ2" s="10">
        <f t="shared" ref="DQ2:DQ6" si="120">DQ3</f>
        <v>5.3164200000000002E-2</v>
      </c>
      <c r="DR2" s="10">
        <f t="shared" ref="DR2:DR6" si="121">DR3</f>
        <v>0</v>
      </c>
      <c r="DS2" s="10">
        <f t="shared" ref="DS2:DS6" si="122">DS3</f>
        <v>4.8199999999999999E-5</v>
      </c>
      <c r="DT2" s="10">
        <f t="shared" ref="DT2:DT6" si="123">DT3</f>
        <v>1.697E-4</v>
      </c>
      <c r="DU2" s="10">
        <f t="shared" ref="DU2:DU6" si="124">DU3</f>
        <v>6.826E-4</v>
      </c>
      <c r="DV2" s="10">
        <f t="shared" ref="DV2:DV6" si="125">DV3</f>
        <v>6.1309999999999999E-4</v>
      </c>
      <c r="DW2" s="10">
        <f t="shared" ref="DW2:DW6" si="126">DW3</f>
        <v>5.7359999999999996E-4</v>
      </c>
      <c r="DX2" s="10">
        <f t="shared" ref="DX2:DX6" si="127">DX3</f>
        <v>5.9579999999999995E-4</v>
      </c>
      <c r="DY2" s="10">
        <f t="shared" ref="DY2:DY6" si="128">DY3</f>
        <v>5.2820000000000005E-4</v>
      </c>
      <c r="DZ2" s="10">
        <f t="shared" ref="DZ2:DZ6" si="129">DZ3</f>
        <v>4.8280000000000003E-4</v>
      </c>
      <c r="EA2" s="10">
        <f t="shared" ref="EA2:EA6" si="130">EA3</f>
        <v>4.283E-4</v>
      </c>
      <c r="EB2" s="10">
        <f t="shared" ref="EB2:EB6" si="131">EB3</f>
        <v>3.8259999999999998E-4</v>
      </c>
      <c r="EC2" s="10">
        <f t="shared" ref="EC2:EC6" si="132">EC3</f>
        <v>3.412E-4</v>
      </c>
      <c r="ED2" s="10">
        <f t="shared" ref="ED2:ED6" si="133">ED3</f>
        <v>3.055E-4</v>
      </c>
      <c r="EE2" s="10">
        <f t="shared" ref="EE2:EE6" si="134">EE3</f>
        <v>2.742E-4</v>
      </c>
      <c r="EF2" s="10">
        <f t="shared" ref="EF2:EF6" si="135">EF3</f>
        <v>2.4699999999999999E-4</v>
      </c>
      <c r="EG2" s="10">
        <f t="shared" ref="EG2:EG6" si="136">EG3</f>
        <v>2.2330000000000001E-4</v>
      </c>
      <c r="EH2" s="10">
        <f t="shared" ref="EH2:EH6" si="137">EH3</f>
        <v>2.0259999999999999E-4</v>
      </c>
      <c r="EI2" s="10">
        <f t="shared" ref="EI2:EI6" si="138">EI3</f>
        <v>1.8440000000000001E-4</v>
      </c>
      <c r="EJ2" s="10">
        <f t="shared" ref="EJ2:EJ6" si="139">EJ3</f>
        <v>1.685E-4</v>
      </c>
      <c r="EK2" s="10">
        <f t="shared" ref="EK2:EK6" si="140">EK3</f>
        <v>1.5440000000000001E-4</v>
      </c>
      <c r="EL2" s="10">
        <f t="shared" ref="EL2:EL6" si="141">EL3</f>
        <v>1.4200000000000001E-4</v>
      </c>
      <c r="EM2" s="10">
        <f t="shared" ref="EM2:EM6" si="142">EM3</f>
        <v>1.3100000000000001E-4</v>
      </c>
      <c r="EN2" s="10">
        <f t="shared" ref="EN2:EN6" si="143">EN3</f>
        <v>1.2129999999999999E-4</v>
      </c>
      <c r="EO2" s="10">
        <f t="shared" ref="EO2:EO6" si="144">EO3</f>
        <v>1.126E-4</v>
      </c>
      <c r="EP2" s="10">
        <f t="shared" ref="EP2:EP6" si="145">EP3</f>
        <v>1.048E-4</v>
      </c>
      <c r="EQ2" s="10">
        <f t="shared" ref="EQ2:EQ6" si="146">EQ3</f>
        <v>9.7899999999999994E-5</v>
      </c>
      <c r="ER2" s="10">
        <f t="shared" ref="ER2:ER6" si="147">ER3</f>
        <v>9.1700000000000006E-5</v>
      </c>
      <c r="ES2" s="10">
        <f t="shared" ref="ES2:ES6" si="148">ES3</f>
        <v>8.6100000000000006E-5</v>
      </c>
      <c r="ET2" s="10">
        <f t="shared" ref="ET2:ET6" si="149">ET3</f>
        <v>8.1100000000000006E-5</v>
      </c>
      <c r="EU2" s="10">
        <f t="shared" ref="EU2:EU6" si="150">EU3</f>
        <v>7.6500000000000003E-5</v>
      </c>
      <c r="EV2" s="10">
        <f t="shared" ref="EV2:EV6" si="151">EV3</f>
        <v>7.2399999999999998E-5</v>
      </c>
      <c r="EW2" s="10">
        <f t="shared" ref="EW2:EW6" si="152">EW3</f>
        <v>6.86E-5</v>
      </c>
      <c r="EX2" s="10">
        <f t="shared" ref="EX2:EX6" si="153">EX3</f>
        <v>6.5199999999999999E-5</v>
      </c>
      <c r="EY2" s="10">
        <f t="shared" ref="EY2:EY6" si="154">EY3</f>
        <v>6.2000000000000003E-5</v>
      </c>
      <c r="EZ2" s="10">
        <f t="shared" ref="EZ2:EZ6" si="155">EZ3</f>
        <v>5.8999999999999998E-5</v>
      </c>
      <c r="FA2" s="10">
        <f t="shared" ref="FA2:FA6" si="156">FA3</f>
        <v>5.63E-5</v>
      </c>
      <c r="FB2" s="10">
        <f t="shared" ref="FB2:FB6" si="157">FB3</f>
        <v>5.38E-5</v>
      </c>
      <c r="FC2" s="10">
        <f t="shared" ref="FC2:FC6" si="158">FC3</f>
        <v>5.1499999999999998E-5</v>
      </c>
      <c r="FD2" s="10">
        <f t="shared" ref="FD2:FD6" si="159">FD3</f>
        <v>4.9299999999999999E-5</v>
      </c>
      <c r="FE2" s="10">
        <f t="shared" ref="FE2:FE6" si="160">FE3</f>
        <v>4.7299999999999998E-5</v>
      </c>
      <c r="FF2" s="10">
        <f t="shared" ref="FF2:FF6" si="161">FF3</f>
        <v>4.5399999999999999E-5</v>
      </c>
      <c r="FG2" s="10">
        <f t="shared" ref="FG2:FG6" si="162">FG3</f>
        <v>4.3600000000000003E-5</v>
      </c>
      <c r="FH2" s="10">
        <f t="shared" ref="FH2:FH6" si="163">FH3</f>
        <v>4.1999999999999998E-5</v>
      </c>
      <c r="FI2" s="10">
        <f t="shared" ref="FI2:FI6" si="164">FI3</f>
        <v>4.0500000000000002E-5</v>
      </c>
      <c r="FJ2" s="10">
        <f t="shared" ref="FJ2:FJ6" si="165">FJ3</f>
        <v>3.8999999999999999E-5</v>
      </c>
      <c r="FK2" s="10">
        <f t="shared" ref="FK2:FK6" si="166">FK3</f>
        <v>3.7700000000000002E-5</v>
      </c>
      <c r="FL2" s="10">
        <f t="shared" ref="FL2:FL6" si="167">FL3</f>
        <v>3.65E-5</v>
      </c>
      <c r="FM2" s="10">
        <f t="shared" ref="FM2:FM6" si="168">FM3</f>
        <v>3.5299999999999997E-5</v>
      </c>
      <c r="FN2" s="10">
        <f t="shared" ref="FN2:FN6" si="169">FN3</f>
        <v>3.4199999999999998E-5</v>
      </c>
      <c r="FO2" s="10">
        <f t="shared" ref="FO2:FO6" si="170">FO3</f>
        <v>3.3200000000000001E-5</v>
      </c>
      <c r="FP2" s="10">
        <f t="shared" ref="FP2:FP6" si="171">FP3</f>
        <v>3.2299999999999999E-5</v>
      </c>
      <c r="FQ2" s="10">
        <f t="shared" ref="FQ2:FQ6" si="172">FQ3</f>
        <v>3.1399999999999998E-5</v>
      </c>
      <c r="FR2" s="10">
        <f t="shared" ref="FR2:FR6" si="173">FR3</f>
        <v>3.0499999999999999E-5</v>
      </c>
      <c r="FS2" s="10">
        <f t="shared" ref="FS2:FS6" si="174">FS3</f>
        <v>2.9799999999999999E-5</v>
      </c>
      <c r="FT2" s="10">
        <f t="shared" ref="FT2:FT6" si="175">FT3</f>
        <v>2.9E-5</v>
      </c>
      <c r="FU2" s="10">
        <f t="shared" ref="FU2:FU6" si="176">FU3</f>
        <v>2.83E-5</v>
      </c>
      <c r="FV2" s="10">
        <f t="shared" ref="FV2:FV6" si="177">FV3</f>
        <v>2.7699999999999999E-5</v>
      </c>
      <c r="FW2" s="10">
        <f t="shared" ref="FW2:FW6" si="178">FW3</f>
        <v>2.6999999999999999E-5</v>
      </c>
      <c r="FX2" s="10">
        <f t="shared" ref="FX2:FX6" si="179">FX3</f>
        <v>2.65E-5</v>
      </c>
      <c r="FY2" s="10">
        <f t="shared" ref="FY2:FY6" si="180">FY3</f>
        <v>2.5899999999999999E-5</v>
      </c>
      <c r="FZ2" s="10">
        <f t="shared" ref="FZ2:FZ6" si="181">FZ3</f>
        <v>2.5400000000000001E-5</v>
      </c>
      <c r="GA2" s="10">
        <f t="shared" ref="GA2:GA6" si="182">GA3</f>
        <v>2.4899999999999999E-5</v>
      </c>
      <c r="GB2" s="10">
        <f t="shared" ref="GB2:GB6" si="183">GB3</f>
        <v>2.44E-5</v>
      </c>
      <c r="GC2" s="10">
        <f t="shared" ref="GC2:GC6" si="184">GC3</f>
        <v>2.3900000000000002E-5</v>
      </c>
      <c r="GD2" s="10">
        <f t="shared" ref="GD2:GD6" si="185">GD3</f>
        <v>2.3499999999999999E-5</v>
      </c>
      <c r="GE2" s="10">
        <f t="shared" ref="GE2:GE6" si="186">GE3</f>
        <v>2.3099999999999999E-5</v>
      </c>
      <c r="GF2" s="10">
        <f t="shared" ref="GF2:GF6" si="187">GF3</f>
        <v>2.27E-5</v>
      </c>
      <c r="GG2" s="10">
        <f t="shared" ref="GG2:GG6" si="188">GG3</f>
        <v>2.23E-5</v>
      </c>
      <c r="GH2" s="10">
        <f t="shared" ref="GH2:GH6" si="189">GH3</f>
        <v>2.19E-5</v>
      </c>
      <c r="GI2" s="10">
        <f t="shared" ref="GI2:GI6" si="190">GI3</f>
        <v>2.16E-5</v>
      </c>
      <c r="GJ2" s="10">
        <f t="shared" ref="GJ2:GJ6" si="191">GJ3</f>
        <v>2.12E-5</v>
      </c>
      <c r="GK2" s="10">
        <f t="shared" ref="GK2:GK6" si="192">GK3</f>
        <v>2.09E-5</v>
      </c>
      <c r="GL2" s="10">
        <f t="shared" ref="GL2:GL6" si="193">GL3</f>
        <v>2.0599999999999999E-5</v>
      </c>
      <c r="GM2" s="10">
        <f t="shared" ref="GM2:GM6" si="194">GM3</f>
        <v>2.0299999999999999E-5</v>
      </c>
      <c r="GN2" s="10">
        <f t="shared" ref="GN2:GN6" si="195">GN3</f>
        <v>1.9899999999999999E-5</v>
      </c>
      <c r="GO2" s="10">
        <f t="shared" ref="GO2:GO6" si="196">GO3</f>
        <v>1.9700000000000001E-5</v>
      </c>
      <c r="GP2" s="10">
        <f t="shared" ref="GP2:GP6" si="197">GP3</f>
        <v>1.9400000000000001E-5</v>
      </c>
      <c r="GQ2" s="10">
        <f t="shared" ref="GQ2:GQ6" si="198">GQ3</f>
        <v>1.91E-5</v>
      </c>
      <c r="GR2" s="10">
        <f t="shared" ref="GR2:GR6" si="199">GR3</f>
        <v>1.88E-5</v>
      </c>
      <c r="GS2" s="10">
        <f t="shared" ref="GS2:GS6" si="200">GS3</f>
        <v>1.8499999999999999E-5</v>
      </c>
      <c r="GT2" s="10">
        <f t="shared" ref="GT2:GT6" si="201">GT3</f>
        <v>1.8300000000000001E-5</v>
      </c>
      <c r="GU2" s="10">
        <f t="shared" ref="GU2:GU6" si="202">GU3</f>
        <v>1.8E-5</v>
      </c>
      <c r="GV2" s="10">
        <f t="shared" ref="GV2:GV6" si="203">GV3</f>
        <v>1.7799999999999999E-5</v>
      </c>
      <c r="GW2" s="10">
        <f t="shared" ref="GW2:GW6" si="204">GW3</f>
        <v>1.7499999999999998E-5</v>
      </c>
      <c r="GX2" s="10">
        <f t="shared" ref="GX2:GX6" si="205">GX3</f>
        <v>1.73E-5</v>
      </c>
      <c r="GY2" s="10">
        <f t="shared" ref="GY2:GY6" si="206">GY3</f>
        <v>1.7E-5</v>
      </c>
      <c r="GZ2" s="10">
        <f t="shared" ref="GZ2:GZ6" si="207">GZ3</f>
        <v>1.6799999999999998E-5</v>
      </c>
      <c r="HA2" s="10">
        <f t="shared" ref="HA2:HA6" si="208">HA3</f>
        <v>1.66E-5</v>
      </c>
      <c r="HB2" s="10">
        <f t="shared" ref="HB2:HB6" si="209">HB3</f>
        <v>1.6399999999999999E-5</v>
      </c>
      <c r="HC2" s="10">
        <f t="shared" ref="HC2:HC6" si="210">HC3</f>
        <v>1.6099999999999998E-5</v>
      </c>
      <c r="HD2" s="10">
        <f t="shared" ref="HD2:HD6" si="211">HD3</f>
        <v>1.59E-5</v>
      </c>
      <c r="HE2" s="10">
        <f t="shared" ref="HE2:HE6" si="212">HE3</f>
        <v>1.5699999999999999E-5</v>
      </c>
      <c r="HF2" s="10">
        <f t="shared" ref="HF2:HF6" si="213">HF3</f>
        <v>1.5500000000000001E-5</v>
      </c>
      <c r="HG2" s="10">
        <f t="shared" ref="HG2:HG6" si="214">HG3</f>
        <v>1.5299999999999999E-5</v>
      </c>
      <c r="HH2" s="10">
        <f t="shared" ref="HH2:HH6" si="215">HH3</f>
        <v>1.5099999999999999E-5</v>
      </c>
      <c r="HI2" s="10">
        <f t="shared" ref="HI2:HI6" si="216">HI3</f>
        <v>1.49E-5</v>
      </c>
      <c r="HJ2" s="10">
        <f t="shared" ref="HJ2:HJ6" si="217">HJ3</f>
        <v>1.47E-5</v>
      </c>
      <c r="HK2" s="10">
        <f t="shared" ref="HK2:HK6" si="218">HK3</f>
        <v>1.45E-5</v>
      </c>
      <c r="HL2" s="10">
        <f t="shared" ref="HL2:HL6" si="219">HL3</f>
        <v>1.43E-5</v>
      </c>
      <c r="HM2" s="10">
        <f t="shared" ref="HM2:HM6" si="220">HM3</f>
        <v>1.4100000000000001E-5</v>
      </c>
      <c r="HN2" s="10">
        <f t="shared" ref="HN2:HN6" si="221">HN3</f>
        <v>1.3900000000000001E-5</v>
      </c>
      <c r="HO2" s="10">
        <f t="shared" ref="HO2:HO6" si="222">HO3</f>
        <v>1.3699999999999999E-5</v>
      </c>
      <c r="HP2" s="10">
        <f t="shared" ref="HP2:HP6" si="223">HP3</f>
        <v>1.3499999999999999E-5</v>
      </c>
      <c r="HQ2" s="10">
        <f t="shared" ref="HQ2:HQ6" si="224">HQ3</f>
        <v>1.33E-5</v>
      </c>
      <c r="HR2" s="10">
        <f t="shared" ref="HR2:HR6" si="225">HR3</f>
        <v>1.31E-5</v>
      </c>
      <c r="HS2" s="10">
        <f t="shared" ref="HS2:HS6" si="226">HS3</f>
        <v>1.2999999999999999E-5</v>
      </c>
      <c r="HT2" s="10">
        <f t="shared" ref="HT2:HT6" si="227">HT3</f>
        <v>1.2799999999999999E-5</v>
      </c>
      <c r="HU2" s="10">
        <f t="shared" ref="HU2:HU6" si="228">HU3</f>
        <v>1.26E-5</v>
      </c>
      <c r="HV2" s="10">
        <f t="shared" ref="HV2:HV6" si="229">HV3</f>
        <v>1.24E-5</v>
      </c>
      <c r="HW2" s="10">
        <f t="shared" ref="HW2:HW6" si="230">HW3</f>
        <v>1.2300000000000001E-5</v>
      </c>
      <c r="HX2" s="10">
        <f t="shared" ref="HX2:HX6" si="231">HX3</f>
        <v>1.2099999999999999E-5</v>
      </c>
      <c r="HY2" s="10">
        <f t="shared" ref="HY2:HY6" si="232">HY3</f>
        <v>1.19E-5</v>
      </c>
      <c r="HZ2" s="10">
        <f t="shared" ref="HZ2:HZ6" si="233">HZ3</f>
        <v>1.1800000000000001E-5</v>
      </c>
      <c r="IA2" s="10">
        <f t="shared" ref="IA2:IA6" si="234">IA3</f>
        <v>1.1600000000000001E-5</v>
      </c>
      <c r="IB2" s="10">
        <f t="shared" ref="IB2:IB6" si="235">IB3</f>
        <v>1.1399999999999999E-5</v>
      </c>
      <c r="IC2" s="10">
        <f t="shared" ref="IC2:IC6" si="236">IC3</f>
        <v>1.13E-5</v>
      </c>
      <c r="ID2" s="10">
        <f t="shared" ref="ID2:ID6" si="237">ID3</f>
        <v>1.11E-5</v>
      </c>
      <c r="IE2" s="10">
        <f t="shared" ref="IE2:IE6" si="238">IE3</f>
        <v>1.1E-5</v>
      </c>
      <c r="IF2" s="10">
        <f t="shared" ref="IF2:IF6" si="239">IF3</f>
        <v>1.08E-5</v>
      </c>
      <c r="IG2" s="10">
        <f t="shared" ref="IG2:IG6" si="240">IG3</f>
        <v>7.5480000000000002E-4</v>
      </c>
      <c r="JK2"/>
      <c r="JL2"/>
      <c r="JM2"/>
      <c r="JN2"/>
      <c r="JO2"/>
      <c r="JP2"/>
      <c r="JQ2"/>
      <c r="JR2"/>
      <c r="JS2"/>
    </row>
    <row r="3" spans="1:279" s="1" customFormat="1" x14ac:dyDescent="0.35">
      <c r="A3" s="1">
        <f t="shared" si="0"/>
        <v>-5</v>
      </c>
      <c r="B3" s="10">
        <f t="shared" si="1"/>
        <v>1.0654E-2</v>
      </c>
      <c r="C3" s="10">
        <f t="shared" si="2"/>
        <v>1.0654E-2</v>
      </c>
      <c r="D3" s="10">
        <f t="shared" si="3"/>
        <v>1.06058E-2</v>
      </c>
      <c r="E3" s="10">
        <f t="shared" si="4"/>
        <v>1.04361E-2</v>
      </c>
      <c r="F3" s="10">
        <f t="shared" si="5"/>
        <v>9.7535E-3</v>
      </c>
      <c r="G3" s="10">
        <f t="shared" si="6"/>
        <v>9.1403999999999999E-3</v>
      </c>
      <c r="H3" s="10">
        <f t="shared" si="7"/>
        <v>8.5669000000000006E-3</v>
      </c>
      <c r="I3" s="10">
        <f t="shared" si="8"/>
        <v>7.9711000000000001E-3</v>
      </c>
      <c r="J3" s="10">
        <f t="shared" si="9"/>
        <v>7.4428000000000003E-3</v>
      </c>
      <c r="K3" s="10">
        <f t="shared" si="10"/>
        <v>6.9601000000000003E-3</v>
      </c>
      <c r="L3" s="10">
        <f t="shared" si="11"/>
        <v>6.5317999999999999E-3</v>
      </c>
      <c r="M3" s="10">
        <f t="shared" si="12"/>
        <v>6.1491999999999996E-3</v>
      </c>
      <c r="N3" s="10">
        <f t="shared" si="13"/>
        <v>5.8079999999999998E-3</v>
      </c>
      <c r="O3" s="10">
        <f t="shared" si="14"/>
        <v>5.5024999999999996E-3</v>
      </c>
      <c r="P3" s="10">
        <f t="shared" si="15"/>
        <v>5.2283E-3</v>
      </c>
      <c r="Q3" s="10">
        <f t="shared" si="16"/>
        <v>4.9813000000000001E-3</v>
      </c>
      <c r="R3" s="10">
        <f t="shared" si="17"/>
        <v>4.7580000000000001E-3</v>
      </c>
      <c r="S3" s="10">
        <f t="shared" si="18"/>
        <v>4.5554000000000002E-3</v>
      </c>
      <c r="T3" s="10">
        <f t="shared" si="19"/>
        <v>4.3709999999999999E-3</v>
      </c>
      <c r="U3" s="10">
        <f t="shared" si="20"/>
        <v>4.2025999999999999E-3</v>
      </c>
      <c r="V3" s="10">
        <f t="shared" si="21"/>
        <v>4.0480999999999998E-3</v>
      </c>
      <c r="W3" s="10">
        <f t="shared" si="22"/>
        <v>3.9061E-3</v>
      </c>
      <c r="X3" s="10">
        <f t="shared" si="23"/>
        <v>3.7750000000000001E-3</v>
      </c>
      <c r="Y3" s="10">
        <f t="shared" si="24"/>
        <v>3.6537000000000002E-3</v>
      </c>
      <c r="Z3" s="10">
        <f t="shared" si="25"/>
        <v>3.5412E-3</v>
      </c>
      <c r="AA3" s="10">
        <f t="shared" si="26"/>
        <v>3.4364E-3</v>
      </c>
      <c r="AB3" s="10">
        <f t="shared" si="27"/>
        <v>3.3384999999999999E-3</v>
      </c>
      <c r="AC3" s="10">
        <f t="shared" si="28"/>
        <v>3.2468000000000002E-3</v>
      </c>
      <c r="AD3" s="10">
        <f t="shared" si="29"/>
        <v>3.1606999999999998E-3</v>
      </c>
      <c r="AE3" s="10">
        <f t="shared" si="30"/>
        <v>3.0796999999999999E-3</v>
      </c>
      <c r="AF3" s="10">
        <f t="shared" si="31"/>
        <v>3.0030999999999999E-3</v>
      </c>
      <c r="AG3" s="10">
        <f t="shared" si="32"/>
        <v>2.9307000000000001E-3</v>
      </c>
      <c r="AH3" s="10">
        <f t="shared" si="33"/>
        <v>2.8620999999999998E-3</v>
      </c>
      <c r="AI3" s="10">
        <f t="shared" si="34"/>
        <v>2.7969000000000002E-3</v>
      </c>
      <c r="AJ3" s="10">
        <f t="shared" si="35"/>
        <v>2.7349000000000002E-3</v>
      </c>
      <c r="AK3" s="10">
        <f t="shared" si="36"/>
        <v>2.6759000000000002E-3</v>
      </c>
      <c r="AL3" s="10">
        <f t="shared" si="37"/>
        <v>2.6194999999999999E-3</v>
      </c>
      <c r="AM3" s="10">
        <f t="shared" si="38"/>
        <v>2.5657000000000002E-3</v>
      </c>
      <c r="AN3" s="10">
        <f t="shared" si="39"/>
        <v>2.5143000000000001E-3</v>
      </c>
      <c r="AO3" s="10">
        <f t="shared" si="40"/>
        <v>2.4650000000000002E-3</v>
      </c>
      <c r="AP3" s="10">
        <f t="shared" si="41"/>
        <v>2.4177000000000001E-3</v>
      </c>
      <c r="AQ3" s="10">
        <f t="shared" si="42"/>
        <v>2.3722999999999999E-3</v>
      </c>
      <c r="AR3" s="10">
        <f t="shared" si="43"/>
        <v>2.3287E-3</v>
      </c>
      <c r="AS3" s="10">
        <f t="shared" si="44"/>
        <v>2.2867E-3</v>
      </c>
      <c r="AT3" s="10">
        <f t="shared" si="45"/>
        <v>2.2461999999999998E-3</v>
      </c>
      <c r="AU3" s="10">
        <f t="shared" si="46"/>
        <v>2.2071999999999999E-3</v>
      </c>
      <c r="AV3" s="10">
        <f t="shared" si="47"/>
        <v>2.1695E-3</v>
      </c>
      <c r="AW3" s="10">
        <f t="shared" si="48"/>
        <v>2.1329999999999999E-3</v>
      </c>
      <c r="AX3" s="10">
        <f t="shared" si="49"/>
        <v>2.0977000000000001E-3</v>
      </c>
      <c r="AY3" s="10">
        <f t="shared" si="50"/>
        <v>2.0634E-3</v>
      </c>
      <c r="AZ3" s="10">
        <f t="shared" si="51"/>
        <v>2.0301999999999998E-3</v>
      </c>
      <c r="BA3" s="10">
        <f t="shared" si="52"/>
        <v>1.9980000000000002E-3</v>
      </c>
      <c r="BB3" s="10">
        <f t="shared" si="53"/>
        <v>1.9666000000000002E-3</v>
      </c>
      <c r="BC3" s="10">
        <f t="shared" si="54"/>
        <v>1.9361000000000001E-3</v>
      </c>
      <c r="BD3" s="10">
        <f t="shared" si="55"/>
        <v>1.9063000000000001E-3</v>
      </c>
      <c r="BE3" s="10">
        <f t="shared" si="56"/>
        <v>1.8772999999999999E-3</v>
      </c>
      <c r="BF3" s="10">
        <f t="shared" si="57"/>
        <v>1.8489999999999999E-3</v>
      </c>
      <c r="BG3" s="10">
        <f t="shared" si="58"/>
        <v>1.8213000000000001E-3</v>
      </c>
      <c r="BH3" s="10">
        <f t="shared" si="59"/>
        <v>1.7943E-3</v>
      </c>
      <c r="BI3" s="10">
        <f t="shared" si="60"/>
        <v>1.7677999999999999E-3</v>
      </c>
      <c r="BJ3" s="10">
        <f t="shared" si="61"/>
        <v>1.7419E-3</v>
      </c>
      <c r="BK3" s="10">
        <f t="shared" si="62"/>
        <v>1.7166E-3</v>
      </c>
      <c r="BL3" s="10">
        <f t="shared" si="63"/>
        <v>1.6917E-3</v>
      </c>
      <c r="BM3" s="10">
        <f t="shared" si="64"/>
        <v>1.6673E-3</v>
      </c>
      <c r="BN3" s="10">
        <f t="shared" si="65"/>
        <v>1.6433999999999999E-3</v>
      </c>
      <c r="BO3" s="10">
        <f t="shared" si="66"/>
        <v>1.6199000000000001E-3</v>
      </c>
      <c r="BP3" s="10">
        <f t="shared" si="67"/>
        <v>1.5968E-3</v>
      </c>
      <c r="BQ3" s="10">
        <f t="shared" si="68"/>
        <v>1.5740999999999999E-3</v>
      </c>
      <c r="BR3" s="10">
        <f t="shared" si="69"/>
        <v>1.5518000000000001E-3</v>
      </c>
      <c r="BS3" s="10">
        <f t="shared" si="70"/>
        <v>1.5299000000000001E-3</v>
      </c>
      <c r="BT3" s="10">
        <f t="shared" si="71"/>
        <v>1.5083E-3</v>
      </c>
      <c r="BU3" s="10">
        <f t="shared" si="72"/>
        <v>1.4871000000000001E-3</v>
      </c>
      <c r="BV3" s="10">
        <f t="shared" si="73"/>
        <v>1.4662E-3</v>
      </c>
      <c r="BW3" s="10">
        <f t="shared" si="74"/>
        <v>1.4457000000000001E-3</v>
      </c>
      <c r="BX3" s="10">
        <f t="shared" si="75"/>
        <v>1.4254000000000001E-3</v>
      </c>
      <c r="BY3" s="10">
        <f t="shared" si="76"/>
        <v>1.4055000000000001E-3</v>
      </c>
      <c r="BZ3" s="10">
        <f t="shared" si="77"/>
        <v>1.3858E-3</v>
      </c>
      <c r="CA3" s="10">
        <f t="shared" si="78"/>
        <v>1.3664E-3</v>
      </c>
      <c r="CB3" s="10">
        <f t="shared" si="79"/>
        <v>1.3473999999999999E-3</v>
      </c>
      <c r="CC3" s="10">
        <f t="shared" si="80"/>
        <v>1.3285E-3</v>
      </c>
      <c r="CD3" s="10">
        <f t="shared" si="81"/>
        <v>1.31E-3</v>
      </c>
      <c r="CE3" s="10">
        <f t="shared" si="82"/>
        <v>1.2917E-3</v>
      </c>
      <c r="CF3" s="10">
        <f t="shared" si="83"/>
        <v>1.2737E-3</v>
      </c>
      <c r="CG3" s="10">
        <f t="shared" si="84"/>
        <v>1.2558999999999999E-3</v>
      </c>
      <c r="CH3" s="10">
        <f t="shared" si="85"/>
        <v>1.2384E-3</v>
      </c>
      <c r="CI3" s="10">
        <f t="shared" si="86"/>
        <v>1.2210999999999999E-3</v>
      </c>
      <c r="CJ3" s="10">
        <f t="shared" si="87"/>
        <v>1.2041E-3</v>
      </c>
      <c r="CK3" s="10">
        <f t="shared" si="88"/>
        <v>1.1873000000000001E-3</v>
      </c>
      <c r="CL3" s="10">
        <f t="shared" si="89"/>
        <v>1.1707E-3</v>
      </c>
      <c r="CM3" s="10">
        <f t="shared" si="90"/>
        <v>1.1543E-3</v>
      </c>
      <c r="CN3" s="10">
        <f t="shared" si="91"/>
        <v>1.1382E-3</v>
      </c>
      <c r="CO3" s="10">
        <f t="shared" si="92"/>
        <v>1.1222999999999999E-3</v>
      </c>
      <c r="CP3" s="10">
        <f t="shared" si="93"/>
        <v>1.1065999999999999E-3</v>
      </c>
      <c r="CQ3" s="10">
        <f t="shared" si="94"/>
        <v>1.0911E-3</v>
      </c>
      <c r="CR3" s="10">
        <f t="shared" si="95"/>
        <v>1.0759000000000001E-3</v>
      </c>
      <c r="CS3" s="10">
        <f t="shared" si="96"/>
        <v>1.0608E-3</v>
      </c>
      <c r="CT3" s="10">
        <f t="shared" si="97"/>
        <v>1.0459E-3</v>
      </c>
      <c r="CU3" s="10">
        <f t="shared" si="98"/>
        <v>1.0313E-3</v>
      </c>
      <c r="CV3" s="10">
        <f t="shared" si="99"/>
        <v>1.0168E-3</v>
      </c>
      <c r="CW3" s="10">
        <f t="shared" si="100"/>
        <v>1.0026E-3</v>
      </c>
      <c r="CX3" s="10">
        <f t="shared" si="101"/>
        <v>9.8850000000000001E-4</v>
      </c>
      <c r="CY3" s="10">
        <f t="shared" si="102"/>
        <v>9.7460000000000005E-4</v>
      </c>
      <c r="CZ3" s="10">
        <f t="shared" si="103"/>
        <v>9.6089999999999999E-4</v>
      </c>
      <c r="DA3" s="10">
        <f t="shared" si="104"/>
        <v>9.4740000000000004E-4</v>
      </c>
      <c r="DB3" s="10">
        <f t="shared" si="105"/>
        <v>9.3409999999999999E-4</v>
      </c>
      <c r="DC3" s="10">
        <f t="shared" si="106"/>
        <v>9.2100000000000005E-4</v>
      </c>
      <c r="DD3" s="10">
        <f t="shared" si="107"/>
        <v>9.0799999999999995E-4</v>
      </c>
      <c r="DE3" s="10">
        <f t="shared" si="108"/>
        <v>8.9519999999999997E-4</v>
      </c>
      <c r="DF3" s="10">
        <f t="shared" si="109"/>
        <v>8.8259999999999999E-4</v>
      </c>
      <c r="DG3" s="10">
        <f t="shared" si="110"/>
        <v>8.7020000000000001E-4</v>
      </c>
      <c r="DH3" s="10">
        <f t="shared" si="111"/>
        <v>8.5789999999999998E-4</v>
      </c>
      <c r="DI3" s="10">
        <f t="shared" si="112"/>
        <v>8.4579999999999996E-4</v>
      </c>
      <c r="DJ3" s="10">
        <f t="shared" si="113"/>
        <v>8.3390000000000005E-4</v>
      </c>
      <c r="DK3" s="10">
        <f t="shared" si="114"/>
        <v>8.2209999999999998E-4</v>
      </c>
      <c r="DL3" s="10">
        <f t="shared" si="115"/>
        <v>8.1050000000000002E-4</v>
      </c>
      <c r="DM3" s="10">
        <f t="shared" si="116"/>
        <v>7.9909999999999996E-4</v>
      </c>
      <c r="DN3" s="10">
        <f t="shared" si="117"/>
        <v>7.8779999999999996E-4</v>
      </c>
      <c r="DO3" s="10">
        <f t="shared" si="118"/>
        <v>7.7669999999999996E-4</v>
      </c>
      <c r="DP3" s="10">
        <f t="shared" si="119"/>
        <v>7.6570000000000002E-4</v>
      </c>
      <c r="DQ3" s="10">
        <f t="shared" si="120"/>
        <v>5.3164200000000002E-2</v>
      </c>
      <c r="DR3" s="10">
        <f t="shared" si="121"/>
        <v>0</v>
      </c>
      <c r="DS3" s="10">
        <f t="shared" si="122"/>
        <v>4.8199999999999999E-5</v>
      </c>
      <c r="DT3" s="10">
        <f t="shared" si="123"/>
        <v>1.697E-4</v>
      </c>
      <c r="DU3" s="10">
        <f t="shared" si="124"/>
        <v>6.826E-4</v>
      </c>
      <c r="DV3" s="10">
        <f t="shared" si="125"/>
        <v>6.1309999999999999E-4</v>
      </c>
      <c r="DW3" s="10">
        <f t="shared" si="126"/>
        <v>5.7359999999999996E-4</v>
      </c>
      <c r="DX3" s="10">
        <f t="shared" si="127"/>
        <v>5.9579999999999995E-4</v>
      </c>
      <c r="DY3" s="10">
        <f t="shared" si="128"/>
        <v>5.2820000000000005E-4</v>
      </c>
      <c r="DZ3" s="10">
        <f t="shared" si="129"/>
        <v>4.8280000000000003E-4</v>
      </c>
      <c r="EA3" s="10">
        <f t="shared" si="130"/>
        <v>4.283E-4</v>
      </c>
      <c r="EB3" s="10">
        <f t="shared" si="131"/>
        <v>3.8259999999999998E-4</v>
      </c>
      <c r="EC3" s="10">
        <f t="shared" si="132"/>
        <v>3.412E-4</v>
      </c>
      <c r="ED3" s="10">
        <f t="shared" si="133"/>
        <v>3.055E-4</v>
      </c>
      <c r="EE3" s="10">
        <f t="shared" si="134"/>
        <v>2.742E-4</v>
      </c>
      <c r="EF3" s="10">
        <f t="shared" si="135"/>
        <v>2.4699999999999999E-4</v>
      </c>
      <c r="EG3" s="10">
        <f t="shared" si="136"/>
        <v>2.2330000000000001E-4</v>
      </c>
      <c r="EH3" s="10">
        <f t="shared" si="137"/>
        <v>2.0259999999999999E-4</v>
      </c>
      <c r="EI3" s="10">
        <f t="shared" si="138"/>
        <v>1.8440000000000001E-4</v>
      </c>
      <c r="EJ3" s="10">
        <f t="shared" si="139"/>
        <v>1.685E-4</v>
      </c>
      <c r="EK3" s="10">
        <f t="shared" si="140"/>
        <v>1.5440000000000001E-4</v>
      </c>
      <c r="EL3" s="10">
        <f t="shared" si="141"/>
        <v>1.4200000000000001E-4</v>
      </c>
      <c r="EM3" s="10">
        <f t="shared" si="142"/>
        <v>1.3100000000000001E-4</v>
      </c>
      <c r="EN3" s="10">
        <f t="shared" si="143"/>
        <v>1.2129999999999999E-4</v>
      </c>
      <c r="EO3" s="10">
        <f t="shared" si="144"/>
        <v>1.126E-4</v>
      </c>
      <c r="EP3" s="10">
        <f t="shared" si="145"/>
        <v>1.048E-4</v>
      </c>
      <c r="EQ3" s="10">
        <f t="shared" si="146"/>
        <v>9.7899999999999994E-5</v>
      </c>
      <c r="ER3" s="10">
        <f t="shared" si="147"/>
        <v>9.1700000000000006E-5</v>
      </c>
      <c r="ES3" s="10">
        <f t="shared" si="148"/>
        <v>8.6100000000000006E-5</v>
      </c>
      <c r="ET3" s="10">
        <f t="shared" si="149"/>
        <v>8.1100000000000006E-5</v>
      </c>
      <c r="EU3" s="10">
        <f t="shared" si="150"/>
        <v>7.6500000000000003E-5</v>
      </c>
      <c r="EV3" s="10">
        <f t="shared" si="151"/>
        <v>7.2399999999999998E-5</v>
      </c>
      <c r="EW3" s="10">
        <f t="shared" si="152"/>
        <v>6.86E-5</v>
      </c>
      <c r="EX3" s="10">
        <f t="shared" si="153"/>
        <v>6.5199999999999999E-5</v>
      </c>
      <c r="EY3" s="10">
        <f t="shared" si="154"/>
        <v>6.2000000000000003E-5</v>
      </c>
      <c r="EZ3" s="10">
        <f t="shared" si="155"/>
        <v>5.8999999999999998E-5</v>
      </c>
      <c r="FA3" s="10">
        <f t="shared" si="156"/>
        <v>5.63E-5</v>
      </c>
      <c r="FB3" s="10">
        <f t="shared" si="157"/>
        <v>5.38E-5</v>
      </c>
      <c r="FC3" s="10">
        <f t="shared" si="158"/>
        <v>5.1499999999999998E-5</v>
      </c>
      <c r="FD3" s="10">
        <f t="shared" si="159"/>
        <v>4.9299999999999999E-5</v>
      </c>
      <c r="FE3" s="10">
        <f t="shared" si="160"/>
        <v>4.7299999999999998E-5</v>
      </c>
      <c r="FF3" s="10">
        <f t="shared" si="161"/>
        <v>4.5399999999999999E-5</v>
      </c>
      <c r="FG3" s="10">
        <f t="shared" si="162"/>
        <v>4.3600000000000003E-5</v>
      </c>
      <c r="FH3" s="10">
        <f t="shared" si="163"/>
        <v>4.1999999999999998E-5</v>
      </c>
      <c r="FI3" s="10">
        <f t="shared" si="164"/>
        <v>4.0500000000000002E-5</v>
      </c>
      <c r="FJ3" s="10">
        <f t="shared" si="165"/>
        <v>3.8999999999999999E-5</v>
      </c>
      <c r="FK3" s="10">
        <f t="shared" si="166"/>
        <v>3.7700000000000002E-5</v>
      </c>
      <c r="FL3" s="10">
        <f t="shared" si="167"/>
        <v>3.65E-5</v>
      </c>
      <c r="FM3" s="10">
        <f t="shared" si="168"/>
        <v>3.5299999999999997E-5</v>
      </c>
      <c r="FN3" s="10">
        <f t="shared" si="169"/>
        <v>3.4199999999999998E-5</v>
      </c>
      <c r="FO3" s="10">
        <f t="shared" si="170"/>
        <v>3.3200000000000001E-5</v>
      </c>
      <c r="FP3" s="10">
        <f t="shared" si="171"/>
        <v>3.2299999999999999E-5</v>
      </c>
      <c r="FQ3" s="10">
        <f t="shared" si="172"/>
        <v>3.1399999999999998E-5</v>
      </c>
      <c r="FR3" s="10">
        <f t="shared" si="173"/>
        <v>3.0499999999999999E-5</v>
      </c>
      <c r="FS3" s="10">
        <f t="shared" si="174"/>
        <v>2.9799999999999999E-5</v>
      </c>
      <c r="FT3" s="10">
        <f t="shared" si="175"/>
        <v>2.9E-5</v>
      </c>
      <c r="FU3" s="10">
        <f t="shared" si="176"/>
        <v>2.83E-5</v>
      </c>
      <c r="FV3" s="10">
        <f t="shared" si="177"/>
        <v>2.7699999999999999E-5</v>
      </c>
      <c r="FW3" s="10">
        <f t="shared" si="178"/>
        <v>2.6999999999999999E-5</v>
      </c>
      <c r="FX3" s="10">
        <f t="shared" si="179"/>
        <v>2.65E-5</v>
      </c>
      <c r="FY3" s="10">
        <f t="shared" si="180"/>
        <v>2.5899999999999999E-5</v>
      </c>
      <c r="FZ3" s="10">
        <f t="shared" si="181"/>
        <v>2.5400000000000001E-5</v>
      </c>
      <c r="GA3" s="10">
        <f t="shared" si="182"/>
        <v>2.4899999999999999E-5</v>
      </c>
      <c r="GB3" s="10">
        <f t="shared" si="183"/>
        <v>2.44E-5</v>
      </c>
      <c r="GC3" s="10">
        <f t="shared" si="184"/>
        <v>2.3900000000000002E-5</v>
      </c>
      <c r="GD3" s="10">
        <f t="shared" si="185"/>
        <v>2.3499999999999999E-5</v>
      </c>
      <c r="GE3" s="10">
        <f t="shared" si="186"/>
        <v>2.3099999999999999E-5</v>
      </c>
      <c r="GF3" s="10">
        <f t="shared" si="187"/>
        <v>2.27E-5</v>
      </c>
      <c r="GG3" s="10">
        <f t="shared" si="188"/>
        <v>2.23E-5</v>
      </c>
      <c r="GH3" s="10">
        <f t="shared" si="189"/>
        <v>2.19E-5</v>
      </c>
      <c r="GI3" s="10">
        <f t="shared" si="190"/>
        <v>2.16E-5</v>
      </c>
      <c r="GJ3" s="10">
        <f t="shared" si="191"/>
        <v>2.12E-5</v>
      </c>
      <c r="GK3" s="10">
        <f t="shared" si="192"/>
        <v>2.09E-5</v>
      </c>
      <c r="GL3" s="10">
        <f t="shared" si="193"/>
        <v>2.0599999999999999E-5</v>
      </c>
      <c r="GM3" s="10">
        <f t="shared" si="194"/>
        <v>2.0299999999999999E-5</v>
      </c>
      <c r="GN3" s="10">
        <f t="shared" si="195"/>
        <v>1.9899999999999999E-5</v>
      </c>
      <c r="GO3" s="10">
        <f t="shared" si="196"/>
        <v>1.9700000000000001E-5</v>
      </c>
      <c r="GP3" s="10">
        <f t="shared" si="197"/>
        <v>1.9400000000000001E-5</v>
      </c>
      <c r="GQ3" s="10">
        <f t="shared" si="198"/>
        <v>1.91E-5</v>
      </c>
      <c r="GR3" s="10">
        <f t="shared" si="199"/>
        <v>1.88E-5</v>
      </c>
      <c r="GS3" s="10">
        <f t="shared" si="200"/>
        <v>1.8499999999999999E-5</v>
      </c>
      <c r="GT3" s="10">
        <f t="shared" si="201"/>
        <v>1.8300000000000001E-5</v>
      </c>
      <c r="GU3" s="10">
        <f t="shared" si="202"/>
        <v>1.8E-5</v>
      </c>
      <c r="GV3" s="10">
        <f t="shared" si="203"/>
        <v>1.7799999999999999E-5</v>
      </c>
      <c r="GW3" s="10">
        <f t="shared" si="204"/>
        <v>1.7499999999999998E-5</v>
      </c>
      <c r="GX3" s="10">
        <f t="shared" si="205"/>
        <v>1.73E-5</v>
      </c>
      <c r="GY3" s="10">
        <f t="shared" si="206"/>
        <v>1.7E-5</v>
      </c>
      <c r="GZ3" s="10">
        <f t="shared" si="207"/>
        <v>1.6799999999999998E-5</v>
      </c>
      <c r="HA3" s="10">
        <f t="shared" si="208"/>
        <v>1.66E-5</v>
      </c>
      <c r="HB3" s="10">
        <f t="shared" si="209"/>
        <v>1.6399999999999999E-5</v>
      </c>
      <c r="HC3" s="10">
        <f t="shared" si="210"/>
        <v>1.6099999999999998E-5</v>
      </c>
      <c r="HD3" s="10">
        <f t="shared" si="211"/>
        <v>1.59E-5</v>
      </c>
      <c r="HE3" s="10">
        <f t="shared" si="212"/>
        <v>1.5699999999999999E-5</v>
      </c>
      <c r="HF3" s="10">
        <f t="shared" si="213"/>
        <v>1.5500000000000001E-5</v>
      </c>
      <c r="HG3" s="10">
        <f t="shared" si="214"/>
        <v>1.5299999999999999E-5</v>
      </c>
      <c r="HH3" s="10">
        <f t="shared" si="215"/>
        <v>1.5099999999999999E-5</v>
      </c>
      <c r="HI3" s="10">
        <f t="shared" si="216"/>
        <v>1.49E-5</v>
      </c>
      <c r="HJ3" s="10">
        <f t="shared" si="217"/>
        <v>1.47E-5</v>
      </c>
      <c r="HK3" s="10">
        <f t="shared" si="218"/>
        <v>1.45E-5</v>
      </c>
      <c r="HL3" s="10">
        <f t="shared" si="219"/>
        <v>1.43E-5</v>
      </c>
      <c r="HM3" s="10">
        <f t="shared" si="220"/>
        <v>1.4100000000000001E-5</v>
      </c>
      <c r="HN3" s="10">
        <f t="shared" si="221"/>
        <v>1.3900000000000001E-5</v>
      </c>
      <c r="HO3" s="10">
        <f t="shared" si="222"/>
        <v>1.3699999999999999E-5</v>
      </c>
      <c r="HP3" s="10">
        <f t="shared" si="223"/>
        <v>1.3499999999999999E-5</v>
      </c>
      <c r="HQ3" s="10">
        <f t="shared" si="224"/>
        <v>1.33E-5</v>
      </c>
      <c r="HR3" s="10">
        <f t="shared" si="225"/>
        <v>1.31E-5</v>
      </c>
      <c r="HS3" s="10">
        <f t="shared" si="226"/>
        <v>1.2999999999999999E-5</v>
      </c>
      <c r="HT3" s="10">
        <f t="shared" si="227"/>
        <v>1.2799999999999999E-5</v>
      </c>
      <c r="HU3" s="10">
        <f t="shared" si="228"/>
        <v>1.26E-5</v>
      </c>
      <c r="HV3" s="10">
        <f t="shared" si="229"/>
        <v>1.24E-5</v>
      </c>
      <c r="HW3" s="10">
        <f t="shared" si="230"/>
        <v>1.2300000000000001E-5</v>
      </c>
      <c r="HX3" s="10">
        <f t="shared" si="231"/>
        <v>1.2099999999999999E-5</v>
      </c>
      <c r="HY3" s="10">
        <f t="shared" si="232"/>
        <v>1.19E-5</v>
      </c>
      <c r="HZ3" s="10">
        <f t="shared" si="233"/>
        <v>1.1800000000000001E-5</v>
      </c>
      <c r="IA3" s="10">
        <f t="shared" si="234"/>
        <v>1.1600000000000001E-5</v>
      </c>
      <c r="IB3" s="10">
        <f t="shared" si="235"/>
        <v>1.1399999999999999E-5</v>
      </c>
      <c r="IC3" s="10">
        <f t="shared" si="236"/>
        <v>1.13E-5</v>
      </c>
      <c r="ID3" s="10">
        <f t="shared" si="237"/>
        <v>1.11E-5</v>
      </c>
      <c r="IE3" s="10">
        <f t="shared" si="238"/>
        <v>1.1E-5</v>
      </c>
      <c r="IF3" s="10">
        <f t="shared" si="239"/>
        <v>1.08E-5</v>
      </c>
      <c r="IG3" s="10">
        <f t="shared" si="240"/>
        <v>7.5480000000000002E-4</v>
      </c>
      <c r="JK3"/>
      <c r="JL3"/>
      <c r="JM3"/>
      <c r="JN3"/>
      <c r="JO3"/>
      <c r="JP3"/>
      <c r="JQ3"/>
      <c r="JR3"/>
      <c r="JS3"/>
    </row>
    <row r="4" spans="1:279" s="1" customFormat="1" x14ac:dyDescent="0.35">
      <c r="A4" s="1">
        <f t="shared" si="0"/>
        <v>-4</v>
      </c>
      <c r="B4" s="10">
        <f t="shared" si="1"/>
        <v>1.0654E-2</v>
      </c>
      <c r="C4" s="10">
        <f t="shared" si="2"/>
        <v>1.0654E-2</v>
      </c>
      <c r="D4" s="10">
        <f t="shared" si="3"/>
        <v>1.06058E-2</v>
      </c>
      <c r="E4" s="10">
        <f t="shared" si="4"/>
        <v>1.04361E-2</v>
      </c>
      <c r="F4" s="10">
        <f t="shared" si="5"/>
        <v>9.7535E-3</v>
      </c>
      <c r="G4" s="10">
        <f t="shared" si="6"/>
        <v>9.1403999999999999E-3</v>
      </c>
      <c r="H4" s="10">
        <f t="shared" si="7"/>
        <v>8.5669000000000006E-3</v>
      </c>
      <c r="I4" s="10">
        <f t="shared" si="8"/>
        <v>7.9711000000000001E-3</v>
      </c>
      <c r="J4" s="10">
        <f t="shared" si="9"/>
        <v>7.4428000000000003E-3</v>
      </c>
      <c r="K4" s="10">
        <f t="shared" si="10"/>
        <v>6.9601000000000003E-3</v>
      </c>
      <c r="L4" s="10">
        <f t="shared" si="11"/>
        <v>6.5317999999999999E-3</v>
      </c>
      <c r="M4" s="10">
        <f t="shared" si="12"/>
        <v>6.1491999999999996E-3</v>
      </c>
      <c r="N4" s="10">
        <f t="shared" si="13"/>
        <v>5.8079999999999998E-3</v>
      </c>
      <c r="O4" s="10">
        <f t="shared" si="14"/>
        <v>5.5024999999999996E-3</v>
      </c>
      <c r="P4" s="10">
        <f t="shared" si="15"/>
        <v>5.2283E-3</v>
      </c>
      <c r="Q4" s="10">
        <f t="shared" si="16"/>
        <v>4.9813000000000001E-3</v>
      </c>
      <c r="R4" s="10">
        <f t="shared" si="17"/>
        <v>4.7580000000000001E-3</v>
      </c>
      <c r="S4" s="10">
        <f t="shared" si="18"/>
        <v>4.5554000000000002E-3</v>
      </c>
      <c r="T4" s="10">
        <f t="shared" si="19"/>
        <v>4.3709999999999999E-3</v>
      </c>
      <c r="U4" s="10">
        <f t="shared" si="20"/>
        <v>4.2025999999999999E-3</v>
      </c>
      <c r="V4" s="10">
        <f t="shared" si="21"/>
        <v>4.0480999999999998E-3</v>
      </c>
      <c r="W4" s="10">
        <f t="shared" si="22"/>
        <v>3.9061E-3</v>
      </c>
      <c r="X4" s="10">
        <f t="shared" si="23"/>
        <v>3.7750000000000001E-3</v>
      </c>
      <c r="Y4" s="10">
        <f t="shared" si="24"/>
        <v>3.6537000000000002E-3</v>
      </c>
      <c r="Z4" s="10">
        <f t="shared" si="25"/>
        <v>3.5412E-3</v>
      </c>
      <c r="AA4" s="10">
        <f t="shared" si="26"/>
        <v>3.4364E-3</v>
      </c>
      <c r="AB4" s="10">
        <f t="shared" si="27"/>
        <v>3.3384999999999999E-3</v>
      </c>
      <c r="AC4" s="10">
        <f t="shared" si="28"/>
        <v>3.2468000000000002E-3</v>
      </c>
      <c r="AD4" s="10">
        <f t="shared" si="29"/>
        <v>3.1606999999999998E-3</v>
      </c>
      <c r="AE4" s="10">
        <f t="shared" si="30"/>
        <v>3.0796999999999999E-3</v>
      </c>
      <c r="AF4" s="10">
        <f t="shared" si="31"/>
        <v>3.0030999999999999E-3</v>
      </c>
      <c r="AG4" s="10">
        <f t="shared" si="32"/>
        <v>2.9307000000000001E-3</v>
      </c>
      <c r="AH4" s="10">
        <f t="shared" si="33"/>
        <v>2.8620999999999998E-3</v>
      </c>
      <c r="AI4" s="10">
        <f t="shared" si="34"/>
        <v>2.7969000000000002E-3</v>
      </c>
      <c r="AJ4" s="10">
        <f t="shared" si="35"/>
        <v>2.7349000000000002E-3</v>
      </c>
      <c r="AK4" s="10">
        <f t="shared" si="36"/>
        <v>2.6759000000000002E-3</v>
      </c>
      <c r="AL4" s="10">
        <f t="shared" si="37"/>
        <v>2.6194999999999999E-3</v>
      </c>
      <c r="AM4" s="10">
        <f t="shared" si="38"/>
        <v>2.5657000000000002E-3</v>
      </c>
      <c r="AN4" s="10">
        <f t="shared" si="39"/>
        <v>2.5143000000000001E-3</v>
      </c>
      <c r="AO4" s="10">
        <f t="shared" si="40"/>
        <v>2.4650000000000002E-3</v>
      </c>
      <c r="AP4" s="10">
        <f t="shared" si="41"/>
        <v>2.4177000000000001E-3</v>
      </c>
      <c r="AQ4" s="10">
        <f t="shared" si="42"/>
        <v>2.3722999999999999E-3</v>
      </c>
      <c r="AR4" s="10">
        <f t="shared" si="43"/>
        <v>2.3287E-3</v>
      </c>
      <c r="AS4" s="10">
        <f t="shared" si="44"/>
        <v>2.2867E-3</v>
      </c>
      <c r="AT4" s="10">
        <f t="shared" si="45"/>
        <v>2.2461999999999998E-3</v>
      </c>
      <c r="AU4" s="10">
        <f t="shared" si="46"/>
        <v>2.2071999999999999E-3</v>
      </c>
      <c r="AV4" s="10">
        <f t="shared" si="47"/>
        <v>2.1695E-3</v>
      </c>
      <c r="AW4" s="10">
        <f t="shared" si="48"/>
        <v>2.1329999999999999E-3</v>
      </c>
      <c r="AX4" s="10">
        <f t="shared" si="49"/>
        <v>2.0977000000000001E-3</v>
      </c>
      <c r="AY4" s="10">
        <f t="shared" si="50"/>
        <v>2.0634E-3</v>
      </c>
      <c r="AZ4" s="10">
        <f t="shared" si="51"/>
        <v>2.0301999999999998E-3</v>
      </c>
      <c r="BA4" s="10">
        <f t="shared" si="52"/>
        <v>1.9980000000000002E-3</v>
      </c>
      <c r="BB4" s="10">
        <f t="shared" si="53"/>
        <v>1.9666000000000002E-3</v>
      </c>
      <c r="BC4" s="10">
        <f t="shared" si="54"/>
        <v>1.9361000000000001E-3</v>
      </c>
      <c r="BD4" s="10">
        <f t="shared" si="55"/>
        <v>1.9063000000000001E-3</v>
      </c>
      <c r="BE4" s="10">
        <f t="shared" si="56"/>
        <v>1.8772999999999999E-3</v>
      </c>
      <c r="BF4" s="10">
        <f t="shared" si="57"/>
        <v>1.8489999999999999E-3</v>
      </c>
      <c r="BG4" s="10">
        <f t="shared" si="58"/>
        <v>1.8213000000000001E-3</v>
      </c>
      <c r="BH4" s="10">
        <f t="shared" si="59"/>
        <v>1.7943E-3</v>
      </c>
      <c r="BI4" s="10">
        <f t="shared" si="60"/>
        <v>1.7677999999999999E-3</v>
      </c>
      <c r="BJ4" s="10">
        <f t="shared" si="61"/>
        <v>1.7419E-3</v>
      </c>
      <c r="BK4" s="10">
        <f t="shared" si="62"/>
        <v>1.7166E-3</v>
      </c>
      <c r="BL4" s="10">
        <f t="shared" si="63"/>
        <v>1.6917E-3</v>
      </c>
      <c r="BM4" s="10">
        <f t="shared" si="64"/>
        <v>1.6673E-3</v>
      </c>
      <c r="BN4" s="10">
        <f t="shared" si="65"/>
        <v>1.6433999999999999E-3</v>
      </c>
      <c r="BO4" s="10">
        <f t="shared" si="66"/>
        <v>1.6199000000000001E-3</v>
      </c>
      <c r="BP4" s="10">
        <f t="shared" si="67"/>
        <v>1.5968E-3</v>
      </c>
      <c r="BQ4" s="10">
        <f t="shared" si="68"/>
        <v>1.5740999999999999E-3</v>
      </c>
      <c r="BR4" s="10">
        <f t="shared" si="69"/>
        <v>1.5518000000000001E-3</v>
      </c>
      <c r="BS4" s="10">
        <f t="shared" si="70"/>
        <v>1.5299000000000001E-3</v>
      </c>
      <c r="BT4" s="10">
        <f t="shared" si="71"/>
        <v>1.5083E-3</v>
      </c>
      <c r="BU4" s="10">
        <f t="shared" si="72"/>
        <v>1.4871000000000001E-3</v>
      </c>
      <c r="BV4" s="10">
        <f t="shared" si="73"/>
        <v>1.4662E-3</v>
      </c>
      <c r="BW4" s="10">
        <f t="shared" si="74"/>
        <v>1.4457000000000001E-3</v>
      </c>
      <c r="BX4" s="10">
        <f t="shared" si="75"/>
        <v>1.4254000000000001E-3</v>
      </c>
      <c r="BY4" s="10">
        <f t="shared" si="76"/>
        <v>1.4055000000000001E-3</v>
      </c>
      <c r="BZ4" s="10">
        <f t="shared" si="77"/>
        <v>1.3858E-3</v>
      </c>
      <c r="CA4" s="10">
        <f t="shared" si="78"/>
        <v>1.3664E-3</v>
      </c>
      <c r="CB4" s="10">
        <f t="shared" si="79"/>
        <v>1.3473999999999999E-3</v>
      </c>
      <c r="CC4" s="10">
        <f t="shared" si="80"/>
        <v>1.3285E-3</v>
      </c>
      <c r="CD4" s="10">
        <f t="shared" si="81"/>
        <v>1.31E-3</v>
      </c>
      <c r="CE4" s="10">
        <f t="shared" si="82"/>
        <v>1.2917E-3</v>
      </c>
      <c r="CF4" s="10">
        <f t="shared" si="83"/>
        <v>1.2737E-3</v>
      </c>
      <c r="CG4" s="10">
        <f t="shared" si="84"/>
        <v>1.2558999999999999E-3</v>
      </c>
      <c r="CH4" s="10">
        <f t="shared" si="85"/>
        <v>1.2384E-3</v>
      </c>
      <c r="CI4" s="10">
        <f t="shared" si="86"/>
        <v>1.2210999999999999E-3</v>
      </c>
      <c r="CJ4" s="10">
        <f t="shared" si="87"/>
        <v>1.2041E-3</v>
      </c>
      <c r="CK4" s="10">
        <f t="shared" si="88"/>
        <v>1.1873000000000001E-3</v>
      </c>
      <c r="CL4" s="10">
        <f t="shared" si="89"/>
        <v>1.1707E-3</v>
      </c>
      <c r="CM4" s="10">
        <f t="shared" si="90"/>
        <v>1.1543E-3</v>
      </c>
      <c r="CN4" s="10">
        <f t="shared" si="91"/>
        <v>1.1382E-3</v>
      </c>
      <c r="CO4" s="10">
        <f t="shared" si="92"/>
        <v>1.1222999999999999E-3</v>
      </c>
      <c r="CP4" s="10">
        <f t="shared" si="93"/>
        <v>1.1065999999999999E-3</v>
      </c>
      <c r="CQ4" s="10">
        <f t="shared" si="94"/>
        <v>1.0911E-3</v>
      </c>
      <c r="CR4" s="10">
        <f t="shared" si="95"/>
        <v>1.0759000000000001E-3</v>
      </c>
      <c r="CS4" s="10">
        <f t="shared" si="96"/>
        <v>1.0608E-3</v>
      </c>
      <c r="CT4" s="10">
        <f t="shared" si="97"/>
        <v>1.0459E-3</v>
      </c>
      <c r="CU4" s="10">
        <f t="shared" si="98"/>
        <v>1.0313E-3</v>
      </c>
      <c r="CV4" s="10">
        <f t="shared" si="99"/>
        <v>1.0168E-3</v>
      </c>
      <c r="CW4" s="10">
        <f t="shared" si="100"/>
        <v>1.0026E-3</v>
      </c>
      <c r="CX4" s="10">
        <f t="shared" si="101"/>
        <v>9.8850000000000001E-4</v>
      </c>
      <c r="CY4" s="10">
        <f t="shared" si="102"/>
        <v>9.7460000000000005E-4</v>
      </c>
      <c r="CZ4" s="10">
        <f t="shared" si="103"/>
        <v>9.6089999999999999E-4</v>
      </c>
      <c r="DA4" s="10">
        <f t="shared" si="104"/>
        <v>9.4740000000000004E-4</v>
      </c>
      <c r="DB4" s="10">
        <f t="shared" si="105"/>
        <v>9.3409999999999999E-4</v>
      </c>
      <c r="DC4" s="10">
        <f t="shared" si="106"/>
        <v>9.2100000000000005E-4</v>
      </c>
      <c r="DD4" s="10">
        <f t="shared" si="107"/>
        <v>9.0799999999999995E-4</v>
      </c>
      <c r="DE4" s="10">
        <f t="shared" si="108"/>
        <v>8.9519999999999997E-4</v>
      </c>
      <c r="DF4" s="10">
        <f t="shared" si="109"/>
        <v>8.8259999999999999E-4</v>
      </c>
      <c r="DG4" s="10">
        <f t="shared" si="110"/>
        <v>8.7020000000000001E-4</v>
      </c>
      <c r="DH4" s="10">
        <f t="shared" si="111"/>
        <v>8.5789999999999998E-4</v>
      </c>
      <c r="DI4" s="10">
        <f t="shared" si="112"/>
        <v>8.4579999999999996E-4</v>
      </c>
      <c r="DJ4" s="10">
        <f t="shared" si="113"/>
        <v>8.3390000000000005E-4</v>
      </c>
      <c r="DK4" s="10">
        <f t="shared" si="114"/>
        <v>8.2209999999999998E-4</v>
      </c>
      <c r="DL4" s="10">
        <f t="shared" si="115"/>
        <v>8.1050000000000002E-4</v>
      </c>
      <c r="DM4" s="10">
        <f t="shared" si="116"/>
        <v>7.9909999999999996E-4</v>
      </c>
      <c r="DN4" s="10">
        <f t="shared" si="117"/>
        <v>7.8779999999999996E-4</v>
      </c>
      <c r="DO4" s="10">
        <f t="shared" si="118"/>
        <v>7.7669999999999996E-4</v>
      </c>
      <c r="DP4" s="10">
        <f t="shared" si="119"/>
        <v>7.6570000000000002E-4</v>
      </c>
      <c r="DQ4" s="10">
        <f t="shared" si="120"/>
        <v>5.3164200000000002E-2</v>
      </c>
      <c r="DR4" s="10">
        <f t="shared" si="121"/>
        <v>0</v>
      </c>
      <c r="DS4" s="10">
        <f t="shared" si="122"/>
        <v>4.8199999999999999E-5</v>
      </c>
      <c r="DT4" s="10">
        <f t="shared" si="123"/>
        <v>1.697E-4</v>
      </c>
      <c r="DU4" s="10">
        <f t="shared" si="124"/>
        <v>6.826E-4</v>
      </c>
      <c r="DV4" s="10">
        <f t="shared" si="125"/>
        <v>6.1309999999999999E-4</v>
      </c>
      <c r="DW4" s="10">
        <f t="shared" si="126"/>
        <v>5.7359999999999996E-4</v>
      </c>
      <c r="DX4" s="10">
        <f t="shared" si="127"/>
        <v>5.9579999999999995E-4</v>
      </c>
      <c r="DY4" s="10">
        <f t="shared" si="128"/>
        <v>5.2820000000000005E-4</v>
      </c>
      <c r="DZ4" s="10">
        <f t="shared" si="129"/>
        <v>4.8280000000000003E-4</v>
      </c>
      <c r="EA4" s="10">
        <f t="shared" si="130"/>
        <v>4.283E-4</v>
      </c>
      <c r="EB4" s="10">
        <f t="shared" si="131"/>
        <v>3.8259999999999998E-4</v>
      </c>
      <c r="EC4" s="10">
        <f t="shared" si="132"/>
        <v>3.412E-4</v>
      </c>
      <c r="ED4" s="10">
        <f t="shared" si="133"/>
        <v>3.055E-4</v>
      </c>
      <c r="EE4" s="10">
        <f t="shared" si="134"/>
        <v>2.742E-4</v>
      </c>
      <c r="EF4" s="10">
        <f t="shared" si="135"/>
        <v>2.4699999999999999E-4</v>
      </c>
      <c r="EG4" s="10">
        <f t="shared" si="136"/>
        <v>2.2330000000000001E-4</v>
      </c>
      <c r="EH4" s="10">
        <f t="shared" si="137"/>
        <v>2.0259999999999999E-4</v>
      </c>
      <c r="EI4" s="10">
        <f t="shared" si="138"/>
        <v>1.8440000000000001E-4</v>
      </c>
      <c r="EJ4" s="10">
        <f t="shared" si="139"/>
        <v>1.685E-4</v>
      </c>
      <c r="EK4" s="10">
        <f t="shared" si="140"/>
        <v>1.5440000000000001E-4</v>
      </c>
      <c r="EL4" s="10">
        <f t="shared" si="141"/>
        <v>1.4200000000000001E-4</v>
      </c>
      <c r="EM4" s="10">
        <f t="shared" si="142"/>
        <v>1.3100000000000001E-4</v>
      </c>
      <c r="EN4" s="10">
        <f t="shared" si="143"/>
        <v>1.2129999999999999E-4</v>
      </c>
      <c r="EO4" s="10">
        <f t="shared" si="144"/>
        <v>1.126E-4</v>
      </c>
      <c r="EP4" s="10">
        <f t="shared" si="145"/>
        <v>1.048E-4</v>
      </c>
      <c r="EQ4" s="10">
        <f t="shared" si="146"/>
        <v>9.7899999999999994E-5</v>
      </c>
      <c r="ER4" s="10">
        <f t="shared" si="147"/>
        <v>9.1700000000000006E-5</v>
      </c>
      <c r="ES4" s="10">
        <f t="shared" si="148"/>
        <v>8.6100000000000006E-5</v>
      </c>
      <c r="ET4" s="10">
        <f t="shared" si="149"/>
        <v>8.1100000000000006E-5</v>
      </c>
      <c r="EU4" s="10">
        <f t="shared" si="150"/>
        <v>7.6500000000000003E-5</v>
      </c>
      <c r="EV4" s="10">
        <f t="shared" si="151"/>
        <v>7.2399999999999998E-5</v>
      </c>
      <c r="EW4" s="10">
        <f t="shared" si="152"/>
        <v>6.86E-5</v>
      </c>
      <c r="EX4" s="10">
        <f t="shared" si="153"/>
        <v>6.5199999999999999E-5</v>
      </c>
      <c r="EY4" s="10">
        <f t="shared" si="154"/>
        <v>6.2000000000000003E-5</v>
      </c>
      <c r="EZ4" s="10">
        <f t="shared" si="155"/>
        <v>5.8999999999999998E-5</v>
      </c>
      <c r="FA4" s="10">
        <f t="shared" si="156"/>
        <v>5.63E-5</v>
      </c>
      <c r="FB4" s="10">
        <f t="shared" si="157"/>
        <v>5.38E-5</v>
      </c>
      <c r="FC4" s="10">
        <f t="shared" si="158"/>
        <v>5.1499999999999998E-5</v>
      </c>
      <c r="FD4" s="10">
        <f t="shared" si="159"/>
        <v>4.9299999999999999E-5</v>
      </c>
      <c r="FE4" s="10">
        <f t="shared" si="160"/>
        <v>4.7299999999999998E-5</v>
      </c>
      <c r="FF4" s="10">
        <f t="shared" si="161"/>
        <v>4.5399999999999999E-5</v>
      </c>
      <c r="FG4" s="10">
        <f t="shared" si="162"/>
        <v>4.3600000000000003E-5</v>
      </c>
      <c r="FH4" s="10">
        <f t="shared" si="163"/>
        <v>4.1999999999999998E-5</v>
      </c>
      <c r="FI4" s="10">
        <f t="shared" si="164"/>
        <v>4.0500000000000002E-5</v>
      </c>
      <c r="FJ4" s="10">
        <f t="shared" si="165"/>
        <v>3.8999999999999999E-5</v>
      </c>
      <c r="FK4" s="10">
        <f t="shared" si="166"/>
        <v>3.7700000000000002E-5</v>
      </c>
      <c r="FL4" s="10">
        <f t="shared" si="167"/>
        <v>3.65E-5</v>
      </c>
      <c r="FM4" s="10">
        <f t="shared" si="168"/>
        <v>3.5299999999999997E-5</v>
      </c>
      <c r="FN4" s="10">
        <f t="shared" si="169"/>
        <v>3.4199999999999998E-5</v>
      </c>
      <c r="FO4" s="10">
        <f t="shared" si="170"/>
        <v>3.3200000000000001E-5</v>
      </c>
      <c r="FP4" s="10">
        <f t="shared" si="171"/>
        <v>3.2299999999999999E-5</v>
      </c>
      <c r="FQ4" s="10">
        <f t="shared" si="172"/>
        <v>3.1399999999999998E-5</v>
      </c>
      <c r="FR4" s="10">
        <f t="shared" si="173"/>
        <v>3.0499999999999999E-5</v>
      </c>
      <c r="FS4" s="10">
        <f t="shared" si="174"/>
        <v>2.9799999999999999E-5</v>
      </c>
      <c r="FT4" s="10">
        <f t="shared" si="175"/>
        <v>2.9E-5</v>
      </c>
      <c r="FU4" s="10">
        <f t="shared" si="176"/>
        <v>2.83E-5</v>
      </c>
      <c r="FV4" s="10">
        <f t="shared" si="177"/>
        <v>2.7699999999999999E-5</v>
      </c>
      <c r="FW4" s="10">
        <f t="shared" si="178"/>
        <v>2.6999999999999999E-5</v>
      </c>
      <c r="FX4" s="10">
        <f t="shared" si="179"/>
        <v>2.65E-5</v>
      </c>
      <c r="FY4" s="10">
        <f t="shared" si="180"/>
        <v>2.5899999999999999E-5</v>
      </c>
      <c r="FZ4" s="10">
        <f t="shared" si="181"/>
        <v>2.5400000000000001E-5</v>
      </c>
      <c r="GA4" s="10">
        <f t="shared" si="182"/>
        <v>2.4899999999999999E-5</v>
      </c>
      <c r="GB4" s="10">
        <f t="shared" si="183"/>
        <v>2.44E-5</v>
      </c>
      <c r="GC4" s="10">
        <f t="shared" si="184"/>
        <v>2.3900000000000002E-5</v>
      </c>
      <c r="GD4" s="10">
        <f t="shared" si="185"/>
        <v>2.3499999999999999E-5</v>
      </c>
      <c r="GE4" s="10">
        <f t="shared" si="186"/>
        <v>2.3099999999999999E-5</v>
      </c>
      <c r="GF4" s="10">
        <f t="shared" si="187"/>
        <v>2.27E-5</v>
      </c>
      <c r="GG4" s="10">
        <f t="shared" si="188"/>
        <v>2.23E-5</v>
      </c>
      <c r="GH4" s="10">
        <f t="shared" si="189"/>
        <v>2.19E-5</v>
      </c>
      <c r="GI4" s="10">
        <f t="shared" si="190"/>
        <v>2.16E-5</v>
      </c>
      <c r="GJ4" s="10">
        <f t="shared" si="191"/>
        <v>2.12E-5</v>
      </c>
      <c r="GK4" s="10">
        <f t="shared" si="192"/>
        <v>2.09E-5</v>
      </c>
      <c r="GL4" s="10">
        <f t="shared" si="193"/>
        <v>2.0599999999999999E-5</v>
      </c>
      <c r="GM4" s="10">
        <f t="shared" si="194"/>
        <v>2.0299999999999999E-5</v>
      </c>
      <c r="GN4" s="10">
        <f t="shared" si="195"/>
        <v>1.9899999999999999E-5</v>
      </c>
      <c r="GO4" s="10">
        <f t="shared" si="196"/>
        <v>1.9700000000000001E-5</v>
      </c>
      <c r="GP4" s="10">
        <f t="shared" si="197"/>
        <v>1.9400000000000001E-5</v>
      </c>
      <c r="GQ4" s="10">
        <f t="shared" si="198"/>
        <v>1.91E-5</v>
      </c>
      <c r="GR4" s="10">
        <f t="shared" si="199"/>
        <v>1.88E-5</v>
      </c>
      <c r="GS4" s="10">
        <f t="shared" si="200"/>
        <v>1.8499999999999999E-5</v>
      </c>
      <c r="GT4" s="10">
        <f t="shared" si="201"/>
        <v>1.8300000000000001E-5</v>
      </c>
      <c r="GU4" s="10">
        <f t="shared" si="202"/>
        <v>1.8E-5</v>
      </c>
      <c r="GV4" s="10">
        <f t="shared" si="203"/>
        <v>1.7799999999999999E-5</v>
      </c>
      <c r="GW4" s="10">
        <f t="shared" si="204"/>
        <v>1.7499999999999998E-5</v>
      </c>
      <c r="GX4" s="10">
        <f t="shared" si="205"/>
        <v>1.73E-5</v>
      </c>
      <c r="GY4" s="10">
        <f t="shared" si="206"/>
        <v>1.7E-5</v>
      </c>
      <c r="GZ4" s="10">
        <f t="shared" si="207"/>
        <v>1.6799999999999998E-5</v>
      </c>
      <c r="HA4" s="10">
        <f t="shared" si="208"/>
        <v>1.66E-5</v>
      </c>
      <c r="HB4" s="10">
        <f t="shared" si="209"/>
        <v>1.6399999999999999E-5</v>
      </c>
      <c r="HC4" s="10">
        <f t="shared" si="210"/>
        <v>1.6099999999999998E-5</v>
      </c>
      <c r="HD4" s="10">
        <f t="shared" si="211"/>
        <v>1.59E-5</v>
      </c>
      <c r="HE4" s="10">
        <f t="shared" si="212"/>
        <v>1.5699999999999999E-5</v>
      </c>
      <c r="HF4" s="10">
        <f t="shared" si="213"/>
        <v>1.5500000000000001E-5</v>
      </c>
      <c r="HG4" s="10">
        <f t="shared" si="214"/>
        <v>1.5299999999999999E-5</v>
      </c>
      <c r="HH4" s="10">
        <f t="shared" si="215"/>
        <v>1.5099999999999999E-5</v>
      </c>
      <c r="HI4" s="10">
        <f t="shared" si="216"/>
        <v>1.49E-5</v>
      </c>
      <c r="HJ4" s="10">
        <f t="shared" si="217"/>
        <v>1.47E-5</v>
      </c>
      <c r="HK4" s="10">
        <f t="shared" si="218"/>
        <v>1.45E-5</v>
      </c>
      <c r="HL4" s="10">
        <f t="shared" si="219"/>
        <v>1.43E-5</v>
      </c>
      <c r="HM4" s="10">
        <f t="shared" si="220"/>
        <v>1.4100000000000001E-5</v>
      </c>
      <c r="HN4" s="10">
        <f t="shared" si="221"/>
        <v>1.3900000000000001E-5</v>
      </c>
      <c r="HO4" s="10">
        <f t="shared" si="222"/>
        <v>1.3699999999999999E-5</v>
      </c>
      <c r="HP4" s="10">
        <f t="shared" si="223"/>
        <v>1.3499999999999999E-5</v>
      </c>
      <c r="HQ4" s="10">
        <f t="shared" si="224"/>
        <v>1.33E-5</v>
      </c>
      <c r="HR4" s="10">
        <f t="shared" si="225"/>
        <v>1.31E-5</v>
      </c>
      <c r="HS4" s="10">
        <f t="shared" si="226"/>
        <v>1.2999999999999999E-5</v>
      </c>
      <c r="HT4" s="10">
        <f t="shared" si="227"/>
        <v>1.2799999999999999E-5</v>
      </c>
      <c r="HU4" s="10">
        <f t="shared" si="228"/>
        <v>1.26E-5</v>
      </c>
      <c r="HV4" s="10">
        <f t="shared" si="229"/>
        <v>1.24E-5</v>
      </c>
      <c r="HW4" s="10">
        <f t="shared" si="230"/>
        <v>1.2300000000000001E-5</v>
      </c>
      <c r="HX4" s="10">
        <f t="shared" si="231"/>
        <v>1.2099999999999999E-5</v>
      </c>
      <c r="HY4" s="10">
        <f t="shared" si="232"/>
        <v>1.19E-5</v>
      </c>
      <c r="HZ4" s="10">
        <f t="shared" si="233"/>
        <v>1.1800000000000001E-5</v>
      </c>
      <c r="IA4" s="10">
        <f t="shared" si="234"/>
        <v>1.1600000000000001E-5</v>
      </c>
      <c r="IB4" s="10">
        <f t="shared" si="235"/>
        <v>1.1399999999999999E-5</v>
      </c>
      <c r="IC4" s="10">
        <f t="shared" si="236"/>
        <v>1.13E-5</v>
      </c>
      <c r="ID4" s="10">
        <f t="shared" si="237"/>
        <v>1.11E-5</v>
      </c>
      <c r="IE4" s="10">
        <f t="shared" si="238"/>
        <v>1.1E-5</v>
      </c>
      <c r="IF4" s="10">
        <f t="shared" si="239"/>
        <v>1.08E-5</v>
      </c>
      <c r="IG4" s="10">
        <f t="shared" si="240"/>
        <v>7.5480000000000002E-4</v>
      </c>
      <c r="JK4"/>
      <c r="JL4"/>
      <c r="JM4"/>
      <c r="JN4"/>
      <c r="JO4"/>
      <c r="JP4"/>
      <c r="JQ4"/>
      <c r="JR4"/>
      <c r="JS4"/>
    </row>
    <row r="5" spans="1:279" s="1" customFormat="1" x14ac:dyDescent="0.35">
      <c r="A5" s="1">
        <f t="shared" si="0"/>
        <v>-3</v>
      </c>
      <c r="B5" s="10">
        <f t="shared" si="1"/>
        <v>1.0654E-2</v>
      </c>
      <c r="C5" s="10">
        <f t="shared" si="2"/>
        <v>1.0654E-2</v>
      </c>
      <c r="D5" s="10">
        <f t="shared" si="3"/>
        <v>1.06058E-2</v>
      </c>
      <c r="E5" s="10">
        <f t="shared" si="4"/>
        <v>1.04361E-2</v>
      </c>
      <c r="F5" s="10">
        <f t="shared" si="5"/>
        <v>9.7535E-3</v>
      </c>
      <c r="G5" s="10">
        <f t="shared" si="6"/>
        <v>9.1403999999999999E-3</v>
      </c>
      <c r="H5" s="10">
        <f t="shared" si="7"/>
        <v>8.5669000000000006E-3</v>
      </c>
      <c r="I5" s="10">
        <f t="shared" si="8"/>
        <v>7.9711000000000001E-3</v>
      </c>
      <c r="J5" s="10">
        <f t="shared" si="9"/>
        <v>7.4428000000000003E-3</v>
      </c>
      <c r="K5" s="10">
        <f t="shared" si="10"/>
        <v>6.9601000000000003E-3</v>
      </c>
      <c r="L5" s="10">
        <f t="shared" si="11"/>
        <v>6.5317999999999999E-3</v>
      </c>
      <c r="M5" s="10">
        <f t="shared" si="12"/>
        <v>6.1491999999999996E-3</v>
      </c>
      <c r="N5" s="10">
        <f t="shared" si="13"/>
        <v>5.8079999999999998E-3</v>
      </c>
      <c r="O5" s="10">
        <f t="shared" si="14"/>
        <v>5.5024999999999996E-3</v>
      </c>
      <c r="P5" s="10">
        <f t="shared" si="15"/>
        <v>5.2283E-3</v>
      </c>
      <c r="Q5" s="10">
        <f t="shared" si="16"/>
        <v>4.9813000000000001E-3</v>
      </c>
      <c r="R5" s="10">
        <f t="shared" si="17"/>
        <v>4.7580000000000001E-3</v>
      </c>
      <c r="S5" s="10">
        <f t="shared" si="18"/>
        <v>4.5554000000000002E-3</v>
      </c>
      <c r="T5" s="10">
        <f t="shared" si="19"/>
        <v>4.3709999999999999E-3</v>
      </c>
      <c r="U5" s="10">
        <f t="shared" si="20"/>
        <v>4.2025999999999999E-3</v>
      </c>
      <c r="V5" s="10">
        <f t="shared" si="21"/>
        <v>4.0480999999999998E-3</v>
      </c>
      <c r="W5" s="10">
        <f t="shared" si="22"/>
        <v>3.9061E-3</v>
      </c>
      <c r="X5" s="10">
        <f t="shared" si="23"/>
        <v>3.7750000000000001E-3</v>
      </c>
      <c r="Y5" s="10">
        <f t="shared" si="24"/>
        <v>3.6537000000000002E-3</v>
      </c>
      <c r="Z5" s="10">
        <f t="shared" si="25"/>
        <v>3.5412E-3</v>
      </c>
      <c r="AA5" s="10">
        <f t="shared" si="26"/>
        <v>3.4364E-3</v>
      </c>
      <c r="AB5" s="10">
        <f t="shared" si="27"/>
        <v>3.3384999999999999E-3</v>
      </c>
      <c r="AC5" s="10">
        <f t="shared" si="28"/>
        <v>3.2468000000000002E-3</v>
      </c>
      <c r="AD5" s="10">
        <f t="shared" si="29"/>
        <v>3.1606999999999998E-3</v>
      </c>
      <c r="AE5" s="10">
        <f t="shared" si="30"/>
        <v>3.0796999999999999E-3</v>
      </c>
      <c r="AF5" s="10">
        <f t="shared" si="31"/>
        <v>3.0030999999999999E-3</v>
      </c>
      <c r="AG5" s="10">
        <f t="shared" si="32"/>
        <v>2.9307000000000001E-3</v>
      </c>
      <c r="AH5" s="10">
        <f t="shared" si="33"/>
        <v>2.8620999999999998E-3</v>
      </c>
      <c r="AI5" s="10">
        <f t="shared" si="34"/>
        <v>2.7969000000000002E-3</v>
      </c>
      <c r="AJ5" s="10">
        <f t="shared" si="35"/>
        <v>2.7349000000000002E-3</v>
      </c>
      <c r="AK5" s="10">
        <f t="shared" si="36"/>
        <v>2.6759000000000002E-3</v>
      </c>
      <c r="AL5" s="10">
        <f t="shared" si="37"/>
        <v>2.6194999999999999E-3</v>
      </c>
      <c r="AM5" s="10">
        <f t="shared" si="38"/>
        <v>2.5657000000000002E-3</v>
      </c>
      <c r="AN5" s="10">
        <f t="shared" si="39"/>
        <v>2.5143000000000001E-3</v>
      </c>
      <c r="AO5" s="10">
        <f t="shared" si="40"/>
        <v>2.4650000000000002E-3</v>
      </c>
      <c r="AP5" s="10">
        <f t="shared" si="41"/>
        <v>2.4177000000000001E-3</v>
      </c>
      <c r="AQ5" s="10">
        <f t="shared" si="42"/>
        <v>2.3722999999999999E-3</v>
      </c>
      <c r="AR5" s="10">
        <f t="shared" si="43"/>
        <v>2.3287E-3</v>
      </c>
      <c r="AS5" s="10">
        <f t="shared" si="44"/>
        <v>2.2867E-3</v>
      </c>
      <c r="AT5" s="10">
        <f t="shared" si="45"/>
        <v>2.2461999999999998E-3</v>
      </c>
      <c r="AU5" s="10">
        <f t="shared" si="46"/>
        <v>2.2071999999999999E-3</v>
      </c>
      <c r="AV5" s="10">
        <f t="shared" si="47"/>
        <v>2.1695E-3</v>
      </c>
      <c r="AW5" s="10">
        <f t="shared" si="48"/>
        <v>2.1329999999999999E-3</v>
      </c>
      <c r="AX5" s="10">
        <f t="shared" si="49"/>
        <v>2.0977000000000001E-3</v>
      </c>
      <c r="AY5" s="10">
        <f t="shared" si="50"/>
        <v>2.0634E-3</v>
      </c>
      <c r="AZ5" s="10">
        <f t="shared" si="51"/>
        <v>2.0301999999999998E-3</v>
      </c>
      <c r="BA5" s="10">
        <f t="shared" si="52"/>
        <v>1.9980000000000002E-3</v>
      </c>
      <c r="BB5" s="10">
        <f t="shared" si="53"/>
        <v>1.9666000000000002E-3</v>
      </c>
      <c r="BC5" s="10">
        <f t="shared" si="54"/>
        <v>1.9361000000000001E-3</v>
      </c>
      <c r="BD5" s="10">
        <f t="shared" si="55"/>
        <v>1.9063000000000001E-3</v>
      </c>
      <c r="BE5" s="10">
        <f t="shared" si="56"/>
        <v>1.8772999999999999E-3</v>
      </c>
      <c r="BF5" s="10">
        <f t="shared" si="57"/>
        <v>1.8489999999999999E-3</v>
      </c>
      <c r="BG5" s="10">
        <f t="shared" si="58"/>
        <v>1.8213000000000001E-3</v>
      </c>
      <c r="BH5" s="10">
        <f t="shared" si="59"/>
        <v>1.7943E-3</v>
      </c>
      <c r="BI5" s="10">
        <f t="shared" si="60"/>
        <v>1.7677999999999999E-3</v>
      </c>
      <c r="BJ5" s="10">
        <f t="shared" si="61"/>
        <v>1.7419E-3</v>
      </c>
      <c r="BK5" s="10">
        <f t="shared" si="62"/>
        <v>1.7166E-3</v>
      </c>
      <c r="BL5" s="10">
        <f t="shared" si="63"/>
        <v>1.6917E-3</v>
      </c>
      <c r="BM5" s="10">
        <f t="shared" si="64"/>
        <v>1.6673E-3</v>
      </c>
      <c r="BN5" s="10">
        <f t="shared" si="65"/>
        <v>1.6433999999999999E-3</v>
      </c>
      <c r="BO5" s="10">
        <f t="shared" si="66"/>
        <v>1.6199000000000001E-3</v>
      </c>
      <c r="BP5" s="10">
        <f t="shared" si="67"/>
        <v>1.5968E-3</v>
      </c>
      <c r="BQ5" s="10">
        <f t="shared" si="68"/>
        <v>1.5740999999999999E-3</v>
      </c>
      <c r="BR5" s="10">
        <f t="shared" si="69"/>
        <v>1.5518000000000001E-3</v>
      </c>
      <c r="BS5" s="10">
        <f t="shared" si="70"/>
        <v>1.5299000000000001E-3</v>
      </c>
      <c r="BT5" s="10">
        <f t="shared" si="71"/>
        <v>1.5083E-3</v>
      </c>
      <c r="BU5" s="10">
        <f t="shared" si="72"/>
        <v>1.4871000000000001E-3</v>
      </c>
      <c r="BV5" s="10">
        <f t="shared" si="73"/>
        <v>1.4662E-3</v>
      </c>
      <c r="BW5" s="10">
        <f t="shared" si="74"/>
        <v>1.4457000000000001E-3</v>
      </c>
      <c r="BX5" s="10">
        <f t="shared" si="75"/>
        <v>1.4254000000000001E-3</v>
      </c>
      <c r="BY5" s="10">
        <f t="shared" si="76"/>
        <v>1.4055000000000001E-3</v>
      </c>
      <c r="BZ5" s="10">
        <f t="shared" si="77"/>
        <v>1.3858E-3</v>
      </c>
      <c r="CA5" s="10">
        <f t="shared" si="78"/>
        <v>1.3664E-3</v>
      </c>
      <c r="CB5" s="10">
        <f t="shared" si="79"/>
        <v>1.3473999999999999E-3</v>
      </c>
      <c r="CC5" s="10">
        <f t="shared" si="80"/>
        <v>1.3285E-3</v>
      </c>
      <c r="CD5" s="10">
        <f t="shared" si="81"/>
        <v>1.31E-3</v>
      </c>
      <c r="CE5" s="10">
        <f t="shared" si="82"/>
        <v>1.2917E-3</v>
      </c>
      <c r="CF5" s="10">
        <f t="shared" si="83"/>
        <v>1.2737E-3</v>
      </c>
      <c r="CG5" s="10">
        <f t="shared" si="84"/>
        <v>1.2558999999999999E-3</v>
      </c>
      <c r="CH5" s="10">
        <f t="shared" si="85"/>
        <v>1.2384E-3</v>
      </c>
      <c r="CI5" s="10">
        <f t="shared" si="86"/>
        <v>1.2210999999999999E-3</v>
      </c>
      <c r="CJ5" s="10">
        <f t="shared" si="87"/>
        <v>1.2041E-3</v>
      </c>
      <c r="CK5" s="10">
        <f t="shared" si="88"/>
        <v>1.1873000000000001E-3</v>
      </c>
      <c r="CL5" s="10">
        <f t="shared" si="89"/>
        <v>1.1707E-3</v>
      </c>
      <c r="CM5" s="10">
        <f t="shared" si="90"/>
        <v>1.1543E-3</v>
      </c>
      <c r="CN5" s="10">
        <f t="shared" si="91"/>
        <v>1.1382E-3</v>
      </c>
      <c r="CO5" s="10">
        <f t="shared" si="92"/>
        <v>1.1222999999999999E-3</v>
      </c>
      <c r="CP5" s="10">
        <f t="shared" si="93"/>
        <v>1.1065999999999999E-3</v>
      </c>
      <c r="CQ5" s="10">
        <f t="shared" si="94"/>
        <v>1.0911E-3</v>
      </c>
      <c r="CR5" s="10">
        <f t="shared" si="95"/>
        <v>1.0759000000000001E-3</v>
      </c>
      <c r="CS5" s="10">
        <f t="shared" si="96"/>
        <v>1.0608E-3</v>
      </c>
      <c r="CT5" s="10">
        <f t="shared" si="97"/>
        <v>1.0459E-3</v>
      </c>
      <c r="CU5" s="10">
        <f t="shared" si="98"/>
        <v>1.0313E-3</v>
      </c>
      <c r="CV5" s="10">
        <f t="shared" si="99"/>
        <v>1.0168E-3</v>
      </c>
      <c r="CW5" s="10">
        <f t="shared" si="100"/>
        <v>1.0026E-3</v>
      </c>
      <c r="CX5" s="10">
        <f t="shared" si="101"/>
        <v>9.8850000000000001E-4</v>
      </c>
      <c r="CY5" s="10">
        <f t="shared" si="102"/>
        <v>9.7460000000000005E-4</v>
      </c>
      <c r="CZ5" s="10">
        <f t="shared" si="103"/>
        <v>9.6089999999999999E-4</v>
      </c>
      <c r="DA5" s="10">
        <f t="shared" si="104"/>
        <v>9.4740000000000004E-4</v>
      </c>
      <c r="DB5" s="10">
        <f t="shared" si="105"/>
        <v>9.3409999999999999E-4</v>
      </c>
      <c r="DC5" s="10">
        <f t="shared" si="106"/>
        <v>9.2100000000000005E-4</v>
      </c>
      <c r="DD5" s="10">
        <f t="shared" si="107"/>
        <v>9.0799999999999995E-4</v>
      </c>
      <c r="DE5" s="10">
        <f t="shared" si="108"/>
        <v>8.9519999999999997E-4</v>
      </c>
      <c r="DF5" s="10">
        <f t="shared" si="109"/>
        <v>8.8259999999999999E-4</v>
      </c>
      <c r="DG5" s="10">
        <f t="shared" si="110"/>
        <v>8.7020000000000001E-4</v>
      </c>
      <c r="DH5" s="10">
        <f t="shared" si="111"/>
        <v>8.5789999999999998E-4</v>
      </c>
      <c r="DI5" s="10">
        <f t="shared" si="112"/>
        <v>8.4579999999999996E-4</v>
      </c>
      <c r="DJ5" s="10">
        <f t="shared" si="113"/>
        <v>8.3390000000000005E-4</v>
      </c>
      <c r="DK5" s="10">
        <f t="shared" si="114"/>
        <v>8.2209999999999998E-4</v>
      </c>
      <c r="DL5" s="10">
        <f t="shared" si="115"/>
        <v>8.1050000000000002E-4</v>
      </c>
      <c r="DM5" s="10">
        <f t="shared" si="116"/>
        <v>7.9909999999999996E-4</v>
      </c>
      <c r="DN5" s="10">
        <f t="shared" si="117"/>
        <v>7.8779999999999996E-4</v>
      </c>
      <c r="DO5" s="10">
        <f t="shared" si="118"/>
        <v>7.7669999999999996E-4</v>
      </c>
      <c r="DP5" s="10">
        <f t="shared" si="119"/>
        <v>7.6570000000000002E-4</v>
      </c>
      <c r="DQ5" s="10">
        <f t="shared" si="120"/>
        <v>5.3164200000000002E-2</v>
      </c>
      <c r="DR5" s="10">
        <f t="shared" si="121"/>
        <v>0</v>
      </c>
      <c r="DS5" s="10">
        <f t="shared" si="122"/>
        <v>4.8199999999999999E-5</v>
      </c>
      <c r="DT5" s="10">
        <f t="shared" si="123"/>
        <v>1.697E-4</v>
      </c>
      <c r="DU5" s="10">
        <f t="shared" si="124"/>
        <v>6.826E-4</v>
      </c>
      <c r="DV5" s="10">
        <f t="shared" si="125"/>
        <v>6.1309999999999999E-4</v>
      </c>
      <c r="DW5" s="10">
        <f t="shared" si="126"/>
        <v>5.7359999999999996E-4</v>
      </c>
      <c r="DX5" s="10">
        <f t="shared" si="127"/>
        <v>5.9579999999999995E-4</v>
      </c>
      <c r="DY5" s="10">
        <f t="shared" si="128"/>
        <v>5.2820000000000005E-4</v>
      </c>
      <c r="DZ5" s="10">
        <f t="shared" si="129"/>
        <v>4.8280000000000003E-4</v>
      </c>
      <c r="EA5" s="10">
        <f t="shared" si="130"/>
        <v>4.283E-4</v>
      </c>
      <c r="EB5" s="10">
        <f t="shared" si="131"/>
        <v>3.8259999999999998E-4</v>
      </c>
      <c r="EC5" s="10">
        <f t="shared" si="132"/>
        <v>3.412E-4</v>
      </c>
      <c r="ED5" s="10">
        <f t="shared" si="133"/>
        <v>3.055E-4</v>
      </c>
      <c r="EE5" s="10">
        <f t="shared" si="134"/>
        <v>2.742E-4</v>
      </c>
      <c r="EF5" s="10">
        <f t="shared" si="135"/>
        <v>2.4699999999999999E-4</v>
      </c>
      <c r="EG5" s="10">
        <f t="shared" si="136"/>
        <v>2.2330000000000001E-4</v>
      </c>
      <c r="EH5" s="10">
        <f t="shared" si="137"/>
        <v>2.0259999999999999E-4</v>
      </c>
      <c r="EI5" s="10">
        <f t="shared" si="138"/>
        <v>1.8440000000000001E-4</v>
      </c>
      <c r="EJ5" s="10">
        <f t="shared" si="139"/>
        <v>1.685E-4</v>
      </c>
      <c r="EK5" s="10">
        <f t="shared" si="140"/>
        <v>1.5440000000000001E-4</v>
      </c>
      <c r="EL5" s="10">
        <f t="shared" si="141"/>
        <v>1.4200000000000001E-4</v>
      </c>
      <c r="EM5" s="10">
        <f t="shared" si="142"/>
        <v>1.3100000000000001E-4</v>
      </c>
      <c r="EN5" s="10">
        <f t="shared" si="143"/>
        <v>1.2129999999999999E-4</v>
      </c>
      <c r="EO5" s="10">
        <f t="shared" si="144"/>
        <v>1.126E-4</v>
      </c>
      <c r="EP5" s="10">
        <f t="shared" si="145"/>
        <v>1.048E-4</v>
      </c>
      <c r="EQ5" s="10">
        <f t="shared" si="146"/>
        <v>9.7899999999999994E-5</v>
      </c>
      <c r="ER5" s="10">
        <f t="shared" si="147"/>
        <v>9.1700000000000006E-5</v>
      </c>
      <c r="ES5" s="10">
        <f t="shared" si="148"/>
        <v>8.6100000000000006E-5</v>
      </c>
      <c r="ET5" s="10">
        <f t="shared" si="149"/>
        <v>8.1100000000000006E-5</v>
      </c>
      <c r="EU5" s="10">
        <f t="shared" si="150"/>
        <v>7.6500000000000003E-5</v>
      </c>
      <c r="EV5" s="10">
        <f t="shared" si="151"/>
        <v>7.2399999999999998E-5</v>
      </c>
      <c r="EW5" s="10">
        <f t="shared" si="152"/>
        <v>6.86E-5</v>
      </c>
      <c r="EX5" s="10">
        <f t="shared" si="153"/>
        <v>6.5199999999999999E-5</v>
      </c>
      <c r="EY5" s="10">
        <f t="shared" si="154"/>
        <v>6.2000000000000003E-5</v>
      </c>
      <c r="EZ5" s="10">
        <f t="shared" si="155"/>
        <v>5.8999999999999998E-5</v>
      </c>
      <c r="FA5" s="10">
        <f t="shared" si="156"/>
        <v>5.63E-5</v>
      </c>
      <c r="FB5" s="10">
        <f t="shared" si="157"/>
        <v>5.38E-5</v>
      </c>
      <c r="FC5" s="10">
        <f t="shared" si="158"/>
        <v>5.1499999999999998E-5</v>
      </c>
      <c r="FD5" s="10">
        <f t="shared" si="159"/>
        <v>4.9299999999999999E-5</v>
      </c>
      <c r="FE5" s="10">
        <f t="shared" si="160"/>
        <v>4.7299999999999998E-5</v>
      </c>
      <c r="FF5" s="10">
        <f t="shared" si="161"/>
        <v>4.5399999999999999E-5</v>
      </c>
      <c r="FG5" s="10">
        <f t="shared" si="162"/>
        <v>4.3600000000000003E-5</v>
      </c>
      <c r="FH5" s="10">
        <f t="shared" si="163"/>
        <v>4.1999999999999998E-5</v>
      </c>
      <c r="FI5" s="10">
        <f t="shared" si="164"/>
        <v>4.0500000000000002E-5</v>
      </c>
      <c r="FJ5" s="10">
        <f t="shared" si="165"/>
        <v>3.8999999999999999E-5</v>
      </c>
      <c r="FK5" s="10">
        <f t="shared" si="166"/>
        <v>3.7700000000000002E-5</v>
      </c>
      <c r="FL5" s="10">
        <f t="shared" si="167"/>
        <v>3.65E-5</v>
      </c>
      <c r="FM5" s="10">
        <f t="shared" si="168"/>
        <v>3.5299999999999997E-5</v>
      </c>
      <c r="FN5" s="10">
        <f t="shared" si="169"/>
        <v>3.4199999999999998E-5</v>
      </c>
      <c r="FO5" s="10">
        <f t="shared" si="170"/>
        <v>3.3200000000000001E-5</v>
      </c>
      <c r="FP5" s="10">
        <f t="shared" si="171"/>
        <v>3.2299999999999999E-5</v>
      </c>
      <c r="FQ5" s="10">
        <f t="shared" si="172"/>
        <v>3.1399999999999998E-5</v>
      </c>
      <c r="FR5" s="10">
        <f t="shared" si="173"/>
        <v>3.0499999999999999E-5</v>
      </c>
      <c r="FS5" s="10">
        <f t="shared" si="174"/>
        <v>2.9799999999999999E-5</v>
      </c>
      <c r="FT5" s="10">
        <f t="shared" si="175"/>
        <v>2.9E-5</v>
      </c>
      <c r="FU5" s="10">
        <f t="shared" si="176"/>
        <v>2.83E-5</v>
      </c>
      <c r="FV5" s="10">
        <f t="shared" si="177"/>
        <v>2.7699999999999999E-5</v>
      </c>
      <c r="FW5" s="10">
        <f t="shared" si="178"/>
        <v>2.6999999999999999E-5</v>
      </c>
      <c r="FX5" s="10">
        <f t="shared" si="179"/>
        <v>2.65E-5</v>
      </c>
      <c r="FY5" s="10">
        <f t="shared" si="180"/>
        <v>2.5899999999999999E-5</v>
      </c>
      <c r="FZ5" s="10">
        <f t="shared" si="181"/>
        <v>2.5400000000000001E-5</v>
      </c>
      <c r="GA5" s="10">
        <f t="shared" si="182"/>
        <v>2.4899999999999999E-5</v>
      </c>
      <c r="GB5" s="10">
        <f t="shared" si="183"/>
        <v>2.44E-5</v>
      </c>
      <c r="GC5" s="10">
        <f t="shared" si="184"/>
        <v>2.3900000000000002E-5</v>
      </c>
      <c r="GD5" s="10">
        <f t="shared" si="185"/>
        <v>2.3499999999999999E-5</v>
      </c>
      <c r="GE5" s="10">
        <f t="shared" si="186"/>
        <v>2.3099999999999999E-5</v>
      </c>
      <c r="GF5" s="10">
        <f t="shared" si="187"/>
        <v>2.27E-5</v>
      </c>
      <c r="GG5" s="10">
        <f t="shared" si="188"/>
        <v>2.23E-5</v>
      </c>
      <c r="GH5" s="10">
        <f t="shared" si="189"/>
        <v>2.19E-5</v>
      </c>
      <c r="GI5" s="10">
        <f t="shared" si="190"/>
        <v>2.16E-5</v>
      </c>
      <c r="GJ5" s="10">
        <f t="shared" si="191"/>
        <v>2.12E-5</v>
      </c>
      <c r="GK5" s="10">
        <f t="shared" si="192"/>
        <v>2.09E-5</v>
      </c>
      <c r="GL5" s="10">
        <f t="shared" si="193"/>
        <v>2.0599999999999999E-5</v>
      </c>
      <c r="GM5" s="10">
        <f t="shared" si="194"/>
        <v>2.0299999999999999E-5</v>
      </c>
      <c r="GN5" s="10">
        <f t="shared" si="195"/>
        <v>1.9899999999999999E-5</v>
      </c>
      <c r="GO5" s="10">
        <f t="shared" si="196"/>
        <v>1.9700000000000001E-5</v>
      </c>
      <c r="GP5" s="10">
        <f t="shared" si="197"/>
        <v>1.9400000000000001E-5</v>
      </c>
      <c r="GQ5" s="10">
        <f t="shared" si="198"/>
        <v>1.91E-5</v>
      </c>
      <c r="GR5" s="10">
        <f t="shared" si="199"/>
        <v>1.88E-5</v>
      </c>
      <c r="GS5" s="10">
        <f t="shared" si="200"/>
        <v>1.8499999999999999E-5</v>
      </c>
      <c r="GT5" s="10">
        <f t="shared" si="201"/>
        <v>1.8300000000000001E-5</v>
      </c>
      <c r="GU5" s="10">
        <f t="shared" si="202"/>
        <v>1.8E-5</v>
      </c>
      <c r="GV5" s="10">
        <f t="shared" si="203"/>
        <v>1.7799999999999999E-5</v>
      </c>
      <c r="GW5" s="10">
        <f t="shared" si="204"/>
        <v>1.7499999999999998E-5</v>
      </c>
      <c r="GX5" s="10">
        <f t="shared" si="205"/>
        <v>1.73E-5</v>
      </c>
      <c r="GY5" s="10">
        <f t="shared" si="206"/>
        <v>1.7E-5</v>
      </c>
      <c r="GZ5" s="10">
        <f t="shared" si="207"/>
        <v>1.6799999999999998E-5</v>
      </c>
      <c r="HA5" s="10">
        <f t="shared" si="208"/>
        <v>1.66E-5</v>
      </c>
      <c r="HB5" s="10">
        <f t="shared" si="209"/>
        <v>1.6399999999999999E-5</v>
      </c>
      <c r="HC5" s="10">
        <f t="shared" si="210"/>
        <v>1.6099999999999998E-5</v>
      </c>
      <c r="HD5" s="10">
        <f t="shared" si="211"/>
        <v>1.59E-5</v>
      </c>
      <c r="HE5" s="10">
        <f t="shared" si="212"/>
        <v>1.5699999999999999E-5</v>
      </c>
      <c r="HF5" s="10">
        <f t="shared" si="213"/>
        <v>1.5500000000000001E-5</v>
      </c>
      <c r="HG5" s="10">
        <f t="shared" si="214"/>
        <v>1.5299999999999999E-5</v>
      </c>
      <c r="HH5" s="10">
        <f t="shared" si="215"/>
        <v>1.5099999999999999E-5</v>
      </c>
      <c r="HI5" s="10">
        <f t="shared" si="216"/>
        <v>1.49E-5</v>
      </c>
      <c r="HJ5" s="10">
        <f t="shared" si="217"/>
        <v>1.47E-5</v>
      </c>
      <c r="HK5" s="10">
        <f t="shared" si="218"/>
        <v>1.45E-5</v>
      </c>
      <c r="HL5" s="10">
        <f t="shared" si="219"/>
        <v>1.43E-5</v>
      </c>
      <c r="HM5" s="10">
        <f t="shared" si="220"/>
        <v>1.4100000000000001E-5</v>
      </c>
      <c r="HN5" s="10">
        <f t="shared" si="221"/>
        <v>1.3900000000000001E-5</v>
      </c>
      <c r="HO5" s="10">
        <f t="shared" si="222"/>
        <v>1.3699999999999999E-5</v>
      </c>
      <c r="HP5" s="10">
        <f t="shared" si="223"/>
        <v>1.3499999999999999E-5</v>
      </c>
      <c r="HQ5" s="10">
        <f t="shared" si="224"/>
        <v>1.33E-5</v>
      </c>
      <c r="HR5" s="10">
        <f t="shared" si="225"/>
        <v>1.31E-5</v>
      </c>
      <c r="HS5" s="10">
        <f t="shared" si="226"/>
        <v>1.2999999999999999E-5</v>
      </c>
      <c r="HT5" s="10">
        <f t="shared" si="227"/>
        <v>1.2799999999999999E-5</v>
      </c>
      <c r="HU5" s="10">
        <f t="shared" si="228"/>
        <v>1.26E-5</v>
      </c>
      <c r="HV5" s="10">
        <f t="shared" si="229"/>
        <v>1.24E-5</v>
      </c>
      <c r="HW5" s="10">
        <f t="shared" si="230"/>
        <v>1.2300000000000001E-5</v>
      </c>
      <c r="HX5" s="10">
        <f t="shared" si="231"/>
        <v>1.2099999999999999E-5</v>
      </c>
      <c r="HY5" s="10">
        <f t="shared" si="232"/>
        <v>1.19E-5</v>
      </c>
      <c r="HZ5" s="10">
        <f t="shared" si="233"/>
        <v>1.1800000000000001E-5</v>
      </c>
      <c r="IA5" s="10">
        <f t="shared" si="234"/>
        <v>1.1600000000000001E-5</v>
      </c>
      <c r="IB5" s="10">
        <f t="shared" si="235"/>
        <v>1.1399999999999999E-5</v>
      </c>
      <c r="IC5" s="10">
        <f t="shared" si="236"/>
        <v>1.13E-5</v>
      </c>
      <c r="ID5" s="10">
        <f t="shared" si="237"/>
        <v>1.11E-5</v>
      </c>
      <c r="IE5" s="10">
        <f t="shared" si="238"/>
        <v>1.1E-5</v>
      </c>
      <c r="IF5" s="10">
        <f t="shared" si="239"/>
        <v>1.08E-5</v>
      </c>
      <c r="IG5" s="10">
        <f t="shared" si="240"/>
        <v>7.5480000000000002E-4</v>
      </c>
      <c r="JK5"/>
      <c r="JL5"/>
      <c r="JM5"/>
      <c r="JN5"/>
      <c r="JO5"/>
      <c r="JP5"/>
      <c r="JQ5"/>
      <c r="JR5"/>
      <c r="JS5"/>
    </row>
    <row r="6" spans="1:279" s="1" customFormat="1" x14ac:dyDescent="0.35">
      <c r="A6" s="1">
        <f t="shared" si="0"/>
        <v>-2</v>
      </c>
      <c r="B6" s="10">
        <f t="shared" si="1"/>
        <v>1.0654E-2</v>
      </c>
      <c r="C6" s="10">
        <f t="shared" si="2"/>
        <v>1.0654E-2</v>
      </c>
      <c r="D6" s="10">
        <f t="shared" si="3"/>
        <v>1.06058E-2</v>
      </c>
      <c r="E6" s="10">
        <f t="shared" si="4"/>
        <v>1.04361E-2</v>
      </c>
      <c r="F6" s="10">
        <f t="shared" si="5"/>
        <v>9.7535E-3</v>
      </c>
      <c r="G6" s="10">
        <f t="shared" si="6"/>
        <v>9.1403999999999999E-3</v>
      </c>
      <c r="H6" s="10">
        <f t="shared" si="7"/>
        <v>8.5669000000000006E-3</v>
      </c>
      <c r="I6" s="10">
        <f t="shared" si="8"/>
        <v>7.9711000000000001E-3</v>
      </c>
      <c r="J6" s="10">
        <f t="shared" si="9"/>
        <v>7.4428000000000003E-3</v>
      </c>
      <c r="K6" s="10">
        <f t="shared" si="10"/>
        <v>6.9601000000000003E-3</v>
      </c>
      <c r="L6" s="10">
        <f t="shared" si="11"/>
        <v>6.5317999999999999E-3</v>
      </c>
      <c r="M6" s="10">
        <f t="shared" si="12"/>
        <v>6.1491999999999996E-3</v>
      </c>
      <c r="N6" s="10">
        <f t="shared" si="13"/>
        <v>5.8079999999999998E-3</v>
      </c>
      <c r="O6" s="10">
        <f t="shared" si="14"/>
        <v>5.5024999999999996E-3</v>
      </c>
      <c r="P6" s="10">
        <f t="shared" si="15"/>
        <v>5.2283E-3</v>
      </c>
      <c r="Q6" s="10">
        <f t="shared" si="16"/>
        <v>4.9813000000000001E-3</v>
      </c>
      <c r="R6" s="10">
        <f t="shared" si="17"/>
        <v>4.7580000000000001E-3</v>
      </c>
      <c r="S6" s="10">
        <f t="shared" si="18"/>
        <v>4.5554000000000002E-3</v>
      </c>
      <c r="T6" s="10">
        <f t="shared" si="19"/>
        <v>4.3709999999999999E-3</v>
      </c>
      <c r="U6" s="10">
        <f t="shared" si="20"/>
        <v>4.2025999999999999E-3</v>
      </c>
      <c r="V6" s="10">
        <f t="shared" si="21"/>
        <v>4.0480999999999998E-3</v>
      </c>
      <c r="W6" s="10">
        <f t="shared" si="22"/>
        <v>3.9061E-3</v>
      </c>
      <c r="X6" s="10">
        <f t="shared" si="23"/>
        <v>3.7750000000000001E-3</v>
      </c>
      <c r="Y6" s="10">
        <f t="shared" si="24"/>
        <v>3.6537000000000002E-3</v>
      </c>
      <c r="Z6" s="10">
        <f t="shared" si="25"/>
        <v>3.5412E-3</v>
      </c>
      <c r="AA6" s="10">
        <f t="shared" si="26"/>
        <v>3.4364E-3</v>
      </c>
      <c r="AB6" s="10">
        <f t="shared" si="27"/>
        <v>3.3384999999999999E-3</v>
      </c>
      <c r="AC6" s="10">
        <f t="shared" si="28"/>
        <v>3.2468000000000002E-3</v>
      </c>
      <c r="AD6" s="10">
        <f t="shared" si="29"/>
        <v>3.1606999999999998E-3</v>
      </c>
      <c r="AE6" s="10">
        <f t="shared" si="30"/>
        <v>3.0796999999999999E-3</v>
      </c>
      <c r="AF6" s="10">
        <f t="shared" si="31"/>
        <v>3.0030999999999999E-3</v>
      </c>
      <c r="AG6" s="10">
        <f t="shared" si="32"/>
        <v>2.9307000000000001E-3</v>
      </c>
      <c r="AH6" s="10">
        <f t="shared" si="33"/>
        <v>2.8620999999999998E-3</v>
      </c>
      <c r="AI6" s="10">
        <f t="shared" si="34"/>
        <v>2.7969000000000002E-3</v>
      </c>
      <c r="AJ6" s="10">
        <f t="shared" si="35"/>
        <v>2.7349000000000002E-3</v>
      </c>
      <c r="AK6" s="10">
        <f t="shared" si="36"/>
        <v>2.6759000000000002E-3</v>
      </c>
      <c r="AL6" s="10">
        <f t="shared" si="37"/>
        <v>2.6194999999999999E-3</v>
      </c>
      <c r="AM6" s="10">
        <f t="shared" si="38"/>
        <v>2.5657000000000002E-3</v>
      </c>
      <c r="AN6" s="10">
        <f t="shared" si="39"/>
        <v>2.5143000000000001E-3</v>
      </c>
      <c r="AO6" s="10">
        <f t="shared" si="40"/>
        <v>2.4650000000000002E-3</v>
      </c>
      <c r="AP6" s="10">
        <f t="shared" si="41"/>
        <v>2.4177000000000001E-3</v>
      </c>
      <c r="AQ6" s="10">
        <f t="shared" si="42"/>
        <v>2.3722999999999999E-3</v>
      </c>
      <c r="AR6" s="10">
        <f t="shared" si="43"/>
        <v>2.3287E-3</v>
      </c>
      <c r="AS6" s="10">
        <f t="shared" si="44"/>
        <v>2.2867E-3</v>
      </c>
      <c r="AT6" s="10">
        <f t="shared" si="45"/>
        <v>2.2461999999999998E-3</v>
      </c>
      <c r="AU6" s="10">
        <f t="shared" si="46"/>
        <v>2.2071999999999999E-3</v>
      </c>
      <c r="AV6" s="10">
        <f t="shared" si="47"/>
        <v>2.1695E-3</v>
      </c>
      <c r="AW6" s="10">
        <f t="shared" si="48"/>
        <v>2.1329999999999999E-3</v>
      </c>
      <c r="AX6" s="10">
        <f t="shared" si="49"/>
        <v>2.0977000000000001E-3</v>
      </c>
      <c r="AY6" s="10">
        <f t="shared" si="50"/>
        <v>2.0634E-3</v>
      </c>
      <c r="AZ6" s="10">
        <f t="shared" si="51"/>
        <v>2.0301999999999998E-3</v>
      </c>
      <c r="BA6" s="10">
        <f t="shared" si="52"/>
        <v>1.9980000000000002E-3</v>
      </c>
      <c r="BB6" s="10">
        <f t="shared" si="53"/>
        <v>1.9666000000000002E-3</v>
      </c>
      <c r="BC6" s="10">
        <f t="shared" si="54"/>
        <v>1.9361000000000001E-3</v>
      </c>
      <c r="BD6" s="10">
        <f t="shared" si="55"/>
        <v>1.9063000000000001E-3</v>
      </c>
      <c r="BE6" s="10">
        <f t="shared" si="56"/>
        <v>1.8772999999999999E-3</v>
      </c>
      <c r="BF6" s="10">
        <f t="shared" si="57"/>
        <v>1.8489999999999999E-3</v>
      </c>
      <c r="BG6" s="10">
        <f t="shared" si="58"/>
        <v>1.8213000000000001E-3</v>
      </c>
      <c r="BH6" s="10">
        <f t="shared" si="59"/>
        <v>1.7943E-3</v>
      </c>
      <c r="BI6" s="10">
        <f t="shared" si="60"/>
        <v>1.7677999999999999E-3</v>
      </c>
      <c r="BJ6" s="10">
        <f t="shared" si="61"/>
        <v>1.7419E-3</v>
      </c>
      <c r="BK6" s="10">
        <f t="shared" si="62"/>
        <v>1.7166E-3</v>
      </c>
      <c r="BL6" s="10">
        <f t="shared" si="63"/>
        <v>1.6917E-3</v>
      </c>
      <c r="BM6" s="10">
        <f t="shared" si="64"/>
        <v>1.6673E-3</v>
      </c>
      <c r="BN6" s="10">
        <f t="shared" si="65"/>
        <v>1.6433999999999999E-3</v>
      </c>
      <c r="BO6" s="10">
        <f t="shared" si="66"/>
        <v>1.6199000000000001E-3</v>
      </c>
      <c r="BP6" s="10">
        <f t="shared" si="67"/>
        <v>1.5968E-3</v>
      </c>
      <c r="BQ6" s="10">
        <f t="shared" si="68"/>
        <v>1.5740999999999999E-3</v>
      </c>
      <c r="BR6" s="10">
        <f t="shared" si="69"/>
        <v>1.5518000000000001E-3</v>
      </c>
      <c r="BS6" s="10">
        <f t="shared" si="70"/>
        <v>1.5299000000000001E-3</v>
      </c>
      <c r="BT6" s="10">
        <f t="shared" si="71"/>
        <v>1.5083E-3</v>
      </c>
      <c r="BU6" s="10">
        <f t="shared" si="72"/>
        <v>1.4871000000000001E-3</v>
      </c>
      <c r="BV6" s="10">
        <f t="shared" si="73"/>
        <v>1.4662E-3</v>
      </c>
      <c r="BW6" s="10">
        <f t="shared" si="74"/>
        <v>1.4457000000000001E-3</v>
      </c>
      <c r="BX6" s="10">
        <f t="shared" si="75"/>
        <v>1.4254000000000001E-3</v>
      </c>
      <c r="BY6" s="10">
        <f t="shared" si="76"/>
        <v>1.4055000000000001E-3</v>
      </c>
      <c r="BZ6" s="10">
        <f t="shared" si="77"/>
        <v>1.3858E-3</v>
      </c>
      <c r="CA6" s="10">
        <f t="shared" si="78"/>
        <v>1.3664E-3</v>
      </c>
      <c r="CB6" s="10">
        <f t="shared" si="79"/>
        <v>1.3473999999999999E-3</v>
      </c>
      <c r="CC6" s="10">
        <f t="shared" si="80"/>
        <v>1.3285E-3</v>
      </c>
      <c r="CD6" s="10">
        <f t="shared" si="81"/>
        <v>1.31E-3</v>
      </c>
      <c r="CE6" s="10">
        <f t="shared" si="82"/>
        <v>1.2917E-3</v>
      </c>
      <c r="CF6" s="10">
        <f t="shared" si="83"/>
        <v>1.2737E-3</v>
      </c>
      <c r="CG6" s="10">
        <f t="shared" si="84"/>
        <v>1.2558999999999999E-3</v>
      </c>
      <c r="CH6" s="10">
        <f t="shared" si="85"/>
        <v>1.2384E-3</v>
      </c>
      <c r="CI6" s="10">
        <f t="shared" si="86"/>
        <v>1.2210999999999999E-3</v>
      </c>
      <c r="CJ6" s="10">
        <f t="shared" si="87"/>
        <v>1.2041E-3</v>
      </c>
      <c r="CK6" s="10">
        <f t="shared" si="88"/>
        <v>1.1873000000000001E-3</v>
      </c>
      <c r="CL6" s="10">
        <f t="shared" si="89"/>
        <v>1.1707E-3</v>
      </c>
      <c r="CM6" s="10">
        <f t="shared" si="90"/>
        <v>1.1543E-3</v>
      </c>
      <c r="CN6" s="10">
        <f t="shared" si="91"/>
        <v>1.1382E-3</v>
      </c>
      <c r="CO6" s="10">
        <f t="shared" si="92"/>
        <v>1.1222999999999999E-3</v>
      </c>
      <c r="CP6" s="10">
        <f t="shared" si="93"/>
        <v>1.1065999999999999E-3</v>
      </c>
      <c r="CQ6" s="10">
        <f t="shared" si="94"/>
        <v>1.0911E-3</v>
      </c>
      <c r="CR6" s="10">
        <f t="shared" si="95"/>
        <v>1.0759000000000001E-3</v>
      </c>
      <c r="CS6" s="10">
        <f t="shared" si="96"/>
        <v>1.0608E-3</v>
      </c>
      <c r="CT6" s="10">
        <f t="shared" si="97"/>
        <v>1.0459E-3</v>
      </c>
      <c r="CU6" s="10">
        <f t="shared" si="98"/>
        <v>1.0313E-3</v>
      </c>
      <c r="CV6" s="10">
        <f t="shared" si="99"/>
        <v>1.0168E-3</v>
      </c>
      <c r="CW6" s="10">
        <f t="shared" si="100"/>
        <v>1.0026E-3</v>
      </c>
      <c r="CX6" s="10">
        <f t="shared" si="101"/>
        <v>9.8850000000000001E-4</v>
      </c>
      <c r="CY6" s="10">
        <f t="shared" si="102"/>
        <v>9.7460000000000005E-4</v>
      </c>
      <c r="CZ6" s="10">
        <f t="shared" si="103"/>
        <v>9.6089999999999999E-4</v>
      </c>
      <c r="DA6" s="10">
        <f t="shared" si="104"/>
        <v>9.4740000000000004E-4</v>
      </c>
      <c r="DB6" s="10">
        <f t="shared" si="105"/>
        <v>9.3409999999999999E-4</v>
      </c>
      <c r="DC6" s="10">
        <f t="shared" si="106"/>
        <v>9.2100000000000005E-4</v>
      </c>
      <c r="DD6" s="10">
        <f t="shared" si="107"/>
        <v>9.0799999999999995E-4</v>
      </c>
      <c r="DE6" s="10">
        <f t="shared" si="108"/>
        <v>8.9519999999999997E-4</v>
      </c>
      <c r="DF6" s="10">
        <f t="shared" si="109"/>
        <v>8.8259999999999999E-4</v>
      </c>
      <c r="DG6" s="10">
        <f t="shared" si="110"/>
        <v>8.7020000000000001E-4</v>
      </c>
      <c r="DH6" s="10">
        <f t="shared" si="111"/>
        <v>8.5789999999999998E-4</v>
      </c>
      <c r="DI6" s="10">
        <f t="shared" si="112"/>
        <v>8.4579999999999996E-4</v>
      </c>
      <c r="DJ6" s="10">
        <f t="shared" si="113"/>
        <v>8.3390000000000005E-4</v>
      </c>
      <c r="DK6" s="10">
        <f t="shared" si="114"/>
        <v>8.2209999999999998E-4</v>
      </c>
      <c r="DL6" s="10">
        <f t="shared" si="115"/>
        <v>8.1050000000000002E-4</v>
      </c>
      <c r="DM6" s="10">
        <f t="shared" si="116"/>
        <v>7.9909999999999996E-4</v>
      </c>
      <c r="DN6" s="10">
        <f t="shared" si="117"/>
        <v>7.8779999999999996E-4</v>
      </c>
      <c r="DO6" s="10">
        <f t="shared" si="118"/>
        <v>7.7669999999999996E-4</v>
      </c>
      <c r="DP6" s="10">
        <f t="shared" si="119"/>
        <v>7.6570000000000002E-4</v>
      </c>
      <c r="DQ6" s="10">
        <f t="shared" si="120"/>
        <v>5.3164200000000002E-2</v>
      </c>
      <c r="DR6" s="10">
        <f t="shared" si="121"/>
        <v>0</v>
      </c>
      <c r="DS6" s="10">
        <f t="shared" si="122"/>
        <v>4.8199999999999999E-5</v>
      </c>
      <c r="DT6" s="10">
        <f t="shared" si="123"/>
        <v>1.697E-4</v>
      </c>
      <c r="DU6" s="10">
        <f t="shared" si="124"/>
        <v>6.826E-4</v>
      </c>
      <c r="DV6" s="10">
        <f t="shared" si="125"/>
        <v>6.1309999999999999E-4</v>
      </c>
      <c r="DW6" s="10">
        <f t="shared" si="126"/>
        <v>5.7359999999999996E-4</v>
      </c>
      <c r="DX6" s="10">
        <f t="shared" si="127"/>
        <v>5.9579999999999995E-4</v>
      </c>
      <c r="DY6" s="10">
        <f t="shared" si="128"/>
        <v>5.2820000000000005E-4</v>
      </c>
      <c r="DZ6" s="10">
        <f t="shared" si="129"/>
        <v>4.8280000000000003E-4</v>
      </c>
      <c r="EA6" s="10">
        <f t="shared" si="130"/>
        <v>4.283E-4</v>
      </c>
      <c r="EB6" s="10">
        <f t="shared" si="131"/>
        <v>3.8259999999999998E-4</v>
      </c>
      <c r="EC6" s="10">
        <f t="shared" si="132"/>
        <v>3.412E-4</v>
      </c>
      <c r="ED6" s="10">
        <f t="shared" si="133"/>
        <v>3.055E-4</v>
      </c>
      <c r="EE6" s="10">
        <f t="shared" si="134"/>
        <v>2.742E-4</v>
      </c>
      <c r="EF6" s="10">
        <f t="shared" si="135"/>
        <v>2.4699999999999999E-4</v>
      </c>
      <c r="EG6" s="10">
        <f t="shared" si="136"/>
        <v>2.2330000000000001E-4</v>
      </c>
      <c r="EH6" s="10">
        <f t="shared" si="137"/>
        <v>2.0259999999999999E-4</v>
      </c>
      <c r="EI6" s="10">
        <f t="shared" si="138"/>
        <v>1.8440000000000001E-4</v>
      </c>
      <c r="EJ6" s="10">
        <f t="shared" si="139"/>
        <v>1.685E-4</v>
      </c>
      <c r="EK6" s="10">
        <f t="shared" si="140"/>
        <v>1.5440000000000001E-4</v>
      </c>
      <c r="EL6" s="10">
        <f t="shared" si="141"/>
        <v>1.4200000000000001E-4</v>
      </c>
      <c r="EM6" s="10">
        <f t="shared" si="142"/>
        <v>1.3100000000000001E-4</v>
      </c>
      <c r="EN6" s="10">
        <f t="shared" si="143"/>
        <v>1.2129999999999999E-4</v>
      </c>
      <c r="EO6" s="10">
        <f t="shared" si="144"/>
        <v>1.126E-4</v>
      </c>
      <c r="EP6" s="10">
        <f t="shared" si="145"/>
        <v>1.048E-4</v>
      </c>
      <c r="EQ6" s="10">
        <f t="shared" si="146"/>
        <v>9.7899999999999994E-5</v>
      </c>
      <c r="ER6" s="10">
        <f t="shared" si="147"/>
        <v>9.1700000000000006E-5</v>
      </c>
      <c r="ES6" s="10">
        <f t="shared" si="148"/>
        <v>8.6100000000000006E-5</v>
      </c>
      <c r="ET6" s="10">
        <f t="shared" si="149"/>
        <v>8.1100000000000006E-5</v>
      </c>
      <c r="EU6" s="10">
        <f t="shared" si="150"/>
        <v>7.6500000000000003E-5</v>
      </c>
      <c r="EV6" s="10">
        <f t="shared" si="151"/>
        <v>7.2399999999999998E-5</v>
      </c>
      <c r="EW6" s="10">
        <f t="shared" si="152"/>
        <v>6.86E-5</v>
      </c>
      <c r="EX6" s="10">
        <f t="shared" si="153"/>
        <v>6.5199999999999999E-5</v>
      </c>
      <c r="EY6" s="10">
        <f t="shared" si="154"/>
        <v>6.2000000000000003E-5</v>
      </c>
      <c r="EZ6" s="10">
        <f t="shared" si="155"/>
        <v>5.8999999999999998E-5</v>
      </c>
      <c r="FA6" s="10">
        <f t="shared" si="156"/>
        <v>5.63E-5</v>
      </c>
      <c r="FB6" s="10">
        <f t="shared" si="157"/>
        <v>5.38E-5</v>
      </c>
      <c r="FC6" s="10">
        <f t="shared" si="158"/>
        <v>5.1499999999999998E-5</v>
      </c>
      <c r="FD6" s="10">
        <f t="shared" si="159"/>
        <v>4.9299999999999999E-5</v>
      </c>
      <c r="FE6" s="10">
        <f t="shared" si="160"/>
        <v>4.7299999999999998E-5</v>
      </c>
      <c r="FF6" s="10">
        <f t="shared" si="161"/>
        <v>4.5399999999999999E-5</v>
      </c>
      <c r="FG6" s="10">
        <f t="shared" si="162"/>
        <v>4.3600000000000003E-5</v>
      </c>
      <c r="FH6" s="10">
        <f t="shared" si="163"/>
        <v>4.1999999999999998E-5</v>
      </c>
      <c r="FI6" s="10">
        <f t="shared" si="164"/>
        <v>4.0500000000000002E-5</v>
      </c>
      <c r="FJ6" s="10">
        <f t="shared" si="165"/>
        <v>3.8999999999999999E-5</v>
      </c>
      <c r="FK6" s="10">
        <f t="shared" si="166"/>
        <v>3.7700000000000002E-5</v>
      </c>
      <c r="FL6" s="10">
        <f t="shared" si="167"/>
        <v>3.65E-5</v>
      </c>
      <c r="FM6" s="10">
        <f t="shared" si="168"/>
        <v>3.5299999999999997E-5</v>
      </c>
      <c r="FN6" s="10">
        <f t="shared" si="169"/>
        <v>3.4199999999999998E-5</v>
      </c>
      <c r="FO6" s="10">
        <f t="shared" si="170"/>
        <v>3.3200000000000001E-5</v>
      </c>
      <c r="FP6" s="10">
        <f t="shared" si="171"/>
        <v>3.2299999999999999E-5</v>
      </c>
      <c r="FQ6" s="10">
        <f t="shared" si="172"/>
        <v>3.1399999999999998E-5</v>
      </c>
      <c r="FR6" s="10">
        <f t="shared" si="173"/>
        <v>3.0499999999999999E-5</v>
      </c>
      <c r="FS6" s="10">
        <f t="shared" si="174"/>
        <v>2.9799999999999999E-5</v>
      </c>
      <c r="FT6" s="10">
        <f t="shared" si="175"/>
        <v>2.9E-5</v>
      </c>
      <c r="FU6" s="10">
        <f t="shared" si="176"/>
        <v>2.83E-5</v>
      </c>
      <c r="FV6" s="10">
        <f t="shared" si="177"/>
        <v>2.7699999999999999E-5</v>
      </c>
      <c r="FW6" s="10">
        <f t="shared" si="178"/>
        <v>2.6999999999999999E-5</v>
      </c>
      <c r="FX6" s="10">
        <f t="shared" si="179"/>
        <v>2.65E-5</v>
      </c>
      <c r="FY6" s="10">
        <f t="shared" si="180"/>
        <v>2.5899999999999999E-5</v>
      </c>
      <c r="FZ6" s="10">
        <f t="shared" si="181"/>
        <v>2.5400000000000001E-5</v>
      </c>
      <c r="GA6" s="10">
        <f t="shared" si="182"/>
        <v>2.4899999999999999E-5</v>
      </c>
      <c r="GB6" s="10">
        <f t="shared" si="183"/>
        <v>2.44E-5</v>
      </c>
      <c r="GC6" s="10">
        <f t="shared" si="184"/>
        <v>2.3900000000000002E-5</v>
      </c>
      <c r="GD6" s="10">
        <f t="shared" si="185"/>
        <v>2.3499999999999999E-5</v>
      </c>
      <c r="GE6" s="10">
        <f t="shared" si="186"/>
        <v>2.3099999999999999E-5</v>
      </c>
      <c r="GF6" s="10">
        <f t="shared" si="187"/>
        <v>2.27E-5</v>
      </c>
      <c r="GG6" s="10">
        <f t="shared" si="188"/>
        <v>2.23E-5</v>
      </c>
      <c r="GH6" s="10">
        <f t="shared" si="189"/>
        <v>2.19E-5</v>
      </c>
      <c r="GI6" s="10">
        <f t="shared" si="190"/>
        <v>2.16E-5</v>
      </c>
      <c r="GJ6" s="10">
        <f t="shared" si="191"/>
        <v>2.12E-5</v>
      </c>
      <c r="GK6" s="10">
        <f t="shared" si="192"/>
        <v>2.09E-5</v>
      </c>
      <c r="GL6" s="10">
        <f t="shared" si="193"/>
        <v>2.0599999999999999E-5</v>
      </c>
      <c r="GM6" s="10">
        <f t="shared" si="194"/>
        <v>2.0299999999999999E-5</v>
      </c>
      <c r="GN6" s="10">
        <f t="shared" si="195"/>
        <v>1.9899999999999999E-5</v>
      </c>
      <c r="GO6" s="10">
        <f t="shared" si="196"/>
        <v>1.9700000000000001E-5</v>
      </c>
      <c r="GP6" s="10">
        <f t="shared" si="197"/>
        <v>1.9400000000000001E-5</v>
      </c>
      <c r="GQ6" s="10">
        <f t="shared" si="198"/>
        <v>1.91E-5</v>
      </c>
      <c r="GR6" s="10">
        <f t="shared" si="199"/>
        <v>1.88E-5</v>
      </c>
      <c r="GS6" s="10">
        <f t="shared" si="200"/>
        <v>1.8499999999999999E-5</v>
      </c>
      <c r="GT6" s="10">
        <f t="shared" si="201"/>
        <v>1.8300000000000001E-5</v>
      </c>
      <c r="GU6" s="10">
        <f t="shared" si="202"/>
        <v>1.8E-5</v>
      </c>
      <c r="GV6" s="10">
        <f t="shared" si="203"/>
        <v>1.7799999999999999E-5</v>
      </c>
      <c r="GW6" s="10">
        <f t="shared" si="204"/>
        <v>1.7499999999999998E-5</v>
      </c>
      <c r="GX6" s="10">
        <f t="shared" si="205"/>
        <v>1.73E-5</v>
      </c>
      <c r="GY6" s="10">
        <f t="shared" si="206"/>
        <v>1.7E-5</v>
      </c>
      <c r="GZ6" s="10">
        <f t="shared" si="207"/>
        <v>1.6799999999999998E-5</v>
      </c>
      <c r="HA6" s="10">
        <f t="shared" si="208"/>
        <v>1.66E-5</v>
      </c>
      <c r="HB6" s="10">
        <f t="shared" si="209"/>
        <v>1.6399999999999999E-5</v>
      </c>
      <c r="HC6" s="10">
        <f t="shared" si="210"/>
        <v>1.6099999999999998E-5</v>
      </c>
      <c r="HD6" s="10">
        <f t="shared" si="211"/>
        <v>1.59E-5</v>
      </c>
      <c r="HE6" s="10">
        <f t="shared" si="212"/>
        <v>1.5699999999999999E-5</v>
      </c>
      <c r="HF6" s="10">
        <f t="shared" si="213"/>
        <v>1.5500000000000001E-5</v>
      </c>
      <c r="HG6" s="10">
        <f t="shared" si="214"/>
        <v>1.5299999999999999E-5</v>
      </c>
      <c r="HH6" s="10">
        <f t="shared" si="215"/>
        <v>1.5099999999999999E-5</v>
      </c>
      <c r="HI6" s="10">
        <f t="shared" si="216"/>
        <v>1.49E-5</v>
      </c>
      <c r="HJ6" s="10">
        <f t="shared" si="217"/>
        <v>1.47E-5</v>
      </c>
      <c r="HK6" s="10">
        <f t="shared" si="218"/>
        <v>1.45E-5</v>
      </c>
      <c r="HL6" s="10">
        <f t="shared" si="219"/>
        <v>1.43E-5</v>
      </c>
      <c r="HM6" s="10">
        <f t="shared" si="220"/>
        <v>1.4100000000000001E-5</v>
      </c>
      <c r="HN6" s="10">
        <f t="shared" si="221"/>
        <v>1.3900000000000001E-5</v>
      </c>
      <c r="HO6" s="10">
        <f t="shared" si="222"/>
        <v>1.3699999999999999E-5</v>
      </c>
      <c r="HP6" s="10">
        <f t="shared" si="223"/>
        <v>1.3499999999999999E-5</v>
      </c>
      <c r="HQ6" s="10">
        <f t="shared" si="224"/>
        <v>1.33E-5</v>
      </c>
      <c r="HR6" s="10">
        <f t="shared" si="225"/>
        <v>1.31E-5</v>
      </c>
      <c r="HS6" s="10">
        <f t="shared" si="226"/>
        <v>1.2999999999999999E-5</v>
      </c>
      <c r="HT6" s="10">
        <f t="shared" si="227"/>
        <v>1.2799999999999999E-5</v>
      </c>
      <c r="HU6" s="10">
        <f t="shared" si="228"/>
        <v>1.26E-5</v>
      </c>
      <c r="HV6" s="10">
        <f t="shared" si="229"/>
        <v>1.24E-5</v>
      </c>
      <c r="HW6" s="10">
        <f t="shared" si="230"/>
        <v>1.2300000000000001E-5</v>
      </c>
      <c r="HX6" s="10">
        <f t="shared" si="231"/>
        <v>1.2099999999999999E-5</v>
      </c>
      <c r="HY6" s="10">
        <f t="shared" si="232"/>
        <v>1.19E-5</v>
      </c>
      <c r="HZ6" s="10">
        <f t="shared" si="233"/>
        <v>1.1800000000000001E-5</v>
      </c>
      <c r="IA6" s="10">
        <f t="shared" si="234"/>
        <v>1.1600000000000001E-5</v>
      </c>
      <c r="IB6" s="10">
        <f t="shared" si="235"/>
        <v>1.1399999999999999E-5</v>
      </c>
      <c r="IC6" s="10">
        <f t="shared" si="236"/>
        <v>1.13E-5</v>
      </c>
      <c r="ID6" s="10">
        <f t="shared" si="237"/>
        <v>1.11E-5</v>
      </c>
      <c r="IE6" s="10">
        <f t="shared" si="238"/>
        <v>1.1E-5</v>
      </c>
      <c r="IF6" s="10">
        <f t="shared" si="239"/>
        <v>1.08E-5</v>
      </c>
      <c r="IG6" s="10">
        <f t="shared" si="240"/>
        <v>7.5480000000000002E-4</v>
      </c>
      <c r="JK6"/>
      <c r="JL6"/>
      <c r="JM6"/>
      <c r="JN6"/>
      <c r="JO6"/>
      <c r="JP6"/>
      <c r="JQ6"/>
      <c r="JR6"/>
      <c r="JS6"/>
    </row>
    <row r="7" spans="1:279" s="1" customFormat="1" x14ac:dyDescent="0.35">
      <c r="A7" s="1">
        <f>A8-1</f>
        <v>-1</v>
      </c>
      <c r="B7" s="10">
        <f>B8</f>
        <v>1.0654E-2</v>
      </c>
      <c r="C7" s="10">
        <f t="shared" ref="C7:BN7" si="241">C8</f>
        <v>1.0654E-2</v>
      </c>
      <c r="D7" s="10">
        <f t="shared" si="241"/>
        <v>1.06058E-2</v>
      </c>
      <c r="E7" s="10">
        <f t="shared" si="241"/>
        <v>1.04361E-2</v>
      </c>
      <c r="F7" s="10">
        <f t="shared" si="241"/>
        <v>9.7535E-3</v>
      </c>
      <c r="G7" s="10">
        <f t="shared" si="241"/>
        <v>9.1403999999999999E-3</v>
      </c>
      <c r="H7" s="10">
        <f t="shared" si="241"/>
        <v>8.5669000000000006E-3</v>
      </c>
      <c r="I7" s="10">
        <f t="shared" si="241"/>
        <v>7.9711000000000001E-3</v>
      </c>
      <c r="J7" s="10">
        <f t="shared" si="241"/>
        <v>7.4428000000000003E-3</v>
      </c>
      <c r="K7" s="10">
        <f t="shared" si="241"/>
        <v>6.9601000000000003E-3</v>
      </c>
      <c r="L7" s="10">
        <f t="shared" si="241"/>
        <v>6.5317999999999999E-3</v>
      </c>
      <c r="M7" s="10">
        <f t="shared" si="241"/>
        <v>6.1491999999999996E-3</v>
      </c>
      <c r="N7" s="10">
        <f t="shared" si="241"/>
        <v>5.8079999999999998E-3</v>
      </c>
      <c r="O7" s="10">
        <f t="shared" si="241"/>
        <v>5.5024999999999996E-3</v>
      </c>
      <c r="P7" s="10">
        <f t="shared" si="241"/>
        <v>5.2283E-3</v>
      </c>
      <c r="Q7" s="10">
        <f t="shared" si="241"/>
        <v>4.9813000000000001E-3</v>
      </c>
      <c r="R7" s="10">
        <f t="shared" si="241"/>
        <v>4.7580000000000001E-3</v>
      </c>
      <c r="S7" s="10">
        <f t="shared" si="241"/>
        <v>4.5554000000000002E-3</v>
      </c>
      <c r="T7" s="10">
        <f t="shared" si="241"/>
        <v>4.3709999999999999E-3</v>
      </c>
      <c r="U7" s="10">
        <f t="shared" si="241"/>
        <v>4.2025999999999999E-3</v>
      </c>
      <c r="V7" s="10">
        <f t="shared" si="241"/>
        <v>4.0480999999999998E-3</v>
      </c>
      <c r="W7" s="10">
        <f t="shared" si="241"/>
        <v>3.9061E-3</v>
      </c>
      <c r="X7" s="10">
        <f t="shared" si="241"/>
        <v>3.7750000000000001E-3</v>
      </c>
      <c r="Y7" s="10">
        <f t="shared" si="241"/>
        <v>3.6537000000000002E-3</v>
      </c>
      <c r="Z7" s="10">
        <f t="shared" si="241"/>
        <v>3.5412E-3</v>
      </c>
      <c r="AA7" s="10">
        <f t="shared" si="241"/>
        <v>3.4364E-3</v>
      </c>
      <c r="AB7" s="10">
        <f t="shared" si="241"/>
        <v>3.3384999999999999E-3</v>
      </c>
      <c r="AC7" s="10">
        <f t="shared" si="241"/>
        <v>3.2468000000000002E-3</v>
      </c>
      <c r="AD7" s="10">
        <f t="shared" si="241"/>
        <v>3.1606999999999998E-3</v>
      </c>
      <c r="AE7" s="10">
        <f t="shared" si="241"/>
        <v>3.0796999999999999E-3</v>
      </c>
      <c r="AF7" s="10">
        <f t="shared" si="241"/>
        <v>3.0030999999999999E-3</v>
      </c>
      <c r="AG7" s="10">
        <f t="shared" si="241"/>
        <v>2.9307000000000001E-3</v>
      </c>
      <c r="AH7" s="10">
        <f t="shared" si="241"/>
        <v>2.8620999999999998E-3</v>
      </c>
      <c r="AI7" s="10">
        <f t="shared" si="241"/>
        <v>2.7969000000000002E-3</v>
      </c>
      <c r="AJ7" s="10">
        <f t="shared" si="241"/>
        <v>2.7349000000000002E-3</v>
      </c>
      <c r="AK7" s="10">
        <f t="shared" si="241"/>
        <v>2.6759000000000002E-3</v>
      </c>
      <c r="AL7" s="10">
        <f t="shared" si="241"/>
        <v>2.6194999999999999E-3</v>
      </c>
      <c r="AM7" s="10">
        <f t="shared" si="241"/>
        <v>2.5657000000000002E-3</v>
      </c>
      <c r="AN7" s="10">
        <f t="shared" si="241"/>
        <v>2.5143000000000001E-3</v>
      </c>
      <c r="AO7" s="10">
        <f t="shared" si="241"/>
        <v>2.4650000000000002E-3</v>
      </c>
      <c r="AP7" s="10">
        <f t="shared" si="241"/>
        <v>2.4177000000000001E-3</v>
      </c>
      <c r="AQ7" s="10">
        <f t="shared" si="241"/>
        <v>2.3722999999999999E-3</v>
      </c>
      <c r="AR7" s="10">
        <f t="shared" si="241"/>
        <v>2.3287E-3</v>
      </c>
      <c r="AS7" s="10">
        <f t="shared" si="241"/>
        <v>2.2867E-3</v>
      </c>
      <c r="AT7" s="10">
        <f t="shared" si="241"/>
        <v>2.2461999999999998E-3</v>
      </c>
      <c r="AU7" s="10">
        <f t="shared" si="241"/>
        <v>2.2071999999999999E-3</v>
      </c>
      <c r="AV7" s="10">
        <f t="shared" si="241"/>
        <v>2.1695E-3</v>
      </c>
      <c r="AW7" s="10">
        <f t="shared" si="241"/>
        <v>2.1329999999999999E-3</v>
      </c>
      <c r="AX7" s="10">
        <f t="shared" si="241"/>
        <v>2.0977000000000001E-3</v>
      </c>
      <c r="AY7" s="10">
        <f t="shared" si="241"/>
        <v>2.0634E-3</v>
      </c>
      <c r="AZ7" s="10">
        <f t="shared" si="241"/>
        <v>2.0301999999999998E-3</v>
      </c>
      <c r="BA7" s="10">
        <f t="shared" si="241"/>
        <v>1.9980000000000002E-3</v>
      </c>
      <c r="BB7" s="10">
        <f t="shared" si="241"/>
        <v>1.9666000000000002E-3</v>
      </c>
      <c r="BC7" s="10">
        <f t="shared" si="241"/>
        <v>1.9361000000000001E-3</v>
      </c>
      <c r="BD7" s="10">
        <f t="shared" si="241"/>
        <v>1.9063000000000001E-3</v>
      </c>
      <c r="BE7" s="10">
        <f t="shared" si="241"/>
        <v>1.8772999999999999E-3</v>
      </c>
      <c r="BF7" s="10">
        <f t="shared" si="241"/>
        <v>1.8489999999999999E-3</v>
      </c>
      <c r="BG7" s="10">
        <f t="shared" si="241"/>
        <v>1.8213000000000001E-3</v>
      </c>
      <c r="BH7" s="10">
        <f t="shared" si="241"/>
        <v>1.7943E-3</v>
      </c>
      <c r="BI7" s="10">
        <f t="shared" si="241"/>
        <v>1.7677999999999999E-3</v>
      </c>
      <c r="BJ7" s="10">
        <f t="shared" si="241"/>
        <v>1.7419E-3</v>
      </c>
      <c r="BK7" s="10">
        <f t="shared" si="241"/>
        <v>1.7166E-3</v>
      </c>
      <c r="BL7" s="10">
        <f t="shared" si="241"/>
        <v>1.6917E-3</v>
      </c>
      <c r="BM7" s="10">
        <f t="shared" si="241"/>
        <v>1.6673E-3</v>
      </c>
      <c r="BN7" s="10">
        <f t="shared" si="241"/>
        <v>1.6433999999999999E-3</v>
      </c>
      <c r="BO7" s="10">
        <f t="shared" ref="BO7:DZ7" si="242">BO8</f>
        <v>1.6199000000000001E-3</v>
      </c>
      <c r="BP7" s="10">
        <f t="shared" si="242"/>
        <v>1.5968E-3</v>
      </c>
      <c r="BQ7" s="10">
        <f t="shared" si="242"/>
        <v>1.5740999999999999E-3</v>
      </c>
      <c r="BR7" s="10">
        <f t="shared" si="242"/>
        <v>1.5518000000000001E-3</v>
      </c>
      <c r="BS7" s="10">
        <f t="shared" si="242"/>
        <v>1.5299000000000001E-3</v>
      </c>
      <c r="BT7" s="10">
        <f t="shared" si="242"/>
        <v>1.5083E-3</v>
      </c>
      <c r="BU7" s="10">
        <f t="shared" si="242"/>
        <v>1.4871000000000001E-3</v>
      </c>
      <c r="BV7" s="10">
        <f t="shared" si="242"/>
        <v>1.4662E-3</v>
      </c>
      <c r="BW7" s="10">
        <f t="shared" si="242"/>
        <v>1.4457000000000001E-3</v>
      </c>
      <c r="BX7" s="10">
        <f t="shared" si="242"/>
        <v>1.4254000000000001E-3</v>
      </c>
      <c r="BY7" s="10">
        <f t="shared" si="242"/>
        <v>1.4055000000000001E-3</v>
      </c>
      <c r="BZ7" s="10">
        <f t="shared" si="242"/>
        <v>1.3858E-3</v>
      </c>
      <c r="CA7" s="10">
        <f t="shared" si="242"/>
        <v>1.3664E-3</v>
      </c>
      <c r="CB7" s="10">
        <f t="shared" si="242"/>
        <v>1.3473999999999999E-3</v>
      </c>
      <c r="CC7" s="10">
        <f t="shared" si="242"/>
        <v>1.3285E-3</v>
      </c>
      <c r="CD7" s="10">
        <f t="shared" si="242"/>
        <v>1.31E-3</v>
      </c>
      <c r="CE7" s="10">
        <f t="shared" si="242"/>
        <v>1.2917E-3</v>
      </c>
      <c r="CF7" s="10">
        <f t="shared" si="242"/>
        <v>1.2737E-3</v>
      </c>
      <c r="CG7" s="10">
        <f t="shared" si="242"/>
        <v>1.2558999999999999E-3</v>
      </c>
      <c r="CH7" s="10">
        <f t="shared" si="242"/>
        <v>1.2384E-3</v>
      </c>
      <c r="CI7" s="10">
        <f t="shared" si="242"/>
        <v>1.2210999999999999E-3</v>
      </c>
      <c r="CJ7" s="10">
        <f t="shared" si="242"/>
        <v>1.2041E-3</v>
      </c>
      <c r="CK7" s="10">
        <f t="shared" si="242"/>
        <v>1.1873000000000001E-3</v>
      </c>
      <c r="CL7" s="10">
        <f t="shared" si="242"/>
        <v>1.1707E-3</v>
      </c>
      <c r="CM7" s="10">
        <f t="shared" si="242"/>
        <v>1.1543E-3</v>
      </c>
      <c r="CN7" s="10">
        <f t="shared" si="242"/>
        <v>1.1382E-3</v>
      </c>
      <c r="CO7" s="10">
        <f t="shared" si="242"/>
        <v>1.1222999999999999E-3</v>
      </c>
      <c r="CP7" s="10">
        <f t="shared" si="242"/>
        <v>1.1065999999999999E-3</v>
      </c>
      <c r="CQ7" s="10">
        <f t="shared" si="242"/>
        <v>1.0911E-3</v>
      </c>
      <c r="CR7" s="10">
        <f t="shared" si="242"/>
        <v>1.0759000000000001E-3</v>
      </c>
      <c r="CS7" s="10">
        <f t="shared" si="242"/>
        <v>1.0608E-3</v>
      </c>
      <c r="CT7" s="10">
        <f t="shared" si="242"/>
        <v>1.0459E-3</v>
      </c>
      <c r="CU7" s="10">
        <f t="shared" si="242"/>
        <v>1.0313E-3</v>
      </c>
      <c r="CV7" s="10">
        <f t="shared" si="242"/>
        <v>1.0168E-3</v>
      </c>
      <c r="CW7" s="10">
        <f t="shared" si="242"/>
        <v>1.0026E-3</v>
      </c>
      <c r="CX7" s="10">
        <f t="shared" si="242"/>
        <v>9.8850000000000001E-4</v>
      </c>
      <c r="CY7" s="10">
        <f t="shared" si="242"/>
        <v>9.7460000000000005E-4</v>
      </c>
      <c r="CZ7" s="10">
        <f t="shared" si="242"/>
        <v>9.6089999999999999E-4</v>
      </c>
      <c r="DA7" s="10">
        <f t="shared" si="242"/>
        <v>9.4740000000000004E-4</v>
      </c>
      <c r="DB7" s="10">
        <f t="shared" si="242"/>
        <v>9.3409999999999999E-4</v>
      </c>
      <c r="DC7" s="10">
        <f t="shared" si="242"/>
        <v>9.2100000000000005E-4</v>
      </c>
      <c r="DD7" s="10">
        <f t="shared" si="242"/>
        <v>9.0799999999999995E-4</v>
      </c>
      <c r="DE7" s="10">
        <f t="shared" si="242"/>
        <v>8.9519999999999997E-4</v>
      </c>
      <c r="DF7" s="10">
        <f t="shared" si="242"/>
        <v>8.8259999999999999E-4</v>
      </c>
      <c r="DG7" s="10">
        <f t="shared" si="242"/>
        <v>8.7020000000000001E-4</v>
      </c>
      <c r="DH7" s="10">
        <f t="shared" si="242"/>
        <v>8.5789999999999998E-4</v>
      </c>
      <c r="DI7" s="10">
        <f t="shared" si="242"/>
        <v>8.4579999999999996E-4</v>
      </c>
      <c r="DJ7" s="10">
        <f t="shared" si="242"/>
        <v>8.3390000000000005E-4</v>
      </c>
      <c r="DK7" s="10">
        <f t="shared" si="242"/>
        <v>8.2209999999999998E-4</v>
      </c>
      <c r="DL7" s="10">
        <f t="shared" si="242"/>
        <v>8.1050000000000002E-4</v>
      </c>
      <c r="DM7" s="10">
        <f t="shared" si="242"/>
        <v>7.9909999999999996E-4</v>
      </c>
      <c r="DN7" s="10">
        <f t="shared" si="242"/>
        <v>7.8779999999999996E-4</v>
      </c>
      <c r="DO7" s="10">
        <f t="shared" si="242"/>
        <v>7.7669999999999996E-4</v>
      </c>
      <c r="DP7" s="10">
        <f t="shared" si="242"/>
        <v>7.6570000000000002E-4</v>
      </c>
      <c r="DQ7" s="10">
        <f t="shared" si="242"/>
        <v>5.3164200000000002E-2</v>
      </c>
      <c r="DR7" s="10">
        <f t="shared" si="242"/>
        <v>0</v>
      </c>
      <c r="DS7" s="10">
        <f t="shared" si="242"/>
        <v>4.8199999999999999E-5</v>
      </c>
      <c r="DT7" s="10">
        <f t="shared" si="242"/>
        <v>1.697E-4</v>
      </c>
      <c r="DU7" s="10">
        <f t="shared" si="242"/>
        <v>6.826E-4</v>
      </c>
      <c r="DV7" s="10">
        <f t="shared" si="242"/>
        <v>6.1309999999999999E-4</v>
      </c>
      <c r="DW7" s="10">
        <f t="shared" si="242"/>
        <v>5.7359999999999996E-4</v>
      </c>
      <c r="DX7" s="10">
        <f t="shared" si="242"/>
        <v>5.9579999999999995E-4</v>
      </c>
      <c r="DY7" s="10">
        <f t="shared" si="242"/>
        <v>5.2820000000000005E-4</v>
      </c>
      <c r="DZ7" s="10">
        <f t="shared" si="242"/>
        <v>4.8280000000000003E-4</v>
      </c>
      <c r="EA7" s="10">
        <f t="shared" ref="EA7:GL7" si="243">EA8</f>
        <v>4.283E-4</v>
      </c>
      <c r="EB7" s="10">
        <f t="shared" si="243"/>
        <v>3.8259999999999998E-4</v>
      </c>
      <c r="EC7" s="10">
        <f t="shared" si="243"/>
        <v>3.412E-4</v>
      </c>
      <c r="ED7" s="10">
        <f t="shared" si="243"/>
        <v>3.055E-4</v>
      </c>
      <c r="EE7" s="10">
        <f t="shared" si="243"/>
        <v>2.742E-4</v>
      </c>
      <c r="EF7" s="10">
        <f t="shared" si="243"/>
        <v>2.4699999999999999E-4</v>
      </c>
      <c r="EG7" s="10">
        <f t="shared" si="243"/>
        <v>2.2330000000000001E-4</v>
      </c>
      <c r="EH7" s="10">
        <f t="shared" si="243"/>
        <v>2.0259999999999999E-4</v>
      </c>
      <c r="EI7" s="10">
        <f t="shared" si="243"/>
        <v>1.8440000000000001E-4</v>
      </c>
      <c r="EJ7" s="10">
        <f t="shared" si="243"/>
        <v>1.685E-4</v>
      </c>
      <c r="EK7" s="10">
        <f t="shared" si="243"/>
        <v>1.5440000000000001E-4</v>
      </c>
      <c r="EL7" s="10">
        <f t="shared" si="243"/>
        <v>1.4200000000000001E-4</v>
      </c>
      <c r="EM7" s="10">
        <f t="shared" si="243"/>
        <v>1.3100000000000001E-4</v>
      </c>
      <c r="EN7" s="10">
        <f t="shared" si="243"/>
        <v>1.2129999999999999E-4</v>
      </c>
      <c r="EO7" s="10">
        <f t="shared" si="243"/>
        <v>1.126E-4</v>
      </c>
      <c r="EP7" s="10">
        <f t="shared" si="243"/>
        <v>1.048E-4</v>
      </c>
      <c r="EQ7" s="10">
        <f t="shared" si="243"/>
        <v>9.7899999999999994E-5</v>
      </c>
      <c r="ER7" s="10">
        <f t="shared" si="243"/>
        <v>9.1700000000000006E-5</v>
      </c>
      <c r="ES7" s="10">
        <f t="shared" si="243"/>
        <v>8.6100000000000006E-5</v>
      </c>
      <c r="ET7" s="10">
        <f t="shared" si="243"/>
        <v>8.1100000000000006E-5</v>
      </c>
      <c r="EU7" s="10">
        <f t="shared" si="243"/>
        <v>7.6500000000000003E-5</v>
      </c>
      <c r="EV7" s="10">
        <f t="shared" si="243"/>
        <v>7.2399999999999998E-5</v>
      </c>
      <c r="EW7" s="10">
        <f t="shared" si="243"/>
        <v>6.86E-5</v>
      </c>
      <c r="EX7" s="10">
        <f t="shared" si="243"/>
        <v>6.5199999999999999E-5</v>
      </c>
      <c r="EY7" s="10">
        <f t="shared" si="243"/>
        <v>6.2000000000000003E-5</v>
      </c>
      <c r="EZ7" s="10">
        <f t="shared" si="243"/>
        <v>5.8999999999999998E-5</v>
      </c>
      <c r="FA7" s="10">
        <f t="shared" si="243"/>
        <v>5.63E-5</v>
      </c>
      <c r="FB7" s="10">
        <f t="shared" si="243"/>
        <v>5.38E-5</v>
      </c>
      <c r="FC7" s="10">
        <f t="shared" si="243"/>
        <v>5.1499999999999998E-5</v>
      </c>
      <c r="FD7" s="10">
        <f t="shared" si="243"/>
        <v>4.9299999999999999E-5</v>
      </c>
      <c r="FE7" s="10">
        <f t="shared" si="243"/>
        <v>4.7299999999999998E-5</v>
      </c>
      <c r="FF7" s="10">
        <f t="shared" si="243"/>
        <v>4.5399999999999999E-5</v>
      </c>
      <c r="FG7" s="10">
        <f t="shared" si="243"/>
        <v>4.3600000000000003E-5</v>
      </c>
      <c r="FH7" s="10">
        <f t="shared" si="243"/>
        <v>4.1999999999999998E-5</v>
      </c>
      <c r="FI7" s="10">
        <f t="shared" si="243"/>
        <v>4.0500000000000002E-5</v>
      </c>
      <c r="FJ7" s="10">
        <f t="shared" si="243"/>
        <v>3.8999999999999999E-5</v>
      </c>
      <c r="FK7" s="10">
        <f t="shared" si="243"/>
        <v>3.7700000000000002E-5</v>
      </c>
      <c r="FL7" s="10">
        <f t="shared" si="243"/>
        <v>3.65E-5</v>
      </c>
      <c r="FM7" s="10">
        <f t="shared" si="243"/>
        <v>3.5299999999999997E-5</v>
      </c>
      <c r="FN7" s="10">
        <f t="shared" si="243"/>
        <v>3.4199999999999998E-5</v>
      </c>
      <c r="FO7" s="10">
        <f t="shared" si="243"/>
        <v>3.3200000000000001E-5</v>
      </c>
      <c r="FP7" s="10">
        <f t="shared" si="243"/>
        <v>3.2299999999999999E-5</v>
      </c>
      <c r="FQ7" s="10">
        <f t="shared" si="243"/>
        <v>3.1399999999999998E-5</v>
      </c>
      <c r="FR7" s="10">
        <f t="shared" si="243"/>
        <v>3.0499999999999999E-5</v>
      </c>
      <c r="FS7" s="10">
        <f t="shared" si="243"/>
        <v>2.9799999999999999E-5</v>
      </c>
      <c r="FT7" s="10">
        <f t="shared" si="243"/>
        <v>2.9E-5</v>
      </c>
      <c r="FU7" s="10">
        <f t="shared" si="243"/>
        <v>2.83E-5</v>
      </c>
      <c r="FV7" s="10">
        <f t="shared" si="243"/>
        <v>2.7699999999999999E-5</v>
      </c>
      <c r="FW7" s="10">
        <f t="shared" si="243"/>
        <v>2.6999999999999999E-5</v>
      </c>
      <c r="FX7" s="10">
        <f t="shared" si="243"/>
        <v>2.65E-5</v>
      </c>
      <c r="FY7" s="10">
        <f t="shared" si="243"/>
        <v>2.5899999999999999E-5</v>
      </c>
      <c r="FZ7" s="10">
        <f t="shared" si="243"/>
        <v>2.5400000000000001E-5</v>
      </c>
      <c r="GA7" s="10">
        <f t="shared" si="243"/>
        <v>2.4899999999999999E-5</v>
      </c>
      <c r="GB7" s="10">
        <f t="shared" si="243"/>
        <v>2.44E-5</v>
      </c>
      <c r="GC7" s="10">
        <f t="shared" si="243"/>
        <v>2.3900000000000002E-5</v>
      </c>
      <c r="GD7" s="10">
        <f t="shared" si="243"/>
        <v>2.3499999999999999E-5</v>
      </c>
      <c r="GE7" s="10">
        <f t="shared" si="243"/>
        <v>2.3099999999999999E-5</v>
      </c>
      <c r="GF7" s="10">
        <f t="shared" si="243"/>
        <v>2.27E-5</v>
      </c>
      <c r="GG7" s="10">
        <f t="shared" si="243"/>
        <v>2.23E-5</v>
      </c>
      <c r="GH7" s="10">
        <f t="shared" si="243"/>
        <v>2.19E-5</v>
      </c>
      <c r="GI7" s="10">
        <f t="shared" si="243"/>
        <v>2.16E-5</v>
      </c>
      <c r="GJ7" s="10">
        <f t="shared" si="243"/>
        <v>2.12E-5</v>
      </c>
      <c r="GK7" s="10">
        <f t="shared" si="243"/>
        <v>2.09E-5</v>
      </c>
      <c r="GL7" s="10">
        <f t="shared" si="243"/>
        <v>2.0599999999999999E-5</v>
      </c>
      <c r="GM7" s="10">
        <f t="shared" ref="GM7:IG7" si="244">GM8</f>
        <v>2.0299999999999999E-5</v>
      </c>
      <c r="GN7" s="10">
        <f t="shared" si="244"/>
        <v>1.9899999999999999E-5</v>
      </c>
      <c r="GO7" s="10">
        <f t="shared" si="244"/>
        <v>1.9700000000000001E-5</v>
      </c>
      <c r="GP7" s="10">
        <f t="shared" si="244"/>
        <v>1.9400000000000001E-5</v>
      </c>
      <c r="GQ7" s="10">
        <f t="shared" si="244"/>
        <v>1.91E-5</v>
      </c>
      <c r="GR7" s="10">
        <f t="shared" si="244"/>
        <v>1.88E-5</v>
      </c>
      <c r="GS7" s="10">
        <f t="shared" si="244"/>
        <v>1.8499999999999999E-5</v>
      </c>
      <c r="GT7" s="10">
        <f t="shared" si="244"/>
        <v>1.8300000000000001E-5</v>
      </c>
      <c r="GU7" s="10">
        <f t="shared" si="244"/>
        <v>1.8E-5</v>
      </c>
      <c r="GV7" s="10">
        <f t="shared" si="244"/>
        <v>1.7799999999999999E-5</v>
      </c>
      <c r="GW7" s="10">
        <f t="shared" si="244"/>
        <v>1.7499999999999998E-5</v>
      </c>
      <c r="GX7" s="10">
        <f t="shared" si="244"/>
        <v>1.73E-5</v>
      </c>
      <c r="GY7" s="10">
        <f t="shared" si="244"/>
        <v>1.7E-5</v>
      </c>
      <c r="GZ7" s="10">
        <f t="shared" si="244"/>
        <v>1.6799999999999998E-5</v>
      </c>
      <c r="HA7" s="10">
        <f t="shared" si="244"/>
        <v>1.66E-5</v>
      </c>
      <c r="HB7" s="10">
        <f t="shared" si="244"/>
        <v>1.6399999999999999E-5</v>
      </c>
      <c r="HC7" s="10">
        <f t="shared" si="244"/>
        <v>1.6099999999999998E-5</v>
      </c>
      <c r="HD7" s="10">
        <f t="shared" si="244"/>
        <v>1.59E-5</v>
      </c>
      <c r="HE7" s="10">
        <f t="shared" si="244"/>
        <v>1.5699999999999999E-5</v>
      </c>
      <c r="HF7" s="10">
        <f t="shared" si="244"/>
        <v>1.5500000000000001E-5</v>
      </c>
      <c r="HG7" s="10">
        <f t="shared" si="244"/>
        <v>1.5299999999999999E-5</v>
      </c>
      <c r="HH7" s="10">
        <f t="shared" si="244"/>
        <v>1.5099999999999999E-5</v>
      </c>
      <c r="HI7" s="10">
        <f t="shared" si="244"/>
        <v>1.49E-5</v>
      </c>
      <c r="HJ7" s="10">
        <f t="shared" si="244"/>
        <v>1.47E-5</v>
      </c>
      <c r="HK7" s="10">
        <f t="shared" si="244"/>
        <v>1.45E-5</v>
      </c>
      <c r="HL7" s="10">
        <f t="shared" si="244"/>
        <v>1.43E-5</v>
      </c>
      <c r="HM7" s="10">
        <f t="shared" si="244"/>
        <v>1.4100000000000001E-5</v>
      </c>
      <c r="HN7" s="10">
        <f t="shared" si="244"/>
        <v>1.3900000000000001E-5</v>
      </c>
      <c r="HO7" s="10">
        <f t="shared" si="244"/>
        <v>1.3699999999999999E-5</v>
      </c>
      <c r="HP7" s="10">
        <f t="shared" si="244"/>
        <v>1.3499999999999999E-5</v>
      </c>
      <c r="HQ7" s="10">
        <f t="shared" si="244"/>
        <v>1.33E-5</v>
      </c>
      <c r="HR7" s="10">
        <f t="shared" si="244"/>
        <v>1.31E-5</v>
      </c>
      <c r="HS7" s="10">
        <f t="shared" si="244"/>
        <v>1.2999999999999999E-5</v>
      </c>
      <c r="HT7" s="10">
        <f t="shared" si="244"/>
        <v>1.2799999999999999E-5</v>
      </c>
      <c r="HU7" s="10">
        <f t="shared" si="244"/>
        <v>1.26E-5</v>
      </c>
      <c r="HV7" s="10">
        <f t="shared" si="244"/>
        <v>1.24E-5</v>
      </c>
      <c r="HW7" s="10">
        <f t="shared" si="244"/>
        <v>1.2300000000000001E-5</v>
      </c>
      <c r="HX7" s="10">
        <f t="shared" si="244"/>
        <v>1.2099999999999999E-5</v>
      </c>
      <c r="HY7" s="10">
        <f t="shared" si="244"/>
        <v>1.19E-5</v>
      </c>
      <c r="HZ7" s="10">
        <f t="shared" si="244"/>
        <v>1.1800000000000001E-5</v>
      </c>
      <c r="IA7" s="10">
        <f t="shared" si="244"/>
        <v>1.1600000000000001E-5</v>
      </c>
      <c r="IB7" s="10">
        <f t="shared" si="244"/>
        <v>1.1399999999999999E-5</v>
      </c>
      <c r="IC7" s="10">
        <f t="shared" si="244"/>
        <v>1.13E-5</v>
      </c>
      <c r="ID7" s="10">
        <f t="shared" si="244"/>
        <v>1.11E-5</v>
      </c>
      <c r="IE7" s="10">
        <f t="shared" si="244"/>
        <v>1.1E-5</v>
      </c>
      <c r="IF7" s="10">
        <f t="shared" si="244"/>
        <v>1.08E-5</v>
      </c>
      <c r="IG7" s="10">
        <f t="shared" si="244"/>
        <v>7.5480000000000002E-4</v>
      </c>
      <c r="JK7"/>
      <c r="JL7"/>
      <c r="JM7"/>
      <c r="JN7"/>
      <c r="JO7"/>
      <c r="JP7"/>
      <c r="JQ7"/>
      <c r="JR7"/>
      <c r="JS7"/>
    </row>
    <row r="8" spans="1:279" x14ac:dyDescent="0.35">
      <c r="A8" s="1">
        <v>0</v>
      </c>
      <c r="B8" s="4">
        <v>1.0654E-2</v>
      </c>
      <c r="C8" s="4">
        <v>1.0654E-2</v>
      </c>
      <c r="D8" s="4">
        <v>1.06058E-2</v>
      </c>
      <c r="E8" s="4">
        <v>1.04361E-2</v>
      </c>
      <c r="F8" s="4">
        <v>9.7535E-3</v>
      </c>
      <c r="G8" s="4">
        <v>9.1403999999999999E-3</v>
      </c>
      <c r="H8" s="4">
        <v>8.5669000000000006E-3</v>
      </c>
      <c r="I8" s="4">
        <v>7.9711000000000001E-3</v>
      </c>
      <c r="J8" s="4">
        <v>7.4428000000000003E-3</v>
      </c>
      <c r="K8" s="4">
        <v>6.9601000000000003E-3</v>
      </c>
      <c r="L8" s="4">
        <v>6.5317999999999999E-3</v>
      </c>
      <c r="M8" s="4">
        <v>6.1491999999999996E-3</v>
      </c>
      <c r="N8" s="4">
        <v>5.8079999999999998E-3</v>
      </c>
      <c r="O8" s="4">
        <v>5.5024999999999996E-3</v>
      </c>
      <c r="P8" s="4">
        <v>5.2283E-3</v>
      </c>
      <c r="Q8" s="4">
        <v>4.9813000000000001E-3</v>
      </c>
      <c r="R8" s="4">
        <v>4.7580000000000001E-3</v>
      </c>
      <c r="S8" s="4">
        <v>4.5554000000000002E-3</v>
      </c>
      <c r="T8" s="4">
        <v>4.3709999999999999E-3</v>
      </c>
      <c r="U8" s="4">
        <v>4.2025999999999999E-3</v>
      </c>
      <c r="V8" s="4">
        <v>4.0480999999999998E-3</v>
      </c>
      <c r="W8" s="4">
        <v>3.9061E-3</v>
      </c>
      <c r="X8" s="4">
        <v>3.7750000000000001E-3</v>
      </c>
      <c r="Y8" s="4">
        <v>3.6537000000000002E-3</v>
      </c>
      <c r="Z8" s="4">
        <v>3.5412E-3</v>
      </c>
      <c r="AA8" s="4">
        <v>3.4364E-3</v>
      </c>
      <c r="AB8" s="4">
        <v>3.3384999999999999E-3</v>
      </c>
      <c r="AC8" s="4">
        <v>3.2468000000000002E-3</v>
      </c>
      <c r="AD8" s="4">
        <v>3.1606999999999998E-3</v>
      </c>
      <c r="AE8" s="4">
        <v>3.0796999999999999E-3</v>
      </c>
      <c r="AF8" s="4">
        <v>3.0030999999999999E-3</v>
      </c>
      <c r="AG8" s="4">
        <v>2.9307000000000001E-3</v>
      </c>
      <c r="AH8" s="4">
        <v>2.8620999999999998E-3</v>
      </c>
      <c r="AI8" s="4">
        <v>2.7969000000000002E-3</v>
      </c>
      <c r="AJ8" s="4">
        <v>2.7349000000000002E-3</v>
      </c>
      <c r="AK8" s="4">
        <v>2.6759000000000002E-3</v>
      </c>
      <c r="AL8" s="4">
        <v>2.6194999999999999E-3</v>
      </c>
      <c r="AM8" s="4">
        <v>2.5657000000000002E-3</v>
      </c>
      <c r="AN8" s="4">
        <v>2.5143000000000001E-3</v>
      </c>
      <c r="AO8" s="4">
        <v>2.4650000000000002E-3</v>
      </c>
      <c r="AP8" s="4">
        <v>2.4177000000000001E-3</v>
      </c>
      <c r="AQ8" s="4">
        <v>2.3722999999999999E-3</v>
      </c>
      <c r="AR8" s="4">
        <v>2.3287E-3</v>
      </c>
      <c r="AS8" s="4">
        <v>2.2867E-3</v>
      </c>
      <c r="AT8" s="4">
        <v>2.2461999999999998E-3</v>
      </c>
      <c r="AU8" s="4">
        <v>2.2071999999999999E-3</v>
      </c>
      <c r="AV8" s="4">
        <v>2.1695E-3</v>
      </c>
      <c r="AW8" s="4">
        <v>2.1329999999999999E-3</v>
      </c>
      <c r="AX8" s="4">
        <v>2.0977000000000001E-3</v>
      </c>
      <c r="AY8" s="4">
        <v>2.0634E-3</v>
      </c>
      <c r="AZ8" s="4">
        <v>2.0301999999999998E-3</v>
      </c>
      <c r="BA8" s="4">
        <v>1.9980000000000002E-3</v>
      </c>
      <c r="BB8" s="4">
        <v>1.9666000000000002E-3</v>
      </c>
      <c r="BC8" s="4">
        <v>1.9361000000000001E-3</v>
      </c>
      <c r="BD8" s="4">
        <v>1.9063000000000001E-3</v>
      </c>
      <c r="BE8" s="4">
        <v>1.8772999999999999E-3</v>
      </c>
      <c r="BF8" s="4">
        <v>1.8489999999999999E-3</v>
      </c>
      <c r="BG8" s="4">
        <v>1.8213000000000001E-3</v>
      </c>
      <c r="BH8" s="4">
        <v>1.7943E-3</v>
      </c>
      <c r="BI8" s="4">
        <v>1.7677999999999999E-3</v>
      </c>
      <c r="BJ8" s="4">
        <v>1.7419E-3</v>
      </c>
      <c r="BK8" s="4">
        <v>1.7166E-3</v>
      </c>
      <c r="BL8" s="4">
        <v>1.6917E-3</v>
      </c>
      <c r="BM8" s="4">
        <v>1.6673E-3</v>
      </c>
      <c r="BN8" s="4">
        <v>1.6433999999999999E-3</v>
      </c>
      <c r="BO8" s="4">
        <v>1.6199000000000001E-3</v>
      </c>
      <c r="BP8" s="4">
        <v>1.5968E-3</v>
      </c>
      <c r="BQ8" s="4">
        <v>1.5740999999999999E-3</v>
      </c>
      <c r="BR8" s="4">
        <v>1.5518000000000001E-3</v>
      </c>
      <c r="BS8" s="4">
        <v>1.5299000000000001E-3</v>
      </c>
      <c r="BT8" s="4">
        <v>1.5083E-3</v>
      </c>
      <c r="BU8" s="4">
        <v>1.4871000000000001E-3</v>
      </c>
      <c r="BV8" s="4">
        <v>1.4662E-3</v>
      </c>
      <c r="BW8" s="4">
        <v>1.4457000000000001E-3</v>
      </c>
      <c r="BX8" s="4">
        <v>1.4254000000000001E-3</v>
      </c>
      <c r="BY8" s="4">
        <v>1.4055000000000001E-3</v>
      </c>
      <c r="BZ8" s="4">
        <v>1.3858E-3</v>
      </c>
      <c r="CA8" s="4">
        <v>1.3664E-3</v>
      </c>
      <c r="CB8" s="4">
        <v>1.3473999999999999E-3</v>
      </c>
      <c r="CC8" s="4">
        <v>1.3285E-3</v>
      </c>
      <c r="CD8" s="4">
        <v>1.31E-3</v>
      </c>
      <c r="CE8" s="4">
        <v>1.2917E-3</v>
      </c>
      <c r="CF8" s="4">
        <v>1.2737E-3</v>
      </c>
      <c r="CG8" s="4">
        <v>1.2558999999999999E-3</v>
      </c>
      <c r="CH8" s="4">
        <v>1.2384E-3</v>
      </c>
      <c r="CI8" s="4">
        <v>1.2210999999999999E-3</v>
      </c>
      <c r="CJ8" s="4">
        <v>1.2041E-3</v>
      </c>
      <c r="CK8" s="4">
        <v>1.1873000000000001E-3</v>
      </c>
      <c r="CL8" s="4">
        <v>1.1707E-3</v>
      </c>
      <c r="CM8" s="4">
        <v>1.1543E-3</v>
      </c>
      <c r="CN8" s="4">
        <v>1.1382E-3</v>
      </c>
      <c r="CO8" s="4">
        <v>1.1222999999999999E-3</v>
      </c>
      <c r="CP8" s="4">
        <v>1.1065999999999999E-3</v>
      </c>
      <c r="CQ8" s="4">
        <v>1.0911E-3</v>
      </c>
      <c r="CR8" s="4">
        <v>1.0759000000000001E-3</v>
      </c>
      <c r="CS8" s="4">
        <v>1.0608E-3</v>
      </c>
      <c r="CT8" s="4">
        <v>1.0459E-3</v>
      </c>
      <c r="CU8" s="4">
        <v>1.0313E-3</v>
      </c>
      <c r="CV8" s="4">
        <v>1.0168E-3</v>
      </c>
      <c r="CW8" s="4">
        <v>1.0026E-3</v>
      </c>
      <c r="CX8" s="4">
        <v>9.8850000000000001E-4</v>
      </c>
      <c r="CY8" s="4">
        <v>9.7460000000000005E-4</v>
      </c>
      <c r="CZ8" s="4">
        <v>9.6089999999999999E-4</v>
      </c>
      <c r="DA8" s="4">
        <v>9.4740000000000004E-4</v>
      </c>
      <c r="DB8" s="4">
        <v>9.3409999999999999E-4</v>
      </c>
      <c r="DC8" s="4">
        <v>9.2100000000000005E-4</v>
      </c>
      <c r="DD8" s="4">
        <v>9.0799999999999995E-4</v>
      </c>
      <c r="DE8" s="4">
        <v>8.9519999999999997E-4</v>
      </c>
      <c r="DF8" s="4">
        <v>8.8259999999999999E-4</v>
      </c>
      <c r="DG8" s="4">
        <v>8.7020000000000001E-4</v>
      </c>
      <c r="DH8" s="4">
        <v>8.5789999999999998E-4</v>
      </c>
      <c r="DI8" s="4">
        <v>8.4579999999999996E-4</v>
      </c>
      <c r="DJ8" s="4">
        <v>8.3390000000000005E-4</v>
      </c>
      <c r="DK8" s="4">
        <v>8.2209999999999998E-4</v>
      </c>
      <c r="DL8" s="4">
        <v>8.1050000000000002E-4</v>
      </c>
      <c r="DM8" s="4">
        <v>7.9909999999999996E-4</v>
      </c>
      <c r="DN8" s="4">
        <v>7.8779999999999996E-4</v>
      </c>
      <c r="DO8" s="4">
        <v>7.7669999999999996E-4</v>
      </c>
      <c r="DP8" s="4">
        <v>7.6570000000000002E-4</v>
      </c>
      <c r="DQ8" s="4">
        <v>5.3164200000000002E-2</v>
      </c>
      <c r="DR8" s="4">
        <v>0</v>
      </c>
      <c r="DS8" s="4">
        <v>4.8199999999999999E-5</v>
      </c>
      <c r="DT8" s="4">
        <v>1.697E-4</v>
      </c>
      <c r="DU8" s="4">
        <v>6.826E-4</v>
      </c>
      <c r="DV8" s="4">
        <v>6.1309999999999999E-4</v>
      </c>
      <c r="DW8" s="4">
        <v>5.7359999999999996E-4</v>
      </c>
      <c r="DX8" s="4">
        <v>5.9579999999999995E-4</v>
      </c>
      <c r="DY8" s="4">
        <v>5.2820000000000005E-4</v>
      </c>
      <c r="DZ8" s="4">
        <v>4.8280000000000003E-4</v>
      </c>
      <c r="EA8" s="4">
        <v>4.283E-4</v>
      </c>
      <c r="EB8" s="4">
        <v>3.8259999999999998E-4</v>
      </c>
      <c r="EC8" s="4">
        <v>3.412E-4</v>
      </c>
      <c r="ED8" s="4">
        <v>3.055E-4</v>
      </c>
      <c r="EE8" s="4">
        <v>2.742E-4</v>
      </c>
      <c r="EF8" s="4">
        <v>2.4699999999999999E-4</v>
      </c>
      <c r="EG8" s="4">
        <v>2.2330000000000001E-4</v>
      </c>
      <c r="EH8" s="4">
        <v>2.0259999999999999E-4</v>
      </c>
      <c r="EI8" s="4">
        <v>1.8440000000000001E-4</v>
      </c>
      <c r="EJ8" s="4">
        <v>1.685E-4</v>
      </c>
      <c r="EK8" s="4">
        <v>1.5440000000000001E-4</v>
      </c>
      <c r="EL8" s="4">
        <v>1.4200000000000001E-4</v>
      </c>
      <c r="EM8" s="4">
        <v>1.3100000000000001E-4</v>
      </c>
      <c r="EN8" s="4">
        <v>1.2129999999999999E-4</v>
      </c>
      <c r="EO8" s="4">
        <v>1.126E-4</v>
      </c>
      <c r="EP8" s="4">
        <v>1.048E-4</v>
      </c>
      <c r="EQ8" s="4">
        <v>9.7899999999999994E-5</v>
      </c>
      <c r="ER8" s="4">
        <v>9.1700000000000006E-5</v>
      </c>
      <c r="ES8" s="4">
        <v>8.6100000000000006E-5</v>
      </c>
      <c r="ET8" s="4">
        <v>8.1100000000000006E-5</v>
      </c>
      <c r="EU8" s="4">
        <v>7.6500000000000003E-5</v>
      </c>
      <c r="EV8" s="4">
        <v>7.2399999999999998E-5</v>
      </c>
      <c r="EW8" s="4">
        <v>6.86E-5</v>
      </c>
      <c r="EX8" s="4">
        <v>6.5199999999999999E-5</v>
      </c>
      <c r="EY8" s="4">
        <v>6.2000000000000003E-5</v>
      </c>
      <c r="EZ8" s="4">
        <v>5.8999999999999998E-5</v>
      </c>
      <c r="FA8" s="4">
        <v>5.63E-5</v>
      </c>
      <c r="FB8" s="4">
        <v>5.38E-5</v>
      </c>
      <c r="FC8" s="4">
        <v>5.1499999999999998E-5</v>
      </c>
      <c r="FD8" s="4">
        <v>4.9299999999999999E-5</v>
      </c>
      <c r="FE8" s="4">
        <v>4.7299999999999998E-5</v>
      </c>
      <c r="FF8" s="4">
        <v>4.5399999999999999E-5</v>
      </c>
      <c r="FG8" s="4">
        <v>4.3600000000000003E-5</v>
      </c>
      <c r="FH8" s="4">
        <v>4.1999999999999998E-5</v>
      </c>
      <c r="FI8" s="4">
        <v>4.0500000000000002E-5</v>
      </c>
      <c r="FJ8" s="4">
        <v>3.8999999999999999E-5</v>
      </c>
      <c r="FK8" s="4">
        <v>3.7700000000000002E-5</v>
      </c>
      <c r="FL8" s="4">
        <v>3.65E-5</v>
      </c>
      <c r="FM8" s="4">
        <v>3.5299999999999997E-5</v>
      </c>
      <c r="FN8" s="4">
        <v>3.4199999999999998E-5</v>
      </c>
      <c r="FO8" s="4">
        <v>3.3200000000000001E-5</v>
      </c>
      <c r="FP8" s="4">
        <v>3.2299999999999999E-5</v>
      </c>
      <c r="FQ8" s="4">
        <v>3.1399999999999998E-5</v>
      </c>
      <c r="FR8" s="4">
        <v>3.0499999999999999E-5</v>
      </c>
      <c r="FS8" s="4">
        <v>2.9799999999999999E-5</v>
      </c>
      <c r="FT8" s="4">
        <v>2.9E-5</v>
      </c>
      <c r="FU8" s="4">
        <v>2.83E-5</v>
      </c>
      <c r="FV8" s="4">
        <v>2.7699999999999999E-5</v>
      </c>
      <c r="FW8" s="4">
        <v>2.6999999999999999E-5</v>
      </c>
      <c r="FX8" s="4">
        <v>2.65E-5</v>
      </c>
      <c r="FY8" s="4">
        <v>2.5899999999999999E-5</v>
      </c>
      <c r="FZ8" s="4">
        <v>2.5400000000000001E-5</v>
      </c>
      <c r="GA8" s="4">
        <v>2.4899999999999999E-5</v>
      </c>
      <c r="GB8" s="4">
        <v>2.44E-5</v>
      </c>
      <c r="GC8" s="4">
        <v>2.3900000000000002E-5</v>
      </c>
      <c r="GD8" s="4">
        <v>2.3499999999999999E-5</v>
      </c>
      <c r="GE8" s="4">
        <v>2.3099999999999999E-5</v>
      </c>
      <c r="GF8" s="4">
        <v>2.27E-5</v>
      </c>
      <c r="GG8" s="4">
        <v>2.23E-5</v>
      </c>
      <c r="GH8" s="4">
        <v>2.19E-5</v>
      </c>
      <c r="GI8" s="4">
        <v>2.16E-5</v>
      </c>
      <c r="GJ8" s="4">
        <v>2.12E-5</v>
      </c>
      <c r="GK8" s="4">
        <v>2.09E-5</v>
      </c>
      <c r="GL8" s="4">
        <v>2.0599999999999999E-5</v>
      </c>
      <c r="GM8" s="4">
        <v>2.0299999999999999E-5</v>
      </c>
      <c r="GN8" s="4">
        <v>1.9899999999999999E-5</v>
      </c>
      <c r="GO8" s="4">
        <v>1.9700000000000001E-5</v>
      </c>
      <c r="GP8" s="4">
        <v>1.9400000000000001E-5</v>
      </c>
      <c r="GQ8" s="4">
        <v>1.91E-5</v>
      </c>
      <c r="GR8" s="4">
        <v>1.88E-5</v>
      </c>
      <c r="GS8" s="4">
        <v>1.8499999999999999E-5</v>
      </c>
      <c r="GT8" s="4">
        <v>1.8300000000000001E-5</v>
      </c>
      <c r="GU8" s="4">
        <v>1.8E-5</v>
      </c>
      <c r="GV8" s="4">
        <v>1.7799999999999999E-5</v>
      </c>
      <c r="GW8" s="4">
        <v>1.7499999999999998E-5</v>
      </c>
      <c r="GX8" s="4">
        <v>1.73E-5</v>
      </c>
      <c r="GY8" s="4">
        <v>1.7E-5</v>
      </c>
      <c r="GZ8" s="4">
        <v>1.6799999999999998E-5</v>
      </c>
      <c r="HA8" s="4">
        <v>1.66E-5</v>
      </c>
      <c r="HB8" s="4">
        <v>1.6399999999999999E-5</v>
      </c>
      <c r="HC8" s="4">
        <v>1.6099999999999998E-5</v>
      </c>
      <c r="HD8" s="4">
        <v>1.59E-5</v>
      </c>
      <c r="HE8" s="4">
        <v>1.5699999999999999E-5</v>
      </c>
      <c r="HF8" s="4">
        <v>1.5500000000000001E-5</v>
      </c>
      <c r="HG8" s="4">
        <v>1.5299999999999999E-5</v>
      </c>
      <c r="HH8" s="4">
        <v>1.5099999999999999E-5</v>
      </c>
      <c r="HI8" s="4">
        <v>1.49E-5</v>
      </c>
      <c r="HJ8" s="4">
        <v>1.47E-5</v>
      </c>
      <c r="HK8" s="4">
        <v>1.45E-5</v>
      </c>
      <c r="HL8" s="4">
        <v>1.43E-5</v>
      </c>
      <c r="HM8" s="4">
        <v>1.4100000000000001E-5</v>
      </c>
      <c r="HN8" s="4">
        <v>1.3900000000000001E-5</v>
      </c>
      <c r="HO8" s="4">
        <v>1.3699999999999999E-5</v>
      </c>
      <c r="HP8" s="4">
        <v>1.3499999999999999E-5</v>
      </c>
      <c r="HQ8" s="4">
        <v>1.33E-5</v>
      </c>
      <c r="HR8" s="4">
        <v>1.31E-5</v>
      </c>
      <c r="HS8" s="4">
        <v>1.2999999999999999E-5</v>
      </c>
      <c r="HT8" s="4">
        <v>1.2799999999999999E-5</v>
      </c>
      <c r="HU8" s="4">
        <v>1.26E-5</v>
      </c>
      <c r="HV8" s="4">
        <v>1.24E-5</v>
      </c>
      <c r="HW8" s="4">
        <v>1.2300000000000001E-5</v>
      </c>
      <c r="HX8" s="4">
        <v>1.2099999999999999E-5</v>
      </c>
      <c r="HY8" s="4">
        <v>1.19E-5</v>
      </c>
      <c r="HZ8" s="4">
        <v>1.1800000000000001E-5</v>
      </c>
      <c r="IA8" s="4">
        <v>1.1600000000000001E-5</v>
      </c>
      <c r="IB8" s="4">
        <v>1.1399999999999999E-5</v>
      </c>
      <c r="IC8" s="4">
        <v>1.13E-5</v>
      </c>
      <c r="ID8" s="4">
        <v>1.11E-5</v>
      </c>
      <c r="IE8" s="4">
        <v>1.1E-5</v>
      </c>
      <c r="IF8" s="4">
        <v>1.08E-5</v>
      </c>
      <c r="IG8" s="4">
        <v>7.5480000000000002E-4</v>
      </c>
      <c r="IH8" s="4"/>
      <c r="II8" s="4">
        <f t="shared" ref="II8:II47" si="245">(SUM(C5:DQ5)-SUM(G9:DQ9))/IJ8</f>
        <v>0.11498167756396181</v>
      </c>
      <c r="IJ8">
        <f>SUM(C2:DQ9)/8</f>
        <v>0.36048700000000011</v>
      </c>
      <c r="IM8" s="4"/>
      <c r="IN8" s="4"/>
      <c r="IO8" s="4"/>
      <c r="IP8" s="4"/>
      <c r="IQ8" s="4"/>
      <c r="IR8" s="4"/>
      <c r="IS8" s="4"/>
      <c r="IT8" s="4"/>
      <c r="IU8" s="4"/>
      <c r="IV8" s="4"/>
      <c r="JJ8" s="1"/>
    </row>
    <row r="9" spans="1:279" x14ac:dyDescent="0.35">
      <c r="A9" s="1">
        <v>1</v>
      </c>
      <c r="B9" s="4">
        <v>8.3975000000000005E-3</v>
      </c>
      <c r="C9" s="4">
        <v>1.0654E-2</v>
      </c>
      <c r="D9" s="4">
        <v>1.06058E-2</v>
      </c>
      <c r="E9" s="4">
        <v>1.04361E-2</v>
      </c>
      <c r="F9" s="4">
        <v>9.7535E-3</v>
      </c>
      <c r="G9" s="4">
        <v>9.1403999999999999E-3</v>
      </c>
      <c r="H9" s="4">
        <v>8.5669000000000006E-3</v>
      </c>
      <c r="I9" s="4">
        <v>7.9711000000000001E-3</v>
      </c>
      <c r="J9" s="4">
        <v>7.4428000000000003E-3</v>
      </c>
      <c r="K9" s="4">
        <v>6.9601000000000003E-3</v>
      </c>
      <c r="L9" s="4">
        <v>6.5317999999999999E-3</v>
      </c>
      <c r="M9" s="4">
        <v>6.1491999999999996E-3</v>
      </c>
      <c r="N9" s="4">
        <v>5.8079999999999998E-3</v>
      </c>
      <c r="O9" s="4">
        <v>5.5024999999999996E-3</v>
      </c>
      <c r="P9" s="4">
        <v>5.2283E-3</v>
      </c>
      <c r="Q9" s="4">
        <v>4.9813000000000001E-3</v>
      </c>
      <c r="R9" s="4">
        <v>4.7580000000000001E-3</v>
      </c>
      <c r="S9" s="4">
        <v>4.5554000000000002E-3</v>
      </c>
      <c r="T9" s="4">
        <v>4.3709999999999999E-3</v>
      </c>
      <c r="U9" s="4">
        <v>4.2025999999999999E-3</v>
      </c>
      <c r="V9" s="4">
        <v>4.0480999999999998E-3</v>
      </c>
      <c r="W9" s="4">
        <v>3.9061E-3</v>
      </c>
      <c r="X9" s="4">
        <v>3.7750000000000001E-3</v>
      </c>
      <c r="Y9" s="4">
        <v>3.6537000000000002E-3</v>
      </c>
      <c r="Z9" s="4">
        <v>3.5412E-3</v>
      </c>
      <c r="AA9" s="4">
        <v>3.4364E-3</v>
      </c>
      <c r="AB9" s="4">
        <v>3.3384999999999999E-3</v>
      </c>
      <c r="AC9" s="4">
        <v>3.2468000000000002E-3</v>
      </c>
      <c r="AD9" s="4">
        <v>3.1606999999999998E-3</v>
      </c>
      <c r="AE9" s="4">
        <v>3.0796999999999999E-3</v>
      </c>
      <c r="AF9" s="4">
        <v>3.0030999999999999E-3</v>
      </c>
      <c r="AG9" s="4">
        <v>2.9307000000000001E-3</v>
      </c>
      <c r="AH9" s="4">
        <v>2.8620999999999998E-3</v>
      </c>
      <c r="AI9" s="4">
        <v>2.7969000000000002E-3</v>
      </c>
      <c r="AJ9" s="4">
        <v>2.7349000000000002E-3</v>
      </c>
      <c r="AK9" s="4">
        <v>2.6759000000000002E-3</v>
      </c>
      <c r="AL9" s="4">
        <v>2.6194999999999999E-3</v>
      </c>
      <c r="AM9" s="4">
        <v>2.5657000000000002E-3</v>
      </c>
      <c r="AN9" s="4">
        <v>2.5143000000000001E-3</v>
      </c>
      <c r="AO9" s="4">
        <v>2.4650000000000002E-3</v>
      </c>
      <c r="AP9" s="4">
        <v>2.4177000000000001E-3</v>
      </c>
      <c r="AQ9" s="4">
        <v>2.3722999999999999E-3</v>
      </c>
      <c r="AR9" s="4">
        <v>2.3287E-3</v>
      </c>
      <c r="AS9" s="4">
        <v>2.2867E-3</v>
      </c>
      <c r="AT9" s="4">
        <v>2.2461999999999998E-3</v>
      </c>
      <c r="AU9" s="4">
        <v>2.2071999999999999E-3</v>
      </c>
      <c r="AV9" s="4">
        <v>2.1695E-3</v>
      </c>
      <c r="AW9" s="4">
        <v>2.1329999999999999E-3</v>
      </c>
      <c r="AX9" s="4">
        <v>2.0977000000000001E-3</v>
      </c>
      <c r="AY9" s="4">
        <v>2.0634E-3</v>
      </c>
      <c r="AZ9" s="4">
        <v>2.0301999999999998E-3</v>
      </c>
      <c r="BA9" s="4">
        <v>1.9980000000000002E-3</v>
      </c>
      <c r="BB9" s="4">
        <v>1.9666000000000002E-3</v>
      </c>
      <c r="BC9" s="4">
        <v>1.9361000000000001E-3</v>
      </c>
      <c r="BD9" s="4">
        <v>1.9063000000000001E-3</v>
      </c>
      <c r="BE9" s="4">
        <v>1.8772999999999999E-3</v>
      </c>
      <c r="BF9" s="4">
        <v>1.8489999999999999E-3</v>
      </c>
      <c r="BG9" s="4">
        <v>1.8213000000000001E-3</v>
      </c>
      <c r="BH9" s="4">
        <v>1.7943E-3</v>
      </c>
      <c r="BI9" s="4">
        <v>1.7677999999999999E-3</v>
      </c>
      <c r="BJ9" s="4">
        <v>1.7419E-3</v>
      </c>
      <c r="BK9" s="4">
        <v>1.7166E-3</v>
      </c>
      <c r="BL9" s="4">
        <v>1.6917E-3</v>
      </c>
      <c r="BM9" s="4">
        <v>1.6673E-3</v>
      </c>
      <c r="BN9" s="4">
        <v>1.6433999999999999E-3</v>
      </c>
      <c r="BO9" s="4">
        <v>1.6199000000000001E-3</v>
      </c>
      <c r="BP9" s="4">
        <v>1.5968E-3</v>
      </c>
      <c r="BQ9" s="4">
        <v>1.5740999999999999E-3</v>
      </c>
      <c r="BR9" s="4">
        <v>1.5518000000000001E-3</v>
      </c>
      <c r="BS9" s="4">
        <v>1.5299000000000001E-3</v>
      </c>
      <c r="BT9" s="4">
        <v>1.5083E-3</v>
      </c>
      <c r="BU9" s="4">
        <v>1.4871000000000001E-3</v>
      </c>
      <c r="BV9" s="4">
        <v>1.4662E-3</v>
      </c>
      <c r="BW9" s="4">
        <v>1.4457000000000001E-3</v>
      </c>
      <c r="BX9" s="4">
        <v>1.4254000000000001E-3</v>
      </c>
      <c r="BY9" s="4">
        <v>1.4055000000000001E-3</v>
      </c>
      <c r="BZ9" s="4">
        <v>1.3858E-3</v>
      </c>
      <c r="CA9" s="4">
        <v>1.3664E-3</v>
      </c>
      <c r="CB9" s="4">
        <v>1.3473999999999999E-3</v>
      </c>
      <c r="CC9" s="4">
        <v>1.3285E-3</v>
      </c>
      <c r="CD9" s="4">
        <v>1.31E-3</v>
      </c>
      <c r="CE9" s="4">
        <v>1.2917E-3</v>
      </c>
      <c r="CF9" s="4">
        <v>1.2737E-3</v>
      </c>
      <c r="CG9" s="4">
        <v>1.2558999999999999E-3</v>
      </c>
      <c r="CH9" s="4">
        <v>1.2384E-3</v>
      </c>
      <c r="CI9" s="4">
        <v>1.2210999999999999E-3</v>
      </c>
      <c r="CJ9" s="4">
        <v>1.2041E-3</v>
      </c>
      <c r="CK9" s="4">
        <v>1.1873000000000001E-3</v>
      </c>
      <c r="CL9" s="4">
        <v>1.1707E-3</v>
      </c>
      <c r="CM9" s="4">
        <v>1.1543E-3</v>
      </c>
      <c r="CN9" s="4">
        <v>1.1382E-3</v>
      </c>
      <c r="CO9" s="4">
        <v>1.1222999999999999E-3</v>
      </c>
      <c r="CP9" s="4">
        <v>1.1065999999999999E-3</v>
      </c>
      <c r="CQ9" s="4">
        <v>1.0911E-3</v>
      </c>
      <c r="CR9" s="4">
        <v>1.0759000000000001E-3</v>
      </c>
      <c r="CS9" s="4">
        <v>1.0608E-3</v>
      </c>
      <c r="CT9" s="4">
        <v>1.0459E-3</v>
      </c>
      <c r="CU9" s="4">
        <v>1.0313E-3</v>
      </c>
      <c r="CV9" s="4">
        <v>1.0168E-3</v>
      </c>
      <c r="CW9" s="4">
        <v>1.0026E-3</v>
      </c>
      <c r="CX9" s="4">
        <v>9.8850000000000001E-4</v>
      </c>
      <c r="CY9" s="4">
        <v>9.7460000000000005E-4</v>
      </c>
      <c r="CZ9" s="4">
        <v>9.6089999999999999E-4</v>
      </c>
      <c r="DA9" s="4">
        <v>9.4740000000000004E-4</v>
      </c>
      <c r="DB9" s="4">
        <v>9.3409999999999999E-4</v>
      </c>
      <c r="DC9" s="4">
        <v>9.2100000000000005E-4</v>
      </c>
      <c r="DD9" s="4">
        <v>9.0799999999999995E-4</v>
      </c>
      <c r="DE9" s="4">
        <v>8.9519999999999997E-4</v>
      </c>
      <c r="DF9" s="4">
        <v>8.8259999999999999E-4</v>
      </c>
      <c r="DG9" s="4">
        <v>8.7020000000000001E-4</v>
      </c>
      <c r="DH9" s="4">
        <v>8.5789999999999998E-4</v>
      </c>
      <c r="DI9" s="4">
        <v>8.4579999999999996E-4</v>
      </c>
      <c r="DJ9" s="4">
        <v>8.3390000000000005E-4</v>
      </c>
      <c r="DK9" s="4">
        <v>8.2209999999999998E-4</v>
      </c>
      <c r="DL9" s="4">
        <v>8.1050000000000002E-4</v>
      </c>
      <c r="DM9" s="4">
        <v>7.9909999999999996E-4</v>
      </c>
      <c r="DN9" s="4">
        <v>7.8779999999999996E-4</v>
      </c>
      <c r="DO9" s="4">
        <v>7.7669999999999996E-4</v>
      </c>
      <c r="DP9" s="4">
        <v>7.6570000000000002E-4</v>
      </c>
      <c r="DQ9" s="4">
        <v>5.3164200000000002E-2</v>
      </c>
      <c r="DR9" s="4">
        <v>0</v>
      </c>
      <c r="DS9" s="4">
        <v>4.327E-4</v>
      </c>
      <c r="DT9" s="4">
        <v>8.5789999999999998E-4</v>
      </c>
      <c r="DU9" s="4">
        <v>1.5403000000000001E-3</v>
      </c>
      <c r="DV9" s="4">
        <v>1.4494E-3</v>
      </c>
      <c r="DW9" s="4">
        <v>1.4084E-3</v>
      </c>
      <c r="DX9" s="4">
        <v>1.3669999999999999E-3</v>
      </c>
      <c r="DY9" s="4">
        <v>1.2294000000000001E-3</v>
      </c>
      <c r="DZ9" s="4">
        <v>1.1094E-3</v>
      </c>
      <c r="EA9" s="4">
        <v>9.8759999999999994E-4</v>
      </c>
      <c r="EB9" s="4">
        <v>8.8170000000000002E-4</v>
      </c>
      <c r="EC9" s="4">
        <v>7.8689999999999999E-4</v>
      </c>
      <c r="ED9" s="4">
        <v>7.0410000000000004E-4</v>
      </c>
      <c r="EE9" s="4">
        <v>6.3100000000000005E-4</v>
      </c>
      <c r="EF9" s="4">
        <v>5.6689999999999996E-4</v>
      </c>
      <c r="EG9" s="4">
        <v>5.1020000000000004E-4</v>
      </c>
      <c r="EH9" s="4">
        <v>4.6010000000000002E-4</v>
      </c>
      <c r="EI9" s="4">
        <v>4.1580000000000002E-4</v>
      </c>
      <c r="EJ9" s="4">
        <v>3.7639999999999999E-4</v>
      </c>
      <c r="EK9" s="4">
        <v>3.413E-4</v>
      </c>
      <c r="EL9" s="4">
        <v>3.1E-4</v>
      </c>
      <c r="EM9" s="4">
        <v>2.8200000000000002E-4</v>
      </c>
      <c r="EN9" s="4">
        <v>2.5700000000000001E-4</v>
      </c>
      <c r="EO9" s="4">
        <v>2.3470000000000001E-4</v>
      </c>
      <c r="EP9" s="4">
        <v>2.1469999999999999E-4</v>
      </c>
      <c r="EQ9" s="4">
        <v>1.9670000000000001E-4</v>
      </c>
      <c r="ER9" s="4">
        <v>1.806E-4</v>
      </c>
      <c r="ES9" s="4">
        <v>1.662E-4</v>
      </c>
      <c r="ET9" s="4">
        <v>1.5330000000000001E-4</v>
      </c>
      <c r="EU9" s="4">
        <v>1.417E-4</v>
      </c>
      <c r="EV9" s="4">
        <v>1.3119999999999999E-4</v>
      </c>
      <c r="EW9" s="4">
        <v>1.2180000000000001E-4</v>
      </c>
      <c r="EX9" s="4">
        <v>1.133E-4</v>
      </c>
      <c r="EY9" s="4">
        <v>1.0569999999999999E-4</v>
      </c>
      <c r="EZ9" s="4">
        <v>9.8800000000000003E-5</v>
      </c>
      <c r="FA9" s="4">
        <v>9.2499999999999999E-5</v>
      </c>
      <c r="FB9" s="4">
        <v>8.6899999999999998E-5</v>
      </c>
      <c r="FC9" s="4">
        <v>8.1799999999999996E-5</v>
      </c>
      <c r="FD9" s="4">
        <v>7.7200000000000006E-5</v>
      </c>
      <c r="FE9" s="4">
        <v>7.2999999999999999E-5</v>
      </c>
      <c r="FF9" s="4">
        <v>6.9200000000000002E-5</v>
      </c>
      <c r="FG9" s="4">
        <v>6.58E-5</v>
      </c>
      <c r="FH9" s="4">
        <v>6.2600000000000004E-5</v>
      </c>
      <c r="FI9" s="4">
        <v>5.9799999999999997E-5</v>
      </c>
      <c r="FJ9" s="4">
        <v>5.7099999999999999E-5</v>
      </c>
      <c r="FK9" s="4">
        <v>5.4700000000000001E-5</v>
      </c>
      <c r="FL9" s="4">
        <v>5.2500000000000002E-5</v>
      </c>
      <c r="FM9" s="4">
        <v>5.0500000000000001E-5</v>
      </c>
      <c r="FN9" s="4">
        <v>4.8600000000000002E-5</v>
      </c>
      <c r="FO9" s="4">
        <v>4.6900000000000002E-5</v>
      </c>
      <c r="FP9" s="4">
        <v>4.5300000000000003E-5</v>
      </c>
      <c r="FQ9" s="4">
        <v>4.3800000000000001E-5</v>
      </c>
      <c r="FR9" s="4">
        <v>4.2500000000000003E-5</v>
      </c>
      <c r="FS9" s="4">
        <v>4.1199999999999999E-5</v>
      </c>
      <c r="FT9" s="4">
        <v>4.0000000000000003E-5</v>
      </c>
      <c r="FU9" s="4">
        <v>3.8800000000000001E-5</v>
      </c>
      <c r="FV9" s="4">
        <v>3.7799999999999997E-5</v>
      </c>
      <c r="FW9" s="4">
        <v>3.68E-5</v>
      </c>
      <c r="FX9" s="4">
        <v>3.5800000000000003E-5</v>
      </c>
      <c r="FY9" s="4">
        <v>3.4900000000000001E-5</v>
      </c>
      <c r="FZ9" s="4">
        <v>3.4100000000000002E-5</v>
      </c>
      <c r="GA9" s="4">
        <v>3.3300000000000003E-5</v>
      </c>
      <c r="GB9" s="4">
        <v>3.2499999999999997E-5</v>
      </c>
      <c r="GC9" s="4">
        <v>3.18E-5</v>
      </c>
      <c r="GD9" s="4">
        <v>3.1099999999999997E-5</v>
      </c>
      <c r="GE9" s="4">
        <v>3.04E-5</v>
      </c>
      <c r="GF9" s="4">
        <v>2.9799999999999999E-5</v>
      </c>
      <c r="GG9" s="4">
        <v>2.9099999999999999E-5</v>
      </c>
      <c r="GH9" s="4">
        <v>2.8500000000000002E-5</v>
      </c>
      <c r="GI9" s="4">
        <v>2.8E-5</v>
      </c>
      <c r="GJ9" s="4">
        <v>2.7399999999999999E-5</v>
      </c>
      <c r="GK9" s="4">
        <v>2.69E-5</v>
      </c>
      <c r="GL9" s="4">
        <v>2.6299999999999999E-5</v>
      </c>
      <c r="GM9" s="4">
        <v>2.58E-5</v>
      </c>
      <c r="GN9" s="4">
        <v>2.5299999999999998E-5</v>
      </c>
      <c r="GO9" s="4">
        <v>2.4899999999999999E-5</v>
      </c>
      <c r="GP9" s="4">
        <v>2.44E-5</v>
      </c>
      <c r="GQ9" s="4">
        <v>2.3900000000000002E-5</v>
      </c>
      <c r="GR9" s="4">
        <v>2.3499999999999999E-5</v>
      </c>
      <c r="GS9" s="4">
        <v>2.3099999999999999E-5</v>
      </c>
      <c r="GT9" s="4">
        <v>2.27E-5</v>
      </c>
      <c r="GU9" s="4">
        <v>2.23E-5</v>
      </c>
      <c r="GV9" s="4">
        <v>2.19E-5</v>
      </c>
      <c r="GW9" s="4">
        <v>2.1500000000000001E-5</v>
      </c>
      <c r="GX9" s="4">
        <v>2.1100000000000001E-5</v>
      </c>
      <c r="GY9" s="4">
        <v>2.0699999999999998E-5</v>
      </c>
      <c r="GZ9" s="4">
        <v>2.0400000000000001E-5</v>
      </c>
      <c r="HA9" s="4">
        <v>2.0000000000000002E-5</v>
      </c>
      <c r="HB9" s="4">
        <v>1.9700000000000001E-5</v>
      </c>
      <c r="HC9" s="4">
        <v>1.9300000000000002E-5</v>
      </c>
      <c r="HD9" s="4">
        <v>1.9000000000000001E-5</v>
      </c>
      <c r="HE9" s="4">
        <v>1.8700000000000001E-5</v>
      </c>
      <c r="HF9" s="4">
        <v>1.84E-5</v>
      </c>
      <c r="HG9" s="4">
        <v>1.8099999999999999E-5</v>
      </c>
      <c r="HH9" s="4">
        <v>1.7799999999999999E-5</v>
      </c>
      <c r="HI9" s="4">
        <v>1.7499999999999998E-5</v>
      </c>
      <c r="HJ9" s="4">
        <v>1.7200000000000001E-5</v>
      </c>
      <c r="HK9" s="4">
        <v>1.6900000000000001E-5</v>
      </c>
      <c r="HL9" s="4">
        <v>1.66E-5</v>
      </c>
      <c r="HM9" s="4">
        <v>1.63E-5</v>
      </c>
      <c r="HN9" s="4">
        <v>1.6099999999999998E-5</v>
      </c>
      <c r="HO9" s="4">
        <v>1.5800000000000001E-5</v>
      </c>
      <c r="HP9" s="4">
        <v>1.56E-5</v>
      </c>
      <c r="HQ9" s="4">
        <v>1.5299999999999999E-5</v>
      </c>
      <c r="HR9" s="4">
        <v>1.5099999999999999E-5</v>
      </c>
      <c r="HS9" s="4">
        <v>1.4800000000000001E-5</v>
      </c>
      <c r="HT9" s="4">
        <v>1.4600000000000001E-5</v>
      </c>
      <c r="HU9" s="4">
        <v>1.4399999999999999E-5</v>
      </c>
      <c r="HV9" s="4">
        <v>1.4100000000000001E-5</v>
      </c>
      <c r="HW9" s="4">
        <v>1.3900000000000001E-5</v>
      </c>
      <c r="HX9" s="4">
        <v>1.3699999999999999E-5</v>
      </c>
      <c r="HY9" s="4">
        <v>1.3499999999999999E-5</v>
      </c>
      <c r="HZ9" s="4">
        <v>1.33E-5</v>
      </c>
      <c r="IA9" s="4">
        <v>1.31E-5</v>
      </c>
      <c r="IB9" s="4">
        <v>1.29E-5</v>
      </c>
      <c r="IC9" s="4">
        <v>1.27E-5</v>
      </c>
      <c r="ID9" s="4">
        <v>1.2500000000000001E-5</v>
      </c>
      <c r="IE9" s="4">
        <v>1.2300000000000001E-5</v>
      </c>
      <c r="IF9" s="4">
        <v>1.2099999999999999E-5</v>
      </c>
      <c r="IG9" s="4">
        <v>8.2299999999999995E-4</v>
      </c>
      <c r="IH9" s="4"/>
      <c r="II9" s="4">
        <f t="shared" si="245"/>
        <v>0.14226505188565672</v>
      </c>
      <c r="IJ9">
        <f t="shared" ref="IJ9:IJ47" si="246">SUM(C3:DQ10)/8</f>
        <v>0.35876485000000002</v>
      </c>
      <c r="IM9" s="4"/>
      <c r="IN9" s="4"/>
      <c r="IO9" s="4"/>
      <c r="IP9" s="4"/>
      <c r="IQ9" s="4"/>
      <c r="IR9" s="4"/>
      <c r="IS9" s="4"/>
      <c r="IT9" s="4"/>
      <c r="IU9" s="4"/>
      <c r="IV9" s="4"/>
      <c r="JJ9" s="1"/>
    </row>
    <row r="10" spans="1:279" x14ac:dyDescent="0.35">
      <c r="A10" s="1">
        <v>2</v>
      </c>
      <c r="B10" s="4">
        <v>9.8733999999999992E-3</v>
      </c>
      <c r="C10" s="4">
        <v>8.3975000000000005E-3</v>
      </c>
      <c r="D10" s="4">
        <v>1.0221299999999999E-2</v>
      </c>
      <c r="E10" s="4">
        <v>9.7479000000000003E-3</v>
      </c>
      <c r="F10" s="4">
        <v>8.8958000000000006E-3</v>
      </c>
      <c r="G10" s="4">
        <v>8.3041999999999994E-3</v>
      </c>
      <c r="H10" s="4">
        <v>7.7320000000000002E-3</v>
      </c>
      <c r="I10" s="4">
        <v>7.1998000000000001E-3</v>
      </c>
      <c r="J10" s="4">
        <v>6.7416999999999998E-3</v>
      </c>
      <c r="K10" s="4">
        <v>6.3334000000000003E-3</v>
      </c>
      <c r="L10" s="4">
        <v>5.9725000000000004E-3</v>
      </c>
      <c r="M10" s="4">
        <v>5.6500999999999999E-3</v>
      </c>
      <c r="N10" s="4">
        <v>5.3623000000000004E-3</v>
      </c>
      <c r="O10" s="4">
        <v>5.1038999999999998E-3</v>
      </c>
      <c r="P10" s="4">
        <v>4.8715E-3</v>
      </c>
      <c r="Q10" s="4">
        <v>4.6613999999999996E-3</v>
      </c>
      <c r="R10" s="4">
        <v>4.4711000000000004E-3</v>
      </c>
      <c r="S10" s="4">
        <v>4.2979000000000003E-3</v>
      </c>
      <c r="T10" s="4">
        <v>4.1396999999999996E-3</v>
      </c>
      <c r="U10" s="4">
        <v>3.9947000000000003E-3</v>
      </c>
      <c r="V10" s="4">
        <v>3.8612999999999998E-3</v>
      </c>
      <c r="W10" s="4">
        <v>3.7380999999999998E-3</v>
      </c>
      <c r="X10" s="4">
        <v>3.6240000000000001E-3</v>
      </c>
      <c r="Y10" s="4">
        <v>3.5179999999999999E-3</v>
      </c>
      <c r="Z10" s="4">
        <v>3.4191E-3</v>
      </c>
      <c r="AA10" s="4">
        <v>3.3265E-3</v>
      </c>
      <c r="AB10" s="4">
        <v>3.2396999999999999E-3</v>
      </c>
      <c r="AC10" s="4">
        <v>3.1578999999999999E-3</v>
      </c>
      <c r="AD10" s="4">
        <v>3.0806000000000002E-3</v>
      </c>
      <c r="AE10" s="4">
        <v>3.0075000000000002E-3</v>
      </c>
      <c r="AF10" s="4">
        <v>2.9380000000000001E-3</v>
      </c>
      <c r="AG10" s="4">
        <v>2.8719000000000001E-3</v>
      </c>
      <c r="AH10" s="4">
        <v>2.8089E-3</v>
      </c>
      <c r="AI10" s="4">
        <v>2.7488E-3</v>
      </c>
      <c r="AJ10" s="4">
        <v>2.6913000000000002E-3</v>
      </c>
      <c r="AK10" s="4">
        <v>2.6362E-3</v>
      </c>
      <c r="AL10" s="4">
        <v>2.5833000000000002E-3</v>
      </c>
      <c r="AM10" s="4">
        <v>2.5325999999999999E-3</v>
      </c>
      <c r="AN10" s="4">
        <v>2.4838999999999998E-3</v>
      </c>
      <c r="AO10" s="4">
        <v>2.4371000000000002E-3</v>
      </c>
      <c r="AP10" s="4">
        <v>2.3919000000000002E-3</v>
      </c>
      <c r="AQ10" s="4">
        <v>2.3484999999999999E-3</v>
      </c>
      <c r="AR10" s="4">
        <v>2.3065E-3</v>
      </c>
      <c r="AS10" s="4">
        <v>2.2659999999999998E-3</v>
      </c>
      <c r="AT10" s="4">
        <v>2.2269E-3</v>
      </c>
      <c r="AU10" s="4">
        <v>2.1890999999999998E-3</v>
      </c>
      <c r="AV10" s="4">
        <v>2.1524000000000001E-3</v>
      </c>
      <c r="AW10" s="4">
        <v>2.1169000000000001E-3</v>
      </c>
      <c r="AX10" s="4">
        <v>2.0825000000000001E-3</v>
      </c>
      <c r="AY10" s="4">
        <v>2.049E-3</v>
      </c>
      <c r="AZ10" s="4">
        <v>2.0165000000000001E-3</v>
      </c>
      <c r="BA10" s="4">
        <v>1.9848999999999999E-3</v>
      </c>
      <c r="BB10" s="4">
        <v>1.9540999999999998E-3</v>
      </c>
      <c r="BC10" s="4">
        <v>1.9241E-3</v>
      </c>
      <c r="BD10" s="4">
        <v>1.8948999999999999E-3</v>
      </c>
      <c r="BE10" s="4">
        <v>1.8663E-3</v>
      </c>
      <c r="BF10" s="4">
        <v>1.8385000000000001E-3</v>
      </c>
      <c r="BG10" s="4">
        <v>1.8112E-3</v>
      </c>
      <c r="BH10" s="4">
        <v>1.7845000000000001E-3</v>
      </c>
      <c r="BI10" s="4">
        <v>1.7584E-3</v>
      </c>
      <c r="BJ10" s="4">
        <v>1.7328999999999999E-3</v>
      </c>
      <c r="BK10" s="4">
        <v>1.7078E-3</v>
      </c>
      <c r="BL10" s="4">
        <v>1.6833E-3</v>
      </c>
      <c r="BM10" s="4">
        <v>1.6592E-3</v>
      </c>
      <c r="BN10" s="4">
        <v>1.6355E-3</v>
      </c>
      <c r="BO10" s="4">
        <v>1.6123000000000001E-3</v>
      </c>
      <c r="BP10" s="4">
        <v>1.5895E-3</v>
      </c>
      <c r="BQ10" s="4">
        <v>1.567E-3</v>
      </c>
      <c r="BR10" s="4">
        <v>1.5449999999999999E-3</v>
      </c>
      <c r="BS10" s="4">
        <v>1.5233E-3</v>
      </c>
      <c r="BT10" s="4">
        <v>1.5019E-3</v>
      </c>
      <c r="BU10" s="4">
        <v>1.4809000000000001E-3</v>
      </c>
      <c r="BV10" s="4">
        <v>1.4603000000000001E-3</v>
      </c>
      <c r="BW10" s="4">
        <v>1.4399E-3</v>
      </c>
      <c r="BX10" s="4">
        <v>1.4197999999999999E-3</v>
      </c>
      <c r="BY10" s="4">
        <v>1.4001E-3</v>
      </c>
      <c r="BZ10" s="4">
        <v>1.3806000000000001E-3</v>
      </c>
      <c r="CA10" s="4">
        <v>1.3614E-3</v>
      </c>
      <c r="CB10" s="4">
        <v>1.3424999999999999E-3</v>
      </c>
      <c r="CC10" s="4">
        <v>1.3239E-3</v>
      </c>
      <c r="CD10" s="4">
        <v>1.3055E-3</v>
      </c>
      <c r="CE10" s="4">
        <v>1.2872999999999999E-3</v>
      </c>
      <c r="CF10" s="4">
        <v>1.2695E-3</v>
      </c>
      <c r="CG10" s="4">
        <v>1.2519E-3</v>
      </c>
      <c r="CH10" s="4">
        <v>1.2344999999999999E-3</v>
      </c>
      <c r="CI10" s="4">
        <v>1.2172999999999999E-3</v>
      </c>
      <c r="CJ10" s="4">
        <v>1.2003999999999999E-3</v>
      </c>
      <c r="CK10" s="4">
        <v>1.1837E-3</v>
      </c>
      <c r="CL10" s="4">
        <v>1.1673E-3</v>
      </c>
      <c r="CM10" s="4">
        <v>1.1509999999999999E-3</v>
      </c>
      <c r="CN10" s="4">
        <v>1.1349999999999999E-3</v>
      </c>
      <c r="CO10" s="4">
        <v>1.1192000000000001E-3</v>
      </c>
      <c r="CP10" s="4">
        <v>1.1035999999999999E-3</v>
      </c>
      <c r="CQ10" s="4">
        <v>1.0882000000000001E-3</v>
      </c>
      <c r="CR10" s="4">
        <v>1.0731E-3</v>
      </c>
      <c r="CS10" s="4">
        <v>1.0581E-3</v>
      </c>
      <c r="CT10" s="4">
        <v>1.0433E-3</v>
      </c>
      <c r="CU10" s="4">
        <v>1.0288000000000001E-3</v>
      </c>
      <c r="CV10" s="4">
        <v>1.0143999999999999E-3</v>
      </c>
      <c r="CW10" s="4">
        <v>1.0001999999999999E-3</v>
      </c>
      <c r="CX10" s="4">
        <v>9.8620000000000001E-4</v>
      </c>
      <c r="CY10" s="4">
        <v>9.724E-4</v>
      </c>
      <c r="CZ10" s="4">
        <v>9.588E-4</v>
      </c>
      <c r="DA10" s="4">
        <v>9.4539999999999999E-4</v>
      </c>
      <c r="DB10" s="4">
        <v>9.3210000000000005E-4</v>
      </c>
      <c r="DC10" s="4">
        <v>9.19E-4</v>
      </c>
      <c r="DD10" s="4">
        <v>9.0609999999999996E-4</v>
      </c>
      <c r="DE10" s="4">
        <v>8.9340000000000003E-4</v>
      </c>
      <c r="DF10" s="4">
        <v>8.809E-4</v>
      </c>
      <c r="DG10" s="4">
        <v>8.6850000000000002E-4</v>
      </c>
      <c r="DH10" s="4">
        <v>8.5630000000000005E-4</v>
      </c>
      <c r="DI10" s="4">
        <v>8.4420000000000003E-4</v>
      </c>
      <c r="DJ10" s="4">
        <v>8.3230000000000001E-4</v>
      </c>
      <c r="DK10" s="4">
        <v>8.206E-4</v>
      </c>
      <c r="DL10" s="4">
        <v>8.0909999999999999E-4</v>
      </c>
      <c r="DM10" s="4">
        <v>7.9770000000000004E-4</v>
      </c>
      <c r="DN10" s="4">
        <v>7.8640000000000003E-4</v>
      </c>
      <c r="DO10" s="4">
        <v>7.7530000000000003E-4</v>
      </c>
      <c r="DP10" s="4">
        <v>7.6440000000000004E-4</v>
      </c>
      <c r="DQ10" s="4">
        <v>5.3094799999999998E-2</v>
      </c>
      <c r="DR10" s="4">
        <v>0</v>
      </c>
      <c r="DS10" s="4">
        <v>1.0170000000000001E-4</v>
      </c>
      <c r="DT10" s="4">
        <v>5.0670000000000001E-4</v>
      </c>
      <c r="DU10" s="4">
        <v>6.602E-4</v>
      </c>
      <c r="DV10" s="4">
        <v>5.3490000000000005E-4</v>
      </c>
      <c r="DW10" s="4">
        <v>4.347E-4</v>
      </c>
      <c r="DX10" s="4">
        <v>3.7990000000000002E-4</v>
      </c>
      <c r="DY10" s="4">
        <v>3.189E-4</v>
      </c>
      <c r="DZ10" s="4">
        <v>2.765E-4</v>
      </c>
      <c r="EA10" s="4">
        <v>2.385E-4</v>
      </c>
      <c r="EB10" s="4">
        <v>2.0780000000000001E-4</v>
      </c>
      <c r="EC10" s="4">
        <v>1.8139999999999999E-4</v>
      </c>
      <c r="ED10" s="4">
        <v>1.5919999999999999E-4</v>
      </c>
      <c r="EE10" s="4">
        <v>1.403E-4</v>
      </c>
      <c r="EF10" s="4">
        <v>1.2430000000000001E-4</v>
      </c>
      <c r="EG10" s="4">
        <v>1.109E-4</v>
      </c>
      <c r="EH10" s="4">
        <v>9.9599999999999995E-5</v>
      </c>
      <c r="EI10" s="4">
        <v>9.0099999999999995E-5</v>
      </c>
      <c r="EJ10" s="4">
        <v>8.2299999999999995E-5</v>
      </c>
      <c r="EK10" s="4">
        <v>7.5799999999999999E-5</v>
      </c>
      <c r="EL10" s="4">
        <v>7.0500000000000006E-5</v>
      </c>
      <c r="EM10" s="4">
        <v>6.6099999999999994E-5</v>
      </c>
      <c r="EN10" s="4">
        <v>6.2500000000000001E-5</v>
      </c>
      <c r="EO10" s="4">
        <v>5.9500000000000003E-5</v>
      </c>
      <c r="EP10" s="4">
        <v>5.7099999999999999E-5</v>
      </c>
      <c r="EQ10" s="4">
        <v>5.5099999999999998E-5</v>
      </c>
      <c r="ER10" s="4">
        <v>5.3399999999999997E-5</v>
      </c>
      <c r="ES10" s="4">
        <v>5.1999999999999997E-5</v>
      </c>
      <c r="ET10" s="4">
        <v>5.0699999999999999E-5</v>
      </c>
      <c r="EU10" s="4">
        <v>4.9599999999999999E-5</v>
      </c>
      <c r="EV10" s="4">
        <v>4.8600000000000002E-5</v>
      </c>
      <c r="EW10" s="4">
        <v>4.7700000000000001E-5</v>
      </c>
      <c r="EX10" s="4">
        <v>4.6799999999999999E-5</v>
      </c>
      <c r="EY10" s="4">
        <v>4.5800000000000002E-5</v>
      </c>
      <c r="EZ10" s="4">
        <v>4.49E-5</v>
      </c>
      <c r="FA10" s="4">
        <v>4.3999999999999999E-5</v>
      </c>
      <c r="FB10" s="4">
        <v>4.3000000000000002E-5</v>
      </c>
      <c r="FC10" s="4">
        <v>4.1999999999999998E-5</v>
      </c>
      <c r="FD10" s="4">
        <v>4.1E-5</v>
      </c>
      <c r="FE10" s="4">
        <v>4.0000000000000003E-5</v>
      </c>
      <c r="FF10" s="4">
        <v>3.8999999999999999E-5</v>
      </c>
      <c r="FG10" s="4">
        <v>3.8000000000000002E-5</v>
      </c>
      <c r="FH10" s="4">
        <v>3.6999999999999998E-5</v>
      </c>
      <c r="FI10" s="4">
        <v>3.6000000000000001E-5</v>
      </c>
      <c r="FJ10" s="4">
        <v>3.5099999999999999E-5</v>
      </c>
      <c r="FK10" s="4">
        <v>3.4100000000000002E-5</v>
      </c>
      <c r="FL10" s="4">
        <v>3.3200000000000001E-5</v>
      </c>
      <c r="FM10" s="4">
        <v>3.2299999999999999E-5</v>
      </c>
      <c r="FN10" s="4">
        <v>3.1399999999999998E-5</v>
      </c>
      <c r="FO10" s="4">
        <v>3.0499999999999999E-5</v>
      </c>
      <c r="FP10" s="4">
        <v>2.97E-5</v>
      </c>
      <c r="FQ10" s="4">
        <v>2.8900000000000001E-5</v>
      </c>
      <c r="FR10" s="4">
        <v>2.8200000000000001E-5</v>
      </c>
      <c r="FS10" s="4">
        <v>2.7500000000000001E-5</v>
      </c>
      <c r="FT10" s="4">
        <v>2.6800000000000001E-5</v>
      </c>
      <c r="FU10" s="4">
        <v>2.6100000000000001E-5</v>
      </c>
      <c r="FV10" s="4">
        <v>2.55E-5</v>
      </c>
      <c r="FW10" s="4">
        <v>2.48E-5</v>
      </c>
      <c r="FX10" s="4">
        <v>2.4300000000000001E-5</v>
      </c>
      <c r="FY10" s="4">
        <v>2.37E-5</v>
      </c>
      <c r="FZ10" s="4">
        <v>2.3200000000000001E-5</v>
      </c>
      <c r="GA10" s="4">
        <v>2.27E-5</v>
      </c>
      <c r="GB10" s="4">
        <v>2.2200000000000001E-5</v>
      </c>
      <c r="GC10" s="4">
        <v>2.1699999999999999E-5</v>
      </c>
      <c r="GD10" s="4">
        <v>2.1299999999999999E-5</v>
      </c>
      <c r="GE10" s="4">
        <v>2.0800000000000001E-5</v>
      </c>
      <c r="GF10" s="4">
        <v>2.0400000000000001E-5</v>
      </c>
      <c r="GG10" s="4">
        <v>2.0000000000000002E-5</v>
      </c>
      <c r="GH10" s="4">
        <v>1.9700000000000001E-5</v>
      </c>
      <c r="GI10" s="4">
        <v>1.9300000000000002E-5</v>
      </c>
      <c r="GJ10" s="4">
        <v>1.9000000000000001E-5</v>
      </c>
      <c r="GK10" s="4">
        <v>1.8700000000000001E-5</v>
      </c>
      <c r="GL10" s="4">
        <v>1.8300000000000001E-5</v>
      </c>
      <c r="GM10" s="4">
        <v>1.8E-5</v>
      </c>
      <c r="GN10" s="4">
        <v>1.77E-5</v>
      </c>
      <c r="GO10" s="4">
        <v>1.7499999999999998E-5</v>
      </c>
      <c r="GP10" s="4">
        <v>1.7200000000000001E-5</v>
      </c>
      <c r="GQ10" s="4">
        <v>1.6900000000000001E-5</v>
      </c>
      <c r="GR10" s="4">
        <v>1.6699999999999999E-5</v>
      </c>
      <c r="GS10" s="4">
        <v>1.6399999999999999E-5</v>
      </c>
      <c r="GT10" s="4">
        <v>1.6200000000000001E-5</v>
      </c>
      <c r="GU10" s="4">
        <v>1.59E-5</v>
      </c>
      <c r="GV10" s="4">
        <v>1.5699999999999999E-5</v>
      </c>
      <c r="GW10" s="4">
        <v>1.5500000000000001E-5</v>
      </c>
      <c r="GX10" s="4">
        <v>1.5299999999999999E-5</v>
      </c>
      <c r="GY10" s="4">
        <v>1.5099999999999999E-5</v>
      </c>
      <c r="GZ10" s="4">
        <v>1.49E-5</v>
      </c>
      <c r="HA10" s="4">
        <v>1.47E-5</v>
      </c>
      <c r="HB10" s="4">
        <v>1.45E-5</v>
      </c>
      <c r="HC10" s="4">
        <v>1.43E-5</v>
      </c>
      <c r="HD10" s="4">
        <v>1.4100000000000001E-5</v>
      </c>
      <c r="HE10" s="4">
        <v>1.3900000000000001E-5</v>
      </c>
      <c r="HF10" s="4">
        <v>1.3699999999999999E-5</v>
      </c>
      <c r="HG10" s="4">
        <v>1.3499999999999999E-5</v>
      </c>
      <c r="HH10" s="4">
        <v>1.34E-5</v>
      </c>
      <c r="HI10" s="4">
        <v>1.3200000000000001E-5</v>
      </c>
      <c r="HJ10" s="4">
        <v>1.2999999999999999E-5</v>
      </c>
      <c r="HK10" s="4">
        <v>1.29E-5</v>
      </c>
      <c r="HL10" s="4">
        <v>1.27E-5</v>
      </c>
      <c r="HM10" s="4">
        <v>1.2500000000000001E-5</v>
      </c>
      <c r="HN10" s="4">
        <v>1.24E-5</v>
      </c>
      <c r="HO10" s="4">
        <v>1.22E-5</v>
      </c>
      <c r="HP10" s="4">
        <v>1.2099999999999999E-5</v>
      </c>
      <c r="HQ10" s="4">
        <v>1.19E-5</v>
      </c>
      <c r="HR10" s="4">
        <v>1.17E-5</v>
      </c>
      <c r="HS10" s="4">
        <v>1.1600000000000001E-5</v>
      </c>
      <c r="HT10" s="4">
        <v>1.1399999999999999E-5</v>
      </c>
      <c r="HU10" s="4">
        <v>1.13E-5</v>
      </c>
      <c r="HV10" s="4">
        <v>1.11E-5</v>
      </c>
      <c r="HW10" s="4">
        <v>1.1E-5</v>
      </c>
      <c r="HX10" s="4">
        <v>1.0900000000000001E-5</v>
      </c>
      <c r="HY10" s="4">
        <v>1.0699999999999999E-5</v>
      </c>
      <c r="HZ10" s="4">
        <v>1.06E-5</v>
      </c>
      <c r="IA10" s="4">
        <v>1.04E-5</v>
      </c>
      <c r="IB10" s="4">
        <v>1.03E-5</v>
      </c>
      <c r="IC10" s="4">
        <v>1.0200000000000001E-5</v>
      </c>
      <c r="ID10" s="4">
        <v>1.0000000000000001E-5</v>
      </c>
      <c r="IE10" s="4">
        <v>9.9000000000000001E-6</v>
      </c>
      <c r="IF10" s="4">
        <v>9.7999999999999993E-6</v>
      </c>
      <c r="IG10" s="4">
        <v>6.9030000000000003E-4</v>
      </c>
      <c r="IH10" s="4"/>
      <c r="II10" s="4">
        <f t="shared" si="245"/>
        <v>0.136597387385307</v>
      </c>
      <c r="IJ10">
        <f t="shared" si="246"/>
        <v>0.35728575000000012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</row>
    <row r="11" spans="1:279" x14ac:dyDescent="0.35">
      <c r="A11" s="1">
        <v>3</v>
      </c>
      <c r="B11" s="4">
        <v>1.0309199999999999E-2</v>
      </c>
      <c r="C11" s="4">
        <v>9.8733999999999992E-3</v>
      </c>
      <c r="D11" s="4">
        <v>8.2958000000000007E-3</v>
      </c>
      <c r="E11" s="4">
        <v>9.7146000000000003E-3</v>
      </c>
      <c r="F11" s="4">
        <v>9.0877000000000006E-3</v>
      </c>
      <c r="G11" s="4">
        <v>8.3607999999999998E-3</v>
      </c>
      <c r="H11" s="4">
        <v>7.8694000000000004E-3</v>
      </c>
      <c r="I11" s="4">
        <v>7.3521000000000003E-3</v>
      </c>
      <c r="J11" s="4">
        <v>6.8808999999999997E-3</v>
      </c>
      <c r="K11" s="4">
        <v>6.4651999999999999E-3</v>
      </c>
      <c r="L11" s="4">
        <v>6.0949999999999997E-3</v>
      </c>
      <c r="M11" s="4">
        <v>5.7647000000000002E-3</v>
      </c>
      <c r="N11" s="4">
        <v>5.4685999999999997E-3</v>
      </c>
      <c r="O11" s="4">
        <v>5.2031000000000004E-3</v>
      </c>
      <c r="P11" s="4">
        <v>4.9636000000000003E-3</v>
      </c>
      <c r="Q11" s="4">
        <v>4.7470999999999998E-3</v>
      </c>
      <c r="R11" s="4">
        <v>4.5506000000000001E-3</v>
      </c>
      <c r="S11" s="4">
        <v>4.3715000000000004E-3</v>
      </c>
      <c r="T11" s="4">
        <v>4.2077E-3</v>
      </c>
      <c r="U11" s="4">
        <v>4.0574000000000001E-3</v>
      </c>
      <c r="V11" s="4">
        <v>3.9188000000000001E-3</v>
      </c>
      <c r="W11" s="4">
        <v>3.7908E-3</v>
      </c>
      <c r="X11" s="4">
        <v>3.6719999999999999E-3</v>
      </c>
      <c r="Y11" s="4">
        <v>3.5615E-3</v>
      </c>
      <c r="Z11" s="4">
        <v>3.4583999999999999E-3</v>
      </c>
      <c r="AA11" s="4">
        <v>3.362E-3</v>
      </c>
      <c r="AB11" s="4">
        <v>3.2713999999999998E-3</v>
      </c>
      <c r="AC11" s="4">
        <v>3.1863E-3</v>
      </c>
      <c r="AD11" s="4">
        <v>3.1059E-3</v>
      </c>
      <c r="AE11" s="4">
        <v>3.0298999999999999E-3</v>
      </c>
      <c r="AF11" s="4">
        <v>2.9578E-3</v>
      </c>
      <c r="AG11" s="4">
        <v>2.8893999999999999E-3</v>
      </c>
      <c r="AH11" s="4">
        <v>2.8241999999999998E-3</v>
      </c>
      <c r="AI11" s="4">
        <v>2.7621999999999998E-3</v>
      </c>
      <c r="AJ11" s="4">
        <v>2.7028999999999998E-3</v>
      </c>
      <c r="AK11" s="4">
        <v>2.6462999999999999E-3</v>
      </c>
      <c r="AL11" s="4">
        <v>2.5921999999999998E-3</v>
      </c>
      <c r="AM11" s="4">
        <v>2.5403000000000001E-3</v>
      </c>
      <c r="AN11" s="4">
        <v>2.4905999999999999E-3</v>
      </c>
      <c r="AO11" s="4">
        <v>2.4429E-3</v>
      </c>
      <c r="AP11" s="4">
        <v>2.3969999999999998E-3</v>
      </c>
      <c r="AQ11" s="4">
        <v>2.3528999999999998E-3</v>
      </c>
      <c r="AR11" s="4">
        <v>2.3104000000000002E-3</v>
      </c>
      <c r="AS11" s="4">
        <v>2.2694999999999998E-3</v>
      </c>
      <c r="AT11" s="4">
        <v>2.2300000000000002E-3</v>
      </c>
      <c r="AU11" s="4">
        <v>2.1919000000000001E-3</v>
      </c>
      <c r="AV11" s="4">
        <v>2.1549999999999998E-3</v>
      </c>
      <c r="AW11" s="4">
        <v>2.1193000000000002E-3</v>
      </c>
      <c r="AX11" s="4">
        <v>2.0845999999999998E-3</v>
      </c>
      <c r="AY11" s="4">
        <v>2.0511000000000001E-3</v>
      </c>
      <c r="AZ11" s="4">
        <v>2.0184999999999999E-3</v>
      </c>
      <c r="BA11" s="4">
        <v>1.9867999999999999E-3</v>
      </c>
      <c r="BB11" s="4">
        <v>1.9559999999999998E-3</v>
      </c>
      <c r="BC11" s="4">
        <v>1.9258999999999999E-3</v>
      </c>
      <c r="BD11" s="4">
        <v>1.8967000000000001E-3</v>
      </c>
      <c r="BE11" s="4">
        <v>1.8680999999999999E-3</v>
      </c>
      <c r="BF11" s="4">
        <v>1.8402E-3</v>
      </c>
      <c r="BG11" s="4">
        <v>1.8129999999999999E-3</v>
      </c>
      <c r="BH11" s="4">
        <v>1.7864000000000001E-3</v>
      </c>
      <c r="BI11" s="4">
        <v>1.7603E-3</v>
      </c>
      <c r="BJ11" s="4">
        <v>1.7347E-3</v>
      </c>
      <c r="BK11" s="4">
        <v>1.7097E-3</v>
      </c>
      <c r="BL11" s="4">
        <v>1.6852E-3</v>
      </c>
      <c r="BM11" s="4">
        <v>1.6611E-3</v>
      </c>
      <c r="BN11" s="4">
        <v>1.6375000000000001E-3</v>
      </c>
      <c r="BO11" s="4">
        <v>1.6142999999999999E-3</v>
      </c>
      <c r="BP11" s="4">
        <v>1.5914E-3</v>
      </c>
      <c r="BQ11" s="4">
        <v>1.5690000000000001E-3</v>
      </c>
      <c r="BR11" s="4">
        <v>1.547E-3</v>
      </c>
      <c r="BS11" s="4">
        <v>1.5253E-3</v>
      </c>
      <c r="BT11" s="4">
        <v>1.5039999999999999E-3</v>
      </c>
      <c r="BU11" s="4">
        <v>1.4829999999999999E-3</v>
      </c>
      <c r="BV11" s="4">
        <v>1.4622999999999999E-3</v>
      </c>
      <c r="BW11" s="4">
        <v>1.4419000000000001E-3</v>
      </c>
      <c r="BX11" s="4">
        <v>1.4219E-3</v>
      </c>
      <c r="BY11" s="4">
        <v>1.4021000000000001E-3</v>
      </c>
      <c r="BZ11" s="4">
        <v>1.3826000000000001E-3</v>
      </c>
      <c r="CA11" s="4">
        <v>1.3634000000000001E-3</v>
      </c>
      <c r="CB11" s="4">
        <v>1.3445E-3</v>
      </c>
      <c r="CC11" s="4">
        <v>1.3258E-3</v>
      </c>
      <c r="CD11" s="4">
        <v>1.3074E-3</v>
      </c>
      <c r="CE11" s="4">
        <v>1.2893E-3</v>
      </c>
      <c r="CF11" s="4">
        <v>1.2714E-3</v>
      </c>
      <c r="CG11" s="4">
        <v>1.2538E-3</v>
      </c>
      <c r="CH11" s="4">
        <v>1.2363000000000001E-3</v>
      </c>
      <c r="CI11" s="4">
        <v>1.2191999999999999E-3</v>
      </c>
      <c r="CJ11" s="4">
        <v>1.2022000000000001E-3</v>
      </c>
      <c r="CK11" s="4">
        <v>1.1854999999999999E-3</v>
      </c>
      <c r="CL11" s="4">
        <v>1.1691E-3</v>
      </c>
      <c r="CM11" s="4">
        <v>1.1528E-3</v>
      </c>
      <c r="CN11" s="4">
        <v>1.1368000000000001E-3</v>
      </c>
      <c r="CO11" s="4">
        <v>1.1209E-3</v>
      </c>
      <c r="CP11" s="4">
        <v>1.1053E-3</v>
      </c>
      <c r="CQ11" s="4">
        <v>1.0899E-3</v>
      </c>
      <c r="CR11" s="4">
        <v>1.0747E-3</v>
      </c>
      <c r="CS11" s="4">
        <v>1.0597E-3</v>
      </c>
      <c r="CT11" s="4">
        <v>1.0449000000000001E-3</v>
      </c>
      <c r="CU11" s="4">
        <v>1.0303000000000001E-3</v>
      </c>
      <c r="CV11" s="4">
        <v>1.0158999999999999E-3</v>
      </c>
      <c r="CW11" s="4">
        <v>1.0016999999999999E-3</v>
      </c>
      <c r="CX11" s="4">
        <v>9.8769999999999999E-4</v>
      </c>
      <c r="CY11" s="4">
        <v>9.7380000000000003E-4</v>
      </c>
      <c r="CZ11" s="4">
        <v>9.6020000000000003E-4</v>
      </c>
      <c r="DA11" s="4">
        <v>9.4669999999999997E-4</v>
      </c>
      <c r="DB11" s="4">
        <v>9.3349999999999998E-4</v>
      </c>
      <c r="DC11" s="4">
        <v>9.2040000000000004E-4</v>
      </c>
      <c r="DD11" s="4">
        <v>9.0740000000000005E-4</v>
      </c>
      <c r="DE11" s="4">
        <v>8.9470000000000001E-4</v>
      </c>
      <c r="DF11" s="4">
        <v>8.8210000000000003E-4</v>
      </c>
      <c r="DG11" s="4">
        <v>8.6970000000000005E-4</v>
      </c>
      <c r="DH11" s="4">
        <v>8.5749999999999997E-4</v>
      </c>
      <c r="DI11" s="4">
        <v>8.4539999999999995E-4</v>
      </c>
      <c r="DJ11" s="4">
        <v>8.3350000000000004E-4</v>
      </c>
      <c r="DK11" s="4">
        <v>8.2180000000000003E-4</v>
      </c>
      <c r="DL11" s="4">
        <v>8.1019999999999996E-4</v>
      </c>
      <c r="DM11" s="4">
        <v>7.9880000000000001E-4</v>
      </c>
      <c r="DN11" s="4">
        <v>7.8750000000000001E-4</v>
      </c>
      <c r="DO11" s="4">
        <v>7.7640000000000001E-4</v>
      </c>
      <c r="DP11" s="4">
        <v>7.6539999999999996E-4</v>
      </c>
      <c r="DQ11" s="4">
        <v>5.3159100000000001E-2</v>
      </c>
      <c r="DR11" s="4">
        <v>0</v>
      </c>
      <c r="DS11" s="4">
        <v>9.5500000000000004E-5</v>
      </c>
      <c r="DT11" s="4">
        <v>1.8900000000000001E-4</v>
      </c>
      <c r="DU11" s="4">
        <v>4.1599999999999997E-4</v>
      </c>
      <c r="DV11" s="4">
        <v>3.926E-4</v>
      </c>
      <c r="DW11" s="4">
        <v>3.5750000000000002E-4</v>
      </c>
      <c r="DX11" s="4">
        <v>4.0620000000000001E-4</v>
      </c>
      <c r="DY11" s="4">
        <v>3.6850000000000001E-4</v>
      </c>
      <c r="DZ11" s="4">
        <v>3.3819999999999998E-4</v>
      </c>
      <c r="EA11" s="4">
        <v>3.0479999999999998E-4</v>
      </c>
      <c r="EB11" s="4">
        <v>2.7559999999999998E-4</v>
      </c>
      <c r="EC11" s="4">
        <v>2.4830000000000002E-4</v>
      </c>
      <c r="ED11" s="4">
        <v>2.242E-4</v>
      </c>
      <c r="EE11" s="4">
        <v>2.031E-4</v>
      </c>
      <c r="EF11" s="4">
        <v>1.8459999999999999E-4</v>
      </c>
      <c r="EG11" s="4">
        <v>1.685E-4</v>
      </c>
      <c r="EH11" s="4">
        <v>1.5449999999999999E-4</v>
      </c>
      <c r="EI11" s="4">
        <v>1.4219999999999999E-4</v>
      </c>
      <c r="EJ11" s="4">
        <v>1.314E-4</v>
      </c>
      <c r="EK11" s="4">
        <v>1.219E-4</v>
      </c>
      <c r="EL11" s="4">
        <v>1.1349999999999999E-4</v>
      </c>
      <c r="EM11" s="4">
        <v>1.06E-4</v>
      </c>
      <c r="EN11" s="4">
        <v>9.9300000000000001E-5</v>
      </c>
      <c r="EO11" s="4">
        <v>9.3399999999999993E-5</v>
      </c>
      <c r="EP11" s="4">
        <v>8.7999999999999998E-5</v>
      </c>
      <c r="EQ11" s="4">
        <v>8.3200000000000003E-5</v>
      </c>
      <c r="ER11" s="4">
        <v>7.8800000000000004E-5</v>
      </c>
      <c r="ES11" s="4">
        <v>7.4900000000000005E-5</v>
      </c>
      <c r="ET11" s="4">
        <v>7.1299999999999998E-5</v>
      </c>
      <c r="EU11" s="4">
        <v>6.7999999999999999E-5</v>
      </c>
      <c r="EV11" s="4">
        <v>6.4900000000000005E-5</v>
      </c>
      <c r="EW11" s="4">
        <v>6.2100000000000005E-5</v>
      </c>
      <c r="EX11" s="4">
        <v>5.9500000000000003E-5</v>
      </c>
      <c r="EY11" s="4">
        <v>5.7000000000000003E-5</v>
      </c>
      <c r="EZ11" s="4">
        <v>5.4599999999999999E-5</v>
      </c>
      <c r="FA11" s="4">
        <v>5.24E-5</v>
      </c>
      <c r="FB11" s="4">
        <v>5.0300000000000003E-5</v>
      </c>
      <c r="FC11" s="4">
        <v>4.8399999999999997E-5</v>
      </c>
      <c r="FD11" s="4">
        <v>4.6499999999999999E-5</v>
      </c>
      <c r="FE11" s="4">
        <v>4.4700000000000002E-5</v>
      </c>
      <c r="FF11" s="4">
        <v>4.3000000000000002E-5</v>
      </c>
      <c r="FG11" s="4">
        <v>4.1499999999999999E-5</v>
      </c>
      <c r="FH11" s="4">
        <v>4.0000000000000003E-5</v>
      </c>
      <c r="FI11" s="4">
        <v>3.8600000000000003E-5</v>
      </c>
      <c r="FJ11" s="4">
        <v>3.7200000000000003E-5</v>
      </c>
      <c r="FK11" s="4">
        <v>3.6000000000000001E-5</v>
      </c>
      <c r="FL11" s="4">
        <v>3.4799999999999999E-5</v>
      </c>
      <c r="FM11" s="4">
        <v>3.3699999999999999E-5</v>
      </c>
      <c r="FN11" s="4">
        <v>3.2700000000000002E-5</v>
      </c>
      <c r="FO11" s="4">
        <v>3.1699999999999998E-5</v>
      </c>
      <c r="FP11" s="4">
        <v>3.0800000000000003E-5</v>
      </c>
      <c r="FQ11" s="4">
        <v>2.9899999999999998E-5</v>
      </c>
      <c r="FR11" s="4">
        <v>2.9099999999999999E-5</v>
      </c>
      <c r="FS11" s="4">
        <v>2.8399999999999999E-5</v>
      </c>
      <c r="FT11" s="4">
        <v>2.7699999999999999E-5</v>
      </c>
      <c r="FU11" s="4">
        <v>2.6999999999999999E-5</v>
      </c>
      <c r="FV11" s="4">
        <v>2.6400000000000001E-5</v>
      </c>
      <c r="FW11" s="4">
        <v>2.58E-5</v>
      </c>
      <c r="FX11" s="4">
        <v>2.5199999999999999E-5</v>
      </c>
      <c r="FY11" s="4">
        <v>2.4700000000000001E-5</v>
      </c>
      <c r="FZ11" s="4">
        <v>2.4199999999999999E-5</v>
      </c>
      <c r="GA11" s="4">
        <v>2.37E-5</v>
      </c>
      <c r="GB11" s="4">
        <v>2.3300000000000001E-5</v>
      </c>
      <c r="GC11" s="4">
        <v>2.2799999999999999E-5</v>
      </c>
      <c r="GD11" s="4">
        <v>2.2399999999999999E-5</v>
      </c>
      <c r="GE11" s="4">
        <v>2.1999999999999999E-5</v>
      </c>
      <c r="GF11" s="4">
        <v>2.1699999999999999E-5</v>
      </c>
      <c r="GG11" s="4">
        <v>2.1299999999999999E-5</v>
      </c>
      <c r="GH11" s="4">
        <v>2.0999999999999999E-5</v>
      </c>
      <c r="GI11" s="4">
        <v>2.0599999999999999E-5</v>
      </c>
      <c r="GJ11" s="4">
        <v>2.0299999999999999E-5</v>
      </c>
      <c r="GK11" s="4">
        <v>2.0000000000000002E-5</v>
      </c>
      <c r="GL11" s="4">
        <v>1.9700000000000001E-5</v>
      </c>
      <c r="GM11" s="4">
        <v>1.9400000000000001E-5</v>
      </c>
      <c r="GN11" s="4">
        <v>1.9199999999999999E-5</v>
      </c>
      <c r="GO11" s="4">
        <v>1.8899999999999999E-5</v>
      </c>
      <c r="GP11" s="4">
        <v>1.8600000000000001E-5</v>
      </c>
      <c r="GQ11" s="4">
        <v>1.84E-5</v>
      </c>
      <c r="GR11" s="4">
        <v>1.8099999999999999E-5</v>
      </c>
      <c r="GS11" s="4">
        <v>1.7900000000000001E-5</v>
      </c>
      <c r="GT11" s="4">
        <v>1.7600000000000001E-5</v>
      </c>
      <c r="GU11" s="4">
        <v>1.7399999999999999E-5</v>
      </c>
      <c r="GV11" s="4">
        <v>1.7200000000000001E-5</v>
      </c>
      <c r="GW11" s="4">
        <v>1.7E-5</v>
      </c>
      <c r="GX11" s="4">
        <v>1.6699999999999999E-5</v>
      </c>
      <c r="GY11" s="4">
        <v>1.6500000000000001E-5</v>
      </c>
      <c r="GZ11" s="4">
        <v>1.63E-5</v>
      </c>
      <c r="HA11" s="4">
        <v>1.6099999999999998E-5</v>
      </c>
      <c r="HB11" s="4">
        <v>1.59E-5</v>
      </c>
      <c r="HC11" s="4">
        <v>1.5699999999999999E-5</v>
      </c>
      <c r="HD11" s="4">
        <v>1.5500000000000001E-5</v>
      </c>
      <c r="HE11" s="4">
        <v>1.5299999999999999E-5</v>
      </c>
      <c r="HF11" s="4">
        <v>1.5099999999999999E-5</v>
      </c>
      <c r="HG11" s="4">
        <v>1.49E-5</v>
      </c>
      <c r="HH11" s="4">
        <v>1.47E-5</v>
      </c>
      <c r="HI11" s="4">
        <v>1.45E-5</v>
      </c>
      <c r="HJ11" s="4">
        <v>1.4399999999999999E-5</v>
      </c>
      <c r="HK11" s="4">
        <v>1.42E-5</v>
      </c>
      <c r="HL11" s="4">
        <v>1.4E-5</v>
      </c>
      <c r="HM11" s="4">
        <v>1.38E-5</v>
      </c>
      <c r="HN11" s="4">
        <v>1.36E-5</v>
      </c>
      <c r="HO11" s="4">
        <v>1.3499999999999999E-5</v>
      </c>
      <c r="HP11" s="4">
        <v>1.33E-5</v>
      </c>
      <c r="HQ11" s="4">
        <v>1.31E-5</v>
      </c>
      <c r="HR11" s="4">
        <v>1.29E-5</v>
      </c>
      <c r="HS11" s="4">
        <v>1.2799999999999999E-5</v>
      </c>
      <c r="HT11" s="4">
        <v>1.26E-5</v>
      </c>
      <c r="HU11" s="4">
        <v>1.24E-5</v>
      </c>
      <c r="HV11" s="4">
        <v>1.2300000000000001E-5</v>
      </c>
      <c r="HW11" s="4">
        <v>1.2099999999999999E-5</v>
      </c>
      <c r="HX11" s="4">
        <v>1.19E-5</v>
      </c>
      <c r="HY11" s="4">
        <v>1.1800000000000001E-5</v>
      </c>
      <c r="HZ11" s="4">
        <v>1.1600000000000001E-5</v>
      </c>
      <c r="IA11" s="4">
        <v>1.15E-5</v>
      </c>
      <c r="IB11" s="4">
        <v>1.13E-5</v>
      </c>
      <c r="IC11" s="4">
        <v>1.1199999999999999E-5</v>
      </c>
      <c r="ID11" s="4">
        <v>1.1E-5</v>
      </c>
      <c r="IE11" s="4">
        <v>1.0900000000000001E-5</v>
      </c>
      <c r="IF11" s="4">
        <v>1.0699999999999999E-5</v>
      </c>
      <c r="IG11" s="4">
        <v>7.5230000000000002E-4</v>
      </c>
      <c r="IH11" s="4"/>
      <c r="II11" s="4">
        <f t="shared" si="245"/>
        <v>0.13343819230620638</v>
      </c>
      <c r="IJ11">
        <f t="shared" si="246"/>
        <v>0.35603375000000032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</row>
    <row r="12" spans="1:279" x14ac:dyDescent="0.35">
      <c r="A12" s="1">
        <v>4</v>
      </c>
      <c r="B12" s="4">
        <v>1.0734799999999999E-2</v>
      </c>
      <c r="C12" s="4">
        <v>1.0309199999999999E-2</v>
      </c>
      <c r="D12" s="4">
        <v>9.7779000000000008E-3</v>
      </c>
      <c r="E12" s="4">
        <v>8.1068000000000008E-3</v>
      </c>
      <c r="F12" s="4">
        <v>9.2986000000000006E-3</v>
      </c>
      <c r="G12" s="4">
        <v>8.6949999999999996E-3</v>
      </c>
      <c r="H12" s="4">
        <v>8.0034000000000008E-3</v>
      </c>
      <c r="I12" s="4">
        <v>7.4633E-3</v>
      </c>
      <c r="J12" s="4">
        <v>6.9835000000000001E-3</v>
      </c>
      <c r="K12" s="4">
        <v>6.5427000000000003E-3</v>
      </c>
      <c r="L12" s="4">
        <v>6.1605000000000002E-3</v>
      </c>
      <c r="M12" s="4">
        <v>5.8193999999999997E-3</v>
      </c>
      <c r="N12" s="4">
        <v>5.5164000000000003E-3</v>
      </c>
      <c r="O12" s="4">
        <v>5.2443999999999998E-3</v>
      </c>
      <c r="P12" s="4">
        <v>5.0000000000000001E-3</v>
      </c>
      <c r="Q12" s="4">
        <v>4.7790000000000003E-3</v>
      </c>
      <c r="R12" s="4">
        <v>4.5786000000000004E-3</v>
      </c>
      <c r="S12" s="4">
        <v>4.3961E-3</v>
      </c>
      <c r="T12" s="4">
        <v>4.2293000000000001E-3</v>
      </c>
      <c r="U12" s="4">
        <v>4.0762999999999997E-3</v>
      </c>
      <c r="V12" s="4">
        <v>3.9354999999999998E-3</v>
      </c>
      <c r="W12" s="4">
        <v>3.8053000000000002E-3</v>
      </c>
      <c r="X12" s="4">
        <v>3.6847999999999998E-3</v>
      </c>
      <c r="Y12" s="4">
        <v>3.5726999999999998E-3</v>
      </c>
      <c r="Z12" s="4">
        <v>3.4681E-3</v>
      </c>
      <c r="AA12" s="4">
        <v>3.3704E-3</v>
      </c>
      <c r="AB12" s="4">
        <v>3.2788000000000001E-3</v>
      </c>
      <c r="AC12" s="4">
        <v>3.1925999999999999E-3</v>
      </c>
      <c r="AD12" s="4">
        <v>3.1113999999999998E-3</v>
      </c>
      <c r="AE12" s="4">
        <v>3.0346000000000001E-3</v>
      </c>
      <c r="AF12" s="4">
        <v>2.9618999999999999E-3</v>
      </c>
      <c r="AG12" s="4">
        <v>2.8928999999999999E-3</v>
      </c>
      <c r="AH12" s="4">
        <v>2.8273E-3</v>
      </c>
      <c r="AI12" s="4">
        <v>2.7648E-3</v>
      </c>
      <c r="AJ12" s="4">
        <v>2.7052000000000001E-3</v>
      </c>
      <c r="AK12" s="4">
        <v>2.6483000000000001E-3</v>
      </c>
      <c r="AL12" s="4">
        <v>2.5939000000000001E-3</v>
      </c>
      <c r="AM12" s="4">
        <v>2.5419000000000001E-3</v>
      </c>
      <c r="AN12" s="4">
        <v>2.4919999999999999E-3</v>
      </c>
      <c r="AO12" s="4">
        <v>2.4440999999999998E-3</v>
      </c>
      <c r="AP12" s="4">
        <v>2.3982000000000001E-3</v>
      </c>
      <c r="AQ12" s="4">
        <v>2.3540000000000002E-3</v>
      </c>
      <c r="AR12" s="4">
        <v>2.3115000000000002E-3</v>
      </c>
      <c r="AS12" s="4">
        <v>2.2704999999999999E-3</v>
      </c>
      <c r="AT12" s="4">
        <v>2.2309000000000001E-3</v>
      </c>
      <c r="AU12" s="4">
        <v>2.1928E-3</v>
      </c>
      <c r="AV12" s="4">
        <v>2.1559000000000001E-3</v>
      </c>
      <c r="AW12" s="4">
        <v>2.1201000000000002E-3</v>
      </c>
      <c r="AX12" s="4">
        <v>2.0855000000000001E-3</v>
      </c>
      <c r="AY12" s="4">
        <v>2.052E-3</v>
      </c>
      <c r="AZ12" s="4">
        <v>2.0194000000000002E-3</v>
      </c>
      <c r="BA12" s="4">
        <v>1.9876999999999998E-3</v>
      </c>
      <c r="BB12" s="4">
        <v>1.9567999999999999E-3</v>
      </c>
      <c r="BC12" s="4">
        <v>1.9268E-3</v>
      </c>
      <c r="BD12" s="4">
        <v>1.8975999999999999E-3</v>
      </c>
      <c r="BE12" s="4">
        <v>1.869E-3</v>
      </c>
      <c r="BF12" s="4">
        <v>1.8411E-3</v>
      </c>
      <c r="BG12" s="4">
        <v>1.8139E-3</v>
      </c>
      <c r="BH12" s="4">
        <v>1.7872000000000001E-3</v>
      </c>
      <c r="BI12" s="4">
        <v>1.7611E-3</v>
      </c>
      <c r="BJ12" s="4">
        <v>1.7355999999999999E-3</v>
      </c>
      <c r="BK12" s="4">
        <v>1.7106000000000001E-3</v>
      </c>
      <c r="BL12" s="4">
        <v>1.686E-3</v>
      </c>
      <c r="BM12" s="4">
        <v>1.6619E-3</v>
      </c>
      <c r="BN12" s="4">
        <v>1.6383000000000001E-3</v>
      </c>
      <c r="BO12" s="4">
        <v>1.6149999999999999E-3</v>
      </c>
      <c r="BP12" s="4">
        <v>1.5922E-3</v>
      </c>
      <c r="BQ12" s="4">
        <v>1.5698000000000001E-3</v>
      </c>
      <c r="BR12" s="4">
        <v>1.5476999999999999E-3</v>
      </c>
      <c r="BS12" s="4">
        <v>1.526E-3</v>
      </c>
      <c r="BT12" s="4">
        <v>1.5047000000000001E-3</v>
      </c>
      <c r="BU12" s="4">
        <v>1.4836999999999999E-3</v>
      </c>
      <c r="BV12" s="4">
        <v>1.4630000000000001E-3</v>
      </c>
      <c r="BW12" s="4">
        <v>1.4426E-3</v>
      </c>
      <c r="BX12" s="4">
        <v>1.4224999999999999E-3</v>
      </c>
      <c r="BY12" s="4">
        <v>1.4027E-3</v>
      </c>
      <c r="BZ12" s="4">
        <v>1.3832E-3</v>
      </c>
      <c r="CA12" s="4">
        <v>1.364E-3</v>
      </c>
      <c r="CB12" s="4">
        <v>1.3450000000000001E-3</v>
      </c>
      <c r="CC12" s="4">
        <v>1.3263999999999999E-3</v>
      </c>
      <c r="CD12" s="4">
        <v>1.3079000000000001E-3</v>
      </c>
      <c r="CE12" s="4">
        <v>1.2898E-3</v>
      </c>
      <c r="CF12" s="4">
        <v>1.2719000000000001E-3</v>
      </c>
      <c r="CG12" s="4">
        <v>1.2542E-3</v>
      </c>
      <c r="CH12" s="4">
        <v>1.2367999999999999E-3</v>
      </c>
      <c r="CI12" s="4">
        <v>1.2195999999999999E-3</v>
      </c>
      <c r="CJ12" s="4">
        <v>1.2026999999999999E-3</v>
      </c>
      <c r="CK12" s="4">
        <v>1.1858999999999999E-3</v>
      </c>
      <c r="CL12" s="4">
        <v>1.1693999999999999E-3</v>
      </c>
      <c r="CM12" s="4">
        <v>1.1532000000000001E-3</v>
      </c>
      <c r="CN12" s="4">
        <v>1.1371E-3</v>
      </c>
      <c r="CO12" s="4">
        <v>1.1213E-3</v>
      </c>
      <c r="CP12" s="4">
        <v>1.1056E-3</v>
      </c>
      <c r="CQ12" s="4">
        <v>1.0901999999999999E-3</v>
      </c>
      <c r="CR12" s="4">
        <v>1.075E-3</v>
      </c>
      <c r="CS12" s="4">
        <v>1.06E-3</v>
      </c>
      <c r="CT12" s="4">
        <v>1.0452E-3</v>
      </c>
      <c r="CU12" s="4">
        <v>1.0306E-3</v>
      </c>
      <c r="CV12" s="4">
        <v>1.0161E-3</v>
      </c>
      <c r="CW12" s="4">
        <v>1.0019E-3</v>
      </c>
      <c r="CX12" s="4">
        <v>9.8790000000000011E-4</v>
      </c>
      <c r="CY12" s="4">
        <v>9.7400000000000004E-4</v>
      </c>
      <c r="CZ12" s="4">
        <v>9.6040000000000003E-4</v>
      </c>
      <c r="DA12" s="4">
        <v>9.4689999999999998E-4</v>
      </c>
      <c r="DB12" s="4">
        <v>9.3360000000000003E-4</v>
      </c>
      <c r="DC12" s="4">
        <v>9.2049999999999999E-4</v>
      </c>
      <c r="DD12" s="4">
        <v>9.0760000000000005E-4</v>
      </c>
      <c r="DE12" s="4">
        <v>8.9479999999999996E-4</v>
      </c>
      <c r="DF12" s="4">
        <v>8.8230000000000003E-4</v>
      </c>
      <c r="DG12" s="4">
        <v>8.698E-4</v>
      </c>
      <c r="DH12" s="4">
        <v>8.5760000000000003E-4</v>
      </c>
      <c r="DI12" s="4">
        <v>8.4550000000000001E-4</v>
      </c>
      <c r="DJ12" s="4">
        <v>8.3359999999999999E-4</v>
      </c>
      <c r="DK12" s="4">
        <v>8.2189999999999997E-4</v>
      </c>
      <c r="DL12" s="4">
        <v>8.1030000000000002E-4</v>
      </c>
      <c r="DM12" s="4">
        <v>7.9889999999999996E-4</v>
      </c>
      <c r="DN12" s="4">
        <v>7.8759999999999995E-4</v>
      </c>
      <c r="DO12" s="4">
        <v>7.7649999999999996E-4</v>
      </c>
      <c r="DP12" s="4">
        <v>7.6550000000000001E-4</v>
      </c>
      <c r="DQ12" s="4">
        <v>5.3161600000000003E-2</v>
      </c>
      <c r="DR12" s="4">
        <v>0</v>
      </c>
      <c r="DS12" s="4">
        <v>1.072E-4</v>
      </c>
      <c r="DT12" s="4">
        <v>2.3499999999999999E-4</v>
      </c>
      <c r="DU12" s="4">
        <v>3.57E-4</v>
      </c>
      <c r="DV12" s="4">
        <v>6.2180000000000004E-4</v>
      </c>
      <c r="DW12" s="4">
        <v>6.2049999999999996E-4</v>
      </c>
      <c r="DX12" s="4">
        <v>5.2610000000000005E-4</v>
      </c>
      <c r="DY12" s="4">
        <v>4.637E-4</v>
      </c>
      <c r="DZ12" s="4">
        <v>4.1209999999999999E-4</v>
      </c>
      <c r="EA12" s="4">
        <v>3.6509999999999998E-4</v>
      </c>
      <c r="EB12" s="4">
        <v>3.2519999999999999E-4</v>
      </c>
      <c r="EC12" s="4">
        <v>2.9100000000000003E-4</v>
      </c>
      <c r="ED12" s="4">
        <v>2.6160000000000002E-4</v>
      </c>
      <c r="EE12" s="4">
        <v>2.363E-4</v>
      </c>
      <c r="EF12" s="4">
        <v>2.143E-4</v>
      </c>
      <c r="EG12" s="4">
        <v>1.951E-4</v>
      </c>
      <c r="EH12" s="4">
        <v>1.783E-4</v>
      </c>
      <c r="EI12" s="4">
        <v>1.6359999999999999E-4</v>
      </c>
      <c r="EJ12" s="4">
        <v>1.506E-4</v>
      </c>
      <c r="EK12" s="4">
        <v>1.3909999999999999E-4</v>
      </c>
      <c r="EL12" s="4">
        <v>1.2879999999999999E-4</v>
      </c>
      <c r="EM12" s="4">
        <v>1.1959999999999999E-4</v>
      </c>
      <c r="EN12" s="4">
        <v>1.114E-4</v>
      </c>
      <c r="EO12" s="4">
        <v>1.039E-4</v>
      </c>
      <c r="EP12" s="4">
        <v>9.7200000000000004E-5</v>
      </c>
      <c r="EQ12" s="4">
        <v>9.1199999999999994E-5</v>
      </c>
      <c r="ER12" s="4">
        <v>8.5799999999999998E-5</v>
      </c>
      <c r="ES12" s="4">
        <v>8.0799999999999999E-5</v>
      </c>
      <c r="ET12" s="4">
        <v>7.6299999999999998E-5</v>
      </c>
      <c r="EU12" s="4">
        <v>7.2200000000000007E-5</v>
      </c>
      <c r="EV12" s="4">
        <v>6.8499999999999998E-5</v>
      </c>
      <c r="EW12" s="4">
        <v>6.4999999999999994E-5</v>
      </c>
      <c r="EX12" s="4">
        <v>6.1799999999999998E-5</v>
      </c>
      <c r="EY12" s="4">
        <v>5.8900000000000002E-5</v>
      </c>
      <c r="EZ12" s="4">
        <v>5.6100000000000002E-5</v>
      </c>
      <c r="FA12" s="4">
        <v>5.3600000000000002E-5</v>
      </c>
      <c r="FB12" s="4">
        <v>5.1199999999999998E-5</v>
      </c>
      <c r="FC12" s="4">
        <v>4.8999999999999998E-5</v>
      </c>
      <c r="FD12" s="4">
        <v>4.6900000000000002E-5</v>
      </c>
      <c r="FE12" s="4">
        <v>4.5000000000000003E-5</v>
      </c>
      <c r="FF12" s="4">
        <v>4.32E-5</v>
      </c>
      <c r="FG12" s="4">
        <v>4.1499999999999999E-5</v>
      </c>
      <c r="FH12" s="4">
        <v>4.0000000000000003E-5</v>
      </c>
      <c r="FI12" s="4">
        <v>3.8500000000000001E-5</v>
      </c>
      <c r="FJ12" s="4">
        <v>3.7100000000000001E-5</v>
      </c>
      <c r="FK12" s="4">
        <v>3.5899999999999998E-5</v>
      </c>
      <c r="FL12" s="4">
        <v>3.4700000000000003E-5</v>
      </c>
      <c r="FM12" s="4">
        <v>3.3599999999999997E-5</v>
      </c>
      <c r="FN12" s="4">
        <v>3.26E-5</v>
      </c>
      <c r="FO12" s="4">
        <v>3.1600000000000002E-5</v>
      </c>
      <c r="FP12" s="4">
        <v>3.0700000000000001E-5</v>
      </c>
      <c r="FQ12" s="4">
        <v>2.9899999999999998E-5</v>
      </c>
      <c r="FR12" s="4">
        <v>2.9099999999999999E-5</v>
      </c>
      <c r="FS12" s="4">
        <v>2.83E-5</v>
      </c>
      <c r="FT12" s="4">
        <v>2.7699999999999999E-5</v>
      </c>
      <c r="FU12" s="4">
        <v>2.6999999999999999E-5</v>
      </c>
      <c r="FV12" s="4">
        <v>2.6400000000000001E-5</v>
      </c>
      <c r="FW12" s="4">
        <v>2.58E-5</v>
      </c>
      <c r="FX12" s="4">
        <v>2.5299999999999998E-5</v>
      </c>
      <c r="FY12" s="4">
        <v>2.48E-5</v>
      </c>
      <c r="FZ12" s="4">
        <v>2.4300000000000001E-5</v>
      </c>
      <c r="GA12" s="4">
        <v>2.3799999999999999E-5</v>
      </c>
      <c r="GB12" s="4">
        <v>2.34E-5</v>
      </c>
      <c r="GC12" s="4">
        <v>2.3E-5</v>
      </c>
      <c r="GD12" s="4">
        <v>2.26E-5</v>
      </c>
      <c r="GE12" s="4">
        <v>2.2200000000000001E-5</v>
      </c>
      <c r="GF12" s="4">
        <v>2.1800000000000001E-5</v>
      </c>
      <c r="GG12" s="4">
        <v>2.1500000000000001E-5</v>
      </c>
      <c r="GH12" s="4">
        <v>2.12E-5</v>
      </c>
      <c r="GI12" s="4">
        <v>2.0800000000000001E-5</v>
      </c>
      <c r="GJ12" s="4">
        <v>2.05E-5</v>
      </c>
      <c r="GK12" s="4">
        <v>2.02E-5</v>
      </c>
      <c r="GL12" s="4">
        <v>1.9899999999999999E-5</v>
      </c>
      <c r="GM12" s="4">
        <v>1.9700000000000001E-5</v>
      </c>
      <c r="GN12" s="4">
        <v>1.9400000000000001E-5</v>
      </c>
      <c r="GO12" s="4">
        <v>1.91E-5</v>
      </c>
      <c r="GP12" s="4">
        <v>1.88E-5</v>
      </c>
      <c r="GQ12" s="4">
        <v>1.8600000000000001E-5</v>
      </c>
      <c r="GR12" s="4">
        <v>1.8300000000000001E-5</v>
      </c>
      <c r="GS12" s="4">
        <v>1.8099999999999999E-5</v>
      </c>
      <c r="GT12" s="4">
        <v>1.7900000000000001E-5</v>
      </c>
      <c r="GU12" s="4">
        <v>1.7600000000000001E-5</v>
      </c>
      <c r="GV12" s="4">
        <v>1.7399999999999999E-5</v>
      </c>
      <c r="GW12" s="4">
        <v>1.7200000000000001E-5</v>
      </c>
      <c r="GX12" s="4">
        <v>1.6900000000000001E-5</v>
      </c>
      <c r="GY12" s="4">
        <v>1.6699999999999999E-5</v>
      </c>
      <c r="GZ12" s="4">
        <v>1.6500000000000001E-5</v>
      </c>
      <c r="HA12" s="4">
        <v>1.63E-5</v>
      </c>
      <c r="HB12" s="4">
        <v>1.6099999999999998E-5</v>
      </c>
      <c r="HC12" s="4">
        <v>1.59E-5</v>
      </c>
      <c r="HD12" s="4">
        <v>1.5699999999999999E-5</v>
      </c>
      <c r="HE12" s="4">
        <v>1.5500000000000001E-5</v>
      </c>
      <c r="HF12" s="4">
        <v>1.5299999999999999E-5</v>
      </c>
      <c r="HG12" s="4">
        <v>1.5099999999999999E-5</v>
      </c>
      <c r="HH12" s="4">
        <v>1.49E-5</v>
      </c>
      <c r="HI12" s="4">
        <v>1.47E-5</v>
      </c>
      <c r="HJ12" s="4">
        <v>1.45E-5</v>
      </c>
      <c r="HK12" s="4">
        <v>1.43E-5</v>
      </c>
      <c r="HL12" s="4">
        <v>1.4100000000000001E-5</v>
      </c>
      <c r="HM12" s="4">
        <v>1.3900000000000001E-5</v>
      </c>
      <c r="HN12" s="4">
        <v>1.3699999999999999E-5</v>
      </c>
      <c r="HO12" s="4">
        <v>1.36E-5</v>
      </c>
      <c r="HP12" s="4">
        <v>1.34E-5</v>
      </c>
      <c r="HQ12" s="4">
        <v>1.3200000000000001E-5</v>
      </c>
      <c r="HR12" s="4">
        <v>1.2999999999999999E-5</v>
      </c>
      <c r="HS12" s="4">
        <v>1.29E-5</v>
      </c>
      <c r="HT12" s="4">
        <v>1.27E-5</v>
      </c>
      <c r="HU12" s="4">
        <v>1.2500000000000001E-5</v>
      </c>
      <c r="HV12" s="4">
        <v>1.2300000000000001E-5</v>
      </c>
      <c r="HW12" s="4">
        <v>1.22E-5</v>
      </c>
      <c r="HX12" s="4">
        <v>1.2E-5</v>
      </c>
      <c r="HY12" s="4">
        <v>1.19E-5</v>
      </c>
      <c r="HZ12" s="4">
        <v>1.17E-5</v>
      </c>
      <c r="IA12" s="4">
        <v>1.15E-5</v>
      </c>
      <c r="IB12" s="4">
        <v>1.1399999999999999E-5</v>
      </c>
      <c r="IC12" s="4">
        <v>1.1199999999999999E-5</v>
      </c>
      <c r="ID12" s="4">
        <v>1.11E-5</v>
      </c>
      <c r="IE12" s="4">
        <v>1.0900000000000001E-5</v>
      </c>
      <c r="IF12" s="4">
        <v>1.08E-5</v>
      </c>
      <c r="IG12" s="4">
        <v>7.538E-4</v>
      </c>
      <c r="IH12" s="4"/>
      <c r="II12" s="4">
        <f t="shared" si="245"/>
        <v>0.13316413306523325</v>
      </c>
      <c r="IJ12">
        <f t="shared" si="246"/>
        <v>0.35490487500000006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</row>
    <row r="13" spans="1:279" x14ac:dyDescent="0.35">
      <c r="A13" s="1">
        <v>5</v>
      </c>
      <c r="B13" s="4">
        <v>1.1099700000000001E-2</v>
      </c>
      <c r="C13" s="4">
        <v>1.0734799999999999E-2</v>
      </c>
      <c r="D13" s="4">
        <v>1.0201999999999999E-2</v>
      </c>
      <c r="E13" s="4">
        <v>9.5429E-3</v>
      </c>
      <c r="F13" s="4">
        <v>7.7498999999999997E-3</v>
      </c>
      <c r="G13" s="4">
        <v>8.6768000000000001E-3</v>
      </c>
      <c r="H13" s="4">
        <v>8.0745999999999995E-3</v>
      </c>
      <c r="I13" s="4">
        <v>7.4771999999999998E-3</v>
      </c>
      <c r="J13" s="4">
        <v>6.9995999999999999E-3</v>
      </c>
      <c r="K13" s="4">
        <v>6.5713999999999998E-3</v>
      </c>
      <c r="L13" s="4">
        <v>6.1776000000000001E-3</v>
      </c>
      <c r="M13" s="4">
        <v>5.8352999999999999E-3</v>
      </c>
      <c r="N13" s="4">
        <v>5.5284000000000002E-3</v>
      </c>
      <c r="O13" s="4">
        <v>5.2547000000000002E-3</v>
      </c>
      <c r="P13" s="4">
        <v>5.0082E-3</v>
      </c>
      <c r="Q13" s="4">
        <v>4.7857000000000004E-3</v>
      </c>
      <c r="R13" s="4">
        <v>4.5839000000000001E-3</v>
      </c>
      <c r="S13" s="4">
        <v>4.4003000000000002E-3</v>
      </c>
      <c r="T13" s="4">
        <v>4.2325000000000002E-3</v>
      </c>
      <c r="U13" s="4">
        <v>4.0787999999999996E-3</v>
      </c>
      <c r="V13" s="4">
        <v>3.9373000000000003E-3</v>
      </c>
      <c r="W13" s="4">
        <v>3.8067000000000001E-3</v>
      </c>
      <c r="X13" s="4">
        <v>3.6857000000000001E-3</v>
      </c>
      <c r="Y13" s="4">
        <v>3.5734E-3</v>
      </c>
      <c r="Z13" s="4">
        <v>3.4686999999999999E-3</v>
      </c>
      <c r="AA13" s="4">
        <v>3.3709E-3</v>
      </c>
      <c r="AB13" s="4">
        <v>3.2791999999999999E-3</v>
      </c>
      <c r="AC13" s="4">
        <v>3.1930000000000001E-3</v>
      </c>
      <c r="AD13" s="4">
        <v>3.1118000000000001E-3</v>
      </c>
      <c r="AE13" s="4">
        <v>3.0351000000000002E-3</v>
      </c>
      <c r="AF13" s="4">
        <v>2.9624E-3</v>
      </c>
      <c r="AG13" s="4">
        <v>2.8934E-3</v>
      </c>
      <c r="AH13" s="4">
        <v>2.8278999999999999E-3</v>
      </c>
      <c r="AI13" s="4">
        <v>2.7653999999999999E-3</v>
      </c>
      <c r="AJ13" s="4">
        <v>2.7058999999999998E-3</v>
      </c>
      <c r="AK13" s="4">
        <v>2.6491000000000002E-3</v>
      </c>
      <c r="AL13" s="4">
        <v>2.5947000000000001E-3</v>
      </c>
      <c r="AM13" s="4">
        <v>2.5427000000000002E-3</v>
      </c>
      <c r="AN13" s="4">
        <v>2.4929000000000002E-3</v>
      </c>
      <c r="AO13" s="4">
        <v>2.4451E-3</v>
      </c>
      <c r="AP13" s="4">
        <v>2.3990999999999999E-3</v>
      </c>
      <c r="AQ13" s="4">
        <v>2.3549999999999999E-3</v>
      </c>
      <c r="AR13" s="4">
        <v>2.3124999999999999E-3</v>
      </c>
      <c r="AS13" s="4">
        <v>2.2715000000000001E-3</v>
      </c>
      <c r="AT13" s="4">
        <v>2.232E-3</v>
      </c>
      <c r="AU13" s="4">
        <v>2.1938000000000001E-3</v>
      </c>
      <c r="AV13" s="4">
        <v>2.1568999999999998E-3</v>
      </c>
      <c r="AW13" s="4">
        <v>2.1212000000000002E-3</v>
      </c>
      <c r="AX13" s="4">
        <v>2.0864999999999998E-3</v>
      </c>
      <c r="AY13" s="4">
        <v>2.0530000000000001E-3</v>
      </c>
      <c r="AZ13" s="4">
        <v>2.0203999999999999E-3</v>
      </c>
      <c r="BA13" s="4">
        <v>1.9886999999999999E-3</v>
      </c>
      <c r="BB13" s="4">
        <v>1.9578E-3</v>
      </c>
      <c r="BC13" s="4">
        <v>1.9277999999999999E-3</v>
      </c>
      <c r="BD13" s="4">
        <v>1.8985E-3</v>
      </c>
      <c r="BE13" s="4">
        <v>1.8699000000000001E-3</v>
      </c>
      <c r="BF13" s="4">
        <v>1.8420000000000001E-3</v>
      </c>
      <c r="BG13" s="4">
        <v>1.8147E-3</v>
      </c>
      <c r="BH13" s="4">
        <v>1.7880000000000001E-3</v>
      </c>
      <c r="BI13" s="4">
        <v>1.7619000000000001E-3</v>
      </c>
      <c r="BJ13" s="4">
        <v>1.7363999999999999E-3</v>
      </c>
      <c r="BK13" s="4">
        <v>1.7113E-3</v>
      </c>
      <c r="BL13" s="4">
        <v>1.6867E-3</v>
      </c>
      <c r="BM13" s="4">
        <v>1.6626E-3</v>
      </c>
      <c r="BN13" s="4">
        <v>1.6389E-3</v>
      </c>
      <c r="BO13" s="4">
        <v>1.6157000000000001E-3</v>
      </c>
      <c r="BP13" s="4">
        <v>1.5927999999999999E-3</v>
      </c>
      <c r="BQ13" s="4">
        <v>1.5704E-3</v>
      </c>
      <c r="BR13" s="4">
        <v>1.5483000000000001E-3</v>
      </c>
      <c r="BS13" s="4">
        <v>1.5265999999999999E-3</v>
      </c>
      <c r="BT13" s="4">
        <v>1.5051999999999999E-3</v>
      </c>
      <c r="BU13" s="4">
        <v>1.4842E-3</v>
      </c>
      <c r="BV13" s="4">
        <v>1.4633999999999999E-3</v>
      </c>
      <c r="BW13" s="4">
        <v>1.4430000000000001E-3</v>
      </c>
      <c r="BX13" s="4">
        <v>1.4228999999999999E-3</v>
      </c>
      <c r="BY13" s="4">
        <v>1.4031E-3</v>
      </c>
      <c r="BZ13" s="4">
        <v>1.3836E-3</v>
      </c>
      <c r="CA13" s="4">
        <v>1.3644E-3</v>
      </c>
      <c r="CB13" s="4">
        <v>1.3454000000000001E-3</v>
      </c>
      <c r="CC13" s="4">
        <v>1.3267000000000001E-3</v>
      </c>
      <c r="CD13" s="4">
        <v>1.3083000000000001E-3</v>
      </c>
      <c r="CE13" s="4">
        <v>1.2901E-3</v>
      </c>
      <c r="CF13" s="4">
        <v>1.2722E-3</v>
      </c>
      <c r="CG13" s="4">
        <v>1.2545E-3</v>
      </c>
      <c r="CH13" s="4">
        <v>1.237E-3</v>
      </c>
      <c r="CI13" s="4">
        <v>1.2199000000000001E-3</v>
      </c>
      <c r="CJ13" s="4">
        <v>1.2029E-3</v>
      </c>
      <c r="CK13" s="4">
        <v>1.1861E-3</v>
      </c>
      <c r="CL13" s="4">
        <v>1.1696E-3</v>
      </c>
      <c r="CM13" s="4">
        <v>1.1532999999999999E-3</v>
      </c>
      <c r="CN13" s="4">
        <v>1.1372999999999999E-3</v>
      </c>
      <c r="CO13" s="4">
        <v>1.1214E-3</v>
      </c>
      <c r="CP13" s="4">
        <v>1.1058000000000001E-3</v>
      </c>
      <c r="CQ13" s="4">
        <v>1.0904E-3</v>
      </c>
      <c r="CR13" s="4">
        <v>1.0751000000000001E-3</v>
      </c>
      <c r="CS13" s="4">
        <v>1.0601E-3</v>
      </c>
      <c r="CT13" s="4">
        <v>1.0453000000000001E-3</v>
      </c>
      <c r="CU13" s="4">
        <v>1.0307000000000001E-3</v>
      </c>
      <c r="CV13" s="4">
        <v>1.0162999999999999E-3</v>
      </c>
      <c r="CW13" s="4">
        <v>1.0020000000000001E-3</v>
      </c>
      <c r="CX13" s="4">
        <v>9.8799999999999995E-4</v>
      </c>
      <c r="CY13" s="4">
        <v>9.7409999999999999E-4</v>
      </c>
      <c r="CZ13" s="4">
        <v>9.6049999999999998E-4</v>
      </c>
      <c r="DA13" s="4">
        <v>9.4700000000000003E-4</v>
      </c>
      <c r="DB13" s="4">
        <v>9.3369999999999998E-4</v>
      </c>
      <c r="DC13" s="4">
        <v>9.2060000000000004E-4</v>
      </c>
      <c r="DD13" s="4">
        <v>9.077E-4</v>
      </c>
      <c r="DE13" s="4">
        <v>8.9490000000000001E-4</v>
      </c>
      <c r="DF13" s="4">
        <v>8.8230000000000003E-4</v>
      </c>
      <c r="DG13" s="4">
        <v>8.6989999999999995E-4</v>
      </c>
      <c r="DH13" s="4">
        <v>8.5769999999999998E-4</v>
      </c>
      <c r="DI13" s="4">
        <v>8.4559999999999995E-4</v>
      </c>
      <c r="DJ13" s="4">
        <v>8.3370000000000004E-4</v>
      </c>
      <c r="DK13" s="4">
        <v>8.2189999999999997E-4</v>
      </c>
      <c r="DL13" s="4">
        <v>8.1030000000000002E-4</v>
      </c>
      <c r="DM13" s="4">
        <v>7.9889999999999996E-4</v>
      </c>
      <c r="DN13" s="4">
        <v>7.8759999999999995E-4</v>
      </c>
      <c r="DO13" s="4">
        <v>7.7649999999999996E-4</v>
      </c>
      <c r="DP13" s="4">
        <v>7.6559999999999996E-4</v>
      </c>
      <c r="DQ13" s="4">
        <v>5.3162500000000001E-2</v>
      </c>
      <c r="DR13" s="4">
        <v>0</v>
      </c>
      <c r="DS13" s="4">
        <v>5.02E-5</v>
      </c>
      <c r="DT13" s="4">
        <v>1.4019999999999999E-4</v>
      </c>
      <c r="DU13" s="4">
        <v>5.0100000000000003E-4</v>
      </c>
      <c r="DV13" s="4">
        <v>4.4329999999999999E-4</v>
      </c>
      <c r="DW13" s="4">
        <v>6.1410000000000002E-4</v>
      </c>
      <c r="DX13" s="4">
        <v>5.7589999999999996E-4</v>
      </c>
      <c r="DY13" s="4">
        <v>5.0199999999999995E-4</v>
      </c>
      <c r="DZ13" s="4">
        <v>4.4930000000000002E-4</v>
      </c>
      <c r="EA13" s="4">
        <v>4.0339999999999999E-4</v>
      </c>
      <c r="EB13" s="4">
        <v>3.5649999999999999E-4</v>
      </c>
      <c r="EC13" s="4">
        <v>3.1819999999999998E-4</v>
      </c>
      <c r="ED13" s="4">
        <v>2.8449999999999998E-4</v>
      </c>
      <c r="EE13" s="4">
        <v>2.5579999999999998E-4</v>
      </c>
      <c r="EF13" s="4">
        <v>2.307E-4</v>
      </c>
      <c r="EG13" s="4">
        <v>2.0900000000000001E-4</v>
      </c>
      <c r="EH13" s="4">
        <v>1.8990000000000001E-4</v>
      </c>
      <c r="EI13" s="4">
        <v>1.7330000000000001E-4</v>
      </c>
      <c r="EJ13" s="4">
        <v>1.5860000000000001E-4</v>
      </c>
      <c r="EK13" s="4">
        <v>1.4569999999999999E-4</v>
      </c>
      <c r="EL13" s="4">
        <v>1.3420000000000001E-4</v>
      </c>
      <c r="EM13" s="4">
        <v>1.2410000000000001E-4</v>
      </c>
      <c r="EN13" s="4">
        <v>1.1510000000000001E-4</v>
      </c>
      <c r="EO13" s="4">
        <v>1.07E-4</v>
      </c>
      <c r="EP13" s="4">
        <v>9.98E-5</v>
      </c>
      <c r="EQ13" s="4">
        <v>9.3399999999999993E-5</v>
      </c>
      <c r="ER13" s="4">
        <v>8.7600000000000002E-5</v>
      </c>
      <c r="ES13" s="4">
        <v>8.25E-5</v>
      </c>
      <c r="ET13" s="4">
        <v>7.7799999999999994E-5</v>
      </c>
      <c r="EU13" s="4">
        <v>7.36E-5</v>
      </c>
      <c r="EV13" s="4">
        <v>6.97E-5</v>
      </c>
      <c r="EW13" s="4">
        <v>6.6199999999999996E-5</v>
      </c>
      <c r="EX13" s="4">
        <v>6.2899999999999997E-5</v>
      </c>
      <c r="EY13" s="4">
        <v>5.9899999999999999E-5</v>
      </c>
      <c r="EZ13" s="4">
        <v>5.7200000000000001E-5</v>
      </c>
      <c r="FA13" s="4">
        <v>5.4599999999999999E-5</v>
      </c>
      <c r="FB13" s="4">
        <v>5.2200000000000002E-5</v>
      </c>
      <c r="FC13" s="4">
        <v>5.0000000000000002E-5</v>
      </c>
      <c r="FD13" s="4">
        <v>4.7899999999999999E-5</v>
      </c>
      <c r="FE13" s="4">
        <v>4.5899999999999998E-5</v>
      </c>
      <c r="FF13" s="4">
        <v>4.4100000000000001E-5</v>
      </c>
      <c r="FG13" s="4">
        <v>4.2400000000000001E-5</v>
      </c>
      <c r="FH13" s="4">
        <v>4.0800000000000002E-5</v>
      </c>
      <c r="FI13" s="4">
        <v>3.9400000000000002E-5</v>
      </c>
      <c r="FJ13" s="4">
        <v>3.8000000000000002E-5</v>
      </c>
      <c r="FK13" s="4">
        <v>3.6699999999999998E-5</v>
      </c>
      <c r="FL13" s="4">
        <v>3.5500000000000002E-5</v>
      </c>
      <c r="FM13" s="4">
        <v>3.4400000000000003E-5</v>
      </c>
      <c r="FN13" s="4">
        <v>3.3300000000000003E-5</v>
      </c>
      <c r="FO13" s="4">
        <v>3.2299999999999999E-5</v>
      </c>
      <c r="FP13" s="4">
        <v>3.1399999999999998E-5</v>
      </c>
      <c r="FQ13" s="4">
        <v>3.0599999999999998E-5</v>
      </c>
      <c r="FR13" s="4">
        <v>2.97E-5</v>
      </c>
      <c r="FS13" s="4">
        <v>2.9E-5</v>
      </c>
      <c r="FT13" s="4">
        <v>2.83E-5</v>
      </c>
      <c r="FU13" s="4">
        <v>2.76E-5</v>
      </c>
      <c r="FV13" s="4">
        <v>2.6999999999999999E-5</v>
      </c>
      <c r="FW13" s="4">
        <v>2.6400000000000001E-5</v>
      </c>
      <c r="FX13" s="4">
        <v>2.58E-5</v>
      </c>
      <c r="FY13" s="4">
        <v>2.5299999999999998E-5</v>
      </c>
      <c r="FZ13" s="4">
        <v>2.48E-5</v>
      </c>
      <c r="GA13" s="4">
        <v>2.4300000000000001E-5</v>
      </c>
      <c r="GB13" s="4">
        <v>2.3799999999999999E-5</v>
      </c>
      <c r="GC13" s="4">
        <v>2.34E-5</v>
      </c>
      <c r="GD13" s="4">
        <v>2.3E-5</v>
      </c>
      <c r="GE13" s="4">
        <v>2.26E-5</v>
      </c>
      <c r="GF13" s="4">
        <v>2.2200000000000001E-5</v>
      </c>
      <c r="GG13" s="4">
        <v>2.1800000000000001E-5</v>
      </c>
      <c r="GH13" s="4">
        <v>2.1500000000000001E-5</v>
      </c>
      <c r="GI13" s="4">
        <v>2.1100000000000001E-5</v>
      </c>
      <c r="GJ13" s="4">
        <v>2.0800000000000001E-5</v>
      </c>
      <c r="GK13" s="4">
        <v>2.05E-5</v>
      </c>
      <c r="GL13" s="4">
        <v>2.02E-5</v>
      </c>
      <c r="GM13" s="4">
        <v>1.9899999999999999E-5</v>
      </c>
      <c r="GN13" s="4">
        <v>1.9599999999999999E-5</v>
      </c>
      <c r="GO13" s="4">
        <v>1.9300000000000002E-5</v>
      </c>
      <c r="GP13" s="4">
        <v>1.91E-5</v>
      </c>
      <c r="GQ13" s="4">
        <v>1.88E-5</v>
      </c>
      <c r="GR13" s="4">
        <v>1.8499999999999999E-5</v>
      </c>
      <c r="GS13" s="4">
        <v>1.8300000000000001E-5</v>
      </c>
      <c r="GT13" s="4">
        <v>1.8E-5</v>
      </c>
      <c r="GU13" s="4">
        <v>1.7799999999999999E-5</v>
      </c>
      <c r="GV13" s="4">
        <v>1.7499999999999998E-5</v>
      </c>
      <c r="GW13" s="4">
        <v>1.73E-5</v>
      </c>
      <c r="GX13" s="4">
        <v>1.7099999999999999E-5</v>
      </c>
      <c r="GY13" s="4">
        <v>1.6799999999999998E-5</v>
      </c>
      <c r="GZ13" s="4">
        <v>1.66E-5</v>
      </c>
      <c r="HA13" s="4">
        <v>1.6399999999999999E-5</v>
      </c>
      <c r="HB13" s="4">
        <v>1.6200000000000001E-5</v>
      </c>
      <c r="HC13" s="4">
        <v>1.5999999999999999E-5</v>
      </c>
      <c r="HD13" s="4">
        <v>1.5800000000000001E-5</v>
      </c>
      <c r="HE13" s="4">
        <v>1.56E-5</v>
      </c>
      <c r="HF13" s="4">
        <v>1.5299999999999999E-5</v>
      </c>
      <c r="HG13" s="4">
        <v>1.5099999999999999E-5</v>
      </c>
      <c r="HH13" s="4">
        <v>1.49E-5</v>
      </c>
      <c r="HI13" s="4">
        <v>1.47E-5</v>
      </c>
      <c r="HJ13" s="4">
        <v>1.4600000000000001E-5</v>
      </c>
      <c r="HK13" s="4">
        <v>1.4399999999999999E-5</v>
      </c>
      <c r="HL13" s="4">
        <v>1.42E-5</v>
      </c>
      <c r="HM13" s="4">
        <v>1.4E-5</v>
      </c>
      <c r="HN13" s="4">
        <v>1.38E-5</v>
      </c>
      <c r="HO13" s="4">
        <v>1.36E-5</v>
      </c>
      <c r="HP13" s="4">
        <v>1.34E-5</v>
      </c>
      <c r="HQ13" s="4">
        <v>1.3200000000000001E-5</v>
      </c>
      <c r="HR13" s="4">
        <v>1.31E-5</v>
      </c>
      <c r="HS13" s="4">
        <v>1.29E-5</v>
      </c>
      <c r="HT13" s="4">
        <v>1.27E-5</v>
      </c>
      <c r="HU13" s="4">
        <v>1.26E-5</v>
      </c>
      <c r="HV13" s="4">
        <v>1.24E-5</v>
      </c>
      <c r="HW13" s="4">
        <v>1.22E-5</v>
      </c>
      <c r="HX13" s="4">
        <v>1.2E-5</v>
      </c>
      <c r="HY13" s="4">
        <v>1.19E-5</v>
      </c>
      <c r="HZ13" s="4">
        <v>1.17E-5</v>
      </c>
      <c r="IA13" s="4">
        <v>1.1600000000000001E-5</v>
      </c>
      <c r="IB13" s="4">
        <v>1.1399999999999999E-5</v>
      </c>
      <c r="IC13" s="4">
        <v>1.13E-5</v>
      </c>
      <c r="ID13" s="4">
        <v>1.11E-5</v>
      </c>
      <c r="IE13" s="4">
        <v>1.0900000000000001E-5</v>
      </c>
      <c r="IF13" s="4">
        <v>1.08E-5</v>
      </c>
      <c r="IG13" s="4">
        <v>7.5429999999999996E-4</v>
      </c>
      <c r="IH13" s="4"/>
      <c r="II13" s="4">
        <f t="shared" si="245"/>
        <v>9.8871022075842932E-2</v>
      </c>
      <c r="IJ13">
        <f t="shared" si="246"/>
        <v>0.35391967499999988</v>
      </c>
      <c r="IN13" s="4"/>
      <c r="IO13" s="4"/>
      <c r="IP13" s="4"/>
      <c r="IQ13" s="4"/>
      <c r="IR13" s="4"/>
      <c r="IS13" s="4"/>
      <c r="IT13" s="4"/>
      <c r="IU13" s="4"/>
      <c r="IV13" s="4"/>
    </row>
    <row r="14" spans="1:279" x14ac:dyDescent="0.35">
      <c r="A14" s="1">
        <v>6</v>
      </c>
      <c r="B14" s="4">
        <v>1.1099700000000001E-2</v>
      </c>
      <c r="C14" s="4">
        <v>1.1099700000000001E-2</v>
      </c>
      <c r="D14" s="4">
        <v>1.0684600000000001E-2</v>
      </c>
      <c r="E14" s="4">
        <v>1.0061799999999999E-2</v>
      </c>
      <c r="F14" s="4">
        <v>9.0419000000000003E-3</v>
      </c>
      <c r="G14" s="4">
        <v>7.3064999999999996E-3</v>
      </c>
      <c r="H14" s="4">
        <v>8.0627000000000008E-3</v>
      </c>
      <c r="I14" s="4">
        <v>7.4986000000000002E-3</v>
      </c>
      <c r="J14" s="4">
        <v>6.9753000000000003E-3</v>
      </c>
      <c r="K14" s="4">
        <v>6.5503999999999996E-3</v>
      </c>
      <c r="L14" s="4">
        <v>6.1679999999999999E-3</v>
      </c>
      <c r="M14" s="4">
        <v>5.8209999999999998E-3</v>
      </c>
      <c r="N14" s="4">
        <v>5.5170999999999996E-3</v>
      </c>
      <c r="O14" s="4">
        <v>5.2439000000000001E-3</v>
      </c>
      <c r="P14" s="4">
        <v>4.9988999999999997E-3</v>
      </c>
      <c r="Q14" s="4">
        <v>4.7774000000000002E-3</v>
      </c>
      <c r="R14" s="4">
        <v>4.5767000000000004E-3</v>
      </c>
      <c r="S14" s="4">
        <v>4.3940000000000003E-3</v>
      </c>
      <c r="T14" s="4">
        <v>4.2269999999999999E-3</v>
      </c>
      <c r="U14" s="4">
        <v>4.0739000000000001E-3</v>
      </c>
      <c r="V14" s="4">
        <v>3.9331000000000001E-3</v>
      </c>
      <c r="W14" s="4">
        <v>3.803E-3</v>
      </c>
      <c r="X14" s="4">
        <v>3.6825999999999998E-3</v>
      </c>
      <c r="Y14" s="4">
        <v>3.5707E-3</v>
      </c>
      <c r="Z14" s="4">
        <v>3.4664000000000001E-3</v>
      </c>
      <c r="AA14" s="4">
        <v>3.3689000000000002E-3</v>
      </c>
      <c r="AB14" s="4">
        <v>3.2775E-3</v>
      </c>
      <c r="AC14" s="4">
        <v>3.1916000000000002E-3</v>
      </c>
      <c r="AD14" s="4">
        <v>3.1105999999999998E-3</v>
      </c>
      <c r="AE14" s="4">
        <v>3.0339999999999998E-3</v>
      </c>
      <c r="AF14" s="4">
        <v>2.9615000000000002E-3</v>
      </c>
      <c r="AG14" s="4">
        <v>2.8926999999999998E-3</v>
      </c>
      <c r="AH14" s="4">
        <v>2.8272000000000002E-3</v>
      </c>
      <c r="AI14" s="4">
        <v>2.7648999999999998E-3</v>
      </c>
      <c r="AJ14" s="4">
        <v>2.7055E-3</v>
      </c>
      <c r="AK14" s="4">
        <v>2.6488000000000002E-3</v>
      </c>
      <c r="AL14" s="4">
        <v>2.5945E-3</v>
      </c>
      <c r="AM14" s="4">
        <v>2.5425999999999999E-3</v>
      </c>
      <c r="AN14" s="4">
        <v>2.4927999999999999E-3</v>
      </c>
      <c r="AO14" s="4">
        <v>2.4450000000000001E-3</v>
      </c>
      <c r="AP14" s="4">
        <v>2.3990999999999999E-3</v>
      </c>
      <c r="AQ14" s="4">
        <v>2.3549999999999999E-3</v>
      </c>
      <c r="AR14" s="4">
        <v>2.3124999999999999E-3</v>
      </c>
      <c r="AS14" s="4">
        <v>2.2715999999999999E-3</v>
      </c>
      <c r="AT14" s="4">
        <v>2.2320999999999999E-3</v>
      </c>
      <c r="AU14" s="4">
        <v>2.1940000000000002E-3</v>
      </c>
      <c r="AV14" s="4">
        <v>2.1570999999999999E-3</v>
      </c>
      <c r="AW14" s="4">
        <v>2.1213999999999998E-3</v>
      </c>
      <c r="AX14" s="4">
        <v>2.0868000000000002E-3</v>
      </c>
      <c r="AY14" s="4">
        <v>2.0531999999999998E-3</v>
      </c>
      <c r="AZ14" s="4">
        <v>2.0206E-3</v>
      </c>
      <c r="BA14" s="4">
        <v>1.9889E-3</v>
      </c>
      <c r="BB14" s="4">
        <v>1.9580999999999999E-3</v>
      </c>
      <c r="BC14" s="4">
        <v>1.9281000000000001E-3</v>
      </c>
      <c r="BD14" s="4">
        <v>1.8988E-3</v>
      </c>
      <c r="BE14" s="4">
        <v>1.8702E-3</v>
      </c>
      <c r="BF14" s="4">
        <v>1.8423000000000001E-3</v>
      </c>
      <c r="BG14" s="4">
        <v>1.815E-3</v>
      </c>
      <c r="BH14" s="4">
        <v>1.7884000000000001E-3</v>
      </c>
      <c r="BI14" s="4">
        <v>1.7622E-3</v>
      </c>
      <c r="BJ14" s="4">
        <v>1.7367000000000001E-3</v>
      </c>
      <c r="BK14" s="4">
        <v>1.7116E-3</v>
      </c>
      <c r="BL14" s="4">
        <v>1.6869999999999999E-3</v>
      </c>
      <c r="BM14" s="4">
        <v>1.6628999999999999E-3</v>
      </c>
      <c r="BN14" s="4">
        <v>1.6391999999999999E-3</v>
      </c>
      <c r="BO14" s="4">
        <v>1.616E-3</v>
      </c>
      <c r="BP14" s="4">
        <v>1.5931000000000001E-3</v>
      </c>
      <c r="BQ14" s="4">
        <v>1.5705999999999999E-3</v>
      </c>
      <c r="BR14" s="4">
        <v>1.5486E-3</v>
      </c>
      <c r="BS14" s="4">
        <v>1.5268E-3</v>
      </c>
      <c r="BT14" s="4">
        <v>1.5054000000000001E-3</v>
      </c>
      <c r="BU14" s="4">
        <v>1.4844000000000001E-3</v>
      </c>
      <c r="BV14" s="4">
        <v>1.4636E-3</v>
      </c>
      <c r="BW14" s="4">
        <v>1.4432E-3</v>
      </c>
      <c r="BX14" s="4">
        <v>1.4231000000000001E-3</v>
      </c>
      <c r="BY14" s="4">
        <v>1.4032999999999999E-3</v>
      </c>
      <c r="BZ14" s="4">
        <v>1.3837999999999999E-3</v>
      </c>
      <c r="CA14" s="4">
        <v>1.3645E-3</v>
      </c>
      <c r="CB14" s="4">
        <v>1.3456E-3</v>
      </c>
      <c r="CC14" s="4">
        <v>1.3269E-3</v>
      </c>
      <c r="CD14" s="4">
        <v>1.3083999999999999E-3</v>
      </c>
      <c r="CE14" s="4">
        <v>1.2902E-3</v>
      </c>
      <c r="CF14" s="4">
        <v>1.2723000000000001E-3</v>
      </c>
      <c r="CG14" s="4">
        <v>1.2546E-3</v>
      </c>
      <c r="CH14" s="4">
        <v>1.2371999999999999E-3</v>
      </c>
      <c r="CI14" s="4">
        <v>1.2199999999999999E-3</v>
      </c>
      <c r="CJ14" s="4">
        <v>1.2030000000000001E-3</v>
      </c>
      <c r="CK14" s="4">
        <v>1.1862999999999999E-3</v>
      </c>
      <c r="CL14" s="4">
        <v>1.1697000000000001E-3</v>
      </c>
      <c r="CM14" s="4">
        <v>1.1535E-3</v>
      </c>
      <c r="CN14" s="4">
        <v>1.1374E-3</v>
      </c>
      <c r="CO14" s="4">
        <v>1.1215000000000001E-3</v>
      </c>
      <c r="CP14" s="4">
        <v>1.1058999999999999E-3</v>
      </c>
      <c r="CQ14" s="4">
        <v>1.0904E-3</v>
      </c>
      <c r="CR14" s="4">
        <v>1.0751999999999999E-3</v>
      </c>
      <c r="CS14" s="4">
        <v>1.0602000000000001E-3</v>
      </c>
      <c r="CT14" s="4">
        <v>1.0453999999999999E-3</v>
      </c>
      <c r="CU14" s="4">
        <v>1.0307000000000001E-3</v>
      </c>
      <c r="CV14" s="4">
        <v>1.0162999999999999E-3</v>
      </c>
      <c r="CW14" s="4">
        <v>1.0020999999999999E-3</v>
      </c>
      <c r="CX14" s="4">
        <v>9.881E-4</v>
      </c>
      <c r="CY14" s="4">
        <v>9.7420000000000004E-4</v>
      </c>
      <c r="CZ14" s="4">
        <v>9.6049999999999998E-4</v>
      </c>
      <c r="DA14" s="4">
        <v>9.4709999999999998E-4</v>
      </c>
      <c r="DB14" s="4">
        <v>9.3380000000000004E-4</v>
      </c>
      <c r="DC14" s="4">
        <v>9.2060000000000004E-4</v>
      </c>
      <c r="DD14" s="4">
        <v>9.077E-4</v>
      </c>
      <c r="DE14" s="4">
        <v>8.9490000000000001E-4</v>
      </c>
      <c r="DF14" s="4">
        <v>8.8239999999999998E-4</v>
      </c>
      <c r="DG14" s="4">
        <v>8.6989999999999995E-4</v>
      </c>
      <c r="DH14" s="4">
        <v>8.5769999999999998E-4</v>
      </c>
      <c r="DI14" s="4">
        <v>8.4559999999999995E-4</v>
      </c>
      <c r="DJ14" s="4">
        <v>8.3370000000000004E-4</v>
      </c>
      <c r="DK14" s="4">
        <v>8.2189999999999997E-4</v>
      </c>
      <c r="DL14" s="4">
        <v>8.1039999999999997E-4</v>
      </c>
      <c r="DM14" s="4">
        <v>7.9889999999999996E-4</v>
      </c>
      <c r="DN14" s="4">
        <v>7.8770000000000001E-4</v>
      </c>
      <c r="DO14" s="4">
        <v>7.7649999999999996E-4</v>
      </c>
      <c r="DP14" s="4">
        <v>7.6559999999999996E-4</v>
      </c>
      <c r="DQ14" s="4">
        <v>5.3162899999999999E-2</v>
      </c>
      <c r="DR14" s="4">
        <v>0</v>
      </c>
      <c r="DS14" s="4">
        <v>5.94E-5</v>
      </c>
      <c r="DT14" s="4">
        <v>1.806E-4</v>
      </c>
      <c r="DU14" s="4">
        <v>6.2089999999999997E-4</v>
      </c>
      <c r="DV14" s="4">
        <v>5.4149999999999999E-4</v>
      </c>
      <c r="DW14" s="4">
        <v>4.6420000000000001E-4</v>
      </c>
      <c r="DX14" s="4">
        <v>5.8290000000000002E-4</v>
      </c>
      <c r="DY14" s="4">
        <v>5.2660000000000001E-4</v>
      </c>
      <c r="DZ14" s="4">
        <v>4.6309999999999998E-4</v>
      </c>
      <c r="EA14" s="4">
        <v>4.1070000000000001E-4</v>
      </c>
      <c r="EB14" s="4">
        <v>3.658E-4</v>
      </c>
      <c r="EC14" s="4">
        <v>3.2449999999999997E-4</v>
      </c>
      <c r="ED14" s="4">
        <v>2.898E-4</v>
      </c>
      <c r="EE14" s="4">
        <v>2.5950000000000002E-4</v>
      </c>
      <c r="EF14" s="4">
        <v>2.3340000000000001E-4</v>
      </c>
      <c r="EG14" s="4">
        <v>2.107E-4</v>
      </c>
      <c r="EH14" s="4">
        <v>1.9090000000000001E-4</v>
      </c>
      <c r="EI14" s="4">
        <v>1.7369999999999999E-4</v>
      </c>
      <c r="EJ14" s="4">
        <v>1.5870000000000001E-4</v>
      </c>
      <c r="EK14" s="4">
        <v>1.4550000000000001E-4</v>
      </c>
      <c r="EL14" s="4">
        <v>1.339E-4</v>
      </c>
      <c r="EM14" s="4">
        <v>1.237E-4</v>
      </c>
      <c r="EN14" s="4">
        <v>1.1459999999999999E-4</v>
      </c>
      <c r="EO14" s="4">
        <v>1.065E-4</v>
      </c>
      <c r="EP14" s="4">
        <v>9.9400000000000004E-5</v>
      </c>
      <c r="EQ14" s="4">
        <v>9.2999999999999997E-5</v>
      </c>
      <c r="ER14" s="4">
        <v>8.7299999999999994E-5</v>
      </c>
      <c r="ES14" s="4">
        <v>8.2200000000000006E-5</v>
      </c>
      <c r="ET14" s="4">
        <v>7.75E-5</v>
      </c>
      <c r="EU14" s="4">
        <v>7.3300000000000006E-5</v>
      </c>
      <c r="EV14" s="4">
        <v>6.9499999999999995E-5</v>
      </c>
      <c r="EW14" s="4">
        <v>6.6000000000000005E-5</v>
      </c>
      <c r="EX14" s="4">
        <v>6.2799999999999995E-5</v>
      </c>
      <c r="EY14" s="4">
        <v>5.9899999999999999E-5</v>
      </c>
      <c r="EZ14" s="4">
        <v>5.7099999999999999E-5</v>
      </c>
      <c r="FA14" s="4">
        <v>5.4599999999999999E-5</v>
      </c>
      <c r="FB14" s="4">
        <v>5.2200000000000002E-5</v>
      </c>
      <c r="FC14" s="4">
        <v>5.0000000000000002E-5</v>
      </c>
      <c r="FD14" s="4">
        <v>4.8000000000000001E-5</v>
      </c>
      <c r="FE14" s="4">
        <v>4.6100000000000002E-5</v>
      </c>
      <c r="FF14" s="4">
        <v>4.4299999999999999E-5</v>
      </c>
      <c r="FG14" s="4">
        <v>4.2599999999999999E-5</v>
      </c>
      <c r="FH14" s="4">
        <v>4.1E-5</v>
      </c>
      <c r="FI14" s="4">
        <v>3.96E-5</v>
      </c>
      <c r="FJ14" s="4">
        <v>3.82E-5</v>
      </c>
      <c r="FK14" s="4">
        <v>3.6900000000000002E-5</v>
      </c>
      <c r="FL14" s="4">
        <v>3.57E-5</v>
      </c>
      <c r="FM14" s="4">
        <v>3.4600000000000001E-5</v>
      </c>
      <c r="FN14" s="4">
        <v>3.3599999999999997E-5</v>
      </c>
      <c r="FO14" s="4">
        <v>3.26E-5</v>
      </c>
      <c r="FP14" s="4">
        <v>3.1699999999999998E-5</v>
      </c>
      <c r="FQ14" s="4">
        <v>3.0800000000000003E-5</v>
      </c>
      <c r="FR14" s="4">
        <v>3.0000000000000001E-5</v>
      </c>
      <c r="FS14" s="4">
        <v>2.9300000000000001E-5</v>
      </c>
      <c r="FT14" s="4">
        <v>2.8500000000000002E-5</v>
      </c>
      <c r="FU14" s="4">
        <v>2.7900000000000001E-5</v>
      </c>
      <c r="FV14" s="4">
        <v>2.72E-5</v>
      </c>
      <c r="FW14" s="4">
        <v>2.6599999999999999E-5</v>
      </c>
      <c r="FX14" s="4">
        <v>2.6100000000000001E-5</v>
      </c>
      <c r="FY14" s="4">
        <v>2.55E-5</v>
      </c>
      <c r="FZ14" s="4">
        <v>2.5000000000000001E-5</v>
      </c>
      <c r="GA14" s="4">
        <v>2.4499999999999999E-5</v>
      </c>
      <c r="GB14" s="4">
        <v>2.41E-5</v>
      </c>
      <c r="GC14" s="4">
        <v>2.3600000000000001E-5</v>
      </c>
      <c r="GD14" s="4">
        <v>2.3200000000000001E-5</v>
      </c>
      <c r="GE14" s="4">
        <v>2.2799999999999999E-5</v>
      </c>
      <c r="GF14" s="4">
        <v>2.2399999999999999E-5</v>
      </c>
      <c r="GG14" s="4">
        <v>2.1999999999999999E-5</v>
      </c>
      <c r="GH14" s="4">
        <v>2.1699999999999999E-5</v>
      </c>
      <c r="GI14" s="4">
        <v>2.1299999999999999E-5</v>
      </c>
      <c r="GJ14" s="4">
        <v>2.0999999999999999E-5</v>
      </c>
      <c r="GK14" s="4">
        <v>2.0699999999999998E-5</v>
      </c>
      <c r="GL14" s="4">
        <v>2.0400000000000001E-5</v>
      </c>
      <c r="GM14" s="4">
        <v>2.0100000000000001E-5</v>
      </c>
      <c r="GN14" s="4">
        <v>1.98E-5</v>
      </c>
      <c r="GO14" s="4">
        <v>1.95E-5</v>
      </c>
      <c r="GP14" s="4">
        <v>1.9199999999999999E-5</v>
      </c>
      <c r="GQ14" s="4">
        <v>1.8899999999999999E-5</v>
      </c>
      <c r="GR14" s="4">
        <v>1.8700000000000001E-5</v>
      </c>
      <c r="GS14" s="4">
        <v>1.84E-5</v>
      </c>
      <c r="GT14" s="4">
        <v>1.8099999999999999E-5</v>
      </c>
      <c r="GU14" s="4">
        <v>1.7900000000000001E-5</v>
      </c>
      <c r="GV14" s="4">
        <v>1.7600000000000001E-5</v>
      </c>
      <c r="GW14" s="4">
        <v>1.7399999999999999E-5</v>
      </c>
      <c r="GX14" s="4">
        <v>1.7200000000000001E-5</v>
      </c>
      <c r="GY14" s="4">
        <v>1.6900000000000001E-5</v>
      </c>
      <c r="GZ14" s="4">
        <v>1.6699999999999999E-5</v>
      </c>
      <c r="HA14" s="4">
        <v>1.6500000000000001E-5</v>
      </c>
      <c r="HB14" s="4">
        <v>1.63E-5</v>
      </c>
      <c r="HC14" s="4">
        <v>1.5999999999999999E-5</v>
      </c>
      <c r="HD14" s="4">
        <v>1.5800000000000001E-5</v>
      </c>
      <c r="HE14" s="4">
        <v>1.56E-5</v>
      </c>
      <c r="HF14" s="4">
        <v>1.5400000000000002E-5</v>
      </c>
      <c r="HG14" s="4">
        <v>1.52E-5</v>
      </c>
      <c r="HH14" s="4">
        <v>1.5E-5</v>
      </c>
      <c r="HI14" s="4">
        <v>1.4800000000000001E-5</v>
      </c>
      <c r="HJ14" s="4">
        <v>1.4600000000000001E-5</v>
      </c>
      <c r="HK14" s="4">
        <v>1.4399999999999999E-5</v>
      </c>
      <c r="HL14" s="4">
        <v>1.42E-5</v>
      </c>
      <c r="HM14" s="4">
        <v>1.4E-5</v>
      </c>
      <c r="HN14" s="4">
        <v>1.38E-5</v>
      </c>
      <c r="HO14" s="4">
        <v>1.36E-5</v>
      </c>
      <c r="HP14" s="4">
        <v>1.3499999999999999E-5</v>
      </c>
      <c r="HQ14" s="4">
        <v>1.33E-5</v>
      </c>
      <c r="HR14" s="4">
        <v>1.31E-5</v>
      </c>
      <c r="HS14" s="4">
        <v>1.29E-5</v>
      </c>
      <c r="HT14" s="4">
        <v>1.27E-5</v>
      </c>
      <c r="HU14" s="4">
        <v>1.26E-5</v>
      </c>
      <c r="HV14" s="4">
        <v>1.24E-5</v>
      </c>
      <c r="HW14" s="4">
        <v>1.22E-5</v>
      </c>
      <c r="HX14" s="4">
        <v>1.2099999999999999E-5</v>
      </c>
      <c r="HY14" s="4">
        <v>1.19E-5</v>
      </c>
      <c r="HZ14" s="4">
        <v>1.17E-5</v>
      </c>
      <c r="IA14" s="4">
        <v>1.1600000000000001E-5</v>
      </c>
      <c r="IB14" s="4">
        <v>1.1399999999999999E-5</v>
      </c>
      <c r="IC14" s="4">
        <v>1.13E-5</v>
      </c>
      <c r="ID14" s="4">
        <v>1.11E-5</v>
      </c>
      <c r="IE14" s="4">
        <v>1.1E-5</v>
      </c>
      <c r="IF14" s="4">
        <v>1.08E-5</v>
      </c>
      <c r="IG14" s="4">
        <v>7.5449999999999996E-4</v>
      </c>
      <c r="IH14" s="4"/>
      <c r="II14" s="4">
        <f t="shared" si="245"/>
        <v>0.10534103884810012</v>
      </c>
      <c r="IJ14">
        <f t="shared" si="246"/>
        <v>0.35305233749999976</v>
      </c>
      <c r="IN14" s="4"/>
      <c r="IO14" s="4"/>
      <c r="IP14" s="4"/>
      <c r="IQ14" s="4"/>
      <c r="IR14" s="4"/>
      <c r="IS14" s="4"/>
      <c r="IT14" s="4"/>
      <c r="IU14" s="4"/>
      <c r="IV14" s="4"/>
    </row>
    <row r="15" spans="1:279" x14ac:dyDescent="0.35">
      <c r="A15" s="1">
        <v>7</v>
      </c>
      <c r="B15" s="4">
        <v>1.1099700000000001E-2</v>
      </c>
      <c r="C15" s="4">
        <v>1.1099700000000001E-2</v>
      </c>
      <c r="D15" s="4">
        <v>1.1040299999999999E-2</v>
      </c>
      <c r="E15" s="4">
        <v>1.0504100000000001E-2</v>
      </c>
      <c r="F15" s="4">
        <v>9.4409000000000003E-3</v>
      </c>
      <c r="G15" s="4">
        <v>8.5004E-3</v>
      </c>
      <c r="H15" s="4">
        <v>6.8424000000000002E-3</v>
      </c>
      <c r="I15" s="4">
        <v>7.4798E-3</v>
      </c>
      <c r="J15" s="4">
        <v>6.9719999999999999E-3</v>
      </c>
      <c r="K15" s="4">
        <v>6.5122000000000001E-3</v>
      </c>
      <c r="L15" s="4">
        <v>6.1396999999999997E-3</v>
      </c>
      <c r="M15" s="4">
        <v>5.8022000000000004E-3</v>
      </c>
      <c r="N15" s="4">
        <v>5.4965999999999999E-3</v>
      </c>
      <c r="O15" s="4">
        <v>5.2272999999999998E-3</v>
      </c>
      <c r="P15" s="4">
        <v>4.9843999999999999E-3</v>
      </c>
      <c r="Q15" s="4">
        <v>4.7654999999999998E-3</v>
      </c>
      <c r="R15" s="4">
        <v>4.5666999999999999E-3</v>
      </c>
      <c r="S15" s="4">
        <v>4.3857999999999996E-3</v>
      </c>
      <c r="T15" s="4">
        <v>4.2202999999999997E-3</v>
      </c>
      <c r="U15" s="4">
        <v>4.0683999999999998E-3</v>
      </c>
      <c r="V15" s="4">
        <v>3.9284000000000003E-3</v>
      </c>
      <c r="W15" s="4">
        <v>3.7992E-3</v>
      </c>
      <c r="X15" s="4">
        <v>3.6794000000000002E-3</v>
      </c>
      <c r="Y15" s="4">
        <v>3.568E-3</v>
      </c>
      <c r="Z15" s="4">
        <v>3.4640999999999999E-3</v>
      </c>
      <c r="AA15" s="4">
        <v>3.3670000000000002E-3</v>
      </c>
      <c r="AB15" s="4">
        <v>3.2759E-3</v>
      </c>
      <c r="AC15" s="4">
        <v>3.1901999999999998E-3</v>
      </c>
      <c r="AD15" s="4">
        <v>3.1094E-3</v>
      </c>
      <c r="AE15" s="4">
        <v>3.0330000000000001E-3</v>
      </c>
      <c r="AF15" s="4">
        <v>2.9605999999999999E-3</v>
      </c>
      <c r="AG15" s="4">
        <v>2.892E-3</v>
      </c>
      <c r="AH15" s="4">
        <v>2.8265999999999999E-3</v>
      </c>
      <c r="AI15" s="4">
        <v>2.7644000000000002E-3</v>
      </c>
      <c r="AJ15" s="4">
        <v>2.7049999999999999E-3</v>
      </c>
      <c r="AK15" s="4">
        <v>2.6484E-3</v>
      </c>
      <c r="AL15" s="4">
        <v>2.5942000000000001E-3</v>
      </c>
      <c r="AM15" s="4">
        <v>2.5422999999999999E-3</v>
      </c>
      <c r="AN15" s="4">
        <v>2.4924999999999999E-3</v>
      </c>
      <c r="AO15" s="4">
        <v>2.4448E-3</v>
      </c>
      <c r="AP15" s="4">
        <v>2.3988999999999998E-3</v>
      </c>
      <c r="AQ15" s="4">
        <v>2.3549E-3</v>
      </c>
      <c r="AR15" s="4">
        <v>2.3124E-3</v>
      </c>
      <c r="AS15" s="4">
        <v>2.2715000000000001E-3</v>
      </c>
      <c r="AT15" s="4">
        <v>2.232E-3</v>
      </c>
      <c r="AU15" s="4">
        <v>2.1938999999999999E-3</v>
      </c>
      <c r="AV15" s="4">
        <v>2.1570000000000001E-3</v>
      </c>
      <c r="AW15" s="4">
        <v>2.1213E-3</v>
      </c>
      <c r="AX15" s="4">
        <v>2.0868000000000002E-3</v>
      </c>
      <c r="AY15" s="4">
        <v>2.0531999999999998E-3</v>
      </c>
      <c r="AZ15" s="4">
        <v>2.0206E-3</v>
      </c>
      <c r="BA15" s="4">
        <v>1.9889E-3</v>
      </c>
      <c r="BB15" s="4">
        <v>1.9580999999999999E-3</v>
      </c>
      <c r="BC15" s="4">
        <v>1.9281000000000001E-3</v>
      </c>
      <c r="BD15" s="4">
        <v>1.8988E-3</v>
      </c>
      <c r="BE15" s="4">
        <v>1.8702E-3</v>
      </c>
      <c r="BF15" s="4">
        <v>1.8423000000000001E-3</v>
      </c>
      <c r="BG15" s="4">
        <v>1.8151E-3</v>
      </c>
      <c r="BH15" s="4">
        <v>1.7884000000000001E-3</v>
      </c>
      <c r="BI15" s="4">
        <v>1.7623000000000001E-3</v>
      </c>
      <c r="BJ15" s="4">
        <v>1.7367000000000001E-3</v>
      </c>
      <c r="BK15" s="4">
        <v>1.7117E-3</v>
      </c>
      <c r="BL15" s="4">
        <v>1.6871E-3</v>
      </c>
      <c r="BM15" s="4">
        <v>1.663E-3</v>
      </c>
      <c r="BN15" s="4">
        <v>1.6393E-3</v>
      </c>
      <c r="BO15" s="4">
        <v>1.616E-3</v>
      </c>
      <c r="BP15" s="4">
        <v>1.5931999999999999E-3</v>
      </c>
      <c r="BQ15" s="4">
        <v>1.5707E-3</v>
      </c>
      <c r="BR15" s="4">
        <v>1.5486E-3</v>
      </c>
      <c r="BS15" s="4">
        <v>1.5269000000000001E-3</v>
      </c>
      <c r="BT15" s="4">
        <v>1.5054999999999999E-3</v>
      </c>
      <c r="BU15" s="4">
        <v>1.4844000000000001E-3</v>
      </c>
      <c r="BV15" s="4">
        <v>1.4637000000000001E-3</v>
      </c>
      <c r="BW15" s="4">
        <v>1.4433E-3</v>
      </c>
      <c r="BX15" s="4">
        <v>1.4231999999999999E-3</v>
      </c>
      <c r="BY15" s="4">
        <v>1.4034E-3</v>
      </c>
      <c r="BZ15" s="4">
        <v>1.3837999999999999E-3</v>
      </c>
      <c r="CA15" s="4">
        <v>1.3646000000000001E-3</v>
      </c>
      <c r="CB15" s="4">
        <v>1.3456E-3</v>
      </c>
      <c r="CC15" s="4">
        <v>1.3269E-3</v>
      </c>
      <c r="CD15" s="4">
        <v>1.3085E-3</v>
      </c>
      <c r="CE15" s="4">
        <v>1.2903000000000001E-3</v>
      </c>
      <c r="CF15" s="4">
        <v>1.2723999999999999E-3</v>
      </c>
      <c r="CG15" s="4">
        <v>1.2547000000000001E-3</v>
      </c>
      <c r="CH15" s="4">
        <v>1.2371999999999999E-3</v>
      </c>
      <c r="CI15" s="4">
        <v>1.2199999999999999E-3</v>
      </c>
      <c r="CJ15" s="4">
        <v>1.2030000000000001E-3</v>
      </c>
      <c r="CK15" s="4">
        <v>1.1862999999999999E-3</v>
      </c>
      <c r="CL15" s="4">
        <v>1.1697999999999999E-3</v>
      </c>
      <c r="CM15" s="4">
        <v>1.1535E-3</v>
      </c>
      <c r="CN15" s="4">
        <v>1.1374E-3</v>
      </c>
      <c r="CO15" s="4">
        <v>1.1215000000000001E-3</v>
      </c>
      <c r="CP15" s="4">
        <v>1.1058999999999999E-3</v>
      </c>
      <c r="CQ15" s="4">
        <v>1.0905000000000001E-3</v>
      </c>
      <c r="CR15" s="4">
        <v>1.0751999999999999E-3</v>
      </c>
      <c r="CS15" s="4">
        <v>1.0602000000000001E-3</v>
      </c>
      <c r="CT15" s="4">
        <v>1.0453999999999999E-3</v>
      </c>
      <c r="CU15" s="4">
        <v>1.0307999999999999E-3</v>
      </c>
      <c r="CV15" s="4">
        <v>1.0162999999999999E-3</v>
      </c>
      <c r="CW15" s="4">
        <v>1.0020999999999999E-3</v>
      </c>
      <c r="CX15" s="4">
        <v>9.881E-4</v>
      </c>
      <c r="CY15" s="4">
        <v>9.7420000000000004E-4</v>
      </c>
      <c r="CZ15" s="4">
        <v>9.6060000000000004E-4</v>
      </c>
      <c r="DA15" s="4">
        <v>9.4709999999999998E-4</v>
      </c>
      <c r="DB15" s="4">
        <v>9.3380000000000004E-4</v>
      </c>
      <c r="DC15" s="4">
        <v>9.2069999999999999E-4</v>
      </c>
      <c r="DD15" s="4">
        <v>9.077E-4</v>
      </c>
      <c r="DE15" s="4">
        <v>8.9499999999999996E-4</v>
      </c>
      <c r="DF15" s="4">
        <v>8.8239999999999998E-4</v>
      </c>
      <c r="DG15" s="4">
        <v>8.7000000000000001E-4</v>
      </c>
      <c r="DH15" s="4">
        <v>8.5769999999999998E-4</v>
      </c>
      <c r="DI15" s="4">
        <v>8.4559999999999995E-4</v>
      </c>
      <c r="DJ15" s="4">
        <v>8.3370000000000004E-4</v>
      </c>
      <c r="DK15" s="4">
        <v>8.2200000000000003E-4</v>
      </c>
      <c r="DL15" s="4">
        <v>8.1039999999999997E-4</v>
      </c>
      <c r="DM15" s="4">
        <v>7.9889999999999996E-4</v>
      </c>
      <c r="DN15" s="4">
        <v>7.8770000000000001E-4</v>
      </c>
      <c r="DO15" s="4">
        <v>7.7649999999999996E-4</v>
      </c>
      <c r="DP15" s="4">
        <v>7.6559999999999996E-4</v>
      </c>
      <c r="DQ15" s="4">
        <v>5.3163200000000001E-2</v>
      </c>
      <c r="DR15" s="4">
        <v>0</v>
      </c>
      <c r="DS15" s="4">
        <v>5.94E-5</v>
      </c>
      <c r="DT15" s="4">
        <v>1.9689999999999999E-4</v>
      </c>
      <c r="DU15" s="4">
        <v>6.581E-4</v>
      </c>
      <c r="DV15" s="4">
        <v>5.6769999999999998E-4</v>
      </c>
      <c r="DW15" s="4">
        <v>5.5290000000000005E-4</v>
      </c>
      <c r="DX15" s="4">
        <v>4.549E-4</v>
      </c>
      <c r="DY15" s="4">
        <v>5.2780000000000004E-4</v>
      </c>
      <c r="DZ15" s="4">
        <v>4.6959999999999998E-4</v>
      </c>
      <c r="EA15" s="4">
        <v>4.1310000000000001E-4</v>
      </c>
      <c r="EB15" s="4">
        <v>3.6979999999999999E-4</v>
      </c>
      <c r="EC15" s="4">
        <v>3.2909999999999998E-4</v>
      </c>
      <c r="ED15" s="4">
        <v>2.9329999999999997E-4</v>
      </c>
      <c r="EE15" s="4">
        <v>2.6289999999999999E-4</v>
      </c>
      <c r="EF15" s="4">
        <v>2.366E-4</v>
      </c>
      <c r="EG15" s="4">
        <v>2.139E-4</v>
      </c>
      <c r="EH15" s="4">
        <v>1.942E-4</v>
      </c>
      <c r="EI15" s="4">
        <v>1.7699999999999999E-4</v>
      </c>
      <c r="EJ15" s="4">
        <v>1.6200000000000001E-4</v>
      </c>
      <c r="EK15" s="4">
        <v>1.4880000000000001E-4</v>
      </c>
      <c r="EL15" s="4">
        <v>1.371E-4</v>
      </c>
      <c r="EM15" s="4">
        <v>1.2669999999999999E-4</v>
      </c>
      <c r="EN15" s="4">
        <v>1.175E-4</v>
      </c>
      <c r="EO15" s="4">
        <v>1.093E-4</v>
      </c>
      <c r="EP15" s="4">
        <v>1.02E-4</v>
      </c>
      <c r="EQ15" s="4">
        <v>9.5500000000000004E-5</v>
      </c>
      <c r="ER15" s="4">
        <v>8.9599999999999996E-5</v>
      </c>
      <c r="ES15" s="4">
        <v>8.4300000000000003E-5</v>
      </c>
      <c r="ET15" s="4">
        <v>7.9499999999999994E-5</v>
      </c>
      <c r="EU15" s="4">
        <v>7.5199999999999998E-5</v>
      </c>
      <c r="EV15" s="4">
        <v>7.1199999999999996E-5</v>
      </c>
      <c r="EW15" s="4">
        <v>6.7600000000000003E-5</v>
      </c>
      <c r="EX15" s="4">
        <v>6.4300000000000004E-5</v>
      </c>
      <c r="EY15" s="4">
        <v>6.1199999999999997E-5</v>
      </c>
      <c r="EZ15" s="4">
        <v>5.8300000000000001E-5</v>
      </c>
      <c r="FA15" s="4">
        <v>5.5699999999999999E-5</v>
      </c>
      <c r="FB15" s="4">
        <v>5.3199999999999999E-5</v>
      </c>
      <c r="FC15" s="4">
        <v>5.0899999999999997E-5</v>
      </c>
      <c r="FD15" s="4">
        <v>4.88E-5</v>
      </c>
      <c r="FE15" s="4">
        <v>4.6799999999999999E-5</v>
      </c>
      <c r="FF15" s="4">
        <v>4.5000000000000003E-5</v>
      </c>
      <c r="FG15" s="4">
        <v>4.32E-5</v>
      </c>
      <c r="FH15" s="4">
        <v>4.1600000000000002E-5</v>
      </c>
      <c r="FI15" s="4">
        <v>4.0099999999999999E-5</v>
      </c>
      <c r="FJ15" s="4">
        <v>3.8699999999999999E-5</v>
      </c>
      <c r="FK15" s="4">
        <v>3.7400000000000001E-5</v>
      </c>
      <c r="FL15" s="4">
        <v>3.6100000000000003E-5</v>
      </c>
      <c r="FM15" s="4">
        <v>3.4999999999999997E-5</v>
      </c>
      <c r="FN15" s="4">
        <v>3.3899999999999997E-5</v>
      </c>
      <c r="FO15" s="4">
        <v>3.29E-5</v>
      </c>
      <c r="FP15" s="4">
        <v>3.1999999999999999E-5</v>
      </c>
      <c r="FQ15" s="4">
        <v>3.1099999999999997E-5</v>
      </c>
      <c r="FR15" s="4">
        <v>3.0300000000000001E-5</v>
      </c>
      <c r="FS15" s="4">
        <v>2.9499999999999999E-5</v>
      </c>
      <c r="FT15" s="4">
        <v>2.8799999999999999E-5</v>
      </c>
      <c r="FU15" s="4">
        <v>2.8099999999999999E-5</v>
      </c>
      <c r="FV15" s="4">
        <v>2.7399999999999999E-5</v>
      </c>
      <c r="FW15" s="4">
        <v>2.6800000000000001E-5</v>
      </c>
      <c r="FX15" s="4">
        <v>2.62E-5</v>
      </c>
      <c r="FY15" s="4">
        <v>2.5700000000000001E-5</v>
      </c>
      <c r="FZ15" s="4">
        <v>2.5199999999999999E-5</v>
      </c>
      <c r="GA15" s="4">
        <v>2.4700000000000001E-5</v>
      </c>
      <c r="GB15" s="4">
        <v>2.4199999999999999E-5</v>
      </c>
      <c r="GC15" s="4">
        <v>2.37E-5</v>
      </c>
      <c r="GD15" s="4">
        <v>2.3300000000000001E-5</v>
      </c>
      <c r="GE15" s="4">
        <v>2.2900000000000001E-5</v>
      </c>
      <c r="GF15" s="4">
        <v>2.2500000000000001E-5</v>
      </c>
      <c r="GG15" s="4">
        <v>2.2099999999999998E-5</v>
      </c>
      <c r="GH15" s="4">
        <v>2.1800000000000001E-5</v>
      </c>
      <c r="GI15" s="4">
        <v>2.1399999999999998E-5</v>
      </c>
      <c r="GJ15" s="4">
        <v>2.1100000000000001E-5</v>
      </c>
      <c r="GK15" s="4">
        <v>2.0800000000000001E-5</v>
      </c>
      <c r="GL15" s="4">
        <v>2.0400000000000001E-5</v>
      </c>
      <c r="GM15" s="4">
        <v>2.0100000000000001E-5</v>
      </c>
      <c r="GN15" s="4">
        <v>1.98E-5</v>
      </c>
      <c r="GO15" s="4">
        <v>1.95E-5</v>
      </c>
      <c r="GP15" s="4">
        <v>1.9300000000000002E-5</v>
      </c>
      <c r="GQ15" s="4">
        <v>1.9000000000000001E-5</v>
      </c>
      <c r="GR15" s="4">
        <v>1.8700000000000001E-5</v>
      </c>
      <c r="GS15" s="4">
        <v>1.84E-5</v>
      </c>
      <c r="GT15" s="4">
        <v>1.8199999999999999E-5</v>
      </c>
      <c r="GU15" s="4">
        <v>1.7900000000000001E-5</v>
      </c>
      <c r="GV15" s="4">
        <v>1.77E-5</v>
      </c>
      <c r="GW15" s="4">
        <v>1.7399999999999999E-5</v>
      </c>
      <c r="GX15" s="4">
        <v>1.7200000000000001E-5</v>
      </c>
      <c r="GY15" s="4">
        <v>1.7E-5</v>
      </c>
      <c r="GZ15" s="4">
        <v>1.6699999999999999E-5</v>
      </c>
      <c r="HA15" s="4">
        <v>1.6500000000000001E-5</v>
      </c>
      <c r="HB15" s="4">
        <v>1.63E-5</v>
      </c>
      <c r="HC15" s="4">
        <v>1.6099999999999998E-5</v>
      </c>
      <c r="HD15" s="4">
        <v>1.59E-5</v>
      </c>
      <c r="HE15" s="4">
        <v>1.56E-5</v>
      </c>
      <c r="HF15" s="4">
        <v>1.5400000000000002E-5</v>
      </c>
      <c r="HG15" s="4">
        <v>1.52E-5</v>
      </c>
      <c r="HH15" s="4">
        <v>1.5E-5</v>
      </c>
      <c r="HI15" s="4">
        <v>1.4800000000000001E-5</v>
      </c>
      <c r="HJ15" s="4">
        <v>1.4600000000000001E-5</v>
      </c>
      <c r="HK15" s="4">
        <v>1.4399999999999999E-5</v>
      </c>
      <c r="HL15" s="4">
        <v>1.42E-5</v>
      </c>
      <c r="HM15" s="4">
        <v>1.4E-5</v>
      </c>
      <c r="HN15" s="4">
        <v>1.38E-5</v>
      </c>
      <c r="HO15" s="4">
        <v>1.3699999999999999E-5</v>
      </c>
      <c r="HP15" s="4">
        <v>1.3499999999999999E-5</v>
      </c>
      <c r="HQ15" s="4">
        <v>1.33E-5</v>
      </c>
      <c r="HR15" s="4">
        <v>1.31E-5</v>
      </c>
      <c r="HS15" s="4">
        <v>1.29E-5</v>
      </c>
      <c r="HT15" s="4">
        <v>1.2799999999999999E-5</v>
      </c>
      <c r="HU15" s="4">
        <v>1.26E-5</v>
      </c>
      <c r="HV15" s="4">
        <v>1.24E-5</v>
      </c>
      <c r="HW15" s="4">
        <v>1.22E-5</v>
      </c>
      <c r="HX15" s="4">
        <v>1.2099999999999999E-5</v>
      </c>
      <c r="HY15" s="4">
        <v>1.19E-5</v>
      </c>
      <c r="HZ15" s="4">
        <v>1.1800000000000001E-5</v>
      </c>
      <c r="IA15" s="4">
        <v>1.1600000000000001E-5</v>
      </c>
      <c r="IB15" s="4">
        <v>1.1399999999999999E-5</v>
      </c>
      <c r="IC15" s="4">
        <v>1.13E-5</v>
      </c>
      <c r="ID15" s="4">
        <v>1.11E-5</v>
      </c>
      <c r="IE15" s="4">
        <v>1.1E-5</v>
      </c>
      <c r="IF15" s="4">
        <v>1.08E-5</v>
      </c>
      <c r="IG15" s="4">
        <v>7.5469999999999997E-4</v>
      </c>
      <c r="IH15" s="4"/>
      <c r="II15" s="4">
        <f t="shared" si="245"/>
        <v>0.11054279947261562</v>
      </c>
      <c r="IJ15">
        <f t="shared" si="246"/>
        <v>0.35228617499999998</v>
      </c>
      <c r="IN15" s="4"/>
      <c r="IO15" s="4"/>
      <c r="IP15" s="4"/>
      <c r="IQ15" s="4"/>
      <c r="IR15" s="4"/>
      <c r="IS15" s="4"/>
      <c r="IT15" s="4"/>
      <c r="IU15" s="4"/>
      <c r="IV15" s="4"/>
    </row>
    <row r="16" spans="1:279" x14ac:dyDescent="0.35">
      <c r="A16" s="1">
        <v>8</v>
      </c>
      <c r="B16" s="4">
        <v>1.1099700000000001E-2</v>
      </c>
      <c r="C16" s="4">
        <v>1.1099700000000001E-2</v>
      </c>
      <c r="D16" s="4">
        <v>1.1040299999999999E-2</v>
      </c>
      <c r="E16" s="4">
        <v>1.08434E-2</v>
      </c>
      <c r="F16" s="4">
        <v>9.8460000000000006E-3</v>
      </c>
      <c r="G16" s="4">
        <v>8.8731999999999995E-3</v>
      </c>
      <c r="H16" s="4">
        <v>7.9474999999999997E-3</v>
      </c>
      <c r="I16" s="4">
        <v>6.3874999999999999E-3</v>
      </c>
      <c r="J16" s="4">
        <v>6.9519999999999998E-3</v>
      </c>
      <c r="K16" s="4">
        <v>6.5024000000000002E-3</v>
      </c>
      <c r="L16" s="4">
        <v>6.0990999999999997E-3</v>
      </c>
      <c r="M16" s="4">
        <v>5.7698999999999997E-3</v>
      </c>
      <c r="N16" s="4">
        <v>5.4729999999999996E-3</v>
      </c>
      <c r="O16" s="4">
        <v>5.2033000000000001E-3</v>
      </c>
      <c r="P16" s="4">
        <v>4.9643999999999999E-3</v>
      </c>
      <c r="Q16" s="4">
        <v>4.7477999999999999E-3</v>
      </c>
      <c r="R16" s="4">
        <v>4.5516000000000003E-3</v>
      </c>
      <c r="S16" s="4">
        <v>4.3725999999999999E-3</v>
      </c>
      <c r="T16" s="4">
        <v>4.2088000000000004E-3</v>
      </c>
      <c r="U16" s="4">
        <v>4.0582999999999999E-3</v>
      </c>
      <c r="V16" s="4">
        <v>3.9195999999999996E-3</v>
      </c>
      <c r="W16" s="4">
        <v>3.7913999999999999E-3</v>
      </c>
      <c r="X16" s="4">
        <v>3.6724000000000001E-3</v>
      </c>
      <c r="Y16" s="4">
        <v>3.5617999999999999E-3</v>
      </c>
      <c r="Z16" s="4">
        <v>3.4586E-3</v>
      </c>
      <c r="AA16" s="4">
        <v>3.3620999999999998E-3</v>
      </c>
      <c r="AB16" s="4">
        <v>3.2715000000000001E-3</v>
      </c>
      <c r="AC16" s="4">
        <v>3.1863E-3</v>
      </c>
      <c r="AD16" s="4">
        <v>3.1059E-3</v>
      </c>
      <c r="AE16" s="4">
        <v>3.0298999999999999E-3</v>
      </c>
      <c r="AF16" s="4">
        <v>2.9578E-3</v>
      </c>
      <c r="AG16" s="4">
        <v>2.8893999999999999E-3</v>
      </c>
      <c r="AH16" s="4">
        <v>2.8243000000000001E-3</v>
      </c>
      <c r="AI16" s="4">
        <v>2.7623000000000001E-3</v>
      </c>
      <c r="AJ16" s="4">
        <v>2.7031999999999998E-3</v>
      </c>
      <c r="AK16" s="4">
        <v>2.6467000000000001E-3</v>
      </c>
      <c r="AL16" s="4">
        <v>2.5926999999999999E-3</v>
      </c>
      <c r="AM16" s="4">
        <v>2.5409E-3</v>
      </c>
      <c r="AN16" s="4">
        <v>2.4913000000000001E-3</v>
      </c>
      <c r="AO16" s="4">
        <v>2.4437E-3</v>
      </c>
      <c r="AP16" s="4">
        <v>2.398E-3</v>
      </c>
      <c r="AQ16" s="4">
        <v>2.3540000000000002E-3</v>
      </c>
      <c r="AR16" s="4">
        <v>2.3116E-3</v>
      </c>
      <c r="AS16" s="4">
        <v>2.2707999999999999E-3</v>
      </c>
      <c r="AT16" s="4">
        <v>2.2314000000000001E-3</v>
      </c>
      <c r="AU16" s="4">
        <v>2.1933E-3</v>
      </c>
      <c r="AV16" s="4">
        <v>2.1565E-3</v>
      </c>
      <c r="AW16" s="4">
        <v>2.1209000000000002E-3</v>
      </c>
      <c r="AX16" s="4">
        <v>2.0864E-3</v>
      </c>
      <c r="AY16" s="4">
        <v>2.0528E-3</v>
      </c>
      <c r="AZ16" s="4">
        <v>2.0203E-3</v>
      </c>
      <c r="BA16" s="4">
        <v>1.9886000000000001E-3</v>
      </c>
      <c r="BB16" s="4">
        <v>1.9578E-3</v>
      </c>
      <c r="BC16" s="4">
        <v>1.9277999999999999E-3</v>
      </c>
      <c r="BD16" s="4">
        <v>1.8986000000000001E-3</v>
      </c>
      <c r="BE16" s="4">
        <v>1.8699999999999999E-3</v>
      </c>
      <c r="BF16" s="4">
        <v>1.8422E-3</v>
      </c>
      <c r="BG16" s="4">
        <v>1.8148999999999999E-3</v>
      </c>
      <c r="BH16" s="4">
        <v>1.7883E-3</v>
      </c>
      <c r="BI16" s="4">
        <v>1.7622E-3</v>
      </c>
      <c r="BJ16" s="4">
        <v>1.7366E-3</v>
      </c>
      <c r="BK16" s="4">
        <v>1.7116E-3</v>
      </c>
      <c r="BL16" s="4">
        <v>1.6869999999999999E-3</v>
      </c>
      <c r="BM16" s="4">
        <v>1.6628999999999999E-3</v>
      </c>
      <c r="BN16" s="4">
        <v>1.6391999999999999E-3</v>
      </c>
      <c r="BO16" s="4">
        <v>1.616E-3</v>
      </c>
      <c r="BP16" s="4">
        <v>1.5931000000000001E-3</v>
      </c>
      <c r="BQ16" s="4">
        <v>1.5707E-3</v>
      </c>
      <c r="BR16" s="4">
        <v>1.5486E-3</v>
      </c>
      <c r="BS16" s="4">
        <v>1.5268E-3</v>
      </c>
      <c r="BT16" s="4">
        <v>1.5054999999999999E-3</v>
      </c>
      <c r="BU16" s="4">
        <v>1.4844000000000001E-3</v>
      </c>
      <c r="BV16" s="4">
        <v>1.4637000000000001E-3</v>
      </c>
      <c r="BW16" s="4">
        <v>1.4433E-3</v>
      </c>
      <c r="BX16" s="4">
        <v>1.4231999999999999E-3</v>
      </c>
      <c r="BY16" s="4">
        <v>1.4032999999999999E-3</v>
      </c>
      <c r="BZ16" s="4">
        <v>1.3837999999999999E-3</v>
      </c>
      <c r="CA16" s="4">
        <v>1.3646000000000001E-3</v>
      </c>
      <c r="CB16" s="4">
        <v>1.3456E-3</v>
      </c>
      <c r="CC16" s="4">
        <v>1.3269E-3</v>
      </c>
      <c r="CD16" s="4">
        <v>1.3085E-3</v>
      </c>
      <c r="CE16" s="4">
        <v>1.2903000000000001E-3</v>
      </c>
      <c r="CF16" s="4">
        <v>1.2723000000000001E-3</v>
      </c>
      <c r="CG16" s="4">
        <v>1.2547000000000001E-3</v>
      </c>
      <c r="CH16" s="4">
        <v>1.2371999999999999E-3</v>
      </c>
      <c r="CI16" s="4">
        <v>1.2199999999999999E-3</v>
      </c>
      <c r="CJ16" s="4">
        <v>1.2030000000000001E-3</v>
      </c>
      <c r="CK16" s="4">
        <v>1.1862999999999999E-3</v>
      </c>
      <c r="CL16" s="4">
        <v>1.1697999999999999E-3</v>
      </c>
      <c r="CM16" s="4">
        <v>1.1535E-3</v>
      </c>
      <c r="CN16" s="4">
        <v>1.1374E-3</v>
      </c>
      <c r="CO16" s="4">
        <v>1.1215000000000001E-3</v>
      </c>
      <c r="CP16" s="4">
        <v>1.1058999999999999E-3</v>
      </c>
      <c r="CQ16" s="4">
        <v>1.0905000000000001E-3</v>
      </c>
      <c r="CR16" s="4">
        <v>1.0751999999999999E-3</v>
      </c>
      <c r="CS16" s="4">
        <v>1.0602000000000001E-3</v>
      </c>
      <c r="CT16" s="4">
        <v>1.0453999999999999E-3</v>
      </c>
      <c r="CU16" s="4">
        <v>1.0307999999999999E-3</v>
      </c>
      <c r="CV16" s="4">
        <v>1.0162999999999999E-3</v>
      </c>
      <c r="CW16" s="4">
        <v>1.0020999999999999E-3</v>
      </c>
      <c r="CX16" s="4">
        <v>9.881E-4</v>
      </c>
      <c r="CY16" s="4">
        <v>9.7420000000000004E-4</v>
      </c>
      <c r="CZ16" s="4">
        <v>9.6060000000000004E-4</v>
      </c>
      <c r="DA16" s="4">
        <v>9.4709999999999998E-4</v>
      </c>
      <c r="DB16" s="4">
        <v>9.3380000000000004E-4</v>
      </c>
      <c r="DC16" s="4">
        <v>9.2069999999999999E-4</v>
      </c>
      <c r="DD16" s="4">
        <v>9.077E-4</v>
      </c>
      <c r="DE16" s="4">
        <v>8.9499999999999996E-4</v>
      </c>
      <c r="DF16" s="4">
        <v>8.8239999999999998E-4</v>
      </c>
      <c r="DG16" s="4">
        <v>8.7000000000000001E-4</v>
      </c>
      <c r="DH16" s="4">
        <v>8.5769999999999998E-4</v>
      </c>
      <c r="DI16" s="4">
        <v>8.4559999999999995E-4</v>
      </c>
      <c r="DJ16" s="4">
        <v>8.3370000000000004E-4</v>
      </c>
      <c r="DK16" s="4">
        <v>8.2200000000000003E-4</v>
      </c>
      <c r="DL16" s="4">
        <v>8.1039999999999997E-4</v>
      </c>
      <c r="DM16" s="4">
        <v>7.9889999999999996E-4</v>
      </c>
      <c r="DN16" s="4">
        <v>7.8770000000000001E-4</v>
      </c>
      <c r="DO16" s="4">
        <v>7.7649999999999996E-4</v>
      </c>
      <c r="DP16" s="4">
        <v>7.6559999999999996E-4</v>
      </c>
      <c r="DQ16" s="4">
        <v>5.3163299999999997E-2</v>
      </c>
      <c r="DR16" s="4">
        <v>0</v>
      </c>
      <c r="DS16" s="4">
        <v>5.94E-5</v>
      </c>
      <c r="DT16" s="4">
        <v>1.942E-4</v>
      </c>
      <c r="DU16" s="4">
        <v>7.0220000000000005E-4</v>
      </c>
      <c r="DV16" s="4">
        <v>6.2299999999999996E-4</v>
      </c>
      <c r="DW16" s="4">
        <v>5.6349999999999998E-4</v>
      </c>
      <c r="DX16" s="4">
        <v>5.5270000000000004E-4</v>
      </c>
      <c r="DY16" s="4">
        <v>4.1790000000000002E-4</v>
      </c>
      <c r="DZ16" s="4">
        <v>4.7909999999999999E-4</v>
      </c>
      <c r="EA16" s="4">
        <v>4.2220000000000002E-4</v>
      </c>
      <c r="EB16" s="4">
        <v>3.7110000000000002E-4</v>
      </c>
      <c r="EC16" s="4">
        <v>3.302E-4</v>
      </c>
      <c r="ED16" s="4">
        <v>2.9530000000000002E-4</v>
      </c>
      <c r="EE16" s="4">
        <v>2.6429999999999997E-4</v>
      </c>
      <c r="EF16" s="4">
        <v>2.3819999999999999E-4</v>
      </c>
      <c r="EG16" s="4">
        <v>2.1550000000000001E-4</v>
      </c>
      <c r="EH16" s="4">
        <v>1.9589999999999999E-4</v>
      </c>
      <c r="EI16" s="4">
        <v>1.7870000000000001E-4</v>
      </c>
      <c r="EJ16" s="4">
        <v>1.6369999999999999E-4</v>
      </c>
      <c r="EK16" s="4">
        <v>1.505E-4</v>
      </c>
      <c r="EL16" s="4">
        <v>1.3880000000000001E-4</v>
      </c>
      <c r="EM16" s="4">
        <v>1.284E-4</v>
      </c>
      <c r="EN16" s="4">
        <v>1.1909999999999999E-4</v>
      </c>
      <c r="EO16" s="4">
        <v>1.108E-4</v>
      </c>
      <c r="EP16" s="4">
        <v>1.0340000000000001E-4</v>
      </c>
      <c r="EQ16" s="4">
        <v>9.6799999999999995E-5</v>
      </c>
      <c r="ER16" s="4">
        <v>9.0799999999999998E-5</v>
      </c>
      <c r="ES16" s="4">
        <v>8.5500000000000005E-5</v>
      </c>
      <c r="ET16" s="4">
        <v>8.0599999999999994E-5</v>
      </c>
      <c r="EU16" s="4">
        <v>7.6199999999999995E-5</v>
      </c>
      <c r="EV16" s="4">
        <v>7.2200000000000007E-5</v>
      </c>
      <c r="EW16" s="4">
        <v>6.8499999999999998E-5</v>
      </c>
      <c r="EX16" s="4">
        <v>6.5099999999999997E-5</v>
      </c>
      <c r="EY16" s="4">
        <v>6.19E-5</v>
      </c>
      <c r="EZ16" s="4">
        <v>5.8999999999999998E-5</v>
      </c>
      <c r="FA16" s="4">
        <v>5.63E-5</v>
      </c>
      <c r="FB16" s="4">
        <v>5.38E-5</v>
      </c>
      <c r="FC16" s="4">
        <v>5.1499999999999998E-5</v>
      </c>
      <c r="FD16" s="4">
        <v>4.9299999999999999E-5</v>
      </c>
      <c r="FE16" s="4">
        <v>4.7299999999999998E-5</v>
      </c>
      <c r="FF16" s="4">
        <v>4.5399999999999999E-5</v>
      </c>
      <c r="FG16" s="4">
        <v>4.3699999999999998E-5</v>
      </c>
      <c r="FH16" s="4">
        <v>4.1999999999999998E-5</v>
      </c>
      <c r="FI16" s="4">
        <v>4.0500000000000002E-5</v>
      </c>
      <c r="FJ16" s="4">
        <v>3.9100000000000002E-5</v>
      </c>
      <c r="FK16" s="4">
        <v>3.7700000000000002E-5</v>
      </c>
      <c r="FL16" s="4">
        <v>3.65E-5</v>
      </c>
      <c r="FM16" s="4">
        <v>3.5299999999999997E-5</v>
      </c>
      <c r="FN16" s="4">
        <v>3.4199999999999998E-5</v>
      </c>
      <c r="FO16" s="4">
        <v>3.3200000000000001E-5</v>
      </c>
      <c r="FP16" s="4">
        <v>3.2299999999999999E-5</v>
      </c>
      <c r="FQ16" s="4">
        <v>3.1399999999999998E-5</v>
      </c>
      <c r="FR16" s="4">
        <v>3.0499999999999999E-5</v>
      </c>
      <c r="FS16" s="4">
        <v>2.97E-5</v>
      </c>
      <c r="FT16" s="4">
        <v>2.9E-5</v>
      </c>
      <c r="FU16" s="4">
        <v>2.83E-5</v>
      </c>
      <c r="FV16" s="4">
        <v>2.76E-5</v>
      </c>
      <c r="FW16" s="4">
        <v>2.6999999999999999E-5</v>
      </c>
      <c r="FX16" s="4">
        <v>2.6400000000000001E-5</v>
      </c>
      <c r="FY16" s="4">
        <v>2.5899999999999999E-5</v>
      </c>
      <c r="FZ16" s="4">
        <v>2.5299999999999998E-5</v>
      </c>
      <c r="GA16" s="4">
        <v>2.48E-5</v>
      </c>
      <c r="GB16" s="4">
        <v>2.44E-5</v>
      </c>
      <c r="GC16" s="4">
        <v>2.3900000000000002E-5</v>
      </c>
      <c r="GD16" s="4">
        <v>2.3499999999999999E-5</v>
      </c>
      <c r="GE16" s="4">
        <v>2.3E-5</v>
      </c>
      <c r="GF16" s="4">
        <v>2.26E-5</v>
      </c>
      <c r="GG16" s="4">
        <v>2.23E-5</v>
      </c>
      <c r="GH16" s="4">
        <v>2.19E-5</v>
      </c>
      <c r="GI16" s="4">
        <v>2.1500000000000001E-5</v>
      </c>
      <c r="GJ16" s="4">
        <v>2.12E-5</v>
      </c>
      <c r="GK16" s="4">
        <v>2.09E-5</v>
      </c>
      <c r="GL16" s="4">
        <v>2.05E-5</v>
      </c>
      <c r="GM16" s="4">
        <v>2.02E-5</v>
      </c>
      <c r="GN16" s="4">
        <v>1.9899999999999999E-5</v>
      </c>
      <c r="GO16" s="4">
        <v>1.9599999999999999E-5</v>
      </c>
      <c r="GP16" s="4">
        <v>1.9300000000000002E-5</v>
      </c>
      <c r="GQ16" s="4">
        <v>1.91E-5</v>
      </c>
      <c r="GR16" s="4">
        <v>1.88E-5</v>
      </c>
      <c r="GS16" s="4">
        <v>1.8499999999999999E-5</v>
      </c>
      <c r="GT16" s="4">
        <v>1.8300000000000001E-5</v>
      </c>
      <c r="GU16" s="4">
        <v>1.8E-5</v>
      </c>
      <c r="GV16" s="4">
        <v>1.77E-5</v>
      </c>
      <c r="GW16" s="4">
        <v>1.7499999999999998E-5</v>
      </c>
      <c r="GX16" s="4">
        <v>1.73E-5</v>
      </c>
      <c r="GY16" s="4">
        <v>1.7E-5</v>
      </c>
      <c r="GZ16" s="4">
        <v>1.6799999999999998E-5</v>
      </c>
      <c r="HA16" s="4">
        <v>1.66E-5</v>
      </c>
      <c r="HB16" s="4">
        <v>1.63E-5</v>
      </c>
      <c r="HC16" s="4">
        <v>1.6099999999999998E-5</v>
      </c>
      <c r="HD16" s="4">
        <v>1.59E-5</v>
      </c>
      <c r="HE16" s="4">
        <v>1.5699999999999999E-5</v>
      </c>
      <c r="HF16" s="4">
        <v>1.5500000000000001E-5</v>
      </c>
      <c r="HG16" s="4">
        <v>1.5299999999999999E-5</v>
      </c>
      <c r="HH16" s="4">
        <v>1.5099999999999999E-5</v>
      </c>
      <c r="HI16" s="4">
        <v>1.4800000000000001E-5</v>
      </c>
      <c r="HJ16" s="4">
        <v>1.4600000000000001E-5</v>
      </c>
      <c r="HK16" s="4">
        <v>1.4399999999999999E-5</v>
      </c>
      <c r="HL16" s="4">
        <v>1.43E-5</v>
      </c>
      <c r="HM16" s="4">
        <v>1.4100000000000001E-5</v>
      </c>
      <c r="HN16" s="4">
        <v>1.3900000000000001E-5</v>
      </c>
      <c r="HO16" s="4">
        <v>1.3699999999999999E-5</v>
      </c>
      <c r="HP16" s="4">
        <v>1.3499999999999999E-5</v>
      </c>
      <c r="HQ16" s="4">
        <v>1.33E-5</v>
      </c>
      <c r="HR16" s="4">
        <v>1.31E-5</v>
      </c>
      <c r="HS16" s="4">
        <v>1.2999999999999999E-5</v>
      </c>
      <c r="HT16" s="4">
        <v>1.2799999999999999E-5</v>
      </c>
      <c r="HU16" s="4">
        <v>1.26E-5</v>
      </c>
      <c r="HV16" s="4">
        <v>1.24E-5</v>
      </c>
      <c r="HW16" s="4">
        <v>1.2300000000000001E-5</v>
      </c>
      <c r="HX16" s="4">
        <v>1.2099999999999999E-5</v>
      </c>
      <c r="HY16" s="4">
        <v>1.19E-5</v>
      </c>
      <c r="HZ16" s="4">
        <v>1.1800000000000001E-5</v>
      </c>
      <c r="IA16" s="4">
        <v>1.1600000000000001E-5</v>
      </c>
      <c r="IB16" s="4">
        <v>1.1399999999999999E-5</v>
      </c>
      <c r="IC16" s="4">
        <v>1.13E-5</v>
      </c>
      <c r="ID16" s="4">
        <v>1.11E-5</v>
      </c>
      <c r="IE16" s="4">
        <v>1.1E-5</v>
      </c>
      <c r="IF16" s="4">
        <v>1.08E-5</v>
      </c>
      <c r="IG16" s="4">
        <v>7.5469999999999997E-4</v>
      </c>
      <c r="IH16" s="4"/>
      <c r="II16" s="4">
        <f t="shared" si="245"/>
        <v>0.11255962321233498</v>
      </c>
      <c r="IJ16">
        <f t="shared" si="246"/>
        <v>0.35160121249999993</v>
      </c>
      <c r="IN16" s="4"/>
      <c r="IO16" s="4"/>
      <c r="IP16" s="4"/>
      <c r="IQ16" s="4"/>
      <c r="IR16" s="4"/>
      <c r="IS16" s="4"/>
      <c r="IT16" s="4"/>
      <c r="IU16" s="4"/>
      <c r="IV16" s="4"/>
    </row>
    <row r="17" spans="1:256" x14ac:dyDescent="0.35">
      <c r="A17" s="1">
        <v>9</v>
      </c>
      <c r="B17" s="4">
        <v>1.1099700000000001E-2</v>
      </c>
      <c r="C17" s="4">
        <v>1.1099700000000001E-2</v>
      </c>
      <c r="D17" s="4">
        <v>1.1040299999999999E-2</v>
      </c>
      <c r="E17" s="4">
        <v>1.0846099999999999E-2</v>
      </c>
      <c r="F17" s="4">
        <v>1.0141300000000001E-2</v>
      </c>
      <c r="G17" s="4">
        <v>9.2230000000000003E-3</v>
      </c>
      <c r="H17" s="4">
        <v>8.3096999999999997E-3</v>
      </c>
      <c r="I17" s="4">
        <v>7.3948E-3</v>
      </c>
      <c r="J17" s="4">
        <v>5.9696000000000003E-3</v>
      </c>
      <c r="K17" s="4">
        <v>6.4729000000000002E-3</v>
      </c>
      <c r="L17" s="4">
        <v>6.0800999999999997E-3</v>
      </c>
      <c r="M17" s="4">
        <v>5.7279999999999996E-3</v>
      </c>
      <c r="N17" s="4">
        <v>5.4396999999999996E-3</v>
      </c>
      <c r="O17" s="4">
        <v>5.1777000000000004E-3</v>
      </c>
      <c r="P17" s="4">
        <v>4.9389999999999998E-3</v>
      </c>
      <c r="Q17" s="4">
        <v>4.7261999999999998E-3</v>
      </c>
      <c r="R17" s="4">
        <v>4.5323000000000004E-3</v>
      </c>
      <c r="S17" s="4">
        <v>4.3557999999999999E-3</v>
      </c>
      <c r="T17" s="4">
        <v>4.1938000000000001E-3</v>
      </c>
      <c r="U17" s="4">
        <v>4.0451000000000003E-3</v>
      </c>
      <c r="V17" s="4">
        <v>3.9078000000000003E-3</v>
      </c>
      <c r="W17" s="4">
        <v>3.7808E-3</v>
      </c>
      <c r="X17" s="4">
        <v>3.663E-3</v>
      </c>
      <c r="Y17" s="4">
        <v>3.5533000000000001E-3</v>
      </c>
      <c r="Z17" s="4">
        <v>3.4510000000000001E-3</v>
      </c>
      <c r="AA17" s="4">
        <v>3.3552E-3</v>
      </c>
      <c r="AB17" s="4">
        <v>3.2653000000000001E-3</v>
      </c>
      <c r="AC17" s="4">
        <v>3.1806999999999998E-3</v>
      </c>
      <c r="AD17" s="4">
        <v>3.1007999999999999E-3</v>
      </c>
      <c r="AE17" s="4">
        <v>3.0252999999999999E-3</v>
      </c>
      <c r="AF17" s="4">
        <v>2.9537000000000001E-3</v>
      </c>
      <c r="AG17" s="4">
        <v>2.8857000000000002E-3</v>
      </c>
      <c r="AH17" s="4">
        <v>2.8208999999999999E-3</v>
      </c>
      <c r="AI17" s="4">
        <v>2.7593000000000001E-3</v>
      </c>
      <c r="AJ17" s="4">
        <v>2.7003999999999999E-3</v>
      </c>
      <c r="AK17" s="4">
        <v>2.6442000000000002E-3</v>
      </c>
      <c r="AL17" s="4">
        <v>2.5904000000000001E-3</v>
      </c>
      <c r="AM17" s="4">
        <v>2.5387999999999999E-3</v>
      </c>
      <c r="AN17" s="4">
        <v>2.4894000000000001E-3</v>
      </c>
      <c r="AO17" s="4">
        <v>2.4420000000000002E-3</v>
      </c>
      <c r="AP17" s="4">
        <v>2.3963999999999999E-3</v>
      </c>
      <c r="AQ17" s="4">
        <v>2.3525999999999998E-3</v>
      </c>
      <c r="AR17" s="4">
        <v>2.3102999999999999E-3</v>
      </c>
      <c r="AS17" s="4">
        <v>2.2696000000000001E-3</v>
      </c>
      <c r="AT17" s="4">
        <v>2.2303000000000002E-3</v>
      </c>
      <c r="AU17" s="4">
        <v>2.1922999999999999E-3</v>
      </c>
      <c r="AV17" s="4">
        <v>2.1556000000000001E-3</v>
      </c>
      <c r="AW17" s="4">
        <v>2.1199999999999999E-3</v>
      </c>
      <c r="AX17" s="4">
        <v>2.0856E-3</v>
      </c>
      <c r="AY17" s="4">
        <v>2.0520999999999998E-3</v>
      </c>
      <c r="AZ17" s="4">
        <v>2.0195999999999999E-3</v>
      </c>
      <c r="BA17" s="4">
        <v>1.9880000000000002E-3</v>
      </c>
      <c r="BB17" s="4">
        <v>1.9572999999999999E-3</v>
      </c>
      <c r="BC17" s="4">
        <v>1.9273000000000001E-3</v>
      </c>
      <c r="BD17" s="4">
        <v>1.8981E-3</v>
      </c>
      <c r="BE17" s="4">
        <v>1.8695999999999999E-3</v>
      </c>
      <c r="BF17" s="4">
        <v>1.8418E-3</v>
      </c>
      <c r="BG17" s="4">
        <v>1.8144999999999999E-3</v>
      </c>
      <c r="BH17" s="4">
        <v>1.7879E-3</v>
      </c>
      <c r="BI17" s="4">
        <v>1.7618E-3</v>
      </c>
      <c r="BJ17" s="4">
        <v>1.7363000000000001E-3</v>
      </c>
      <c r="BK17" s="4">
        <v>1.7113E-3</v>
      </c>
      <c r="BL17" s="4">
        <v>1.6867E-3</v>
      </c>
      <c r="BM17" s="4">
        <v>1.6626E-3</v>
      </c>
      <c r="BN17" s="4">
        <v>1.639E-3</v>
      </c>
      <c r="BO17" s="4">
        <v>1.6157000000000001E-3</v>
      </c>
      <c r="BP17" s="4">
        <v>1.5929E-3</v>
      </c>
      <c r="BQ17" s="4">
        <v>1.5705000000000001E-3</v>
      </c>
      <c r="BR17" s="4">
        <v>1.5483999999999999E-3</v>
      </c>
      <c r="BS17" s="4">
        <v>1.5267E-3</v>
      </c>
      <c r="BT17" s="4">
        <v>1.5053E-3</v>
      </c>
      <c r="BU17" s="4">
        <v>1.4843E-3</v>
      </c>
      <c r="BV17" s="4">
        <v>1.4635E-3</v>
      </c>
      <c r="BW17" s="4">
        <v>1.4430999999999999E-3</v>
      </c>
      <c r="BX17" s="4">
        <v>1.423E-3</v>
      </c>
      <c r="BY17" s="4">
        <v>1.4032000000000001E-3</v>
      </c>
      <c r="BZ17" s="4">
        <v>1.3837000000000001E-3</v>
      </c>
      <c r="CA17" s="4">
        <v>1.3645E-3</v>
      </c>
      <c r="CB17" s="4">
        <v>1.3454999999999999E-3</v>
      </c>
      <c r="CC17" s="4">
        <v>1.3267999999999999E-3</v>
      </c>
      <c r="CD17" s="4">
        <v>1.3083999999999999E-3</v>
      </c>
      <c r="CE17" s="4">
        <v>1.2902E-3</v>
      </c>
      <c r="CF17" s="4">
        <v>1.2723000000000001E-3</v>
      </c>
      <c r="CG17" s="4">
        <v>1.2546E-3</v>
      </c>
      <c r="CH17" s="4">
        <v>1.2371999999999999E-3</v>
      </c>
      <c r="CI17" s="4">
        <v>1.2199999999999999E-3</v>
      </c>
      <c r="CJ17" s="4">
        <v>1.2030000000000001E-3</v>
      </c>
      <c r="CK17" s="4">
        <v>1.1862000000000001E-3</v>
      </c>
      <c r="CL17" s="4">
        <v>1.1697000000000001E-3</v>
      </c>
      <c r="CM17" s="4">
        <v>1.1534E-3</v>
      </c>
      <c r="CN17" s="4">
        <v>1.1374E-3</v>
      </c>
      <c r="CO17" s="4">
        <v>1.1215000000000001E-3</v>
      </c>
      <c r="CP17" s="4">
        <v>1.1058999999999999E-3</v>
      </c>
      <c r="CQ17" s="4">
        <v>1.0904E-3</v>
      </c>
      <c r="CR17" s="4">
        <v>1.0751999999999999E-3</v>
      </c>
      <c r="CS17" s="4">
        <v>1.0602000000000001E-3</v>
      </c>
      <c r="CT17" s="4">
        <v>1.0453999999999999E-3</v>
      </c>
      <c r="CU17" s="4">
        <v>1.0307000000000001E-3</v>
      </c>
      <c r="CV17" s="4">
        <v>1.0162999999999999E-3</v>
      </c>
      <c r="CW17" s="4">
        <v>1.0020999999999999E-3</v>
      </c>
      <c r="CX17" s="4">
        <v>9.8799999999999995E-4</v>
      </c>
      <c r="CY17" s="4">
        <v>9.7420000000000004E-4</v>
      </c>
      <c r="CZ17" s="4">
        <v>9.6049999999999998E-4</v>
      </c>
      <c r="DA17" s="4">
        <v>9.4709999999999998E-4</v>
      </c>
      <c r="DB17" s="4">
        <v>9.3380000000000004E-4</v>
      </c>
      <c r="DC17" s="4">
        <v>9.2060000000000004E-4</v>
      </c>
      <c r="DD17" s="4">
        <v>9.077E-4</v>
      </c>
      <c r="DE17" s="4">
        <v>8.9490000000000001E-4</v>
      </c>
      <c r="DF17" s="4">
        <v>8.8239999999999998E-4</v>
      </c>
      <c r="DG17" s="4">
        <v>8.6989999999999995E-4</v>
      </c>
      <c r="DH17" s="4">
        <v>8.5769999999999998E-4</v>
      </c>
      <c r="DI17" s="4">
        <v>8.4559999999999995E-4</v>
      </c>
      <c r="DJ17" s="4">
        <v>8.3370000000000004E-4</v>
      </c>
      <c r="DK17" s="4">
        <v>8.2189999999999997E-4</v>
      </c>
      <c r="DL17" s="4">
        <v>8.1039999999999997E-4</v>
      </c>
      <c r="DM17" s="4">
        <v>7.9889999999999996E-4</v>
      </c>
      <c r="DN17" s="4">
        <v>7.8770000000000001E-4</v>
      </c>
      <c r="DO17" s="4">
        <v>7.7649999999999996E-4</v>
      </c>
      <c r="DP17" s="4">
        <v>7.6559999999999996E-4</v>
      </c>
      <c r="DQ17" s="4">
        <v>5.3163299999999997E-2</v>
      </c>
      <c r="DR17" s="4">
        <v>0</v>
      </c>
      <c r="DS17" s="4">
        <v>5.94E-5</v>
      </c>
      <c r="DT17" s="4">
        <v>1.93E-4</v>
      </c>
      <c r="DU17" s="4">
        <v>6.9859999999999996E-4</v>
      </c>
      <c r="DV17" s="4">
        <v>6.5320000000000005E-4</v>
      </c>
      <c r="DW17" s="4">
        <v>5.9040000000000004E-4</v>
      </c>
      <c r="DX17" s="4">
        <v>5.71E-4</v>
      </c>
      <c r="DY17" s="4">
        <v>4.8579999999999999E-4</v>
      </c>
      <c r="DZ17" s="4">
        <v>3.791E-4</v>
      </c>
      <c r="EA17" s="4">
        <v>4.2000000000000002E-4</v>
      </c>
      <c r="EB17" s="4">
        <v>3.723E-4</v>
      </c>
      <c r="EC17" s="4">
        <v>3.2880000000000002E-4</v>
      </c>
      <c r="ED17" s="4">
        <v>2.9480000000000001E-4</v>
      </c>
      <c r="EE17" s="4">
        <v>2.6479999999999999E-4</v>
      </c>
      <c r="EF17" s="4">
        <v>2.385E-4</v>
      </c>
      <c r="EG17" s="4">
        <v>2.1599999999999999E-4</v>
      </c>
      <c r="EH17" s="4">
        <v>1.963E-4</v>
      </c>
      <c r="EI17" s="4">
        <v>1.7919999999999999E-4</v>
      </c>
      <c r="EJ17" s="4">
        <v>1.6420000000000001E-4</v>
      </c>
      <c r="EK17" s="4">
        <v>1.5090000000000001E-4</v>
      </c>
      <c r="EL17" s="4">
        <v>1.3909999999999999E-4</v>
      </c>
      <c r="EM17" s="4">
        <v>1.2870000000000001E-4</v>
      </c>
      <c r="EN17" s="4">
        <v>1.194E-4</v>
      </c>
      <c r="EO17" s="4">
        <v>1.11E-4</v>
      </c>
      <c r="EP17" s="4">
        <v>1.036E-4</v>
      </c>
      <c r="EQ17" s="4">
        <v>9.6899999999999997E-5</v>
      </c>
      <c r="ER17" s="4">
        <v>9.09E-5</v>
      </c>
      <c r="ES17" s="4">
        <v>8.5500000000000005E-5</v>
      </c>
      <c r="ET17" s="4">
        <v>8.0599999999999994E-5</v>
      </c>
      <c r="EU17" s="4">
        <v>7.6199999999999995E-5</v>
      </c>
      <c r="EV17" s="4">
        <v>7.2200000000000007E-5</v>
      </c>
      <c r="EW17" s="4">
        <v>6.8499999999999998E-5</v>
      </c>
      <c r="EX17" s="4">
        <v>6.4999999999999994E-5</v>
      </c>
      <c r="EY17" s="4">
        <v>6.19E-5</v>
      </c>
      <c r="EZ17" s="4">
        <v>5.8999999999999998E-5</v>
      </c>
      <c r="FA17" s="4">
        <v>5.63E-5</v>
      </c>
      <c r="FB17" s="4">
        <v>5.38E-5</v>
      </c>
      <c r="FC17" s="4">
        <v>5.1499999999999998E-5</v>
      </c>
      <c r="FD17" s="4">
        <v>4.9299999999999999E-5</v>
      </c>
      <c r="FE17" s="4">
        <v>4.7299999999999998E-5</v>
      </c>
      <c r="FF17" s="4">
        <v>4.5399999999999999E-5</v>
      </c>
      <c r="FG17" s="4">
        <v>4.3600000000000003E-5</v>
      </c>
      <c r="FH17" s="4">
        <v>4.1999999999999998E-5</v>
      </c>
      <c r="FI17" s="4">
        <v>4.0500000000000002E-5</v>
      </c>
      <c r="FJ17" s="4">
        <v>3.9100000000000002E-5</v>
      </c>
      <c r="FK17" s="4">
        <v>3.7700000000000002E-5</v>
      </c>
      <c r="FL17" s="4">
        <v>3.65E-5</v>
      </c>
      <c r="FM17" s="4">
        <v>3.5299999999999997E-5</v>
      </c>
      <c r="FN17" s="4">
        <v>3.4199999999999998E-5</v>
      </c>
      <c r="FO17" s="4">
        <v>3.3200000000000001E-5</v>
      </c>
      <c r="FP17" s="4">
        <v>3.2199999999999997E-5</v>
      </c>
      <c r="FQ17" s="4">
        <v>3.1399999999999998E-5</v>
      </c>
      <c r="FR17" s="4">
        <v>3.0499999999999999E-5</v>
      </c>
      <c r="FS17" s="4">
        <v>2.97E-5</v>
      </c>
      <c r="FT17" s="4">
        <v>2.9E-5</v>
      </c>
      <c r="FU17" s="4">
        <v>2.83E-5</v>
      </c>
      <c r="FV17" s="4">
        <v>2.76E-5</v>
      </c>
      <c r="FW17" s="4">
        <v>2.6999999999999999E-5</v>
      </c>
      <c r="FX17" s="4">
        <v>2.6400000000000001E-5</v>
      </c>
      <c r="FY17" s="4">
        <v>2.5899999999999999E-5</v>
      </c>
      <c r="FZ17" s="4">
        <v>2.5299999999999998E-5</v>
      </c>
      <c r="GA17" s="4">
        <v>2.48E-5</v>
      </c>
      <c r="GB17" s="4">
        <v>2.44E-5</v>
      </c>
      <c r="GC17" s="4">
        <v>2.3900000000000002E-5</v>
      </c>
      <c r="GD17" s="4">
        <v>2.3499999999999999E-5</v>
      </c>
      <c r="GE17" s="4">
        <v>2.3E-5</v>
      </c>
      <c r="GF17" s="4">
        <v>2.26E-5</v>
      </c>
      <c r="GG17" s="4">
        <v>2.23E-5</v>
      </c>
      <c r="GH17" s="4">
        <v>2.19E-5</v>
      </c>
      <c r="GI17" s="4">
        <v>2.1500000000000001E-5</v>
      </c>
      <c r="GJ17" s="4">
        <v>2.12E-5</v>
      </c>
      <c r="GK17" s="4">
        <v>2.09E-5</v>
      </c>
      <c r="GL17" s="4">
        <v>2.05E-5</v>
      </c>
      <c r="GM17" s="4">
        <v>2.02E-5</v>
      </c>
      <c r="GN17" s="4">
        <v>1.9899999999999999E-5</v>
      </c>
      <c r="GO17" s="4">
        <v>1.9599999999999999E-5</v>
      </c>
      <c r="GP17" s="4">
        <v>1.9300000000000002E-5</v>
      </c>
      <c r="GQ17" s="4">
        <v>1.91E-5</v>
      </c>
      <c r="GR17" s="4">
        <v>1.88E-5</v>
      </c>
      <c r="GS17" s="4">
        <v>1.8499999999999999E-5</v>
      </c>
      <c r="GT17" s="4">
        <v>1.8300000000000001E-5</v>
      </c>
      <c r="GU17" s="4">
        <v>1.8E-5</v>
      </c>
      <c r="GV17" s="4">
        <v>1.77E-5</v>
      </c>
      <c r="GW17" s="4">
        <v>1.7499999999999998E-5</v>
      </c>
      <c r="GX17" s="4">
        <v>1.73E-5</v>
      </c>
      <c r="GY17" s="4">
        <v>1.7E-5</v>
      </c>
      <c r="GZ17" s="4">
        <v>1.6799999999999998E-5</v>
      </c>
      <c r="HA17" s="4">
        <v>1.66E-5</v>
      </c>
      <c r="HB17" s="4">
        <v>1.63E-5</v>
      </c>
      <c r="HC17" s="4">
        <v>1.6099999999999998E-5</v>
      </c>
      <c r="HD17" s="4">
        <v>1.59E-5</v>
      </c>
      <c r="HE17" s="4">
        <v>1.5699999999999999E-5</v>
      </c>
      <c r="HF17" s="4">
        <v>1.5500000000000001E-5</v>
      </c>
      <c r="HG17" s="4">
        <v>1.5299999999999999E-5</v>
      </c>
      <c r="HH17" s="4">
        <v>1.5099999999999999E-5</v>
      </c>
      <c r="HI17" s="4">
        <v>1.4800000000000001E-5</v>
      </c>
      <c r="HJ17" s="4">
        <v>1.4600000000000001E-5</v>
      </c>
      <c r="HK17" s="4">
        <v>1.4399999999999999E-5</v>
      </c>
      <c r="HL17" s="4">
        <v>1.43E-5</v>
      </c>
      <c r="HM17" s="4">
        <v>1.4100000000000001E-5</v>
      </c>
      <c r="HN17" s="4">
        <v>1.3900000000000001E-5</v>
      </c>
      <c r="HO17" s="4">
        <v>1.3699999999999999E-5</v>
      </c>
      <c r="HP17" s="4">
        <v>1.3499999999999999E-5</v>
      </c>
      <c r="HQ17" s="4">
        <v>1.33E-5</v>
      </c>
      <c r="HR17" s="4">
        <v>1.31E-5</v>
      </c>
      <c r="HS17" s="4">
        <v>1.2999999999999999E-5</v>
      </c>
      <c r="HT17" s="4">
        <v>1.2799999999999999E-5</v>
      </c>
      <c r="HU17" s="4">
        <v>1.26E-5</v>
      </c>
      <c r="HV17" s="4">
        <v>1.24E-5</v>
      </c>
      <c r="HW17" s="4">
        <v>1.2300000000000001E-5</v>
      </c>
      <c r="HX17" s="4">
        <v>1.2099999999999999E-5</v>
      </c>
      <c r="HY17" s="4">
        <v>1.19E-5</v>
      </c>
      <c r="HZ17" s="4">
        <v>1.1800000000000001E-5</v>
      </c>
      <c r="IA17" s="4">
        <v>1.1600000000000001E-5</v>
      </c>
      <c r="IB17" s="4">
        <v>1.1399999999999999E-5</v>
      </c>
      <c r="IC17" s="4">
        <v>1.13E-5</v>
      </c>
      <c r="ID17" s="4">
        <v>1.11E-5</v>
      </c>
      <c r="IE17" s="4">
        <v>1.1E-5</v>
      </c>
      <c r="IF17" s="4">
        <v>1.08E-5</v>
      </c>
      <c r="IG17" s="4">
        <v>7.5469999999999997E-4</v>
      </c>
      <c r="IH17" s="4"/>
      <c r="II17" s="4">
        <f t="shared" si="245"/>
        <v>0.11375312278758368</v>
      </c>
      <c r="IJ17">
        <f t="shared" si="246"/>
        <v>0.35271471250000003</v>
      </c>
      <c r="IN17" s="4"/>
      <c r="IO17" s="4"/>
      <c r="IP17" s="4"/>
      <c r="IQ17" s="4"/>
      <c r="IR17" s="4"/>
      <c r="IS17" s="4"/>
      <c r="IT17" s="4"/>
      <c r="IU17" s="4"/>
      <c r="IV17" s="4"/>
    </row>
    <row r="18" spans="1:256" x14ac:dyDescent="0.35">
      <c r="A18" s="1">
        <v>10</v>
      </c>
      <c r="B18" s="4">
        <v>1.1099700000000001E-2</v>
      </c>
      <c r="C18" s="4">
        <v>1.1099700000000001E-2</v>
      </c>
      <c r="D18" s="4">
        <v>1.1040299999999999E-2</v>
      </c>
      <c r="E18" s="4">
        <v>1.0847300000000001E-2</v>
      </c>
      <c r="F18" s="4">
        <v>1.01475E-2</v>
      </c>
      <c r="G18" s="4">
        <v>9.4879999999999999E-3</v>
      </c>
      <c r="H18" s="4">
        <v>8.6326000000000007E-3</v>
      </c>
      <c r="I18" s="4">
        <v>7.7387000000000003E-3</v>
      </c>
      <c r="J18" s="4">
        <v>6.9090999999999996E-3</v>
      </c>
      <c r="K18" s="4">
        <v>5.5905E-3</v>
      </c>
      <c r="L18" s="4">
        <v>6.0528999999999999E-3</v>
      </c>
      <c r="M18" s="4">
        <v>5.7077999999999999E-3</v>
      </c>
      <c r="N18" s="4">
        <v>5.3991999999999998E-3</v>
      </c>
      <c r="O18" s="4">
        <v>5.1449E-3</v>
      </c>
      <c r="P18" s="4">
        <v>4.9129000000000004E-3</v>
      </c>
      <c r="Q18" s="4">
        <v>4.7006000000000001E-3</v>
      </c>
      <c r="R18" s="4">
        <v>4.5101999999999998E-3</v>
      </c>
      <c r="S18" s="4">
        <v>4.3359999999999996E-3</v>
      </c>
      <c r="T18" s="4">
        <v>4.1764999999999997E-3</v>
      </c>
      <c r="U18" s="4">
        <v>4.0296999999999998E-3</v>
      </c>
      <c r="V18" s="4">
        <v>3.8942E-3</v>
      </c>
      <c r="W18" s="4">
        <v>3.7686999999999998E-3</v>
      </c>
      <c r="X18" s="4">
        <v>3.6521000000000001E-3</v>
      </c>
      <c r="Y18" s="4">
        <v>3.5436E-3</v>
      </c>
      <c r="Z18" s="4">
        <v>3.4423000000000001E-3</v>
      </c>
      <c r="AA18" s="4">
        <v>3.3473999999999999E-3</v>
      </c>
      <c r="AB18" s="4">
        <v>3.2583E-3</v>
      </c>
      <c r="AC18" s="4">
        <v>3.1744E-3</v>
      </c>
      <c r="AD18" s="4">
        <v>3.0952000000000002E-3</v>
      </c>
      <c r="AE18" s="4">
        <v>3.0201999999999998E-3</v>
      </c>
      <c r="AF18" s="4">
        <v>2.9491000000000001E-3</v>
      </c>
      <c r="AG18" s="4">
        <v>2.8814999999999999E-3</v>
      </c>
      <c r="AH18" s="4">
        <v>2.8172000000000002E-3</v>
      </c>
      <c r="AI18" s="4">
        <v>2.7558999999999999E-3</v>
      </c>
      <c r="AJ18" s="4">
        <v>2.6974E-3</v>
      </c>
      <c r="AK18" s="4">
        <v>2.6413999999999999E-3</v>
      </c>
      <c r="AL18" s="4">
        <v>2.5879000000000002E-3</v>
      </c>
      <c r="AM18" s="4">
        <v>2.5366E-3</v>
      </c>
      <c r="AN18" s="4">
        <v>2.4873999999999999E-3</v>
      </c>
      <c r="AO18" s="4">
        <v>2.4401000000000002E-3</v>
      </c>
      <c r="AP18" s="4">
        <v>2.3947E-3</v>
      </c>
      <c r="AQ18" s="4">
        <v>2.3509999999999998E-3</v>
      </c>
      <c r="AR18" s="4">
        <v>2.3089E-3</v>
      </c>
      <c r="AS18" s="4">
        <v>2.2683E-3</v>
      </c>
      <c r="AT18" s="4">
        <v>2.2290999999999999E-3</v>
      </c>
      <c r="AU18" s="4">
        <v>2.1913000000000002E-3</v>
      </c>
      <c r="AV18" s="4">
        <v>2.1546E-3</v>
      </c>
      <c r="AW18" s="4">
        <v>2.1191000000000001E-3</v>
      </c>
      <c r="AX18" s="4">
        <v>2.0847000000000001E-3</v>
      </c>
      <c r="AY18" s="4">
        <v>2.0514000000000001E-3</v>
      </c>
      <c r="AZ18" s="4">
        <v>2.0189000000000001E-3</v>
      </c>
      <c r="BA18" s="4">
        <v>1.9873999999999998E-3</v>
      </c>
      <c r="BB18" s="4">
        <v>1.9567E-3</v>
      </c>
      <c r="BC18" s="4">
        <v>1.9268E-3</v>
      </c>
      <c r="BD18" s="4">
        <v>1.8975999999999999E-3</v>
      </c>
      <c r="BE18" s="4">
        <v>1.8691000000000001E-3</v>
      </c>
      <c r="BF18" s="4">
        <v>1.8412999999999999E-3</v>
      </c>
      <c r="BG18" s="4">
        <v>1.8140999999999999E-3</v>
      </c>
      <c r="BH18" s="4">
        <v>1.7875E-3</v>
      </c>
      <c r="BI18" s="4">
        <v>1.7615E-3</v>
      </c>
      <c r="BJ18" s="4">
        <v>1.7359999999999999E-3</v>
      </c>
      <c r="BK18" s="4">
        <v>1.7110000000000001E-3</v>
      </c>
      <c r="BL18" s="4">
        <v>1.6864E-3</v>
      </c>
      <c r="BM18" s="4">
        <v>1.6624000000000001E-3</v>
      </c>
      <c r="BN18" s="4">
        <v>1.6387000000000001E-3</v>
      </c>
      <c r="BO18" s="4">
        <v>1.6155E-3</v>
      </c>
      <c r="BP18" s="4">
        <v>1.5927000000000001E-3</v>
      </c>
      <c r="BQ18" s="4">
        <v>1.5703E-3</v>
      </c>
      <c r="BR18" s="4">
        <v>1.5482E-3</v>
      </c>
      <c r="BS18" s="4">
        <v>1.5265000000000001E-3</v>
      </c>
      <c r="BT18" s="4">
        <v>1.5051000000000001E-3</v>
      </c>
      <c r="BU18" s="4">
        <v>1.4840999999999999E-3</v>
      </c>
      <c r="BV18" s="4">
        <v>1.4633999999999999E-3</v>
      </c>
      <c r="BW18" s="4">
        <v>1.4430000000000001E-3</v>
      </c>
      <c r="BX18" s="4">
        <v>1.4228999999999999E-3</v>
      </c>
      <c r="BY18" s="4">
        <v>1.4031E-3</v>
      </c>
      <c r="BZ18" s="4">
        <v>1.3836E-3</v>
      </c>
      <c r="CA18" s="4">
        <v>1.3644E-3</v>
      </c>
      <c r="CB18" s="4">
        <v>1.3454000000000001E-3</v>
      </c>
      <c r="CC18" s="4">
        <v>1.3267000000000001E-3</v>
      </c>
      <c r="CD18" s="4">
        <v>1.3083000000000001E-3</v>
      </c>
      <c r="CE18" s="4">
        <v>1.2901E-3</v>
      </c>
      <c r="CF18" s="4">
        <v>1.2722E-3</v>
      </c>
      <c r="CG18" s="4">
        <v>1.2545E-3</v>
      </c>
      <c r="CH18" s="4">
        <v>1.2371000000000001E-3</v>
      </c>
      <c r="CI18" s="4">
        <v>1.2199000000000001E-3</v>
      </c>
      <c r="CJ18" s="4">
        <v>1.2029E-3</v>
      </c>
      <c r="CK18" s="4">
        <v>1.1862000000000001E-3</v>
      </c>
      <c r="CL18" s="4">
        <v>1.1697000000000001E-3</v>
      </c>
      <c r="CM18" s="4">
        <v>1.1534E-3</v>
      </c>
      <c r="CN18" s="4">
        <v>1.1372999999999999E-3</v>
      </c>
      <c r="CO18" s="4">
        <v>1.1215000000000001E-3</v>
      </c>
      <c r="CP18" s="4">
        <v>1.1058000000000001E-3</v>
      </c>
      <c r="CQ18" s="4">
        <v>1.0904E-3</v>
      </c>
      <c r="CR18" s="4">
        <v>1.0751999999999999E-3</v>
      </c>
      <c r="CS18" s="4">
        <v>1.0602000000000001E-3</v>
      </c>
      <c r="CT18" s="4">
        <v>1.0453000000000001E-3</v>
      </c>
      <c r="CU18" s="4">
        <v>1.0307000000000001E-3</v>
      </c>
      <c r="CV18" s="4">
        <v>1.0162999999999999E-3</v>
      </c>
      <c r="CW18" s="4">
        <v>1.0020999999999999E-3</v>
      </c>
      <c r="CX18" s="4">
        <v>9.8799999999999995E-4</v>
      </c>
      <c r="CY18" s="4">
        <v>9.7420000000000004E-4</v>
      </c>
      <c r="CZ18" s="4">
        <v>9.6049999999999998E-4</v>
      </c>
      <c r="DA18" s="4">
        <v>9.4700000000000003E-4</v>
      </c>
      <c r="DB18" s="4">
        <v>9.3369999999999998E-4</v>
      </c>
      <c r="DC18" s="4">
        <v>9.2060000000000004E-4</v>
      </c>
      <c r="DD18" s="4">
        <v>9.077E-4</v>
      </c>
      <c r="DE18" s="4">
        <v>8.9490000000000001E-4</v>
      </c>
      <c r="DF18" s="4">
        <v>8.8230000000000003E-4</v>
      </c>
      <c r="DG18" s="4">
        <v>8.6989999999999995E-4</v>
      </c>
      <c r="DH18" s="4">
        <v>8.5769999999999998E-4</v>
      </c>
      <c r="DI18" s="4">
        <v>8.4559999999999995E-4</v>
      </c>
      <c r="DJ18" s="4">
        <v>8.3370000000000004E-4</v>
      </c>
      <c r="DK18" s="4">
        <v>8.2189999999999997E-4</v>
      </c>
      <c r="DL18" s="4">
        <v>8.1039999999999997E-4</v>
      </c>
      <c r="DM18" s="4">
        <v>7.9889999999999996E-4</v>
      </c>
      <c r="DN18" s="4">
        <v>7.8759999999999995E-4</v>
      </c>
      <c r="DO18" s="4">
        <v>7.7649999999999996E-4</v>
      </c>
      <c r="DP18" s="4">
        <v>7.6559999999999996E-4</v>
      </c>
      <c r="DQ18" s="4">
        <v>5.3163299999999997E-2</v>
      </c>
      <c r="DR18" s="4">
        <v>0</v>
      </c>
      <c r="DS18" s="4">
        <v>5.94E-5</v>
      </c>
      <c r="DT18" s="4">
        <v>1.9259999999999999E-4</v>
      </c>
      <c r="DU18" s="4">
        <v>6.9709999999999998E-4</v>
      </c>
      <c r="DV18" s="4">
        <v>6.5019999999999998E-4</v>
      </c>
      <c r="DW18" s="4">
        <v>6.135E-4</v>
      </c>
      <c r="DX18" s="4">
        <v>5.9869999999999997E-4</v>
      </c>
      <c r="DY18" s="4">
        <v>5.0350000000000004E-4</v>
      </c>
      <c r="DZ18" s="4">
        <v>4.4549999999999999E-4</v>
      </c>
      <c r="EA18" s="4">
        <v>3.388E-4</v>
      </c>
      <c r="EB18" s="4">
        <v>3.7300000000000001E-4</v>
      </c>
      <c r="EC18" s="4">
        <v>3.3040000000000001E-4</v>
      </c>
      <c r="ED18" s="4">
        <v>2.9310000000000002E-4</v>
      </c>
      <c r="EE18" s="4">
        <v>2.6340000000000001E-4</v>
      </c>
      <c r="EF18" s="4">
        <v>2.375E-4</v>
      </c>
      <c r="EG18" s="4">
        <v>2.1469999999999999E-4</v>
      </c>
      <c r="EH18" s="4">
        <v>1.952E-4</v>
      </c>
      <c r="EI18" s="4">
        <v>1.7809999999999999E-4</v>
      </c>
      <c r="EJ18" s="4">
        <v>1.6310000000000001E-4</v>
      </c>
      <c r="EK18" s="4">
        <v>1.4990000000000001E-4</v>
      </c>
      <c r="EL18" s="4">
        <v>1.382E-4</v>
      </c>
      <c r="EM18" s="4">
        <v>1.2779999999999999E-4</v>
      </c>
      <c r="EN18" s="4">
        <v>1.186E-4</v>
      </c>
      <c r="EO18" s="4">
        <v>1.103E-4</v>
      </c>
      <c r="EP18" s="4">
        <v>1.0289999999999999E-4</v>
      </c>
      <c r="EQ18" s="4">
        <v>9.6299999999999996E-5</v>
      </c>
      <c r="ER18" s="4">
        <v>9.0400000000000002E-5</v>
      </c>
      <c r="ES18" s="4">
        <v>8.5000000000000006E-5</v>
      </c>
      <c r="ET18" s="4">
        <v>8.0199999999999998E-5</v>
      </c>
      <c r="EU18" s="4">
        <v>7.5799999999999999E-5</v>
      </c>
      <c r="EV18" s="4">
        <v>7.1799999999999997E-5</v>
      </c>
      <c r="EW18" s="4">
        <v>6.8200000000000004E-5</v>
      </c>
      <c r="EX18" s="4">
        <v>6.4800000000000003E-5</v>
      </c>
      <c r="EY18" s="4">
        <v>6.1699999999999995E-5</v>
      </c>
      <c r="EZ18" s="4">
        <v>5.8799999999999999E-5</v>
      </c>
      <c r="FA18" s="4">
        <v>5.6100000000000002E-5</v>
      </c>
      <c r="FB18" s="4">
        <v>5.3699999999999997E-5</v>
      </c>
      <c r="FC18" s="4">
        <v>5.1400000000000003E-5</v>
      </c>
      <c r="FD18" s="4">
        <v>4.9200000000000003E-5</v>
      </c>
      <c r="FE18" s="4">
        <v>4.7200000000000002E-5</v>
      </c>
      <c r="FF18" s="4">
        <v>4.5399999999999999E-5</v>
      </c>
      <c r="FG18" s="4">
        <v>4.3600000000000003E-5</v>
      </c>
      <c r="FH18" s="4">
        <v>4.1999999999999998E-5</v>
      </c>
      <c r="FI18" s="4">
        <v>4.0500000000000002E-5</v>
      </c>
      <c r="FJ18" s="4">
        <v>3.9100000000000002E-5</v>
      </c>
      <c r="FK18" s="4">
        <v>3.7700000000000002E-5</v>
      </c>
      <c r="FL18" s="4">
        <v>3.65E-5</v>
      </c>
      <c r="FM18" s="4">
        <v>3.54E-5</v>
      </c>
      <c r="FN18" s="4">
        <v>3.43E-5</v>
      </c>
      <c r="FO18" s="4">
        <v>3.3300000000000003E-5</v>
      </c>
      <c r="FP18" s="4">
        <v>3.2299999999999999E-5</v>
      </c>
      <c r="FQ18" s="4">
        <v>3.1399999999999998E-5</v>
      </c>
      <c r="FR18" s="4">
        <v>3.0599999999999998E-5</v>
      </c>
      <c r="FS18" s="4">
        <v>2.9799999999999999E-5</v>
      </c>
      <c r="FT18" s="4">
        <v>2.9099999999999999E-5</v>
      </c>
      <c r="FU18" s="4">
        <v>2.8399999999999999E-5</v>
      </c>
      <c r="FV18" s="4">
        <v>2.7699999999999999E-5</v>
      </c>
      <c r="FW18" s="4">
        <v>2.7100000000000001E-5</v>
      </c>
      <c r="FX18" s="4">
        <v>2.65E-5</v>
      </c>
      <c r="FY18" s="4">
        <v>2.5899999999999999E-5</v>
      </c>
      <c r="FZ18" s="4">
        <v>2.5400000000000001E-5</v>
      </c>
      <c r="GA18" s="4">
        <v>2.4899999999999999E-5</v>
      </c>
      <c r="GB18" s="4">
        <v>2.44E-5</v>
      </c>
      <c r="GC18" s="4">
        <v>2.4000000000000001E-5</v>
      </c>
      <c r="GD18" s="4">
        <v>2.3499999999999999E-5</v>
      </c>
      <c r="GE18" s="4">
        <v>2.3099999999999999E-5</v>
      </c>
      <c r="GF18" s="4">
        <v>2.27E-5</v>
      </c>
      <c r="GG18" s="4">
        <v>2.23E-5</v>
      </c>
      <c r="GH18" s="4">
        <v>2.19E-5</v>
      </c>
      <c r="GI18" s="4">
        <v>2.16E-5</v>
      </c>
      <c r="GJ18" s="4">
        <v>2.12E-5</v>
      </c>
      <c r="GK18" s="4">
        <v>2.09E-5</v>
      </c>
      <c r="GL18" s="4">
        <v>2.0599999999999999E-5</v>
      </c>
      <c r="GM18" s="4">
        <v>2.0299999999999999E-5</v>
      </c>
      <c r="GN18" s="4">
        <v>2.0000000000000002E-5</v>
      </c>
      <c r="GO18" s="4">
        <v>1.9700000000000001E-5</v>
      </c>
      <c r="GP18" s="4">
        <v>1.9400000000000001E-5</v>
      </c>
      <c r="GQ18" s="4">
        <v>1.91E-5</v>
      </c>
      <c r="GR18" s="4">
        <v>1.88E-5</v>
      </c>
      <c r="GS18" s="4">
        <v>1.8499999999999999E-5</v>
      </c>
      <c r="GT18" s="4">
        <v>1.8300000000000001E-5</v>
      </c>
      <c r="GU18" s="4">
        <v>1.8E-5</v>
      </c>
      <c r="GV18" s="4">
        <v>1.7799999999999999E-5</v>
      </c>
      <c r="GW18" s="4">
        <v>1.7499999999999998E-5</v>
      </c>
      <c r="GX18" s="4">
        <v>1.73E-5</v>
      </c>
      <c r="GY18" s="4">
        <v>1.7E-5</v>
      </c>
      <c r="GZ18" s="4">
        <v>1.6799999999999998E-5</v>
      </c>
      <c r="HA18" s="4">
        <v>1.66E-5</v>
      </c>
      <c r="HB18" s="4">
        <v>1.6399999999999999E-5</v>
      </c>
      <c r="HC18" s="4">
        <v>1.6099999999999998E-5</v>
      </c>
      <c r="HD18" s="4">
        <v>1.59E-5</v>
      </c>
      <c r="HE18" s="4">
        <v>1.5699999999999999E-5</v>
      </c>
      <c r="HF18" s="4">
        <v>1.5500000000000001E-5</v>
      </c>
      <c r="HG18" s="4">
        <v>1.5299999999999999E-5</v>
      </c>
      <c r="HH18" s="4">
        <v>1.5099999999999999E-5</v>
      </c>
      <c r="HI18" s="4">
        <v>1.49E-5</v>
      </c>
      <c r="HJ18" s="4">
        <v>1.47E-5</v>
      </c>
      <c r="HK18" s="4">
        <v>1.45E-5</v>
      </c>
      <c r="HL18" s="4">
        <v>1.43E-5</v>
      </c>
      <c r="HM18" s="4">
        <v>1.4100000000000001E-5</v>
      </c>
      <c r="HN18" s="4">
        <v>1.3900000000000001E-5</v>
      </c>
      <c r="HO18" s="4">
        <v>1.3699999999999999E-5</v>
      </c>
      <c r="HP18" s="4">
        <v>1.3499999999999999E-5</v>
      </c>
      <c r="HQ18" s="4">
        <v>1.33E-5</v>
      </c>
      <c r="HR18" s="4">
        <v>1.31E-5</v>
      </c>
      <c r="HS18" s="4">
        <v>1.2999999999999999E-5</v>
      </c>
      <c r="HT18" s="4">
        <v>1.2799999999999999E-5</v>
      </c>
      <c r="HU18" s="4">
        <v>1.26E-5</v>
      </c>
      <c r="HV18" s="4">
        <v>1.24E-5</v>
      </c>
      <c r="HW18" s="4">
        <v>1.2300000000000001E-5</v>
      </c>
      <c r="HX18" s="4">
        <v>1.2099999999999999E-5</v>
      </c>
      <c r="HY18" s="4">
        <v>1.19E-5</v>
      </c>
      <c r="HZ18" s="4">
        <v>1.1800000000000001E-5</v>
      </c>
      <c r="IA18" s="4">
        <v>1.1600000000000001E-5</v>
      </c>
      <c r="IB18" s="4">
        <v>1.1399999999999999E-5</v>
      </c>
      <c r="IC18" s="4">
        <v>1.13E-5</v>
      </c>
      <c r="ID18" s="4">
        <v>1.11E-5</v>
      </c>
      <c r="IE18" s="4">
        <v>1.1E-5</v>
      </c>
      <c r="IF18" s="4">
        <v>1.08E-5</v>
      </c>
      <c r="IG18" s="4">
        <v>7.5480000000000002E-4</v>
      </c>
      <c r="IH18" s="4"/>
      <c r="II18" s="4">
        <f t="shared" si="245"/>
        <v>0.11449734380783848</v>
      </c>
      <c r="IJ18">
        <f t="shared" si="246"/>
        <v>0.35365711249999976</v>
      </c>
      <c r="IN18" s="4"/>
      <c r="IO18" s="4"/>
      <c r="IP18" s="4"/>
      <c r="IQ18" s="4"/>
      <c r="IR18" s="4"/>
      <c r="IS18" s="4"/>
      <c r="IT18" s="4"/>
      <c r="IU18" s="4"/>
      <c r="IV18" s="4"/>
    </row>
    <row r="19" spans="1:256" x14ac:dyDescent="0.35">
      <c r="A19" s="1">
        <v>11</v>
      </c>
      <c r="B19" s="4">
        <v>1.1099700000000001E-2</v>
      </c>
      <c r="C19" s="4">
        <v>1.1099700000000001E-2</v>
      </c>
      <c r="D19" s="4">
        <v>1.1040299999999999E-2</v>
      </c>
      <c r="E19" s="4">
        <v>1.08477E-2</v>
      </c>
      <c r="F19" s="4">
        <v>1.01502E-2</v>
      </c>
      <c r="G19" s="4">
        <v>9.4973000000000002E-3</v>
      </c>
      <c r="H19" s="4">
        <v>8.8745000000000004E-3</v>
      </c>
      <c r="I19" s="4">
        <v>8.0339000000000001E-3</v>
      </c>
      <c r="J19" s="4">
        <v>7.2351999999999998E-3</v>
      </c>
      <c r="K19" s="4">
        <v>6.4635999999999999E-3</v>
      </c>
      <c r="L19" s="4">
        <v>5.2516000000000004E-3</v>
      </c>
      <c r="M19" s="4">
        <v>5.6798999999999999E-3</v>
      </c>
      <c r="N19" s="4">
        <v>5.3774000000000001E-3</v>
      </c>
      <c r="O19" s="4">
        <v>5.1060999999999997E-3</v>
      </c>
      <c r="P19" s="4">
        <v>4.8815000000000004E-3</v>
      </c>
      <c r="Q19" s="4">
        <v>4.6753999999999997E-3</v>
      </c>
      <c r="R19" s="4">
        <v>4.4859000000000001E-3</v>
      </c>
      <c r="S19" s="4">
        <v>4.3150000000000003E-3</v>
      </c>
      <c r="T19" s="4">
        <v>4.1579E-3</v>
      </c>
      <c r="U19" s="4">
        <v>4.0134000000000003E-3</v>
      </c>
      <c r="V19" s="4">
        <v>3.8798000000000001E-3</v>
      </c>
      <c r="W19" s="4">
        <v>3.7559E-3</v>
      </c>
      <c r="X19" s="4">
        <v>3.6408E-3</v>
      </c>
      <c r="Y19" s="4">
        <v>3.5336E-3</v>
      </c>
      <c r="Z19" s="4">
        <v>3.4332999999999998E-3</v>
      </c>
      <c r="AA19" s="4">
        <v>3.3394000000000002E-3</v>
      </c>
      <c r="AB19" s="4">
        <v>3.2510999999999998E-3</v>
      </c>
      <c r="AC19" s="4">
        <v>3.1679E-3</v>
      </c>
      <c r="AD19" s="4">
        <v>3.0894E-3</v>
      </c>
      <c r="AE19" s="4">
        <v>3.0149999999999999E-3</v>
      </c>
      <c r="AF19" s="4">
        <v>2.9443999999999998E-3</v>
      </c>
      <c r="AG19" s="4">
        <v>2.8773000000000002E-3</v>
      </c>
      <c r="AH19" s="4">
        <v>2.8134000000000002E-3</v>
      </c>
      <c r="AI19" s="4">
        <v>2.7523999999999999E-3</v>
      </c>
      <c r="AJ19" s="4">
        <v>2.6941999999999999E-3</v>
      </c>
      <c r="AK19" s="4">
        <v>2.6386000000000001E-3</v>
      </c>
      <c r="AL19" s="4">
        <v>2.5853E-3</v>
      </c>
      <c r="AM19" s="4">
        <v>2.5341999999999999E-3</v>
      </c>
      <c r="AN19" s="4">
        <v>2.4851999999999999E-3</v>
      </c>
      <c r="AO19" s="4">
        <v>2.4380999999999999E-3</v>
      </c>
      <c r="AP19" s="4">
        <v>2.3928999999999999E-3</v>
      </c>
      <c r="AQ19" s="4">
        <v>2.3492999999999999E-3</v>
      </c>
      <c r="AR19" s="4">
        <v>2.3073999999999998E-3</v>
      </c>
      <c r="AS19" s="4">
        <v>2.2669000000000001E-3</v>
      </c>
      <c r="AT19" s="4">
        <v>2.2277999999999998E-3</v>
      </c>
      <c r="AU19" s="4">
        <v>2.1900999999999999E-3</v>
      </c>
      <c r="AV19" s="4">
        <v>2.1535E-3</v>
      </c>
      <c r="AW19" s="4">
        <v>2.1180999999999999E-3</v>
      </c>
      <c r="AX19" s="4">
        <v>2.0837999999999998E-3</v>
      </c>
      <c r="AY19" s="4">
        <v>2.0504999999999998E-3</v>
      </c>
      <c r="AZ19" s="4">
        <v>2.0181000000000001E-3</v>
      </c>
      <c r="BA19" s="4">
        <v>1.9865999999999998E-3</v>
      </c>
      <c r="BB19" s="4">
        <v>1.9559999999999998E-3</v>
      </c>
      <c r="BC19" s="4">
        <v>1.9261E-3</v>
      </c>
      <c r="BD19" s="4">
        <v>1.897E-3</v>
      </c>
      <c r="BE19" s="4">
        <v>1.8686E-3</v>
      </c>
      <c r="BF19" s="4">
        <v>1.8408000000000001E-3</v>
      </c>
      <c r="BG19" s="4">
        <v>1.8136000000000001E-3</v>
      </c>
      <c r="BH19" s="4">
        <v>1.7871E-3</v>
      </c>
      <c r="BI19" s="4">
        <v>1.761E-3</v>
      </c>
      <c r="BJ19" s="4">
        <v>1.7355999999999999E-3</v>
      </c>
      <c r="BK19" s="4">
        <v>1.7106000000000001E-3</v>
      </c>
      <c r="BL19" s="4">
        <v>1.6861000000000001E-3</v>
      </c>
      <c r="BM19" s="4">
        <v>1.6620000000000001E-3</v>
      </c>
      <c r="BN19" s="4">
        <v>1.6383999999999999E-3</v>
      </c>
      <c r="BO19" s="4">
        <v>1.6152E-3</v>
      </c>
      <c r="BP19" s="4">
        <v>1.5923999999999999E-3</v>
      </c>
      <c r="BQ19" s="4">
        <v>1.57E-3</v>
      </c>
      <c r="BR19" s="4">
        <v>1.5479999999999999E-3</v>
      </c>
      <c r="BS19" s="4">
        <v>1.5263E-3</v>
      </c>
      <c r="BT19" s="4">
        <v>1.5049E-3</v>
      </c>
      <c r="BU19" s="4">
        <v>1.4839E-3</v>
      </c>
      <c r="BV19" s="4">
        <v>1.4632E-3</v>
      </c>
      <c r="BW19" s="4">
        <v>1.4427999999999999E-3</v>
      </c>
      <c r="BX19" s="4">
        <v>1.4228000000000001E-3</v>
      </c>
      <c r="BY19" s="4">
        <v>1.403E-3</v>
      </c>
      <c r="BZ19" s="4">
        <v>1.3835E-3</v>
      </c>
      <c r="CA19" s="4">
        <v>1.3642000000000001E-3</v>
      </c>
      <c r="CB19" s="4">
        <v>1.3453E-3</v>
      </c>
      <c r="CC19" s="4">
        <v>1.3266E-3</v>
      </c>
      <c r="CD19" s="4">
        <v>1.3082E-3</v>
      </c>
      <c r="CE19" s="4">
        <v>1.2899999999999999E-3</v>
      </c>
      <c r="CF19" s="4">
        <v>1.2721E-3</v>
      </c>
      <c r="CG19" s="4">
        <v>1.2543999999999999E-3</v>
      </c>
      <c r="CH19" s="4">
        <v>1.237E-3</v>
      </c>
      <c r="CI19" s="4">
        <v>1.2198000000000001E-3</v>
      </c>
      <c r="CJ19" s="4">
        <v>1.2029E-3</v>
      </c>
      <c r="CK19" s="4">
        <v>1.1861E-3</v>
      </c>
      <c r="CL19" s="4">
        <v>1.1696E-3</v>
      </c>
      <c r="CM19" s="4">
        <v>1.1532999999999999E-3</v>
      </c>
      <c r="CN19" s="4">
        <v>1.1372999999999999E-3</v>
      </c>
      <c r="CO19" s="4">
        <v>1.1214E-3</v>
      </c>
      <c r="CP19" s="4">
        <v>1.1058000000000001E-3</v>
      </c>
      <c r="CQ19" s="4">
        <v>1.0903E-3</v>
      </c>
      <c r="CR19" s="4">
        <v>1.0751000000000001E-3</v>
      </c>
      <c r="CS19" s="4">
        <v>1.0601E-3</v>
      </c>
      <c r="CT19" s="4">
        <v>1.0453000000000001E-3</v>
      </c>
      <c r="CU19" s="4">
        <v>1.0307000000000001E-3</v>
      </c>
      <c r="CV19" s="4">
        <v>1.0162999999999999E-3</v>
      </c>
      <c r="CW19" s="4">
        <v>1.0020000000000001E-3</v>
      </c>
      <c r="CX19" s="4">
        <v>9.8799999999999995E-4</v>
      </c>
      <c r="CY19" s="4">
        <v>9.7420000000000004E-4</v>
      </c>
      <c r="CZ19" s="4">
        <v>9.6049999999999998E-4</v>
      </c>
      <c r="DA19" s="4">
        <v>9.4700000000000003E-4</v>
      </c>
      <c r="DB19" s="4">
        <v>9.3369999999999998E-4</v>
      </c>
      <c r="DC19" s="4">
        <v>9.2060000000000004E-4</v>
      </c>
      <c r="DD19" s="4">
        <v>9.077E-4</v>
      </c>
      <c r="DE19" s="4">
        <v>8.9490000000000001E-4</v>
      </c>
      <c r="DF19" s="4">
        <v>8.8230000000000003E-4</v>
      </c>
      <c r="DG19" s="4">
        <v>8.6989999999999995E-4</v>
      </c>
      <c r="DH19" s="4">
        <v>8.5769999999999998E-4</v>
      </c>
      <c r="DI19" s="4">
        <v>8.4559999999999995E-4</v>
      </c>
      <c r="DJ19" s="4">
        <v>8.3370000000000004E-4</v>
      </c>
      <c r="DK19" s="4">
        <v>8.2189999999999997E-4</v>
      </c>
      <c r="DL19" s="4">
        <v>8.1030000000000002E-4</v>
      </c>
      <c r="DM19" s="4">
        <v>7.9889999999999996E-4</v>
      </c>
      <c r="DN19" s="4">
        <v>7.8759999999999995E-4</v>
      </c>
      <c r="DO19" s="4">
        <v>7.7649999999999996E-4</v>
      </c>
      <c r="DP19" s="4">
        <v>7.6559999999999996E-4</v>
      </c>
      <c r="DQ19" s="4">
        <v>5.3163299999999997E-2</v>
      </c>
      <c r="DR19" s="4">
        <v>0</v>
      </c>
      <c r="DS19" s="4">
        <v>5.94E-5</v>
      </c>
      <c r="DT19" s="4">
        <v>1.9249999999999999E-4</v>
      </c>
      <c r="DU19" s="4">
        <v>7.4359999999999997E-4</v>
      </c>
      <c r="DV19" s="4">
        <v>6.5030000000000003E-4</v>
      </c>
      <c r="DW19" s="4">
        <v>6.1609999999999996E-4</v>
      </c>
      <c r="DX19" s="4">
        <v>6.2810000000000003E-4</v>
      </c>
      <c r="DY19" s="4">
        <v>5.3160000000000002E-4</v>
      </c>
      <c r="DZ19" s="4">
        <v>4.6680000000000002E-4</v>
      </c>
      <c r="EA19" s="4">
        <v>3.9649999999999999E-4</v>
      </c>
      <c r="EB19" s="4">
        <v>3.0479999999999998E-4</v>
      </c>
      <c r="EC19" s="4">
        <v>3.3149999999999998E-4</v>
      </c>
      <c r="ED19" s="4">
        <v>2.9490000000000001E-4</v>
      </c>
      <c r="EE19" s="4">
        <v>2.6279999999999999E-4</v>
      </c>
      <c r="EF19" s="4">
        <v>2.3729999999999999E-4</v>
      </c>
      <c r="EG19" s="4">
        <v>2.1469999999999999E-4</v>
      </c>
      <c r="EH19" s="4">
        <v>1.9489999999999999E-4</v>
      </c>
      <c r="EI19" s="4">
        <v>1.7789999999999999E-4</v>
      </c>
      <c r="EJ19" s="4">
        <v>1.629E-4</v>
      </c>
      <c r="EK19" s="4">
        <v>1.4980000000000001E-4</v>
      </c>
      <c r="EL19" s="4">
        <v>1.381E-4</v>
      </c>
      <c r="EM19" s="4">
        <v>1.2769999999999999E-4</v>
      </c>
      <c r="EN19" s="4">
        <v>1.1849999999999999E-4</v>
      </c>
      <c r="EO19" s="4">
        <v>1.102E-4</v>
      </c>
      <c r="EP19" s="4">
        <v>1.0280000000000001E-4</v>
      </c>
      <c r="EQ19" s="4">
        <v>9.6199999999999994E-5</v>
      </c>
      <c r="ER19" s="4">
        <v>9.0299999999999999E-5</v>
      </c>
      <c r="ES19" s="4">
        <v>8.5000000000000006E-5</v>
      </c>
      <c r="ET19" s="4">
        <v>8.0099999999999995E-5</v>
      </c>
      <c r="EU19" s="4">
        <v>7.5699999999999997E-5</v>
      </c>
      <c r="EV19" s="4">
        <v>7.1699999999999995E-5</v>
      </c>
      <c r="EW19" s="4">
        <v>6.8100000000000002E-5</v>
      </c>
      <c r="EX19" s="4">
        <v>6.4700000000000001E-5</v>
      </c>
      <c r="EY19" s="4">
        <v>6.1600000000000007E-5</v>
      </c>
      <c r="EZ19" s="4">
        <v>5.8799999999999999E-5</v>
      </c>
      <c r="FA19" s="4">
        <v>5.6100000000000002E-5</v>
      </c>
      <c r="FB19" s="4">
        <v>5.3600000000000002E-5</v>
      </c>
      <c r="FC19" s="4">
        <v>5.13E-5</v>
      </c>
      <c r="FD19" s="4">
        <v>4.9200000000000003E-5</v>
      </c>
      <c r="FE19" s="4">
        <v>4.7200000000000002E-5</v>
      </c>
      <c r="FF19" s="4">
        <v>4.5300000000000003E-5</v>
      </c>
      <c r="FG19" s="4">
        <v>4.3600000000000003E-5</v>
      </c>
      <c r="FH19" s="4">
        <v>4.1999999999999998E-5</v>
      </c>
      <c r="FI19" s="4">
        <v>4.0399999999999999E-5</v>
      </c>
      <c r="FJ19" s="4">
        <v>3.8999999999999999E-5</v>
      </c>
      <c r="FK19" s="4">
        <v>3.7700000000000002E-5</v>
      </c>
      <c r="FL19" s="4">
        <v>3.65E-5</v>
      </c>
      <c r="FM19" s="4">
        <v>3.5299999999999997E-5</v>
      </c>
      <c r="FN19" s="4">
        <v>3.4199999999999998E-5</v>
      </c>
      <c r="FO19" s="4">
        <v>3.3200000000000001E-5</v>
      </c>
      <c r="FP19" s="4">
        <v>3.2299999999999999E-5</v>
      </c>
      <c r="FQ19" s="4">
        <v>3.1399999999999998E-5</v>
      </c>
      <c r="FR19" s="4">
        <v>3.0499999999999999E-5</v>
      </c>
      <c r="FS19" s="4">
        <v>2.9799999999999999E-5</v>
      </c>
      <c r="FT19" s="4">
        <v>2.9E-5</v>
      </c>
      <c r="FU19" s="4">
        <v>2.83E-5</v>
      </c>
      <c r="FV19" s="4">
        <v>2.7699999999999999E-5</v>
      </c>
      <c r="FW19" s="4">
        <v>2.6999999999999999E-5</v>
      </c>
      <c r="FX19" s="4">
        <v>2.65E-5</v>
      </c>
      <c r="FY19" s="4">
        <v>2.5899999999999999E-5</v>
      </c>
      <c r="FZ19" s="4">
        <v>2.5400000000000001E-5</v>
      </c>
      <c r="GA19" s="4">
        <v>2.4899999999999999E-5</v>
      </c>
      <c r="GB19" s="4">
        <v>2.44E-5</v>
      </c>
      <c r="GC19" s="4">
        <v>2.3900000000000002E-5</v>
      </c>
      <c r="GD19" s="4">
        <v>2.3499999999999999E-5</v>
      </c>
      <c r="GE19" s="4">
        <v>2.3099999999999999E-5</v>
      </c>
      <c r="GF19" s="4">
        <v>2.27E-5</v>
      </c>
      <c r="GG19" s="4">
        <v>2.23E-5</v>
      </c>
      <c r="GH19" s="4">
        <v>2.19E-5</v>
      </c>
      <c r="GI19" s="4">
        <v>2.16E-5</v>
      </c>
      <c r="GJ19" s="4">
        <v>2.12E-5</v>
      </c>
      <c r="GK19" s="4">
        <v>2.09E-5</v>
      </c>
      <c r="GL19" s="4">
        <v>2.0599999999999999E-5</v>
      </c>
      <c r="GM19" s="4">
        <v>2.02E-5</v>
      </c>
      <c r="GN19" s="4">
        <v>1.9899999999999999E-5</v>
      </c>
      <c r="GO19" s="4">
        <v>1.9599999999999999E-5</v>
      </c>
      <c r="GP19" s="4">
        <v>1.9400000000000001E-5</v>
      </c>
      <c r="GQ19" s="4">
        <v>1.91E-5</v>
      </c>
      <c r="GR19" s="4">
        <v>1.88E-5</v>
      </c>
      <c r="GS19" s="4">
        <v>1.8499999999999999E-5</v>
      </c>
      <c r="GT19" s="4">
        <v>1.8300000000000001E-5</v>
      </c>
      <c r="GU19" s="4">
        <v>1.8E-5</v>
      </c>
      <c r="GV19" s="4">
        <v>1.7799999999999999E-5</v>
      </c>
      <c r="GW19" s="4">
        <v>1.7499999999999998E-5</v>
      </c>
      <c r="GX19" s="4">
        <v>1.73E-5</v>
      </c>
      <c r="GY19" s="4">
        <v>1.7E-5</v>
      </c>
      <c r="GZ19" s="4">
        <v>1.6799999999999998E-5</v>
      </c>
      <c r="HA19" s="4">
        <v>1.66E-5</v>
      </c>
      <c r="HB19" s="4">
        <v>1.63E-5</v>
      </c>
      <c r="HC19" s="4">
        <v>1.6099999999999998E-5</v>
      </c>
      <c r="HD19" s="4">
        <v>1.59E-5</v>
      </c>
      <c r="HE19" s="4">
        <v>1.5699999999999999E-5</v>
      </c>
      <c r="HF19" s="4">
        <v>1.5500000000000001E-5</v>
      </c>
      <c r="HG19" s="4">
        <v>1.5299999999999999E-5</v>
      </c>
      <c r="HH19" s="4">
        <v>1.5099999999999999E-5</v>
      </c>
      <c r="HI19" s="4">
        <v>1.49E-5</v>
      </c>
      <c r="HJ19" s="4">
        <v>1.47E-5</v>
      </c>
      <c r="HK19" s="4">
        <v>1.45E-5</v>
      </c>
      <c r="HL19" s="4">
        <v>1.43E-5</v>
      </c>
      <c r="HM19" s="4">
        <v>1.4100000000000001E-5</v>
      </c>
      <c r="HN19" s="4">
        <v>1.3900000000000001E-5</v>
      </c>
      <c r="HO19" s="4">
        <v>1.3699999999999999E-5</v>
      </c>
      <c r="HP19" s="4">
        <v>1.3499999999999999E-5</v>
      </c>
      <c r="HQ19" s="4">
        <v>1.33E-5</v>
      </c>
      <c r="HR19" s="4">
        <v>1.31E-5</v>
      </c>
      <c r="HS19" s="4">
        <v>1.2999999999999999E-5</v>
      </c>
      <c r="HT19" s="4">
        <v>1.2799999999999999E-5</v>
      </c>
      <c r="HU19" s="4">
        <v>1.26E-5</v>
      </c>
      <c r="HV19" s="4">
        <v>1.24E-5</v>
      </c>
      <c r="HW19" s="4">
        <v>1.2300000000000001E-5</v>
      </c>
      <c r="HX19" s="4">
        <v>1.2099999999999999E-5</v>
      </c>
      <c r="HY19" s="4">
        <v>1.19E-5</v>
      </c>
      <c r="HZ19" s="4">
        <v>1.1800000000000001E-5</v>
      </c>
      <c r="IA19" s="4">
        <v>1.1600000000000001E-5</v>
      </c>
      <c r="IB19" s="4">
        <v>1.1399999999999999E-5</v>
      </c>
      <c r="IC19" s="4">
        <v>1.13E-5</v>
      </c>
      <c r="ID19" s="4">
        <v>1.11E-5</v>
      </c>
      <c r="IE19" s="4">
        <v>1.1E-5</v>
      </c>
      <c r="IF19" s="4">
        <v>1.08E-5</v>
      </c>
      <c r="IG19" s="4">
        <v>7.5480000000000002E-4</v>
      </c>
      <c r="IH19" s="4"/>
      <c r="II19" s="4">
        <f t="shared" si="245"/>
        <v>0.11510743260450639</v>
      </c>
      <c r="IJ19">
        <f t="shared" si="246"/>
        <v>0.3544297624999998</v>
      </c>
      <c r="IN19" s="4"/>
      <c r="IO19" s="4"/>
      <c r="IP19" s="4"/>
      <c r="IQ19" s="4"/>
      <c r="IR19" s="4"/>
      <c r="IS19" s="4"/>
      <c r="IT19" s="4"/>
      <c r="IU19" s="4"/>
      <c r="IV19" s="4"/>
    </row>
    <row r="20" spans="1:256" x14ac:dyDescent="0.35">
      <c r="A20" s="1">
        <v>12</v>
      </c>
      <c r="B20" s="4">
        <v>1.1099700000000001E-2</v>
      </c>
      <c r="C20" s="4">
        <v>1.1099700000000001E-2</v>
      </c>
      <c r="D20" s="4">
        <v>1.1040299999999999E-2</v>
      </c>
      <c r="E20" s="4">
        <v>1.0847799999999999E-2</v>
      </c>
      <c r="F20" s="4">
        <v>1.0104200000000001E-2</v>
      </c>
      <c r="G20" s="4">
        <v>9.4999000000000004E-3</v>
      </c>
      <c r="H20" s="4">
        <v>8.8812000000000006E-3</v>
      </c>
      <c r="I20" s="4">
        <v>8.2463999999999992E-3</v>
      </c>
      <c r="J20" s="4">
        <v>7.5024000000000002E-3</v>
      </c>
      <c r="K20" s="4">
        <v>6.7683999999999999E-3</v>
      </c>
      <c r="L20" s="4">
        <v>6.0670999999999998E-3</v>
      </c>
      <c r="M20" s="4">
        <v>4.9468000000000003E-3</v>
      </c>
      <c r="N20" s="4">
        <v>5.3483999999999997E-3</v>
      </c>
      <c r="O20" s="4">
        <v>5.0823999999999999E-3</v>
      </c>
      <c r="P20" s="4">
        <v>4.8431999999999998E-3</v>
      </c>
      <c r="Q20" s="4">
        <v>4.6442000000000002E-3</v>
      </c>
      <c r="R20" s="4">
        <v>4.4606999999999997E-3</v>
      </c>
      <c r="S20" s="4">
        <v>4.2909000000000003E-3</v>
      </c>
      <c r="T20" s="4">
        <v>4.1371000000000003E-3</v>
      </c>
      <c r="U20" s="4">
        <v>3.9950000000000003E-3</v>
      </c>
      <c r="V20" s="4">
        <v>3.8636E-3</v>
      </c>
      <c r="W20" s="4">
        <v>3.7417000000000001E-3</v>
      </c>
      <c r="X20" s="4">
        <v>3.6281999999999998E-3</v>
      </c>
      <c r="Y20" s="4">
        <v>3.5222999999999999E-3</v>
      </c>
      <c r="Z20" s="4">
        <v>3.4233000000000002E-3</v>
      </c>
      <c r="AA20" s="4">
        <v>3.3305000000000001E-3</v>
      </c>
      <c r="AB20" s="4">
        <v>3.2431000000000001E-3</v>
      </c>
      <c r="AC20" s="4">
        <v>3.1608000000000001E-3</v>
      </c>
      <c r="AD20" s="4">
        <v>3.0829999999999998E-3</v>
      </c>
      <c r="AE20" s="4">
        <v>3.0092000000000001E-3</v>
      </c>
      <c r="AF20" s="4">
        <v>2.9391999999999999E-3</v>
      </c>
      <c r="AG20" s="4">
        <v>2.8725999999999999E-3</v>
      </c>
      <c r="AH20" s="4">
        <v>2.8092E-3</v>
      </c>
      <c r="AI20" s="4">
        <v>2.7485999999999999E-3</v>
      </c>
      <c r="AJ20" s="4">
        <v>2.6908000000000001E-3</v>
      </c>
      <c r="AK20" s="4">
        <v>2.6354999999999998E-3</v>
      </c>
      <c r="AL20" s="4">
        <v>2.5825000000000002E-3</v>
      </c>
      <c r="AM20" s="4">
        <v>2.5316000000000002E-3</v>
      </c>
      <c r="AN20" s="4">
        <v>2.4829000000000001E-3</v>
      </c>
      <c r="AO20" s="4">
        <v>2.4359999999999998E-3</v>
      </c>
      <c r="AP20" s="4">
        <v>2.3909999999999999E-3</v>
      </c>
      <c r="AQ20" s="4">
        <v>2.3476E-3</v>
      </c>
      <c r="AR20" s="4">
        <v>2.3058000000000002E-3</v>
      </c>
      <c r="AS20" s="4">
        <v>2.2653999999999999E-3</v>
      </c>
      <c r="AT20" s="4">
        <v>2.2265000000000002E-3</v>
      </c>
      <c r="AU20" s="4">
        <v>2.1887999999999999E-3</v>
      </c>
      <c r="AV20" s="4">
        <v>2.1524000000000001E-3</v>
      </c>
      <c r="AW20" s="4">
        <v>2.117E-3</v>
      </c>
      <c r="AX20" s="4">
        <v>2.0828000000000001E-3</v>
      </c>
      <c r="AY20" s="4">
        <v>2.0495999999999999E-3</v>
      </c>
      <c r="AZ20" s="4">
        <v>2.0173000000000001E-3</v>
      </c>
      <c r="BA20" s="4">
        <v>1.9857999999999998E-3</v>
      </c>
      <c r="BB20" s="4">
        <v>1.9551999999999998E-3</v>
      </c>
      <c r="BC20" s="4">
        <v>1.9254000000000001E-3</v>
      </c>
      <c r="BD20" s="4">
        <v>1.8963999999999999E-3</v>
      </c>
      <c r="BE20" s="4">
        <v>1.8680000000000001E-3</v>
      </c>
      <c r="BF20" s="4">
        <v>1.8402E-3</v>
      </c>
      <c r="BG20" s="4">
        <v>1.8131E-3</v>
      </c>
      <c r="BH20" s="4">
        <v>1.7866E-3</v>
      </c>
      <c r="BI20" s="4">
        <v>1.7606E-3</v>
      </c>
      <c r="BJ20" s="4">
        <v>1.7351999999999999E-3</v>
      </c>
      <c r="BK20" s="4">
        <v>1.7102E-3</v>
      </c>
      <c r="BL20" s="4">
        <v>1.6857E-3</v>
      </c>
      <c r="BM20" s="4">
        <v>1.6616999999999999E-3</v>
      </c>
      <c r="BN20" s="4">
        <v>1.6381E-3</v>
      </c>
      <c r="BO20" s="4">
        <v>1.6149000000000001E-3</v>
      </c>
      <c r="BP20" s="4">
        <v>1.5920999999999999E-3</v>
      </c>
      <c r="BQ20" s="4">
        <v>1.5698000000000001E-3</v>
      </c>
      <c r="BR20" s="4">
        <v>1.5476999999999999E-3</v>
      </c>
      <c r="BS20" s="4">
        <v>1.526E-3</v>
      </c>
      <c r="BT20" s="4">
        <v>1.5047000000000001E-3</v>
      </c>
      <c r="BU20" s="4">
        <v>1.4836999999999999E-3</v>
      </c>
      <c r="BV20" s="4">
        <v>1.4630000000000001E-3</v>
      </c>
      <c r="BW20" s="4">
        <v>1.4427000000000001E-3</v>
      </c>
      <c r="BX20" s="4">
        <v>1.4226E-3</v>
      </c>
      <c r="BY20" s="4">
        <v>1.4028000000000001E-3</v>
      </c>
      <c r="BZ20" s="4">
        <v>1.3833000000000001E-3</v>
      </c>
      <c r="CA20" s="4">
        <v>1.3641E-3</v>
      </c>
      <c r="CB20" s="4">
        <v>1.3452E-3</v>
      </c>
      <c r="CC20" s="4">
        <v>1.3265E-3</v>
      </c>
      <c r="CD20" s="4">
        <v>1.3081E-3</v>
      </c>
      <c r="CE20" s="4">
        <v>1.2899000000000001E-3</v>
      </c>
      <c r="CF20" s="4">
        <v>1.2719999999999999E-3</v>
      </c>
      <c r="CG20" s="4">
        <v>1.2543000000000001E-3</v>
      </c>
      <c r="CH20" s="4">
        <v>1.2369E-3</v>
      </c>
      <c r="CI20" s="4">
        <v>1.2197E-3</v>
      </c>
      <c r="CJ20" s="4">
        <v>1.2028E-3</v>
      </c>
      <c r="CK20" s="4">
        <v>1.186E-3</v>
      </c>
      <c r="CL20" s="4">
        <v>1.1695E-3</v>
      </c>
      <c r="CM20" s="4">
        <v>1.1532999999999999E-3</v>
      </c>
      <c r="CN20" s="4">
        <v>1.1372000000000001E-3</v>
      </c>
      <c r="CO20" s="4">
        <v>1.1214E-3</v>
      </c>
      <c r="CP20" s="4">
        <v>1.1057E-3</v>
      </c>
      <c r="CQ20" s="4">
        <v>1.0903E-3</v>
      </c>
      <c r="CR20" s="4">
        <v>1.0751000000000001E-3</v>
      </c>
      <c r="CS20" s="4">
        <v>1.0601E-3</v>
      </c>
      <c r="CT20" s="4">
        <v>1.0453000000000001E-3</v>
      </c>
      <c r="CU20" s="4">
        <v>1.0306E-3</v>
      </c>
      <c r="CV20" s="4">
        <v>1.0162000000000001E-3</v>
      </c>
      <c r="CW20" s="4">
        <v>1.0020000000000001E-3</v>
      </c>
      <c r="CX20" s="4">
        <v>9.8799999999999995E-4</v>
      </c>
      <c r="CY20" s="4">
        <v>9.7409999999999999E-4</v>
      </c>
      <c r="CZ20" s="4">
        <v>9.6049999999999998E-4</v>
      </c>
      <c r="DA20" s="4">
        <v>9.4700000000000003E-4</v>
      </c>
      <c r="DB20" s="4">
        <v>9.3369999999999998E-4</v>
      </c>
      <c r="DC20" s="4">
        <v>9.2060000000000004E-4</v>
      </c>
      <c r="DD20" s="4">
        <v>9.077E-4</v>
      </c>
      <c r="DE20" s="4">
        <v>8.9490000000000001E-4</v>
      </c>
      <c r="DF20" s="4">
        <v>8.8230000000000003E-4</v>
      </c>
      <c r="DG20" s="4">
        <v>8.6989999999999995E-4</v>
      </c>
      <c r="DH20" s="4">
        <v>8.5769999999999998E-4</v>
      </c>
      <c r="DI20" s="4">
        <v>8.4559999999999995E-4</v>
      </c>
      <c r="DJ20" s="4">
        <v>8.3370000000000004E-4</v>
      </c>
      <c r="DK20" s="4">
        <v>8.2189999999999997E-4</v>
      </c>
      <c r="DL20" s="4">
        <v>8.1030000000000002E-4</v>
      </c>
      <c r="DM20" s="4">
        <v>7.9889999999999996E-4</v>
      </c>
      <c r="DN20" s="4">
        <v>7.8759999999999995E-4</v>
      </c>
      <c r="DO20" s="4">
        <v>7.7649999999999996E-4</v>
      </c>
      <c r="DP20" s="4">
        <v>7.6550000000000001E-4</v>
      </c>
      <c r="DQ20" s="4">
        <v>5.3163200000000001E-2</v>
      </c>
      <c r="DR20" s="4">
        <v>0</v>
      </c>
      <c r="DS20" s="4">
        <v>5.94E-5</v>
      </c>
      <c r="DT20" s="4">
        <v>1.9259999999999999E-4</v>
      </c>
      <c r="DU20" s="4">
        <v>7.4359999999999997E-4</v>
      </c>
      <c r="DV20" s="4">
        <v>6.3080000000000005E-4</v>
      </c>
      <c r="DW20" s="4">
        <v>6.1459999999999998E-4</v>
      </c>
      <c r="DX20" s="4">
        <v>6.2509999999999996E-4</v>
      </c>
      <c r="DY20" s="4">
        <v>5.4790000000000004E-4</v>
      </c>
      <c r="DZ20" s="4">
        <v>4.8460000000000002E-4</v>
      </c>
      <c r="EA20" s="4">
        <v>4.1120000000000002E-4</v>
      </c>
      <c r="EB20" s="4">
        <v>3.5349999999999997E-4</v>
      </c>
      <c r="EC20" s="4">
        <v>2.7119999999999998E-4</v>
      </c>
      <c r="ED20" s="4">
        <v>2.9389999999999999E-4</v>
      </c>
      <c r="EE20" s="4">
        <v>2.6249999999999998E-4</v>
      </c>
      <c r="EF20" s="4">
        <v>2.353E-4</v>
      </c>
      <c r="EG20" s="4">
        <v>2.1330000000000001E-4</v>
      </c>
      <c r="EH20" s="4">
        <v>1.939E-4</v>
      </c>
      <c r="EI20" s="4">
        <v>1.7679999999999999E-4</v>
      </c>
      <c r="EJ20" s="4">
        <v>1.6210000000000001E-4</v>
      </c>
      <c r="EK20" s="4">
        <v>1.4899999999999999E-4</v>
      </c>
      <c r="EL20" s="4">
        <v>1.3740000000000001E-4</v>
      </c>
      <c r="EM20" s="4">
        <v>1.271E-4</v>
      </c>
      <c r="EN20" s="4">
        <v>1.18E-4</v>
      </c>
      <c r="EO20" s="4">
        <v>1.098E-4</v>
      </c>
      <c r="EP20" s="4">
        <v>1.024E-4</v>
      </c>
      <c r="EQ20" s="4">
        <v>9.59E-5</v>
      </c>
      <c r="ER20" s="4">
        <v>9.0000000000000006E-5</v>
      </c>
      <c r="ES20" s="4">
        <v>8.4699999999999999E-5</v>
      </c>
      <c r="ET20" s="4">
        <v>7.9900000000000004E-5</v>
      </c>
      <c r="EU20" s="4">
        <v>7.5500000000000006E-5</v>
      </c>
      <c r="EV20" s="4">
        <v>7.1500000000000003E-5</v>
      </c>
      <c r="EW20" s="4">
        <v>6.7899999999999997E-5</v>
      </c>
      <c r="EX20" s="4">
        <v>6.4599999999999998E-5</v>
      </c>
      <c r="EY20" s="4">
        <v>6.1500000000000004E-5</v>
      </c>
      <c r="EZ20" s="4">
        <v>5.8600000000000001E-5</v>
      </c>
      <c r="FA20" s="4">
        <v>5.5999999999999999E-5</v>
      </c>
      <c r="FB20" s="4">
        <v>5.3499999999999999E-5</v>
      </c>
      <c r="FC20" s="4">
        <v>5.1199999999999998E-5</v>
      </c>
      <c r="FD20" s="4">
        <v>4.9100000000000001E-5</v>
      </c>
      <c r="FE20" s="4">
        <v>4.71E-5</v>
      </c>
      <c r="FF20" s="4">
        <v>4.5300000000000003E-5</v>
      </c>
      <c r="FG20" s="4">
        <v>4.35E-5</v>
      </c>
      <c r="FH20" s="4">
        <v>4.1900000000000002E-5</v>
      </c>
      <c r="FI20" s="4">
        <v>4.0399999999999999E-5</v>
      </c>
      <c r="FJ20" s="4">
        <v>3.8999999999999999E-5</v>
      </c>
      <c r="FK20" s="4">
        <v>3.7700000000000002E-5</v>
      </c>
      <c r="FL20" s="4">
        <v>3.6399999999999997E-5</v>
      </c>
      <c r="FM20" s="4">
        <v>3.5299999999999997E-5</v>
      </c>
      <c r="FN20" s="4">
        <v>3.4199999999999998E-5</v>
      </c>
      <c r="FO20" s="4">
        <v>3.3200000000000001E-5</v>
      </c>
      <c r="FP20" s="4">
        <v>3.2199999999999997E-5</v>
      </c>
      <c r="FQ20" s="4">
        <v>3.1399999999999998E-5</v>
      </c>
      <c r="FR20" s="4">
        <v>3.0499999999999999E-5</v>
      </c>
      <c r="FS20" s="4">
        <v>2.97E-5</v>
      </c>
      <c r="FT20" s="4">
        <v>2.9E-5</v>
      </c>
      <c r="FU20" s="4">
        <v>2.83E-5</v>
      </c>
      <c r="FV20" s="4">
        <v>2.7699999999999999E-5</v>
      </c>
      <c r="FW20" s="4">
        <v>2.6999999999999999E-5</v>
      </c>
      <c r="FX20" s="4">
        <v>2.6400000000000001E-5</v>
      </c>
      <c r="FY20" s="4">
        <v>2.5899999999999999E-5</v>
      </c>
      <c r="FZ20" s="4">
        <v>2.5400000000000001E-5</v>
      </c>
      <c r="GA20" s="4">
        <v>2.4899999999999999E-5</v>
      </c>
      <c r="GB20" s="4">
        <v>2.44E-5</v>
      </c>
      <c r="GC20" s="4">
        <v>2.3900000000000002E-5</v>
      </c>
      <c r="GD20" s="4">
        <v>2.3499999999999999E-5</v>
      </c>
      <c r="GE20" s="4">
        <v>2.3099999999999999E-5</v>
      </c>
      <c r="GF20" s="4">
        <v>2.27E-5</v>
      </c>
      <c r="GG20" s="4">
        <v>2.23E-5</v>
      </c>
      <c r="GH20" s="4">
        <v>2.19E-5</v>
      </c>
      <c r="GI20" s="4">
        <v>2.16E-5</v>
      </c>
      <c r="GJ20" s="4">
        <v>2.12E-5</v>
      </c>
      <c r="GK20" s="4">
        <v>2.09E-5</v>
      </c>
      <c r="GL20" s="4">
        <v>2.0599999999999999E-5</v>
      </c>
      <c r="GM20" s="4">
        <v>2.02E-5</v>
      </c>
      <c r="GN20" s="4">
        <v>1.9899999999999999E-5</v>
      </c>
      <c r="GO20" s="4">
        <v>1.9599999999999999E-5</v>
      </c>
      <c r="GP20" s="4">
        <v>1.9400000000000001E-5</v>
      </c>
      <c r="GQ20" s="4">
        <v>1.91E-5</v>
      </c>
      <c r="GR20" s="4">
        <v>1.88E-5</v>
      </c>
      <c r="GS20" s="4">
        <v>1.8499999999999999E-5</v>
      </c>
      <c r="GT20" s="4">
        <v>1.8300000000000001E-5</v>
      </c>
      <c r="GU20" s="4">
        <v>1.8E-5</v>
      </c>
      <c r="GV20" s="4">
        <v>1.7799999999999999E-5</v>
      </c>
      <c r="GW20" s="4">
        <v>1.7499999999999998E-5</v>
      </c>
      <c r="GX20" s="4">
        <v>1.73E-5</v>
      </c>
      <c r="GY20" s="4">
        <v>1.7E-5</v>
      </c>
      <c r="GZ20" s="4">
        <v>1.6799999999999998E-5</v>
      </c>
      <c r="HA20" s="4">
        <v>1.66E-5</v>
      </c>
      <c r="HB20" s="4">
        <v>1.63E-5</v>
      </c>
      <c r="HC20" s="4">
        <v>1.6099999999999998E-5</v>
      </c>
      <c r="HD20" s="4">
        <v>1.59E-5</v>
      </c>
      <c r="HE20" s="4">
        <v>1.5699999999999999E-5</v>
      </c>
      <c r="HF20" s="4">
        <v>1.5500000000000001E-5</v>
      </c>
      <c r="HG20" s="4">
        <v>1.5299999999999999E-5</v>
      </c>
      <c r="HH20" s="4">
        <v>1.5099999999999999E-5</v>
      </c>
      <c r="HI20" s="4">
        <v>1.49E-5</v>
      </c>
      <c r="HJ20" s="4">
        <v>1.47E-5</v>
      </c>
      <c r="HK20" s="4">
        <v>1.45E-5</v>
      </c>
      <c r="HL20" s="4">
        <v>1.43E-5</v>
      </c>
      <c r="HM20" s="4">
        <v>1.4100000000000001E-5</v>
      </c>
      <c r="HN20" s="4">
        <v>1.3900000000000001E-5</v>
      </c>
      <c r="HO20" s="4">
        <v>1.3699999999999999E-5</v>
      </c>
      <c r="HP20" s="4">
        <v>1.3499999999999999E-5</v>
      </c>
      <c r="HQ20" s="4">
        <v>1.33E-5</v>
      </c>
      <c r="HR20" s="4">
        <v>1.31E-5</v>
      </c>
      <c r="HS20" s="4">
        <v>1.2999999999999999E-5</v>
      </c>
      <c r="HT20" s="4">
        <v>1.2799999999999999E-5</v>
      </c>
      <c r="HU20" s="4">
        <v>1.26E-5</v>
      </c>
      <c r="HV20" s="4">
        <v>1.24E-5</v>
      </c>
      <c r="HW20" s="4">
        <v>1.2300000000000001E-5</v>
      </c>
      <c r="HX20" s="4">
        <v>1.2099999999999999E-5</v>
      </c>
      <c r="HY20" s="4">
        <v>1.19E-5</v>
      </c>
      <c r="HZ20" s="4">
        <v>1.1800000000000001E-5</v>
      </c>
      <c r="IA20" s="4">
        <v>1.1600000000000001E-5</v>
      </c>
      <c r="IB20" s="4">
        <v>1.1399999999999999E-5</v>
      </c>
      <c r="IC20" s="4">
        <v>1.13E-5</v>
      </c>
      <c r="ID20" s="4">
        <v>1.11E-5</v>
      </c>
      <c r="IE20" s="4">
        <v>1.1E-5</v>
      </c>
      <c r="IF20" s="4">
        <v>1.08E-5</v>
      </c>
      <c r="IG20" s="4">
        <v>7.5480000000000002E-4</v>
      </c>
      <c r="IH20" s="4"/>
      <c r="II20" s="4">
        <f t="shared" si="245"/>
        <v>0.11541129659713867</v>
      </c>
      <c r="IJ20">
        <f t="shared" si="246"/>
        <v>0.35513681249999962</v>
      </c>
      <c r="IN20" s="4"/>
      <c r="IO20" s="4"/>
      <c r="IP20" s="4"/>
      <c r="IQ20" s="4"/>
      <c r="IR20" s="4"/>
      <c r="IS20" s="4"/>
      <c r="IT20" s="4"/>
      <c r="IU20" s="4"/>
      <c r="IV20" s="4"/>
    </row>
    <row r="21" spans="1:256" x14ac:dyDescent="0.35">
      <c r="A21" s="1">
        <v>13</v>
      </c>
      <c r="B21" s="4">
        <v>1.1099700000000001E-2</v>
      </c>
      <c r="C21" s="4">
        <v>1.1099700000000001E-2</v>
      </c>
      <c r="D21" s="4">
        <v>1.1040299999999999E-2</v>
      </c>
      <c r="E21" s="4">
        <v>1.08477E-2</v>
      </c>
      <c r="F21" s="4">
        <v>1.0104200000000001E-2</v>
      </c>
      <c r="G21" s="4">
        <v>9.4733999999999999E-3</v>
      </c>
      <c r="H21" s="4">
        <v>8.8853000000000005E-3</v>
      </c>
      <c r="I21" s="4">
        <v>8.2561000000000006E-3</v>
      </c>
      <c r="J21" s="4">
        <v>7.6984999999999996E-3</v>
      </c>
      <c r="K21" s="4">
        <v>7.0177E-3</v>
      </c>
      <c r="L21" s="4">
        <v>6.3572000000000004E-3</v>
      </c>
      <c r="M21" s="4">
        <v>5.7137000000000004E-3</v>
      </c>
      <c r="N21" s="4">
        <v>4.6756000000000002E-3</v>
      </c>
      <c r="O21" s="4">
        <v>5.0546000000000002E-3</v>
      </c>
      <c r="P21" s="4">
        <v>4.8199000000000002E-3</v>
      </c>
      <c r="Q21" s="4">
        <v>4.6080000000000001E-3</v>
      </c>
      <c r="R21" s="4">
        <v>4.4308999999999998E-3</v>
      </c>
      <c r="S21" s="4">
        <v>4.2667E-3</v>
      </c>
      <c r="T21" s="4">
        <v>4.1140999999999999E-3</v>
      </c>
      <c r="U21" s="4">
        <v>3.9750000000000002E-3</v>
      </c>
      <c r="V21" s="4">
        <v>3.846E-3</v>
      </c>
      <c r="W21" s="4">
        <v>3.7261999999999998E-3</v>
      </c>
      <c r="X21" s="4">
        <v>3.6145000000000001E-3</v>
      </c>
      <c r="Y21" s="4">
        <v>3.5103000000000001E-3</v>
      </c>
      <c r="Z21" s="4">
        <v>3.4126E-3</v>
      </c>
      <c r="AA21" s="4">
        <v>3.3208999999999999E-3</v>
      </c>
      <c r="AB21" s="4">
        <v>3.2345999999999998E-3</v>
      </c>
      <c r="AC21" s="4">
        <v>3.1532000000000001E-3</v>
      </c>
      <c r="AD21" s="4">
        <v>3.0761E-3</v>
      </c>
      <c r="AE21" s="4">
        <v>3.0030999999999999E-3</v>
      </c>
      <c r="AF21" s="4">
        <v>2.9337E-3</v>
      </c>
      <c r="AG21" s="4">
        <v>2.8676999999999999E-3</v>
      </c>
      <c r="AH21" s="4">
        <v>2.8046999999999998E-3</v>
      </c>
      <c r="AI21" s="4">
        <v>2.7445999999999998E-3</v>
      </c>
      <c r="AJ21" s="4">
        <v>2.6871999999999998E-3</v>
      </c>
      <c r="AK21" s="4">
        <v>2.6321999999999999E-3</v>
      </c>
      <c r="AL21" s="4">
        <v>2.5795000000000002E-3</v>
      </c>
      <c r="AM21" s="4">
        <v>2.5289000000000002E-3</v>
      </c>
      <c r="AN21" s="4">
        <v>2.4803999999999998E-3</v>
      </c>
      <c r="AO21" s="4">
        <v>2.4337999999999999E-3</v>
      </c>
      <c r="AP21" s="4">
        <v>2.3888999999999998E-3</v>
      </c>
      <c r="AQ21" s="4">
        <v>2.3457E-3</v>
      </c>
      <c r="AR21" s="4">
        <v>2.3040000000000001E-3</v>
      </c>
      <c r="AS21" s="4">
        <v>2.2639000000000001E-3</v>
      </c>
      <c r="AT21" s="4">
        <v>2.225E-3</v>
      </c>
      <c r="AU21" s="4">
        <v>2.1875000000000002E-3</v>
      </c>
      <c r="AV21" s="4">
        <v>2.1511E-3</v>
      </c>
      <c r="AW21" s="4">
        <v>2.1159E-3</v>
      </c>
      <c r="AX21" s="4">
        <v>2.0818E-3</v>
      </c>
      <c r="AY21" s="4">
        <v>2.0485999999999998E-3</v>
      </c>
      <c r="AZ21" s="4">
        <v>2.0163999999999998E-3</v>
      </c>
      <c r="BA21" s="4">
        <v>1.9849999999999998E-3</v>
      </c>
      <c r="BB21" s="4">
        <v>1.9545000000000001E-3</v>
      </c>
      <c r="BC21" s="4">
        <v>1.9246999999999999E-3</v>
      </c>
      <c r="BD21" s="4">
        <v>1.8956999999999999E-3</v>
      </c>
      <c r="BE21" s="4">
        <v>1.8672999999999999E-3</v>
      </c>
      <c r="BF21" s="4">
        <v>1.8397000000000001E-3</v>
      </c>
      <c r="BG21" s="4">
        <v>1.8125999999999999E-3</v>
      </c>
      <c r="BH21" s="4">
        <v>1.7861000000000001E-3</v>
      </c>
      <c r="BI21" s="4">
        <v>1.7600999999999999E-3</v>
      </c>
      <c r="BJ21" s="4">
        <v>1.7347E-3</v>
      </c>
      <c r="BK21" s="4">
        <v>1.7098E-3</v>
      </c>
      <c r="BL21" s="4">
        <v>1.6853E-3</v>
      </c>
      <c r="BM21" s="4">
        <v>1.6613000000000001E-3</v>
      </c>
      <c r="BN21" s="4">
        <v>1.6378E-3</v>
      </c>
      <c r="BO21" s="4">
        <v>1.6146000000000001E-3</v>
      </c>
      <c r="BP21" s="4">
        <v>1.5918E-3</v>
      </c>
      <c r="BQ21" s="4">
        <v>1.5694999999999999E-3</v>
      </c>
      <c r="BR21" s="4">
        <v>1.5475E-3</v>
      </c>
      <c r="BS21" s="4">
        <v>1.5257999999999999E-3</v>
      </c>
      <c r="BT21" s="4">
        <v>1.5045E-3</v>
      </c>
      <c r="BU21" s="4">
        <v>1.4835E-3</v>
      </c>
      <c r="BV21" s="4">
        <v>1.4628E-3</v>
      </c>
      <c r="BW21" s="4">
        <v>1.4425E-3</v>
      </c>
      <c r="BX21" s="4">
        <v>1.4224000000000001E-3</v>
      </c>
      <c r="BY21" s="4">
        <v>1.4025999999999999E-3</v>
      </c>
      <c r="BZ21" s="4">
        <v>1.3832E-3</v>
      </c>
      <c r="CA21" s="4">
        <v>1.364E-3</v>
      </c>
      <c r="CB21" s="4">
        <v>1.3450000000000001E-3</v>
      </c>
      <c r="CC21" s="4">
        <v>1.3263999999999999E-3</v>
      </c>
      <c r="CD21" s="4">
        <v>1.3079999999999999E-3</v>
      </c>
      <c r="CE21" s="4">
        <v>1.2898E-3</v>
      </c>
      <c r="CF21" s="4">
        <v>1.2719000000000001E-3</v>
      </c>
      <c r="CG21" s="4">
        <v>1.2542E-3</v>
      </c>
      <c r="CH21" s="4">
        <v>1.2367999999999999E-3</v>
      </c>
      <c r="CI21" s="4">
        <v>1.2195999999999999E-3</v>
      </c>
      <c r="CJ21" s="4">
        <v>1.2026999999999999E-3</v>
      </c>
      <c r="CK21" s="4">
        <v>1.186E-3</v>
      </c>
      <c r="CL21" s="4">
        <v>1.1695E-3</v>
      </c>
      <c r="CM21" s="4">
        <v>1.1532000000000001E-3</v>
      </c>
      <c r="CN21" s="4">
        <v>1.1371E-3</v>
      </c>
      <c r="CO21" s="4">
        <v>1.1213E-3</v>
      </c>
      <c r="CP21" s="4">
        <v>1.1057E-3</v>
      </c>
      <c r="CQ21" s="4">
        <v>1.0901999999999999E-3</v>
      </c>
      <c r="CR21" s="4">
        <v>1.075E-3</v>
      </c>
      <c r="CS21" s="4">
        <v>1.06E-3</v>
      </c>
      <c r="CT21" s="4">
        <v>1.0452E-3</v>
      </c>
      <c r="CU21" s="4">
        <v>1.0306E-3</v>
      </c>
      <c r="CV21" s="4">
        <v>1.0162000000000001E-3</v>
      </c>
      <c r="CW21" s="4">
        <v>1.0020000000000001E-3</v>
      </c>
      <c r="CX21" s="4">
        <v>9.8790000000000011E-4</v>
      </c>
      <c r="CY21" s="4">
        <v>9.7409999999999999E-4</v>
      </c>
      <c r="CZ21" s="4">
        <v>9.6040000000000003E-4</v>
      </c>
      <c r="DA21" s="4">
        <v>9.4700000000000003E-4</v>
      </c>
      <c r="DB21" s="4">
        <v>9.3369999999999998E-4</v>
      </c>
      <c r="DC21" s="4">
        <v>9.2060000000000004E-4</v>
      </c>
      <c r="DD21" s="4">
        <v>9.0760000000000005E-4</v>
      </c>
      <c r="DE21" s="4">
        <v>8.9490000000000001E-4</v>
      </c>
      <c r="DF21" s="4">
        <v>8.8230000000000003E-4</v>
      </c>
      <c r="DG21" s="4">
        <v>8.6989999999999995E-4</v>
      </c>
      <c r="DH21" s="4">
        <v>8.5760000000000003E-4</v>
      </c>
      <c r="DI21" s="4">
        <v>8.4559999999999995E-4</v>
      </c>
      <c r="DJ21" s="4">
        <v>8.3359999999999999E-4</v>
      </c>
      <c r="DK21" s="4">
        <v>8.2189999999999997E-4</v>
      </c>
      <c r="DL21" s="4">
        <v>8.1030000000000002E-4</v>
      </c>
      <c r="DM21" s="4">
        <v>7.9889999999999996E-4</v>
      </c>
      <c r="DN21" s="4">
        <v>7.8759999999999995E-4</v>
      </c>
      <c r="DO21" s="4">
        <v>7.7649999999999996E-4</v>
      </c>
      <c r="DP21" s="4">
        <v>7.6550000000000001E-4</v>
      </c>
      <c r="DQ21" s="4">
        <v>5.3163200000000001E-2</v>
      </c>
      <c r="DR21" s="4">
        <v>0</v>
      </c>
      <c r="DS21" s="4">
        <v>5.94E-5</v>
      </c>
      <c r="DT21" s="4">
        <v>1.9269999999999999E-4</v>
      </c>
      <c r="DU21" s="4">
        <v>7.4379999999999997E-4</v>
      </c>
      <c r="DV21" s="4">
        <v>6.3100000000000005E-4</v>
      </c>
      <c r="DW21" s="4">
        <v>6.0610000000000004E-4</v>
      </c>
      <c r="DX21" s="4">
        <v>6.2500000000000001E-4</v>
      </c>
      <c r="DY21" s="4">
        <v>5.4659999999999995E-4</v>
      </c>
      <c r="DZ21" s="4">
        <v>5.0029999999999996E-4</v>
      </c>
      <c r="EA21" s="4">
        <v>4.282E-4</v>
      </c>
      <c r="EB21" s="4">
        <v>3.678E-4</v>
      </c>
      <c r="EC21" s="4">
        <v>3.145E-4</v>
      </c>
      <c r="ED21" s="4">
        <v>2.4250000000000001E-4</v>
      </c>
      <c r="EE21" s="4">
        <v>2.6160000000000002E-4</v>
      </c>
      <c r="EF21" s="4">
        <v>2.3499999999999999E-4</v>
      </c>
      <c r="EG21" s="4">
        <v>2.117E-4</v>
      </c>
      <c r="EH21" s="4">
        <v>1.928E-4</v>
      </c>
      <c r="EI21" s="4">
        <v>1.76E-4</v>
      </c>
      <c r="EJ21" s="4">
        <v>1.6119999999999999E-4</v>
      </c>
      <c r="EK21" s="4">
        <v>1.483E-4</v>
      </c>
      <c r="EL21" s="4">
        <v>1.3679999999999999E-4</v>
      </c>
      <c r="EM21" s="4">
        <v>1.2669999999999999E-4</v>
      </c>
      <c r="EN21" s="4">
        <v>1.176E-4</v>
      </c>
      <c r="EO21" s="4">
        <v>1.0950000000000001E-4</v>
      </c>
      <c r="EP21" s="4">
        <v>1.022E-4</v>
      </c>
      <c r="EQ21" s="4">
        <v>9.5699999999999995E-5</v>
      </c>
      <c r="ER21" s="4">
        <v>8.9900000000000003E-5</v>
      </c>
      <c r="ES21" s="4">
        <v>8.4599999999999996E-5</v>
      </c>
      <c r="ET21" s="4">
        <v>7.9900000000000004E-5</v>
      </c>
      <c r="EU21" s="4">
        <v>7.5599999999999994E-5</v>
      </c>
      <c r="EV21" s="4">
        <v>7.1600000000000006E-5</v>
      </c>
      <c r="EW21" s="4">
        <v>6.7999999999999999E-5</v>
      </c>
      <c r="EX21" s="4">
        <v>6.4700000000000001E-5</v>
      </c>
      <c r="EY21" s="4">
        <v>6.1600000000000007E-5</v>
      </c>
      <c r="EZ21" s="4">
        <v>5.8799999999999999E-5</v>
      </c>
      <c r="FA21" s="4">
        <v>5.6199999999999997E-5</v>
      </c>
      <c r="FB21" s="4">
        <v>5.3699999999999997E-5</v>
      </c>
      <c r="FC21" s="4">
        <v>5.1400000000000003E-5</v>
      </c>
      <c r="FD21" s="4">
        <v>4.9299999999999999E-5</v>
      </c>
      <c r="FE21" s="4">
        <v>4.7299999999999998E-5</v>
      </c>
      <c r="FF21" s="4">
        <v>4.5500000000000001E-5</v>
      </c>
      <c r="FG21" s="4">
        <v>4.3699999999999998E-5</v>
      </c>
      <c r="FH21" s="4">
        <v>4.21E-5</v>
      </c>
      <c r="FI21" s="4">
        <v>4.0599999999999998E-5</v>
      </c>
      <c r="FJ21" s="4">
        <v>3.9199999999999997E-5</v>
      </c>
      <c r="FK21" s="4">
        <v>3.79E-5</v>
      </c>
      <c r="FL21" s="4">
        <v>3.6600000000000002E-5</v>
      </c>
      <c r="FM21" s="4">
        <v>3.5500000000000002E-5</v>
      </c>
      <c r="FN21" s="4">
        <v>3.4400000000000003E-5</v>
      </c>
      <c r="FO21" s="4">
        <v>3.3399999999999999E-5</v>
      </c>
      <c r="FP21" s="4">
        <v>3.2400000000000001E-5</v>
      </c>
      <c r="FQ21" s="4">
        <v>3.15E-5</v>
      </c>
      <c r="FR21" s="4">
        <v>3.0700000000000001E-5</v>
      </c>
      <c r="FS21" s="4">
        <v>2.9899999999999998E-5</v>
      </c>
      <c r="FT21" s="4">
        <v>2.9099999999999999E-5</v>
      </c>
      <c r="FU21" s="4">
        <v>2.8399999999999999E-5</v>
      </c>
      <c r="FV21" s="4">
        <v>2.7800000000000001E-5</v>
      </c>
      <c r="FW21" s="4">
        <v>2.72E-5</v>
      </c>
      <c r="FX21" s="4">
        <v>2.6599999999999999E-5</v>
      </c>
      <c r="FY21" s="4">
        <v>2.5999999999999998E-5</v>
      </c>
      <c r="FZ21" s="4">
        <v>2.55E-5</v>
      </c>
      <c r="GA21" s="4">
        <v>2.5000000000000001E-5</v>
      </c>
      <c r="GB21" s="4">
        <v>2.4499999999999999E-5</v>
      </c>
      <c r="GC21" s="4">
        <v>2.4000000000000001E-5</v>
      </c>
      <c r="GD21" s="4">
        <v>2.3600000000000001E-5</v>
      </c>
      <c r="GE21" s="4">
        <v>2.3200000000000001E-5</v>
      </c>
      <c r="GF21" s="4">
        <v>2.2799999999999999E-5</v>
      </c>
      <c r="GG21" s="4">
        <v>2.2399999999999999E-5</v>
      </c>
      <c r="GH21" s="4">
        <v>2.1999999999999999E-5</v>
      </c>
      <c r="GI21" s="4">
        <v>2.16E-5</v>
      </c>
      <c r="GJ21" s="4">
        <v>2.1299999999999999E-5</v>
      </c>
      <c r="GK21" s="4">
        <v>2.09E-5</v>
      </c>
      <c r="GL21" s="4">
        <v>2.0599999999999999E-5</v>
      </c>
      <c r="GM21" s="4">
        <v>2.0299999999999999E-5</v>
      </c>
      <c r="GN21" s="4">
        <v>2.0000000000000002E-5</v>
      </c>
      <c r="GO21" s="4">
        <v>1.9700000000000001E-5</v>
      </c>
      <c r="GP21" s="4">
        <v>1.9400000000000001E-5</v>
      </c>
      <c r="GQ21" s="4">
        <v>1.91E-5</v>
      </c>
      <c r="GR21" s="4">
        <v>1.88E-5</v>
      </c>
      <c r="GS21" s="4">
        <v>1.8600000000000001E-5</v>
      </c>
      <c r="GT21" s="4">
        <v>1.8300000000000001E-5</v>
      </c>
      <c r="GU21" s="4">
        <v>1.8E-5</v>
      </c>
      <c r="GV21" s="4">
        <v>1.7799999999999999E-5</v>
      </c>
      <c r="GW21" s="4">
        <v>1.7499999999999998E-5</v>
      </c>
      <c r="GX21" s="4">
        <v>1.73E-5</v>
      </c>
      <c r="GY21" s="4">
        <v>1.7099999999999999E-5</v>
      </c>
      <c r="GZ21" s="4">
        <v>1.6799999999999998E-5</v>
      </c>
      <c r="HA21" s="4">
        <v>1.66E-5</v>
      </c>
      <c r="HB21" s="4">
        <v>1.6399999999999999E-5</v>
      </c>
      <c r="HC21" s="4">
        <v>1.6099999999999998E-5</v>
      </c>
      <c r="HD21" s="4">
        <v>1.59E-5</v>
      </c>
      <c r="HE21" s="4">
        <v>1.5699999999999999E-5</v>
      </c>
      <c r="HF21" s="4">
        <v>1.5500000000000001E-5</v>
      </c>
      <c r="HG21" s="4">
        <v>1.5299999999999999E-5</v>
      </c>
      <c r="HH21" s="4">
        <v>1.5099999999999999E-5</v>
      </c>
      <c r="HI21" s="4">
        <v>1.49E-5</v>
      </c>
      <c r="HJ21" s="4">
        <v>1.47E-5</v>
      </c>
      <c r="HK21" s="4">
        <v>1.45E-5</v>
      </c>
      <c r="HL21" s="4">
        <v>1.43E-5</v>
      </c>
      <c r="HM21" s="4">
        <v>1.4100000000000001E-5</v>
      </c>
      <c r="HN21" s="4">
        <v>1.3900000000000001E-5</v>
      </c>
      <c r="HO21" s="4">
        <v>1.3699999999999999E-5</v>
      </c>
      <c r="HP21" s="4">
        <v>1.3499999999999999E-5</v>
      </c>
      <c r="HQ21" s="4">
        <v>1.33E-5</v>
      </c>
      <c r="HR21" s="4">
        <v>1.31E-5</v>
      </c>
      <c r="HS21" s="4">
        <v>1.2999999999999999E-5</v>
      </c>
      <c r="HT21" s="4">
        <v>1.2799999999999999E-5</v>
      </c>
      <c r="HU21" s="4">
        <v>1.26E-5</v>
      </c>
      <c r="HV21" s="4">
        <v>1.24E-5</v>
      </c>
      <c r="HW21" s="4">
        <v>1.2300000000000001E-5</v>
      </c>
      <c r="HX21" s="4">
        <v>1.2099999999999999E-5</v>
      </c>
      <c r="HY21" s="4">
        <v>1.19E-5</v>
      </c>
      <c r="HZ21" s="4">
        <v>1.1800000000000001E-5</v>
      </c>
      <c r="IA21" s="4">
        <v>1.1600000000000001E-5</v>
      </c>
      <c r="IB21" s="4">
        <v>1.1399999999999999E-5</v>
      </c>
      <c r="IC21" s="4">
        <v>1.13E-5</v>
      </c>
      <c r="ID21" s="4">
        <v>1.11E-5</v>
      </c>
      <c r="IE21" s="4">
        <v>1.1E-5</v>
      </c>
      <c r="IF21" s="4">
        <v>1.08E-5</v>
      </c>
      <c r="IG21" s="4">
        <v>7.5480000000000002E-4</v>
      </c>
      <c r="IH21" s="4"/>
      <c r="II21" s="4">
        <f t="shared" si="245"/>
        <v>0.11571106835453127</v>
      </c>
      <c r="IJ21">
        <f t="shared" si="246"/>
        <v>0.3557542125</v>
      </c>
      <c r="IN21" s="4"/>
      <c r="IO21" s="4"/>
      <c r="IP21" s="4"/>
      <c r="IQ21" s="4"/>
      <c r="IR21" s="4"/>
      <c r="IS21" s="4"/>
      <c r="IT21" s="4"/>
      <c r="IU21" s="4"/>
      <c r="IV21" s="4"/>
    </row>
    <row r="22" spans="1:256" x14ac:dyDescent="0.35">
      <c r="A22" s="1">
        <v>14</v>
      </c>
      <c r="B22" s="4">
        <v>1.1099700000000001E-2</v>
      </c>
      <c r="C22" s="4">
        <v>1.1099700000000001E-2</v>
      </c>
      <c r="D22" s="4">
        <v>1.1040299999999999E-2</v>
      </c>
      <c r="E22" s="4">
        <v>1.0847600000000001E-2</v>
      </c>
      <c r="F22" s="4">
        <v>1.0103900000000001E-2</v>
      </c>
      <c r="G22" s="4">
        <v>9.4731999999999993E-3</v>
      </c>
      <c r="H22" s="4">
        <v>8.8672999999999998E-3</v>
      </c>
      <c r="I22" s="4">
        <v>8.2602000000000005E-3</v>
      </c>
      <c r="J22" s="4">
        <v>7.7095000000000002E-3</v>
      </c>
      <c r="K22" s="4">
        <v>7.1982000000000001E-3</v>
      </c>
      <c r="L22" s="4">
        <v>6.5894999999999999E-3</v>
      </c>
      <c r="M22" s="4">
        <v>5.9893999999999998E-3</v>
      </c>
      <c r="N22" s="4">
        <v>5.3991999999999998E-3</v>
      </c>
      <c r="O22" s="4">
        <v>4.4330999999999997E-3</v>
      </c>
      <c r="P22" s="4">
        <v>4.7930000000000004E-3</v>
      </c>
      <c r="Q22" s="4">
        <v>4.5849000000000003E-3</v>
      </c>
      <c r="R22" s="4">
        <v>4.3962999999999997E-3</v>
      </c>
      <c r="S22" s="4">
        <v>4.2380999999999999E-3</v>
      </c>
      <c r="T22" s="4">
        <v>4.0907000000000001E-3</v>
      </c>
      <c r="U22" s="4">
        <v>3.9528999999999996E-3</v>
      </c>
      <c r="V22" s="4">
        <v>3.8267000000000002E-3</v>
      </c>
      <c r="W22" s="4">
        <v>3.7090999999999999E-3</v>
      </c>
      <c r="X22" s="4">
        <v>3.5994999999999998E-3</v>
      </c>
      <c r="Y22" s="4">
        <v>3.4968999999999998E-3</v>
      </c>
      <c r="Z22" s="4">
        <v>3.4007999999999998E-3</v>
      </c>
      <c r="AA22" s="4">
        <v>3.3103999999999998E-3</v>
      </c>
      <c r="AB22" s="4">
        <v>3.2252000000000001E-3</v>
      </c>
      <c r="AC22" s="4">
        <v>3.1446999999999998E-3</v>
      </c>
      <c r="AD22" s="4">
        <v>3.0685E-3</v>
      </c>
      <c r="AE22" s="4">
        <v>2.9962999999999999E-3</v>
      </c>
      <c r="AF22" s="4">
        <v>2.9275E-3</v>
      </c>
      <c r="AG22" s="4">
        <v>2.8620999999999998E-3</v>
      </c>
      <c r="AH22" s="4">
        <v>2.7997E-3</v>
      </c>
      <c r="AI22" s="4">
        <v>2.7399999999999998E-3</v>
      </c>
      <c r="AJ22" s="4">
        <v>2.6830000000000001E-3</v>
      </c>
      <c r="AK22" s="4">
        <v>2.6283999999999999E-3</v>
      </c>
      <c r="AL22" s="4">
        <v>2.5760000000000002E-3</v>
      </c>
      <c r="AM22" s="4">
        <v>2.5257999999999999E-3</v>
      </c>
      <c r="AN22" s="4">
        <v>2.4775000000000001E-3</v>
      </c>
      <c r="AO22" s="4">
        <v>2.4310999999999998E-3</v>
      </c>
      <c r="AP22" s="4">
        <v>2.3865000000000002E-3</v>
      </c>
      <c r="AQ22" s="4">
        <v>2.3435000000000001E-3</v>
      </c>
      <c r="AR22" s="4">
        <v>2.3019999999999998E-3</v>
      </c>
      <c r="AS22" s="4">
        <v>2.2618999999999998E-3</v>
      </c>
      <c r="AT22" s="4">
        <v>2.2233000000000001E-3</v>
      </c>
      <c r="AU22" s="4">
        <v>2.1857999999999999E-3</v>
      </c>
      <c r="AV22" s="4">
        <v>2.1496000000000002E-3</v>
      </c>
      <c r="AW22" s="4">
        <v>2.1145000000000001E-3</v>
      </c>
      <c r="AX22" s="4">
        <v>2.0804999999999999E-3</v>
      </c>
      <c r="AY22" s="4">
        <v>2.0474E-3</v>
      </c>
      <c r="AZ22" s="4">
        <v>2.0152E-3</v>
      </c>
      <c r="BA22" s="4">
        <v>1.9840000000000001E-3</v>
      </c>
      <c r="BB22" s="4">
        <v>1.9534999999999999E-3</v>
      </c>
      <c r="BC22" s="4">
        <v>1.9238E-3</v>
      </c>
      <c r="BD22" s="4">
        <v>1.8948000000000001E-3</v>
      </c>
      <c r="BE22" s="4">
        <v>1.8665000000000001E-3</v>
      </c>
      <c r="BF22" s="4">
        <v>1.8389000000000001E-3</v>
      </c>
      <c r="BG22" s="4">
        <v>1.8119E-3</v>
      </c>
      <c r="BH22" s="4">
        <v>1.7853999999999999E-3</v>
      </c>
      <c r="BI22" s="4">
        <v>1.7595E-3</v>
      </c>
      <c r="BJ22" s="4">
        <v>1.7340999999999999E-3</v>
      </c>
      <c r="BK22" s="4">
        <v>1.7091999999999999E-3</v>
      </c>
      <c r="BL22" s="4">
        <v>1.6848E-3</v>
      </c>
      <c r="BM22" s="4">
        <v>1.6609000000000001E-3</v>
      </c>
      <c r="BN22" s="4">
        <v>1.6373E-3</v>
      </c>
      <c r="BO22" s="4">
        <v>1.6142000000000001E-3</v>
      </c>
      <c r="BP22" s="4">
        <v>1.5915E-3</v>
      </c>
      <c r="BQ22" s="4">
        <v>1.5690999999999999E-3</v>
      </c>
      <c r="BR22" s="4">
        <v>1.5471E-3</v>
      </c>
      <c r="BS22" s="4">
        <v>1.5254999999999999E-3</v>
      </c>
      <c r="BT22" s="4">
        <v>1.5042E-3</v>
      </c>
      <c r="BU22" s="4">
        <v>1.4832000000000001E-3</v>
      </c>
      <c r="BV22" s="4">
        <v>1.4626000000000001E-3</v>
      </c>
      <c r="BW22" s="4">
        <v>1.4422E-3</v>
      </c>
      <c r="BX22" s="4">
        <v>1.4222E-3</v>
      </c>
      <c r="BY22" s="4">
        <v>1.4024E-3</v>
      </c>
      <c r="BZ22" s="4">
        <v>1.3829000000000001E-3</v>
      </c>
      <c r="CA22" s="4">
        <v>1.3638000000000001E-3</v>
      </c>
      <c r="CB22" s="4">
        <v>1.3447999999999999E-3</v>
      </c>
      <c r="CC22" s="4">
        <v>1.3262E-3</v>
      </c>
      <c r="CD22" s="4">
        <v>1.3078E-3</v>
      </c>
      <c r="CE22" s="4">
        <v>1.2895999999999999E-3</v>
      </c>
      <c r="CF22" s="4">
        <v>1.2718E-3</v>
      </c>
      <c r="CG22" s="4">
        <v>1.2541E-3</v>
      </c>
      <c r="CH22" s="4">
        <v>1.2367000000000001E-3</v>
      </c>
      <c r="CI22" s="4">
        <v>1.2195000000000001E-3</v>
      </c>
      <c r="CJ22" s="4">
        <v>1.2026000000000001E-3</v>
      </c>
      <c r="CK22" s="4">
        <v>1.1858999999999999E-3</v>
      </c>
      <c r="CL22" s="4">
        <v>1.1693999999999999E-3</v>
      </c>
      <c r="CM22" s="4">
        <v>1.1531E-3</v>
      </c>
      <c r="CN22" s="4">
        <v>1.1371E-3</v>
      </c>
      <c r="CO22" s="4">
        <v>1.1211999999999999E-3</v>
      </c>
      <c r="CP22" s="4">
        <v>1.1056E-3</v>
      </c>
      <c r="CQ22" s="4">
        <v>1.0901999999999999E-3</v>
      </c>
      <c r="CR22" s="4">
        <v>1.075E-3</v>
      </c>
      <c r="CS22" s="4">
        <v>1.06E-3</v>
      </c>
      <c r="CT22" s="4">
        <v>1.0452E-3</v>
      </c>
      <c r="CU22" s="4">
        <v>1.0304999999999999E-3</v>
      </c>
      <c r="CV22" s="4">
        <v>1.0161E-3</v>
      </c>
      <c r="CW22" s="4">
        <v>1.0019E-3</v>
      </c>
      <c r="CX22" s="4">
        <v>9.8790000000000011E-4</v>
      </c>
      <c r="CY22" s="4">
        <v>9.7400000000000004E-4</v>
      </c>
      <c r="CZ22" s="4">
        <v>9.6040000000000003E-4</v>
      </c>
      <c r="DA22" s="4">
        <v>9.4689999999999998E-4</v>
      </c>
      <c r="DB22" s="4">
        <v>9.3360000000000003E-4</v>
      </c>
      <c r="DC22" s="4">
        <v>9.2049999999999999E-4</v>
      </c>
      <c r="DD22" s="4">
        <v>9.0760000000000005E-4</v>
      </c>
      <c r="DE22" s="4">
        <v>8.9479999999999996E-4</v>
      </c>
      <c r="DF22" s="4">
        <v>8.8230000000000003E-4</v>
      </c>
      <c r="DG22" s="4">
        <v>8.6989999999999995E-4</v>
      </c>
      <c r="DH22" s="4">
        <v>8.5760000000000003E-4</v>
      </c>
      <c r="DI22" s="4">
        <v>8.4550000000000001E-4</v>
      </c>
      <c r="DJ22" s="4">
        <v>8.3359999999999999E-4</v>
      </c>
      <c r="DK22" s="4">
        <v>8.2189999999999997E-4</v>
      </c>
      <c r="DL22" s="4">
        <v>8.1030000000000002E-4</v>
      </c>
      <c r="DM22" s="4">
        <v>7.9889999999999996E-4</v>
      </c>
      <c r="DN22" s="4">
        <v>7.8759999999999995E-4</v>
      </c>
      <c r="DO22" s="4">
        <v>7.7649999999999996E-4</v>
      </c>
      <c r="DP22" s="4">
        <v>7.6550000000000001E-4</v>
      </c>
      <c r="DQ22" s="4">
        <v>5.3163099999999998E-2</v>
      </c>
      <c r="DR22" s="4">
        <v>0</v>
      </c>
      <c r="DS22" s="4">
        <v>5.94E-5</v>
      </c>
      <c r="DT22" s="4">
        <v>1.929E-4</v>
      </c>
      <c r="DU22" s="4">
        <v>7.4430000000000004E-4</v>
      </c>
      <c r="DV22" s="4">
        <v>6.3150000000000001E-4</v>
      </c>
      <c r="DW22" s="4">
        <v>6.0650000000000005E-4</v>
      </c>
      <c r="DX22" s="4">
        <v>6.2080000000000002E-4</v>
      </c>
      <c r="DY22" s="4">
        <v>5.4640000000000005E-4</v>
      </c>
      <c r="DZ22" s="4">
        <v>4.9989999999999995E-4</v>
      </c>
      <c r="EA22" s="4">
        <v>4.4180000000000001E-4</v>
      </c>
      <c r="EB22" s="4">
        <v>3.8240000000000003E-4</v>
      </c>
      <c r="EC22" s="4">
        <v>3.277E-4</v>
      </c>
      <c r="ED22" s="4">
        <v>2.8130000000000001E-4</v>
      </c>
      <c r="EE22" s="4">
        <v>2.176E-4</v>
      </c>
      <c r="EF22" s="4">
        <v>2.342E-4</v>
      </c>
      <c r="EG22" s="4">
        <v>2.1139999999999999E-4</v>
      </c>
      <c r="EH22" s="4">
        <v>1.9139999999999999E-4</v>
      </c>
      <c r="EI22" s="4">
        <v>1.75E-4</v>
      </c>
      <c r="EJ22" s="4">
        <v>1.605E-4</v>
      </c>
      <c r="EK22" s="4">
        <v>1.4760000000000001E-4</v>
      </c>
      <c r="EL22" s="4">
        <v>1.362E-4</v>
      </c>
      <c r="EM22" s="4">
        <v>1.261E-4</v>
      </c>
      <c r="EN22" s="4">
        <v>1.171E-4</v>
      </c>
      <c r="EO22" s="4">
        <v>1.0900000000000001E-4</v>
      </c>
      <c r="EP22" s="4">
        <v>1.0179999999999999E-4</v>
      </c>
      <c r="EQ22" s="4">
        <v>9.5299999999999999E-5</v>
      </c>
      <c r="ER22" s="4">
        <v>8.9499999999999994E-5</v>
      </c>
      <c r="ES22" s="4">
        <v>8.4300000000000003E-5</v>
      </c>
      <c r="ET22" s="4">
        <v>7.9599999999999997E-5</v>
      </c>
      <c r="EU22" s="4">
        <v>7.5300000000000001E-5</v>
      </c>
      <c r="EV22" s="4">
        <v>7.1299999999999998E-5</v>
      </c>
      <c r="EW22" s="4">
        <v>6.7700000000000006E-5</v>
      </c>
      <c r="EX22" s="4">
        <v>6.4399999999999993E-5</v>
      </c>
      <c r="EY22" s="4">
        <v>6.1400000000000002E-5</v>
      </c>
      <c r="EZ22" s="4">
        <v>5.8600000000000001E-5</v>
      </c>
      <c r="FA22" s="4">
        <v>5.5899999999999997E-5</v>
      </c>
      <c r="FB22" s="4">
        <v>5.3499999999999999E-5</v>
      </c>
      <c r="FC22" s="4">
        <v>5.1199999999999998E-5</v>
      </c>
      <c r="FD22" s="4">
        <v>4.9100000000000001E-5</v>
      </c>
      <c r="FE22" s="4">
        <v>4.71E-5</v>
      </c>
      <c r="FF22" s="4">
        <v>4.5300000000000003E-5</v>
      </c>
      <c r="FG22" s="4">
        <v>4.3600000000000003E-5</v>
      </c>
      <c r="FH22" s="4">
        <v>4.1900000000000002E-5</v>
      </c>
      <c r="FI22" s="4">
        <v>4.0399999999999999E-5</v>
      </c>
      <c r="FJ22" s="4">
        <v>3.8999999999999999E-5</v>
      </c>
      <c r="FK22" s="4">
        <v>3.7700000000000002E-5</v>
      </c>
      <c r="FL22" s="4">
        <v>3.65E-5</v>
      </c>
      <c r="FM22" s="4">
        <v>3.5299999999999997E-5</v>
      </c>
      <c r="FN22" s="4">
        <v>3.43E-5</v>
      </c>
      <c r="FO22" s="4">
        <v>3.3200000000000001E-5</v>
      </c>
      <c r="FP22" s="4">
        <v>3.2299999999999999E-5</v>
      </c>
      <c r="FQ22" s="4">
        <v>3.1399999999999998E-5</v>
      </c>
      <c r="FR22" s="4">
        <v>3.0599999999999998E-5</v>
      </c>
      <c r="FS22" s="4">
        <v>2.9799999999999999E-5</v>
      </c>
      <c r="FT22" s="4">
        <v>2.9E-5</v>
      </c>
      <c r="FU22" s="4">
        <v>2.83E-5</v>
      </c>
      <c r="FV22" s="4">
        <v>2.7699999999999999E-5</v>
      </c>
      <c r="FW22" s="4">
        <v>2.7100000000000001E-5</v>
      </c>
      <c r="FX22" s="4">
        <v>2.65E-5</v>
      </c>
      <c r="FY22" s="4">
        <v>2.5899999999999999E-5</v>
      </c>
      <c r="FZ22" s="4">
        <v>2.5400000000000001E-5</v>
      </c>
      <c r="GA22" s="4">
        <v>2.4899999999999999E-5</v>
      </c>
      <c r="GB22" s="4">
        <v>2.44E-5</v>
      </c>
      <c r="GC22" s="4">
        <v>2.4000000000000001E-5</v>
      </c>
      <c r="GD22" s="4">
        <v>2.3499999999999999E-5</v>
      </c>
      <c r="GE22" s="4">
        <v>2.3099999999999999E-5</v>
      </c>
      <c r="GF22" s="4">
        <v>2.27E-5</v>
      </c>
      <c r="GG22" s="4">
        <v>2.23E-5</v>
      </c>
      <c r="GH22" s="4">
        <v>2.19E-5</v>
      </c>
      <c r="GI22" s="4">
        <v>2.16E-5</v>
      </c>
      <c r="GJ22" s="4">
        <v>2.12E-5</v>
      </c>
      <c r="GK22" s="4">
        <v>2.09E-5</v>
      </c>
      <c r="GL22" s="4">
        <v>2.0599999999999999E-5</v>
      </c>
      <c r="GM22" s="4">
        <v>2.0299999999999999E-5</v>
      </c>
      <c r="GN22" s="4">
        <v>2.0000000000000002E-5</v>
      </c>
      <c r="GO22" s="4">
        <v>1.9700000000000001E-5</v>
      </c>
      <c r="GP22" s="4">
        <v>1.9400000000000001E-5</v>
      </c>
      <c r="GQ22" s="4">
        <v>1.91E-5</v>
      </c>
      <c r="GR22" s="4">
        <v>1.88E-5</v>
      </c>
      <c r="GS22" s="4">
        <v>1.8499999999999999E-5</v>
      </c>
      <c r="GT22" s="4">
        <v>1.8300000000000001E-5</v>
      </c>
      <c r="GU22" s="4">
        <v>1.8E-5</v>
      </c>
      <c r="GV22" s="4">
        <v>1.7799999999999999E-5</v>
      </c>
      <c r="GW22" s="4">
        <v>1.7499999999999998E-5</v>
      </c>
      <c r="GX22" s="4">
        <v>1.73E-5</v>
      </c>
      <c r="GY22" s="4">
        <v>1.7E-5</v>
      </c>
      <c r="GZ22" s="4">
        <v>1.6799999999999998E-5</v>
      </c>
      <c r="HA22" s="4">
        <v>1.66E-5</v>
      </c>
      <c r="HB22" s="4">
        <v>1.6399999999999999E-5</v>
      </c>
      <c r="HC22" s="4">
        <v>1.6099999999999998E-5</v>
      </c>
      <c r="HD22" s="4">
        <v>1.59E-5</v>
      </c>
      <c r="HE22" s="4">
        <v>1.5699999999999999E-5</v>
      </c>
      <c r="HF22" s="4">
        <v>1.5500000000000001E-5</v>
      </c>
      <c r="HG22" s="4">
        <v>1.5299999999999999E-5</v>
      </c>
      <c r="HH22" s="4">
        <v>1.5099999999999999E-5</v>
      </c>
      <c r="HI22" s="4">
        <v>1.49E-5</v>
      </c>
      <c r="HJ22" s="4">
        <v>1.47E-5</v>
      </c>
      <c r="HK22" s="4">
        <v>1.45E-5</v>
      </c>
      <c r="HL22" s="4">
        <v>1.43E-5</v>
      </c>
      <c r="HM22" s="4">
        <v>1.4100000000000001E-5</v>
      </c>
      <c r="HN22" s="4">
        <v>1.3900000000000001E-5</v>
      </c>
      <c r="HO22" s="4">
        <v>1.3699999999999999E-5</v>
      </c>
      <c r="HP22" s="4">
        <v>1.3499999999999999E-5</v>
      </c>
      <c r="HQ22" s="4">
        <v>1.33E-5</v>
      </c>
      <c r="HR22" s="4">
        <v>1.31E-5</v>
      </c>
      <c r="HS22" s="4">
        <v>1.2999999999999999E-5</v>
      </c>
      <c r="HT22" s="4">
        <v>1.2799999999999999E-5</v>
      </c>
      <c r="HU22" s="4">
        <v>1.26E-5</v>
      </c>
      <c r="HV22" s="4">
        <v>1.24E-5</v>
      </c>
      <c r="HW22" s="4">
        <v>1.2300000000000001E-5</v>
      </c>
      <c r="HX22" s="4">
        <v>1.2099999999999999E-5</v>
      </c>
      <c r="HY22" s="4">
        <v>1.19E-5</v>
      </c>
      <c r="HZ22" s="4">
        <v>1.1800000000000001E-5</v>
      </c>
      <c r="IA22" s="4">
        <v>1.1600000000000001E-5</v>
      </c>
      <c r="IB22" s="4">
        <v>1.1399999999999999E-5</v>
      </c>
      <c r="IC22" s="4">
        <v>1.13E-5</v>
      </c>
      <c r="ID22" s="4">
        <v>1.11E-5</v>
      </c>
      <c r="IE22" s="4">
        <v>1.1E-5</v>
      </c>
      <c r="IF22" s="4">
        <v>1.08E-5</v>
      </c>
      <c r="IG22" s="4">
        <v>7.5480000000000002E-4</v>
      </c>
      <c r="IH22" s="4"/>
      <c r="II22" s="4">
        <f t="shared" si="245"/>
        <v>0.11598361925312736</v>
      </c>
      <c r="IJ22">
        <f t="shared" si="246"/>
        <v>0.3563054874999998</v>
      </c>
      <c r="IN22" s="4"/>
      <c r="IO22" s="4"/>
      <c r="IP22" s="4"/>
      <c r="IQ22" s="4"/>
      <c r="IR22" s="4"/>
      <c r="IS22" s="4"/>
      <c r="IT22" s="4"/>
      <c r="IU22" s="4"/>
      <c r="IV22" s="4"/>
    </row>
    <row r="23" spans="1:256" x14ac:dyDescent="0.35">
      <c r="A23" s="1">
        <v>15</v>
      </c>
      <c r="B23" s="4">
        <v>1.1099700000000001E-2</v>
      </c>
      <c r="C23" s="4">
        <v>1.1099700000000001E-2</v>
      </c>
      <c r="D23" s="4">
        <v>1.1040299999999999E-2</v>
      </c>
      <c r="E23" s="4">
        <v>1.08474E-2</v>
      </c>
      <c r="F23" s="4">
        <v>1.0103300000000001E-2</v>
      </c>
      <c r="G23" s="4">
        <v>9.4724000000000006E-3</v>
      </c>
      <c r="H23" s="4">
        <v>8.8666999999999999E-3</v>
      </c>
      <c r="I23" s="4">
        <v>8.2465000000000004E-3</v>
      </c>
      <c r="J23" s="4">
        <v>7.7137999999999998E-3</v>
      </c>
      <c r="K23" s="4">
        <v>7.2096E-3</v>
      </c>
      <c r="L23" s="4">
        <v>6.7564000000000001E-3</v>
      </c>
      <c r="M23" s="4">
        <v>6.2071000000000001E-3</v>
      </c>
      <c r="N23" s="4">
        <v>5.6616000000000001E-3</v>
      </c>
      <c r="O23" s="4">
        <v>5.1178999999999999E-3</v>
      </c>
      <c r="P23" s="4">
        <v>4.2154000000000002E-3</v>
      </c>
      <c r="Q23" s="4">
        <v>4.5586999999999997E-3</v>
      </c>
      <c r="R23" s="4">
        <v>4.3736000000000001E-3</v>
      </c>
      <c r="S23" s="4">
        <v>4.2050000000000004E-3</v>
      </c>
      <c r="T23" s="4">
        <v>4.0631E-3</v>
      </c>
      <c r="U23" s="4">
        <v>3.9302E-3</v>
      </c>
      <c r="V23" s="4">
        <v>3.8053000000000002E-3</v>
      </c>
      <c r="W23" s="4">
        <v>3.6905000000000002E-3</v>
      </c>
      <c r="X23" s="4">
        <v>3.5829999999999998E-3</v>
      </c>
      <c r="Y23" s="4">
        <v>3.4824000000000001E-3</v>
      </c>
      <c r="Z23" s="4">
        <v>3.3879000000000001E-3</v>
      </c>
      <c r="AA23" s="4">
        <v>3.2989999999999998E-3</v>
      </c>
      <c r="AB23" s="4">
        <v>3.215E-3</v>
      </c>
      <c r="AC23" s="4">
        <v>3.1356000000000001E-3</v>
      </c>
      <c r="AD23" s="4">
        <v>3.0604E-3</v>
      </c>
      <c r="AE23" s="4">
        <v>2.9889999999999999E-3</v>
      </c>
      <c r="AF23" s="4">
        <v>2.921E-3</v>
      </c>
      <c r="AG23" s="4">
        <v>2.8562000000000001E-3</v>
      </c>
      <c r="AH23" s="4">
        <v>2.7943999999999998E-3</v>
      </c>
      <c r="AI23" s="4">
        <v>2.7352000000000001E-3</v>
      </c>
      <c r="AJ23" s="4">
        <v>2.6786000000000002E-3</v>
      </c>
      <c r="AK23" s="4">
        <v>2.6243999999999998E-3</v>
      </c>
      <c r="AL23" s="4">
        <v>2.5723999999999999E-3</v>
      </c>
      <c r="AM23" s="4">
        <v>2.5225E-3</v>
      </c>
      <c r="AN23" s="4">
        <v>2.4746E-3</v>
      </c>
      <c r="AO23" s="4">
        <v>2.4283999999999998E-3</v>
      </c>
      <c r="AP23" s="4">
        <v>2.3839999999999998E-3</v>
      </c>
      <c r="AQ23" s="4">
        <v>2.3411999999999999E-3</v>
      </c>
      <c r="AR23" s="4">
        <v>2.2999000000000001E-3</v>
      </c>
      <c r="AS23" s="4">
        <v>2.2599999999999999E-3</v>
      </c>
      <c r="AT23" s="4">
        <v>2.2215E-3</v>
      </c>
      <c r="AU23" s="4">
        <v>2.1841999999999999E-3</v>
      </c>
      <c r="AV23" s="4">
        <v>2.1481E-3</v>
      </c>
      <c r="AW23" s="4">
        <v>2.1131000000000001E-3</v>
      </c>
      <c r="AX23" s="4">
        <v>2.0791999999999998E-3</v>
      </c>
      <c r="AY23" s="4">
        <v>2.0462000000000002E-3</v>
      </c>
      <c r="AZ23" s="4">
        <v>2.0141E-3</v>
      </c>
      <c r="BA23" s="4">
        <v>1.9829000000000001E-3</v>
      </c>
      <c r="BB23" s="4">
        <v>1.9525E-3</v>
      </c>
      <c r="BC23" s="4">
        <v>1.9229E-3</v>
      </c>
      <c r="BD23" s="4">
        <v>1.8940000000000001E-3</v>
      </c>
      <c r="BE23" s="4">
        <v>1.8657999999999999E-3</v>
      </c>
      <c r="BF23" s="4">
        <v>1.8381999999999999E-3</v>
      </c>
      <c r="BG23" s="4">
        <v>1.8112E-3</v>
      </c>
      <c r="BH23" s="4">
        <v>1.7848E-3</v>
      </c>
      <c r="BI23" s="4">
        <v>1.7589000000000001E-3</v>
      </c>
      <c r="BJ23" s="4">
        <v>1.7336000000000001E-3</v>
      </c>
      <c r="BK23" s="4">
        <v>1.7087000000000001E-3</v>
      </c>
      <c r="BL23" s="4">
        <v>1.6842999999999999E-3</v>
      </c>
      <c r="BM23" s="4">
        <v>1.6604E-3</v>
      </c>
      <c r="BN23" s="4">
        <v>1.6368999999999999E-3</v>
      </c>
      <c r="BO23" s="4">
        <v>1.6138000000000001E-3</v>
      </c>
      <c r="BP23" s="4">
        <v>1.5911E-3</v>
      </c>
      <c r="BQ23" s="4">
        <v>1.5688E-3</v>
      </c>
      <c r="BR23" s="4">
        <v>1.5468000000000001E-3</v>
      </c>
      <c r="BS23" s="4">
        <v>1.5252E-3</v>
      </c>
      <c r="BT23" s="4">
        <v>1.5039000000000001E-3</v>
      </c>
      <c r="BU23" s="4">
        <v>1.4829000000000001E-3</v>
      </c>
      <c r="BV23" s="4">
        <v>1.4622999999999999E-3</v>
      </c>
      <c r="BW23" s="4">
        <v>1.4419999999999999E-3</v>
      </c>
      <c r="BX23" s="4">
        <v>1.4219E-3</v>
      </c>
      <c r="BY23" s="4">
        <v>1.4021999999999999E-3</v>
      </c>
      <c r="BZ23" s="4">
        <v>1.3828E-3</v>
      </c>
      <c r="CA23" s="4">
        <v>1.3636E-3</v>
      </c>
      <c r="CB23" s="4">
        <v>1.3447000000000001E-3</v>
      </c>
      <c r="CC23" s="4">
        <v>1.3259999999999999E-3</v>
      </c>
      <c r="CD23" s="4">
        <v>1.3075999999999999E-3</v>
      </c>
      <c r="CE23" s="4">
        <v>1.2895000000000001E-3</v>
      </c>
      <c r="CF23" s="4">
        <v>1.2715999999999999E-3</v>
      </c>
      <c r="CG23" s="4">
        <v>1.2539999999999999E-3</v>
      </c>
      <c r="CH23" s="4">
        <v>1.2366E-3</v>
      </c>
      <c r="CI23" s="4">
        <v>1.2194E-3</v>
      </c>
      <c r="CJ23" s="4">
        <v>1.2025E-3</v>
      </c>
      <c r="CK23" s="4">
        <v>1.1858000000000001E-3</v>
      </c>
      <c r="CL23" s="4">
        <v>1.1693000000000001E-3</v>
      </c>
      <c r="CM23" s="4">
        <v>1.1529999999999999E-3</v>
      </c>
      <c r="CN23" s="4">
        <v>1.137E-3</v>
      </c>
      <c r="CO23" s="4">
        <v>1.1211000000000001E-3</v>
      </c>
      <c r="CP23" s="4">
        <v>1.1054999999999999E-3</v>
      </c>
      <c r="CQ23" s="4">
        <v>1.0901000000000001E-3</v>
      </c>
      <c r="CR23" s="4">
        <v>1.0748999999999999E-3</v>
      </c>
      <c r="CS23" s="4">
        <v>1.0598999999999999E-3</v>
      </c>
      <c r="CT23" s="4">
        <v>1.0451E-3</v>
      </c>
      <c r="CU23" s="4">
        <v>1.0304999999999999E-3</v>
      </c>
      <c r="CV23" s="4">
        <v>1.0161E-3</v>
      </c>
      <c r="CW23" s="4">
        <v>1.0019E-3</v>
      </c>
      <c r="CX23" s="4">
        <v>9.8780000000000005E-4</v>
      </c>
      <c r="CY23" s="4">
        <v>9.7400000000000004E-4</v>
      </c>
      <c r="CZ23" s="4">
        <v>9.6040000000000003E-4</v>
      </c>
      <c r="DA23" s="4">
        <v>9.4689999999999998E-4</v>
      </c>
      <c r="DB23" s="4">
        <v>9.3360000000000003E-4</v>
      </c>
      <c r="DC23" s="4">
        <v>9.2049999999999999E-4</v>
      </c>
      <c r="DD23" s="4">
        <v>9.0760000000000005E-4</v>
      </c>
      <c r="DE23" s="4">
        <v>8.9479999999999996E-4</v>
      </c>
      <c r="DF23" s="4">
        <v>8.8219999999999998E-4</v>
      </c>
      <c r="DG23" s="4">
        <v>8.698E-4</v>
      </c>
      <c r="DH23" s="4">
        <v>8.5760000000000003E-4</v>
      </c>
      <c r="DI23" s="4">
        <v>8.4550000000000001E-4</v>
      </c>
      <c r="DJ23" s="4">
        <v>8.3359999999999999E-4</v>
      </c>
      <c r="DK23" s="4">
        <v>8.2189999999999997E-4</v>
      </c>
      <c r="DL23" s="4">
        <v>8.1030000000000002E-4</v>
      </c>
      <c r="DM23" s="4">
        <v>7.9889999999999996E-4</v>
      </c>
      <c r="DN23" s="4">
        <v>7.8759999999999995E-4</v>
      </c>
      <c r="DO23" s="4">
        <v>7.7649999999999996E-4</v>
      </c>
      <c r="DP23" s="4">
        <v>7.6550000000000001E-4</v>
      </c>
      <c r="DQ23" s="4">
        <v>5.3163000000000002E-2</v>
      </c>
      <c r="DR23" s="4">
        <v>0</v>
      </c>
      <c r="DS23" s="4">
        <v>5.94E-5</v>
      </c>
      <c r="DT23" s="4">
        <v>1.931E-4</v>
      </c>
      <c r="DU23" s="4">
        <v>7.4470000000000005E-4</v>
      </c>
      <c r="DV23" s="4">
        <v>6.3199999999999997E-4</v>
      </c>
      <c r="DW23" s="4">
        <v>6.0689999999999995E-4</v>
      </c>
      <c r="DX23" s="4">
        <v>6.2100000000000002E-4</v>
      </c>
      <c r="DY23" s="4">
        <v>5.4339999999999998E-4</v>
      </c>
      <c r="DZ23" s="4">
        <v>4.9989999999999995E-4</v>
      </c>
      <c r="EA23" s="4">
        <v>4.415E-4</v>
      </c>
      <c r="EB23" s="4">
        <v>3.9409999999999998E-4</v>
      </c>
      <c r="EC23" s="4">
        <v>3.4069999999999999E-4</v>
      </c>
      <c r="ED23" s="4">
        <v>2.9339999999999998E-4</v>
      </c>
      <c r="EE23" s="4">
        <v>2.5230000000000001E-4</v>
      </c>
      <c r="EF23" s="4">
        <v>1.9599999999999999E-4</v>
      </c>
      <c r="EG23" s="4">
        <v>2.106E-4</v>
      </c>
      <c r="EH23" s="4">
        <v>1.9090000000000001E-4</v>
      </c>
      <c r="EI23" s="4">
        <v>1.7369999999999999E-4</v>
      </c>
      <c r="EJ23" s="4">
        <v>1.595E-4</v>
      </c>
      <c r="EK23" s="4">
        <v>1.4679999999999999E-4</v>
      </c>
      <c r="EL23" s="4">
        <v>1.3549999999999999E-4</v>
      </c>
      <c r="EM23" s="4">
        <v>1.2549999999999999E-4</v>
      </c>
      <c r="EN23" s="4">
        <v>1.166E-4</v>
      </c>
      <c r="EO23" s="4">
        <v>1.086E-4</v>
      </c>
      <c r="EP23" s="4">
        <v>1.014E-4</v>
      </c>
      <c r="EQ23" s="4">
        <v>9.5000000000000005E-5</v>
      </c>
      <c r="ER23" s="4">
        <v>8.92E-5</v>
      </c>
      <c r="ES23" s="4">
        <v>8.3999999999999995E-5</v>
      </c>
      <c r="ET23" s="4">
        <v>7.9300000000000003E-5</v>
      </c>
      <c r="EU23" s="4">
        <v>7.4999999999999993E-5</v>
      </c>
      <c r="EV23" s="4">
        <v>7.1099999999999994E-5</v>
      </c>
      <c r="EW23" s="4">
        <v>6.7500000000000001E-5</v>
      </c>
      <c r="EX23" s="4">
        <v>6.4300000000000004E-5</v>
      </c>
      <c r="EY23" s="4">
        <v>6.1199999999999997E-5</v>
      </c>
      <c r="EZ23" s="4">
        <v>5.8400000000000003E-5</v>
      </c>
      <c r="FA23" s="4">
        <v>5.5800000000000001E-5</v>
      </c>
      <c r="FB23" s="4">
        <v>5.3399999999999997E-5</v>
      </c>
      <c r="FC23" s="4">
        <v>5.1100000000000002E-5</v>
      </c>
      <c r="FD23" s="4">
        <v>4.8999999999999998E-5</v>
      </c>
      <c r="FE23" s="4">
        <v>4.6999999999999997E-5</v>
      </c>
      <c r="FF23" s="4">
        <v>4.5200000000000001E-5</v>
      </c>
      <c r="FG23" s="4">
        <v>4.3399999999999998E-5</v>
      </c>
      <c r="FH23" s="4">
        <v>4.18E-5</v>
      </c>
      <c r="FI23" s="4">
        <v>4.0299999999999997E-5</v>
      </c>
      <c r="FJ23" s="4">
        <v>3.8899999999999997E-5</v>
      </c>
      <c r="FK23" s="4">
        <v>3.7599999999999999E-5</v>
      </c>
      <c r="FL23" s="4">
        <v>3.6399999999999997E-5</v>
      </c>
      <c r="FM23" s="4">
        <v>3.5299999999999997E-5</v>
      </c>
      <c r="FN23" s="4">
        <v>3.4199999999999998E-5</v>
      </c>
      <c r="FO23" s="4">
        <v>3.3200000000000001E-5</v>
      </c>
      <c r="FP23" s="4">
        <v>3.2199999999999997E-5</v>
      </c>
      <c r="FQ23" s="4">
        <v>3.1300000000000002E-5</v>
      </c>
      <c r="FR23" s="4">
        <v>3.0499999999999999E-5</v>
      </c>
      <c r="FS23" s="4">
        <v>2.97E-5</v>
      </c>
      <c r="FT23" s="4">
        <v>2.9E-5</v>
      </c>
      <c r="FU23" s="4">
        <v>2.83E-5</v>
      </c>
      <c r="FV23" s="4">
        <v>2.76E-5</v>
      </c>
      <c r="FW23" s="4">
        <v>2.6999999999999999E-5</v>
      </c>
      <c r="FX23" s="4">
        <v>2.6400000000000001E-5</v>
      </c>
      <c r="FY23" s="4">
        <v>2.5899999999999999E-5</v>
      </c>
      <c r="FZ23" s="4">
        <v>2.5400000000000001E-5</v>
      </c>
      <c r="GA23" s="4">
        <v>2.4899999999999999E-5</v>
      </c>
      <c r="GB23" s="4">
        <v>2.44E-5</v>
      </c>
      <c r="GC23" s="4">
        <v>2.3900000000000002E-5</v>
      </c>
      <c r="GD23" s="4">
        <v>2.3499999999999999E-5</v>
      </c>
      <c r="GE23" s="4">
        <v>2.3099999999999999E-5</v>
      </c>
      <c r="GF23" s="4">
        <v>2.27E-5</v>
      </c>
      <c r="GG23" s="4">
        <v>2.23E-5</v>
      </c>
      <c r="GH23" s="4">
        <v>2.19E-5</v>
      </c>
      <c r="GI23" s="4">
        <v>2.16E-5</v>
      </c>
      <c r="GJ23" s="4">
        <v>2.12E-5</v>
      </c>
      <c r="GK23" s="4">
        <v>2.09E-5</v>
      </c>
      <c r="GL23" s="4">
        <v>2.0599999999999999E-5</v>
      </c>
      <c r="GM23" s="4">
        <v>2.02E-5</v>
      </c>
      <c r="GN23" s="4">
        <v>1.9899999999999999E-5</v>
      </c>
      <c r="GO23" s="4">
        <v>1.9599999999999999E-5</v>
      </c>
      <c r="GP23" s="4">
        <v>1.9400000000000001E-5</v>
      </c>
      <c r="GQ23" s="4">
        <v>1.91E-5</v>
      </c>
      <c r="GR23" s="4">
        <v>1.88E-5</v>
      </c>
      <c r="GS23" s="4">
        <v>1.8499999999999999E-5</v>
      </c>
      <c r="GT23" s="4">
        <v>1.8300000000000001E-5</v>
      </c>
      <c r="GU23" s="4">
        <v>1.8E-5</v>
      </c>
      <c r="GV23" s="4">
        <v>1.7799999999999999E-5</v>
      </c>
      <c r="GW23" s="4">
        <v>1.7499999999999998E-5</v>
      </c>
      <c r="GX23" s="4">
        <v>1.73E-5</v>
      </c>
      <c r="GY23" s="4">
        <v>1.7E-5</v>
      </c>
      <c r="GZ23" s="4">
        <v>1.6799999999999998E-5</v>
      </c>
      <c r="HA23" s="4">
        <v>1.66E-5</v>
      </c>
      <c r="HB23" s="4">
        <v>1.63E-5</v>
      </c>
      <c r="HC23" s="4">
        <v>1.6099999999999998E-5</v>
      </c>
      <c r="HD23" s="4">
        <v>1.59E-5</v>
      </c>
      <c r="HE23" s="4">
        <v>1.5699999999999999E-5</v>
      </c>
      <c r="HF23" s="4">
        <v>1.5500000000000001E-5</v>
      </c>
      <c r="HG23" s="4">
        <v>1.5299999999999999E-5</v>
      </c>
      <c r="HH23" s="4">
        <v>1.5099999999999999E-5</v>
      </c>
      <c r="HI23" s="4">
        <v>1.49E-5</v>
      </c>
      <c r="HJ23" s="4">
        <v>1.47E-5</v>
      </c>
      <c r="HK23" s="4">
        <v>1.45E-5</v>
      </c>
      <c r="HL23" s="4">
        <v>1.43E-5</v>
      </c>
      <c r="HM23" s="4">
        <v>1.4100000000000001E-5</v>
      </c>
      <c r="HN23" s="4">
        <v>1.3900000000000001E-5</v>
      </c>
      <c r="HO23" s="4">
        <v>1.3699999999999999E-5</v>
      </c>
      <c r="HP23" s="4">
        <v>1.3499999999999999E-5</v>
      </c>
      <c r="HQ23" s="4">
        <v>1.33E-5</v>
      </c>
      <c r="HR23" s="4">
        <v>1.31E-5</v>
      </c>
      <c r="HS23" s="4">
        <v>1.2999999999999999E-5</v>
      </c>
      <c r="HT23" s="4">
        <v>1.2799999999999999E-5</v>
      </c>
      <c r="HU23" s="4">
        <v>1.26E-5</v>
      </c>
      <c r="HV23" s="4">
        <v>1.24E-5</v>
      </c>
      <c r="HW23" s="4">
        <v>1.2300000000000001E-5</v>
      </c>
      <c r="HX23" s="4">
        <v>1.2099999999999999E-5</v>
      </c>
      <c r="HY23" s="4">
        <v>1.19E-5</v>
      </c>
      <c r="HZ23" s="4">
        <v>1.1800000000000001E-5</v>
      </c>
      <c r="IA23" s="4">
        <v>1.1600000000000001E-5</v>
      </c>
      <c r="IB23" s="4">
        <v>1.1399999999999999E-5</v>
      </c>
      <c r="IC23" s="4">
        <v>1.13E-5</v>
      </c>
      <c r="ID23" s="4">
        <v>1.11E-5</v>
      </c>
      <c r="IE23" s="4">
        <v>1.1E-5</v>
      </c>
      <c r="IF23" s="4">
        <v>1.08E-5</v>
      </c>
      <c r="IG23" s="4">
        <v>7.5480000000000002E-4</v>
      </c>
      <c r="IH23" s="4"/>
      <c r="II23" s="4">
        <f t="shared" si="245"/>
        <v>0.11599669287145624</v>
      </c>
      <c r="IJ23">
        <f t="shared" si="246"/>
        <v>0.35680499999999987</v>
      </c>
      <c r="IN23" s="4"/>
      <c r="IO23" s="4"/>
      <c r="IP23" s="4"/>
      <c r="IQ23" s="4"/>
      <c r="IR23" s="4"/>
      <c r="IS23" s="4"/>
      <c r="IT23" s="4"/>
      <c r="IU23" s="4"/>
      <c r="IV23" s="4"/>
    </row>
    <row r="24" spans="1:256" x14ac:dyDescent="0.35">
      <c r="A24" s="1">
        <v>16</v>
      </c>
      <c r="B24" s="4">
        <v>1.1099700000000001E-2</v>
      </c>
      <c r="C24" s="4">
        <v>1.1099700000000001E-2</v>
      </c>
      <c r="D24" s="4">
        <v>1.1040299999999999E-2</v>
      </c>
      <c r="E24" s="4">
        <v>1.08472E-2</v>
      </c>
      <c r="F24" s="4">
        <v>1.01026E-2</v>
      </c>
      <c r="G24" s="4">
        <v>9.4713000000000002E-3</v>
      </c>
      <c r="H24" s="4">
        <v>8.8655000000000001E-3</v>
      </c>
      <c r="I24" s="4">
        <v>8.2456999999999999E-3</v>
      </c>
      <c r="J24" s="4">
        <v>7.7031000000000001E-3</v>
      </c>
      <c r="K24" s="4">
        <v>7.2138999999999997E-3</v>
      </c>
      <c r="L24" s="4">
        <v>6.7681E-3</v>
      </c>
      <c r="M24" s="4">
        <v>6.3623000000000004E-3</v>
      </c>
      <c r="N24" s="4">
        <v>5.8663999999999999E-3</v>
      </c>
      <c r="O24" s="4">
        <v>5.3682000000000001E-3</v>
      </c>
      <c r="P24" s="4">
        <v>4.8656000000000003E-3</v>
      </c>
      <c r="Q24" s="4">
        <v>4.0194000000000002E-3</v>
      </c>
      <c r="R24" s="4">
        <v>4.3482E-3</v>
      </c>
      <c r="S24" s="4">
        <v>4.1827000000000001E-3</v>
      </c>
      <c r="T24" s="4">
        <v>4.0312999999999998E-3</v>
      </c>
      <c r="U24" s="4">
        <v>3.9034999999999999E-3</v>
      </c>
      <c r="V24" s="4">
        <v>3.7834000000000001E-3</v>
      </c>
      <c r="W24" s="4">
        <v>3.6698E-3</v>
      </c>
      <c r="X24" s="4">
        <v>3.565E-3</v>
      </c>
      <c r="Y24" s="4">
        <v>3.4665E-3</v>
      </c>
      <c r="Z24" s="4">
        <v>3.3739E-3</v>
      </c>
      <c r="AA24" s="4">
        <v>3.2864999999999999E-3</v>
      </c>
      <c r="AB24" s="4">
        <v>3.2039999999999998E-3</v>
      </c>
      <c r="AC24" s="4">
        <v>3.1258000000000002E-3</v>
      </c>
      <c r="AD24" s="4">
        <v>3.0515999999999998E-3</v>
      </c>
      <c r="AE24" s="4">
        <v>2.9811E-3</v>
      </c>
      <c r="AF24" s="4">
        <v>2.9139000000000001E-3</v>
      </c>
      <c r="AG24" s="4">
        <v>2.8498999999999998E-3</v>
      </c>
      <c r="AH24" s="4">
        <v>2.7886999999999999E-3</v>
      </c>
      <c r="AI24" s="4">
        <v>2.7301000000000001E-3</v>
      </c>
      <c r="AJ24" s="4">
        <v>2.6740000000000002E-3</v>
      </c>
      <c r="AK24" s="4">
        <v>2.6202E-3</v>
      </c>
      <c r="AL24" s="4">
        <v>2.5685999999999999E-3</v>
      </c>
      <c r="AM24" s="4">
        <v>2.5190999999999998E-3</v>
      </c>
      <c r="AN24" s="4">
        <v>2.4713999999999999E-3</v>
      </c>
      <c r="AO24" s="4">
        <v>2.4256E-3</v>
      </c>
      <c r="AP24" s="4">
        <v>2.3814000000000001E-3</v>
      </c>
      <c r="AQ24" s="4">
        <v>2.3387999999999998E-3</v>
      </c>
      <c r="AR24" s="4">
        <v>2.2977000000000002E-3</v>
      </c>
      <c r="AS24" s="4">
        <v>2.2580999999999999E-3</v>
      </c>
      <c r="AT24" s="4">
        <v>2.2196999999999998E-3</v>
      </c>
      <c r="AU24" s="4">
        <v>2.1825999999999998E-3</v>
      </c>
      <c r="AV24" s="4">
        <v>2.1465999999999998E-3</v>
      </c>
      <c r="AW24" s="4">
        <v>2.1117000000000002E-3</v>
      </c>
      <c r="AX24" s="4">
        <v>2.0779000000000001E-3</v>
      </c>
      <c r="AY24" s="4">
        <v>2.0449999999999999E-3</v>
      </c>
      <c r="AZ24" s="4">
        <v>2.013E-3</v>
      </c>
      <c r="BA24" s="4">
        <v>1.9819E-3</v>
      </c>
      <c r="BB24" s="4">
        <v>1.9515999999999999E-3</v>
      </c>
      <c r="BC24" s="4">
        <v>1.9220000000000001E-3</v>
      </c>
      <c r="BD24" s="4">
        <v>1.8932E-3</v>
      </c>
      <c r="BE24" s="4">
        <v>1.8649999999999999E-3</v>
      </c>
      <c r="BF24" s="4">
        <v>1.8374999999999999E-3</v>
      </c>
      <c r="BG24" s="4">
        <v>1.8105E-3</v>
      </c>
      <c r="BH24" s="4">
        <v>1.7841999999999999E-3</v>
      </c>
      <c r="BI24" s="4">
        <v>1.7584E-3</v>
      </c>
      <c r="BJ24" s="4">
        <v>1.7331E-3</v>
      </c>
      <c r="BK24" s="4">
        <v>1.7082E-3</v>
      </c>
      <c r="BL24" s="4">
        <v>1.6838999999999999E-3</v>
      </c>
      <c r="BM24" s="4">
        <v>1.66E-3</v>
      </c>
      <c r="BN24" s="4">
        <v>1.6364999999999999E-3</v>
      </c>
      <c r="BO24" s="4">
        <v>1.6134000000000001E-3</v>
      </c>
      <c r="BP24" s="4">
        <v>1.5907E-3</v>
      </c>
      <c r="BQ24" s="4">
        <v>1.5684E-3</v>
      </c>
      <c r="BR24" s="4">
        <v>1.5464999999999999E-3</v>
      </c>
      <c r="BS24" s="4">
        <v>1.5249E-3</v>
      </c>
      <c r="BT24" s="4">
        <v>1.5035999999999999E-3</v>
      </c>
      <c r="BU24" s="4">
        <v>1.4827E-3</v>
      </c>
      <c r="BV24" s="4">
        <v>1.4621E-3</v>
      </c>
      <c r="BW24" s="4">
        <v>1.4417E-3</v>
      </c>
      <c r="BX24" s="4">
        <v>1.4216999999999999E-3</v>
      </c>
      <c r="BY24" s="4">
        <v>1.402E-3</v>
      </c>
      <c r="BZ24" s="4">
        <v>1.3826000000000001E-3</v>
      </c>
      <c r="CA24" s="4">
        <v>1.3634000000000001E-3</v>
      </c>
      <c r="CB24" s="4">
        <v>1.3445E-3</v>
      </c>
      <c r="CC24" s="4">
        <v>1.3259000000000001E-3</v>
      </c>
      <c r="CD24" s="4">
        <v>1.3075000000000001E-3</v>
      </c>
      <c r="CE24" s="4">
        <v>1.2894E-3</v>
      </c>
      <c r="CF24" s="4">
        <v>1.2715000000000001E-3</v>
      </c>
      <c r="CG24" s="4">
        <v>1.2539000000000001E-3</v>
      </c>
      <c r="CH24" s="4">
        <v>1.2365E-3</v>
      </c>
      <c r="CI24" s="4">
        <v>1.2193E-3</v>
      </c>
      <c r="CJ24" s="4">
        <v>1.2024E-3</v>
      </c>
      <c r="CK24" s="4">
        <v>1.1857E-3</v>
      </c>
      <c r="CL24" s="4">
        <v>1.1692E-3</v>
      </c>
      <c r="CM24" s="4">
        <v>1.1529000000000001E-3</v>
      </c>
      <c r="CN24" s="4">
        <v>1.1368999999999999E-3</v>
      </c>
      <c r="CO24" s="4">
        <v>1.1211000000000001E-3</v>
      </c>
      <c r="CP24" s="4">
        <v>1.1054999999999999E-3</v>
      </c>
      <c r="CQ24" s="4">
        <v>1.09E-3</v>
      </c>
      <c r="CR24" s="4">
        <v>1.0748000000000001E-3</v>
      </c>
      <c r="CS24" s="4">
        <v>1.0598000000000001E-3</v>
      </c>
      <c r="CT24" s="4">
        <v>1.0449999999999999E-3</v>
      </c>
      <c r="CU24" s="4">
        <v>1.0303999999999999E-3</v>
      </c>
      <c r="CV24" s="4">
        <v>1.016E-3</v>
      </c>
      <c r="CW24" s="4">
        <v>1.0018E-3</v>
      </c>
      <c r="CX24" s="4">
        <v>9.8780000000000005E-4</v>
      </c>
      <c r="CY24" s="4">
        <v>9.7400000000000004E-4</v>
      </c>
      <c r="CZ24" s="4">
        <v>9.6029999999999998E-4</v>
      </c>
      <c r="DA24" s="4">
        <v>9.4689999999999998E-4</v>
      </c>
      <c r="DB24" s="4">
        <v>9.3360000000000003E-4</v>
      </c>
      <c r="DC24" s="4">
        <v>9.2049999999999999E-4</v>
      </c>
      <c r="DD24" s="4">
        <v>9.075E-4</v>
      </c>
      <c r="DE24" s="4">
        <v>8.9479999999999996E-4</v>
      </c>
      <c r="DF24" s="4">
        <v>8.8219999999999998E-4</v>
      </c>
      <c r="DG24" s="4">
        <v>8.698E-4</v>
      </c>
      <c r="DH24" s="4">
        <v>8.5760000000000003E-4</v>
      </c>
      <c r="DI24" s="4">
        <v>8.4550000000000001E-4</v>
      </c>
      <c r="DJ24" s="4">
        <v>8.3359999999999999E-4</v>
      </c>
      <c r="DK24" s="4">
        <v>8.2180000000000003E-4</v>
      </c>
      <c r="DL24" s="4">
        <v>8.1030000000000002E-4</v>
      </c>
      <c r="DM24" s="4">
        <v>7.9880000000000001E-4</v>
      </c>
      <c r="DN24" s="4">
        <v>7.8759999999999995E-4</v>
      </c>
      <c r="DO24" s="4">
        <v>7.7649999999999996E-4</v>
      </c>
      <c r="DP24" s="4">
        <v>7.6550000000000001E-4</v>
      </c>
      <c r="DQ24" s="4">
        <v>5.3162899999999999E-2</v>
      </c>
      <c r="DR24" s="4">
        <v>0</v>
      </c>
      <c r="DS24" s="4">
        <v>5.94E-5</v>
      </c>
      <c r="DT24" s="4">
        <v>1.9340000000000001E-4</v>
      </c>
      <c r="DU24" s="4">
        <v>7.4520000000000001E-4</v>
      </c>
      <c r="DV24" s="4">
        <v>6.3259999999999998E-4</v>
      </c>
      <c r="DW24" s="4">
        <v>6.0760000000000002E-4</v>
      </c>
      <c r="DX24" s="4">
        <v>6.221E-4</v>
      </c>
      <c r="DY24" s="4">
        <v>5.4520000000000002E-4</v>
      </c>
      <c r="DZ24" s="4">
        <v>5.0080000000000003E-4</v>
      </c>
      <c r="EA24" s="4">
        <v>4.4480000000000002E-4</v>
      </c>
      <c r="EB24" s="4">
        <v>3.9750000000000001E-4</v>
      </c>
      <c r="EC24" s="4">
        <v>3.5429999999999999E-4</v>
      </c>
      <c r="ED24" s="4">
        <v>3.079E-4</v>
      </c>
      <c r="EE24" s="4">
        <v>2.6600000000000001E-4</v>
      </c>
      <c r="EF24" s="4">
        <v>2.2949999999999999E-4</v>
      </c>
      <c r="EG24" s="4">
        <v>1.7899999999999999E-4</v>
      </c>
      <c r="EH24" s="4">
        <v>1.92E-4</v>
      </c>
      <c r="EI24" s="4">
        <v>1.749E-4</v>
      </c>
      <c r="EJ24" s="4">
        <v>1.5980000000000001E-4</v>
      </c>
      <c r="EK24" s="4">
        <v>1.473E-4</v>
      </c>
      <c r="EL24" s="4">
        <v>1.36E-4</v>
      </c>
      <c r="EM24" s="4">
        <v>1.2579999999999999E-4</v>
      </c>
      <c r="EN24" s="4">
        <v>1.169E-4</v>
      </c>
      <c r="EO24" s="4">
        <v>1.088E-4</v>
      </c>
      <c r="EP24" s="4">
        <v>1.016E-4</v>
      </c>
      <c r="EQ24" s="4">
        <v>9.5199999999999997E-5</v>
      </c>
      <c r="ER24" s="4">
        <v>8.9400000000000005E-5</v>
      </c>
      <c r="ES24" s="4">
        <v>8.4099999999999998E-5</v>
      </c>
      <c r="ET24" s="4">
        <v>7.9400000000000006E-5</v>
      </c>
      <c r="EU24" s="4">
        <v>7.5099999999999996E-5</v>
      </c>
      <c r="EV24" s="4">
        <v>7.1199999999999996E-5</v>
      </c>
      <c r="EW24" s="4">
        <v>6.7600000000000003E-5</v>
      </c>
      <c r="EX24" s="4">
        <v>6.4300000000000004E-5</v>
      </c>
      <c r="EY24" s="4">
        <v>6.1199999999999997E-5</v>
      </c>
      <c r="EZ24" s="4">
        <v>5.8400000000000003E-5</v>
      </c>
      <c r="FA24" s="4">
        <v>5.5800000000000001E-5</v>
      </c>
      <c r="FB24" s="4">
        <v>5.3300000000000001E-5</v>
      </c>
      <c r="FC24" s="4">
        <v>5.1100000000000002E-5</v>
      </c>
      <c r="FD24" s="4">
        <v>4.8999999999999998E-5</v>
      </c>
      <c r="FE24" s="4">
        <v>4.6999999999999997E-5</v>
      </c>
      <c r="FF24" s="4">
        <v>4.5099999999999998E-5</v>
      </c>
      <c r="FG24" s="4">
        <v>4.3399999999999998E-5</v>
      </c>
      <c r="FH24" s="4">
        <v>4.18E-5</v>
      </c>
      <c r="FI24" s="4">
        <v>4.0299999999999997E-5</v>
      </c>
      <c r="FJ24" s="4">
        <v>3.8899999999999997E-5</v>
      </c>
      <c r="FK24" s="4">
        <v>3.7599999999999999E-5</v>
      </c>
      <c r="FL24" s="4">
        <v>3.6399999999999997E-5</v>
      </c>
      <c r="FM24" s="4">
        <v>3.5200000000000002E-5</v>
      </c>
      <c r="FN24" s="4">
        <v>3.4199999999999998E-5</v>
      </c>
      <c r="FO24" s="4">
        <v>3.3200000000000001E-5</v>
      </c>
      <c r="FP24" s="4">
        <v>3.2199999999999997E-5</v>
      </c>
      <c r="FQ24" s="4">
        <v>3.1300000000000002E-5</v>
      </c>
      <c r="FR24" s="4">
        <v>3.0499999999999999E-5</v>
      </c>
      <c r="FS24" s="4">
        <v>2.97E-5</v>
      </c>
      <c r="FT24" s="4">
        <v>2.9E-5</v>
      </c>
      <c r="FU24" s="4">
        <v>2.83E-5</v>
      </c>
      <c r="FV24" s="4">
        <v>2.76E-5</v>
      </c>
      <c r="FW24" s="4">
        <v>2.6999999999999999E-5</v>
      </c>
      <c r="FX24" s="4">
        <v>2.6400000000000001E-5</v>
      </c>
      <c r="FY24" s="4">
        <v>2.5899999999999999E-5</v>
      </c>
      <c r="FZ24" s="4">
        <v>2.5299999999999998E-5</v>
      </c>
      <c r="GA24" s="4">
        <v>2.48E-5</v>
      </c>
      <c r="GB24" s="4">
        <v>2.44E-5</v>
      </c>
      <c r="GC24" s="4">
        <v>2.3900000000000002E-5</v>
      </c>
      <c r="GD24" s="4">
        <v>2.3499999999999999E-5</v>
      </c>
      <c r="GE24" s="4">
        <v>2.3099999999999999E-5</v>
      </c>
      <c r="GF24" s="4">
        <v>2.27E-5</v>
      </c>
      <c r="GG24" s="4">
        <v>2.23E-5</v>
      </c>
      <c r="GH24" s="4">
        <v>2.19E-5</v>
      </c>
      <c r="GI24" s="4">
        <v>2.16E-5</v>
      </c>
      <c r="GJ24" s="4">
        <v>2.12E-5</v>
      </c>
      <c r="GK24" s="4">
        <v>2.09E-5</v>
      </c>
      <c r="GL24" s="4">
        <v>2.0599999999999999E-5</v>
      </c>
      <c r="GM24" s="4">
        <v>2.02E-5</v>
      </c>
      <c r="GN24" s="4">
        <v>1.9899999999999999E-5</v>
      </c>
      <c r="GO24" s="4">
        <v>1.9599999999999999E-5</v>
      </c>
      <c r="GP24" s="4">
        <v>1.9400000000000001E-5</v>
      </c>
      <c r="GQ24" s="4">
        <v>1.91E-5</v>
      </c>
      <c r="GR24" s="4">
        <v>1.88E-5</v>
      </c>
      <c r="GS24" s="4">
        <v>1.8499999999999999E-5</v>
      </c>
      <c r="GT24" s="4">
        <v>1.8300000000000001E-5</v>
      </c>
      <c r="GU24" s="4">
        <v>1.8E-5</v>
      </c>
      <c r="GV24" s="4">
        <v>1.7799999999999999E-5</v>
      </c>
      <c r="GW24" s="4">
        <v>1.7499999999999998E-5</v>
      </c>
      <c r="GX24" s="4">
        <v>1.73E-5</v>
      </c>
      <c r="GY24" s="4">
        <v>1.7E-5</v>
      </c>
      <c r="GZ24" s="4">
        <v>1.6799999999999998E-5</v>
      </c>
      <c r="HA24" s="4">
        <v>1.66E-5</v>
      </c>
      <c r="HB24" s="4">
        <v>1.63E-5</v>
      </c>
      <c r="HC24" s="4">
        <v>1.6099999999999998E-5</v>
      </c>
      <c r="HD24" s="4">
        <v>1.59E-5</v>
      </c>
      <c r="HE24" s="4">
        <v>1.5699999999999999E-5</v>
      </c>
      <c r="HF24" s="4">
        <v>1.5500000000000001E-5</v>
      </c>
      <c r="HG24" s="4">
        <v>1.5299999999999999E-5</v>
      </c>
      <c r="HH24" s="4">
        <v>1.5099999999999999E-5</v>
      </c>
      <c r="HI24" s="4">
        <v>1.49E-5</v>
      </c>
      <c r="HJ24" s="4">
        <v>1.47E-5</v>
      </c>
      <c r="HK24" s="4">
        <v>1.45E-5</v>
      </c>
      <c r="HL24" s="4">
        <v>1.43E-5</v>
      </c>
      <c r="HM24" s="4">
        <v>1.4100000000000001E-5</v>
      </c>
      <c r="HN24" s="4">
        <v>1.3900000000000001E-5</v>
      </c>
      <c r="HO24" s="4">
        <v>1.3699999999999999E-5</v>
      </c>
      <c r="HP24" s="4">
        <v>1.3499999999999999E-5</v>
      </c>
      <c r="HQ24" s="4">
        <v>1.33E-5</v>
      </c>
      <c r="HR24" s="4">
        <v>1.31E-5</v>
      </c>
      <c r="HS24" s="4">
        <v>1.2999999999999999E-5</v>
      </c>
      <c r="HT24" s="4">
        <v>1.2799999999999999E-5</v>
      </c>
      <c r="HU24" s="4">
        <v>1.26E-5</v>
      </c>
      <c r="HV24" s="4">
        <v>1.24E-5</v>
      </c>
      <c r="HW24" s="4">
        <v>1.2300000000000001E-5</v>
      </c>
      <c r="HX24" s="4">
        <v>1.2099999999999999E-5</v>
      </c>
      <c r="HY24" s="4">
        <v>1.19E-5</v>
      </c>
      <c r="HZ24" s="4">
        <v>1.1800000000000001E-5</v>
      </c>
      <c r="IA24" s="4">
        <v>1.1600000000000001E-5</v>
      </c>
      <c r="IB24" s="4">
        <v>1.1399999999999999E-5</v>
      </c>
      <c r="IC24" s="4">
        <v>1.13E-5</v>
      </c>
      <c r="ID24" s="4">
        <v>1.11E-5</v>
      </c>
      <c r="IE24" s="4">
        <v>1.1E-5</v>
      </c>
      <c r="IF24" s="4">
        <v>1.08E-5</v>
      </c>
      <c r="IG24" s="4">
        <v>7.5480000000000002E-4</v>
      </c>
      <c r="IH24" s="4"/>
      <c r="II24" s="4">
        <f t="shared" si="245"/>
        <v>0.11619776003146065</v>
      </c>
      <c r="IJ24">
        <f t="shared" si="246"/>
        <v>0.35726506250000017</v>
      </c>
      <c r="IN24" s="4"/>
      <c r="IO24" s="4"/>
      <c r="IP24" s="4"/>
      <c r="IQ24" s="4"/>
      <c r="IR24" s="4"/>
      <c r="IS24" s="4"/>
      <c r="IT24" s="4"/>
      <c r="IU24" s="4"/>
      <c r="IV24" s="4"/>
    </row>
    <row r="25" spans="1:256" x14ac:dyDescent="0.35">
      <c r="A25" s="1">
        <v>17</v>
      </c>
      <c r="B25" s="4">
        <v>1.1099700000000001E-2</v>
      </c>
      <c r="C25" s="4">
        <v>1.1099700000000001E-2</v>
      </c>
      <c r="D25" s="4">
        <v>1.1040299999999999E-2</v>
      </c>
      <c r="E25" s="4">
        <v>1.08469E-2</v>
      </c>
      <c r="F25" s="4">
        <v>1.01019E-2</v>
      </c>
      <c r="G25" s="4">
        <v>9.4699999999999993E-3</v>
      </c>
      <c r="H25" s="4">
        <v>8.8637000000000004E-3</v>
      </c>
      <c r="I25" s="4">
        <v>8.2433999999999997E-3</v>
      </c>
      <c r="J25" s="4">
        <v>7.7004999999999999E-3</v>
      </c>
      <c r="K25" s="4">
        <v>7.2023E-3</v>
      </c>
      <c r="L25" s="4">
        <v>6.7691000000000001E-3</v>
      </c>
      <c r="M25" s="4">
        <v>6.3705999999999997E-3</v>
      </c>
      <c r="N25" s="4">
        <v>6.0080000000000003E-3</v>
      </c>
      <c r="O25" s="4">
        <v>5.5585000000000001E-3</v>
      </c>
      <c r="P25" s="4">
        <v>5.1022000000000003E-3</v>
      </c>
      <c r="Q25" s="4">
        <v>4.6360999999999998E-3</v>
      </c>
      <c r="R25" s="4">
        <v>3.8403999999999999E-3</v>
      </c>
      <c r="S25" s="4">
        <v>4.1561999999999997E-3</v>
      </c>
      <c r="T25" s="4">
        <v>4.0077999999999997E-3</v>
      </c>
      <c r="U25" s="4">
        <v>3.8714999999999999E-3</v>
      </c>
      <c r="V25" s="4">
        <v>3.7563000000000002E-3</v>
      </c>
      <c r="W25" s="4">
        <v>3.6473999999999999E-3</v>
      </c>
      <c r="X25" s="4">
        <v>3.5439999999999998E-3</v>
      </c>
      <c r="Y25" s="4">
        <v>3.4481999999999998E-3</v>
      </c>
      <c r="Z25" s="4">
        <v>3.3576000000000001E-3</v>
      </c>
      <c r="AA25" s="4">
        <v>3.2721999999999998E-3</v>
      </c>
      <c r="AB25" s="4">
        <v>3.1913000000000002E-3</v>
      </c>
      <c r="AC25" s="4">
        <v>3.1145999999999999E-3</v>
      </c>
      <c r="AD25" s="4">
        <v>3.0417E-3</v>
      </c>
      <c r="AE25" s="4">
        <v>2.9721999999999999E-3</v>
      </c>
      <c r="AF25" s="4">
        <v>2.9060000000000002E-3</v>
      </c>
      <c r="AG25" s="4">
        <v>2.8427999999999999E-3</v>
      </c>
      <c r="AH25" s="4">
        <v>2.7823000000000001E-3</v>
      </c>
      <c r="AI25" s="4">
        <v>2.7244000000000001E-3</v>
      </c>
      <c r="AJ25" s="4">
        <v>2.6689000000000001E-3</v>
      </c>
      <c r="AK25" s="4">
        <v>2.6156E-3</v>
      </c>
      <c r="AL25" s="4">
        <v>2.5644999999999999E-3</v>
      </c>
      <c r="AM25" s="4">
        <v>2.5152999999999998E-3</v>
      </c>
      <c r="AN25" s="4">
        <v>2.4680000000000001E-3</v>
      </c>
      <c r="AO25" s="4">
        <v>2.4225000000000002E-3</v>
      </c>
      <c r="AP25" s="4">
        <v>2.3785999999999998E-3</v>
      </c>
      <c r="AQ25" s="4">
        <v>2.3362999999999999E-3</v>
      </c>
      <c r="AR25" s="4">
        <v>2.2954E-3</v>
      </c>
      <c r="AS25" s="4">
        <v>2.2558999999999999E-3</v>
      </c>
      <c r="AT25" s="4">
        <v>2.2177E-3</v>
      </c>
      <c r="AU25" s="4">
        <v>2.1808000000000001E-3</v>
      </c>
      <c r="AV25" s="4">
        <v>2.1450000000000002E-3</v>
      </c>
      <c r="AW25" s="4">
        <v>2.1102E-3</v>
      </c>
      <c r="AX25" s="4">
        <v>2.0764999999999998E-3</v>
      </c>
      <c r="AY25" s="4">
        <v>2.0436999999999999E-3</v>
      </c>
      <c r="AZ25" s="4">
        <v>2.0119000000000001E-3</v>
      </c>
      <c r="BA25" s="4">
        <v>1.9808E-3</v>
      </c>
      <c r="BB25" s="4">
        <v>1.9506E-3</v>
      </c>
      <c r="BC25" s="4">
        <v>1.9211E-3</v>
      </c>
      <c r="BD25" s="4">
        <v>1.8923E-3</v>
      </c>
      <c r="BE25" s="4">
        <v>1.8642000000000001E-3</v>
      </c>
      <c r="BF25" s="4">
        <v>1.8366999999999999E-3</v>
      </c>
      <c r="BG25" s="4">
        <v>1.8098999999999999E-3</v>
      </c>
      <c r="BH25" s="4">
        <v>1.7834999999999999E-3</v>
      </c>
      <c r="BI25" s="4">
        <v>1.7577999999999999E-3</v>
      </c>
      <c r="BJ25" s="4">
        <v>1.7325000000000001E-3</v>
      </c>
      <c r="BK25" s="4">
        <v>1.7076999999999999E-3</v>
      </c>
      <c r="BL25" s="4">
        <v>1.6834E-3</v>
      </c>
      <c r="BM25" s="4">
        <v>1.6595E-3</v>
      </c>
      <c r="BN25" s="4">
        <v>1.6360999999999999E-3</v>
      </c>
      <c r="BO25" s="4">
        <v>1.6130000000000001E-3</v>
      </c>
      <c r="BP25" s="4">
        <v>1.5903E-3</v>
      </c>
      <c r="BQ25" s="4">
        <v>1.5681E-3</v>
      </c>
      <c r="BR25" s="4">
        <v>1.5460999999999999E-3</v>
      </c>
      <c r="BS25" s="4">
        <v>1.5246000000000001E-3</v>
      </c>
      <c r="BT25" s="4">
        <v>1.5032999999999999E-3</v>
      </c>
      <c r="BU25" s="4">
        <v>1.4824E-3</v>
      </c>
      <c r="BV25" s="4">
        <v>1.4618000000000001E-3</v>
      </c>
      <c r="BW25" s="4">
        <v>1.4415000000000001E-3</v>
      </c>
      <c r="BX25" s="4">
        <v>1.4215E-3</v>
      </c>
      <c r="BY25" s="4">
        <v>1.4017999999999999E-3</v>
      </c>
      <c r="BZ25" s="4">
        <v>1.3824E-3</v>
      </c>
      <c r="CA25" s="4">
        <v>1.3632E-3</v>
      </c>
      <c r="CB25" s="4">
        <v>1.3443000000000001E-3</v>
      </c>
      <c r="CC25" s="4">
        <v>1.3257E-3</v>
      </c>
      <c r="CD25" s="4">
        <v>1.3073E-3</v>
      </c>
      <c r="CE25" s="4">
        <v>1.2891999999999999E-3</v>
      </c>
      <c r="CF25" s="4">
        <v>1.2714E-3</v>
      </c>
      <c r="CG25" s="4">
        <v>1.2537E-3</v>
      </c>
      <c r="CH25" s="4">
        <v>1.2363000000000001E-3</v>
      </c>
      <c r="CI25" s="4">
        <v>1.2191999999999999E-3</v>
      </c>
      <c r="CJ25" s="4">
        <v>1.2022999999999999E-3</v>
      </c>
      <c r="CK25" s="4">
        <v>1.1856E-3</v>
      </c>
      <c r="CL25" s="4">
        <v>1.1691E-3</v>
      </c>
      <c r="CM25" s="4">
        <v>1.1529000000000001E-3</v>
      </c>
      <c r="CN25" s="4">
        <v>1.1368000000000001E-3</v>
      </c>
      <c r="CO25" s="4">
        <v>1.121E-3</v>
      </c>
      <c r="CP25" s="4">
        <v>1.1054000000000001E-3</v>
      </c>
      <c r="CQ25" s="4">
        <v>1.09E-3</v>
      </c>
      <c r="CR25" s="4">
        <v>1.0748000000000001E-3</v>
      </c>
      <c r="CS25" s="4">
        <v>1.0598000000000001E-3</v>
      </c>
      <c r="CT25" s="4">
        <v>1.0449999999999999E-3</v>
      </c>
      <c r="CU25" s="4">
        <v>1.0303999999999999E-3</v>
      </c>
      <c r="CV25" s="4">
        <v>1.016E-3</v>
      </c>
      <c r="CW25" s="4">
        <v>1.0018E-3</v>
      </c>
      <c r="CX25" s="4">
        <v>9.8780000000000005E-4</v>
      </c>
      <c r="CY25" s="4">
        <v>9.7389999999999998E-4</v>
      </c>
      <c r="CZ25" s="4">
        <v>9.6029999999999998E-4</v>
      </c>
      <c r="DA25" s="4">
        <v>9.4680000000000003E-4</v>
      </c>
      <c r="DB25" s="4">
        <v>9.3349999999999998E-4</v>
      </c>
      <c r="DC25" s="4">
        <v>9.2040000000000004E-4</v>
      </c>
      <c r="DD25" s="4">
        <v>9.075E-4</v>
      </c>
      <c r="DE25" s="4">
        <v>8.9479999999999996E-4</v>
      </c>
      <c r="DF25" s="4">
        <v>8.8219999999999998E-4</v>
      </c>
      <c r="DG25" s="4">
        <v>8.698E-4</v>
      </c>
      <c r="DH25" s="4">
        <v>8.5760000000000003E-4</v>
      </c>
      <c r="DI25" s="4">
        <v>8.4550000000000001E-4</v>
      </c>
      <c r="DJ25" s="4">
        <v>8.3359999999999999E-4</v>
      </c>
      <c r="DK25" s="4">
        <v>8.2180000000000003E-4</v>
      </c>
      <c r="DL25" s="4">
        <v>8.1019999999999996E-4</v>
      </c>
      <c r="DM25" s="4">
        <v>7.9880000000000001E-4</v>
      </c>
      <c r="DN25" s="4">
        <v>7.8759999999999995E-4</v>
      </c>
      <c r="DO25" s="4">
        <v>7.7640000000000001E-4</v>
      </c>
      <c r="DP25" s="4">
        <v>7.6550000000000001E-4</v>
      </c>
      <c r="DQ25" s="4">
        <v>5.3162800000000003E-2</v>
      </c>
      <c r="DR25" s="4">
        <v>0</v>
      </c>
      <c r="DS25" s="4">
        <v>5.94E-5</v>
      </c>
      <c r="DT25" s="4">
        <v>1.9359999999999999E-4</v>
      </c>
      <c r="DU25" s="4">
        <v>7.4569999999999997E-4</v>
      </c>
      <c r="DV25" s="4">
        <v>6.489E-4</v>
      </c>
      <c r="DW25" s="4">
        <v>6.1140000000000001E-4</v>
      </c>
      <c r="DX25" s="4">
        <v>6.2629999999999999E-4</v>
      </c>
      <c r="DY25" s="4">
        <v>5.507E-4</v>
      </c>
      <c r="DZ25" s="4">
        <v>5.0370000000000005E-4</v>
      </c>
      <c r="EA25" s="4">
        <v>4.4509999999999998E-4</v>
      </c>
      <c r="EB25" s="4">
        <v>3.9839999999999998E-4</v>
      </c>
      <c r="EC25" s="4">
        <v>3.545E-4</v>
      </c>
      <c r="ED25" s="4">
        <v>3.167E-4</v>
      </c>
      <c r="EE25" s="4">
        <v>2.7589999999999998E-4</v>
      </c>
      <c r="EF25" s="4">
        <v>2.3929999999999999E-4</v>
      </c>
      <c r="EG25" s="4">
        <v>2.0699999999999999E-4</v>
      </c>
      <c r="EH25" s="4">
        <v>1.6210000000000001E-4</v>
      </c>
      <c r="EI25" s="4">
        <v>1.738E-4</v>
      </c>
      <c r="EJ25" s="4">
        <v>1.5890000000000001E-4</v>
      </c>
      <c r="EK25" s="4">
        <v>1.4569999999999999E-4</v>
      </c>
      <c r="EL25" s="4">
        <v>1.3469999999999999E-4</v>
      </c>
      <c r="EM25" s="4">
        <v>1.248E-4</v>
      </c>
      <c r="EN25" s="4">
        <v>1.159E-4</v>
      </c>
      <c r="EO25" s="4">
        <v>1.08E-4</v>
      </c>
      <c r="EP25" s="4">
        <v>1.009E-4</v>
      </c>
      <c r="EQ25" s="4">
        <v>9.4599999999999996E-5</v>
      </c>
      <c r="ER25" s="4">
        <v>8.8800000000000004E-5</v>
      </c>
      <c r="ES25" s="4">
        <v>8.3700000000000002E-5</v>
      </c>
      <c r="ET25" s="4">
        <v>7.8999999999999996E-5</v>
      </c>
      <c r="EU25" s="4">
        <v>7.47E-5</v>
      </c>
      <c r="EV25" s="4">
        <v>7.0900000000000002E-5</v>
      </c>
      <c r="EW25" s="4">
        <v>6.7299999999999996E-5</v>
      </c>
      <c r="EX25" s="4">
        <v>6.3999999999999997E-5</v>
      </c>
      <c r="EY25" s="4">
        <v>6.0999999999999999E-5</v>
      </c>
      <c r="EZ25" s="4">
        <v>5.8199999999999998E-5</v>
      </c>
      <c r="FA25" s="4">
        <v>5.5600000000000003E-5</v>
      </c>
      <c r="FB25" s="4">
        <v>5.3199999999999999E-5</v>
      </c>
      <c r="FC25" s="4">
        <v>5.0899999999999997E-5</v>
      </c>
      <c r="FD25" s="4">
        <v>4.88E-5</v>
      </c>
      <c r="FE25" s="4">
        <v>4.6900000000000002E-5</v>
      </c>
      <c r="FF25" s="4">
        <v>4.5099999999999998E-5</v>
      </c>
      <c r="FG25" s="4">
        <v>4.3300000000000002E-5</v>
      </c>
      <c r="FH25" s="4">
        <v>4.1699999999999997E-5</v>
      </c>
      <c r="FI25" s="4">
        <v>4.0299999999999997E-5</v>
      </c>
      <c r="FJ25" s="4">
        <v>3.8899999999999997E-5</v>
      </c>
      <c r="FK25" s="4">
        <v>3.7599999999999999E-5</v>
      </c>
      <c r="FL25" s="4">
        <v>3.6300000000000001E-5</v>
      </c>
      <c r="FM25" s="4">
        <v>3.5200000000000002E-5</v>
      </c>
      <c r="FN25" s="4">
        <v>3.4100000000000002E-5</v>
      </c>
      <c r="FO25" s="4">
        <v>3.3099999999999998E-5</v>
      </c>
      <c r="FP25" s="4">
        <v>3.2199999999999997E-5</v>
      </c>
      <c r="FQ25" s="4">
        <v>3.1300000000000002E-5</v>
      </c>
      <c r="FR25" s="4">
        <v>3.0499999999999999E-5</v>
      </c>
      <c r="FS25" s="4">
        <v>2.97E-5</v>
      </c>
      <c r="FT25" s="4">
        <v>2.9E-5</v>
      </c>
      <c r="FU25" s="4">
        <v>2.83E-5</v>
      </c>
      <c r="FV25" s="4">
        <v>2.76E-5</v>
      </c>
      <c r="FW25" s="4">
        <v>2.6999999999999999E-5</v>
      </c>
      <c r="FX25" s="4">
        <v>2.6400000000000001E-5</v>
      </c>
      <c r="FY25" s="4">
        <v>2.5899999999999999E-5</v>
      </c>
      <c r="FZ25" s="4">
        <v>2.5299999999999998E-5</v>
      </c>
      <c r="GA25" s="4">
        <v>2.4899999999999999E-5</v>
      </c>
      <c r="GB25" s="4">
        <v>2.44E-5</v>
      </c>
      <c r="GC25" s="4">
        <v>2.3900000000000002E-5</v>
      </c>
      <c r="GD25" s="4">
        <v>2.3499999999999999E-5</v>
      </c>
      <c r="GE25" s="4">
        <v>2.3099999999999999E-5</v>
      </c>
      <c r="GF25" s="4">
        <v>2.27E-5</v>
      </c>
      <c r="GG25" s="4">
        <v>2.23E-5</v>
      </c>
      <c r="GH25" s="4">
        <v>2.19E-5</v>
      </c>
      <c r="GI25" s="4">
        <v>2.16E-5</v>
      </c>
      <c r="GJ25" s="4">
        <v>2.12E-5</v>
      </c>
      <c r="GK25" s="4">
        <v>2.09E-5</v>
      </c>
      <c r="GL25" s="4">
        <v>2.0599999999999999E-5</v>
      </c>
      <c r="GM25" s="4">
        <v>2.02E-5</v>
      </c>
      <c r="GN25" s="4">
        <v>1.9899999999999999E-5</v>
      </c>
      <c r="GO25" s="4">
        <v>1.9599999999999999E-5</v>
      </c>
      <c r="GP25" s="4">
        <v>1.9400000000000001E-5</v>
      </c>
      <c r="GQ25" s="4">
        <v>1.91E-5</v>
      </c>
      <c r="GR25" s="4">
        <v>1.88E-5</v>
      </c>
      <c r="GS25" s="4">
        <v>1.8499999999999999E-5</v>
      </c>
      <c r="GT25" s="4">
        <v>1.8300000000000001E-5</v>
      </c>
      <c r="GU25" s="4">
        <v>1.8E-5</v>
      </c>
      <c r="GV25" s="4">
        <v>1.7799999999999999E-5</v>
      </c>
      <c r="GW25" s="4">
        <v>1.7499999999999998E-5</v>
      </c>
      <c r="GX25" s="4">
        <v>1.73E-5</v>
      </c>
      <c r="GY25" s="4">
        <v>1.7E-5</v>
      </c>
      <c r="GZ25" s="4">
        <v>1.6799999999999998E-5</v>
      </c>
      <c r="HA25" s="4">
        <v>1.66E-5</v>
      </c>
      <c r="HB25" s="4">
        <v>1.63E-5</v>
      </c>
      <c r="HC25" s="4">
        <v>1.6099999999999998E-5</v>
      </c>
      <c r="HD25" s="4">
        <v>1.59E-5</v>
      </c>
      <c r="HE25" s="4">
        <v>1.5699999999999999E-5</v>
      </c>
      <c r="HF25" s="4">
        <v>1.5500000000000001E-5</v>
      </c>
      <c r="HG25" s="4">
        <v>1.5299999999999999E-5</v>
      </c>
      <c r="HH25" s="4">
        <v>1.5099999999999999E-5</v>
      </c>
      <c r="HI25" s="4">
        <v>1.49E-5</v>
      </c>
      <c r="HJ25" s="4">
        <v>1.47E-5</v>
      </c>
      <c r="HK25" s="4">
        <v>1.45E-5</v>
      </c>
      <c r="HL25" s="4">
        <v>1.43E-5</v>
      </c>
      <c r="HM25" s="4">
        <v>1.4100000000000001E-5</v>
      </c>
      <c r="HN25" s="4">
        <v>1.3900000000000001E-5</v>
      </c>
      <c r="HO25" s="4">
        <v>1.3699999999999999E-5</v>
      </c>
      <c r="HP25" s="4">
        <v>1.3499999999999999E-5</v>
      </c>
      <c r="HQ25" s="4">
        <v>1.33E-5</v>
      </c>
      <c r="HR25" s="4">
        <v>1.31E-5</v>
      </c>
      <c r="HS25" s="4">
        <v>1.2999999999999999E-5</v>
      </c>
      <c r="HT25" s="4">
        <v>1.2799999999999999E-5</v>
      </c>
      <c r="HU25" s="4">
        <v>1.26E-5</v>
      </c>
      <c r="HV25" s="4">
        <v>1.24E-5</v>
      </c>
      <c r="HW25" s="4">
        <v>1.2300000000000001E-5</v>
      </c>
      <c r="HX25" s="4">
        <v>1.2099999999999999E-5</v>
      </c>
      <c r="HY25" s="4">
        <v>1.19E-5</v>
      </c>
      <c r="HZ25" s="4">
        <v>1.1800000000000001E-5</v>
      </c>
      <c r="IA25" s="4">
        <v>1.1600000000000001E-5</v>
      </c>
      <c r="IB25" s="4">
        <v>1.1399999999999999E-5</v>
      </c>
      <c r="IC25" s="4">
        <v>1.13E-5</v>
      </c>
      <c r="ID25" s="4">
        <v>1.11E-5</v>
      </c>
      <c r="IE25" s="4">
        <v>1.1E-5</v>
      </c>
      <c r="IF25" s="4">
        <v>1.08E-5</v>
      </c>
      <c r="IG25" s="4">
        <v>7.5480000000000002E-4</v>
      </c>
      <c r="IH25" s="4"/>
      <c r="II25" s="4">
        <f t="shared" si="245"/>
        <v>0.11646883928193545</v>
      </c>
      <c r="IJ25">
        <f t="shared" si="246"/>
        <v>0.35768451250000016</v>
      </c>
      <c r="IN25" s="4"/>
      <c r="IO25" s="4"/>
      <c r="IP25" s="4"/>
      <c r="IQ25" s="4"/>
      <c r="IR25" s="4"/>
      <c r="IS25" s="4"/>
      <c r="IT25" s="4"/>
      <c r="IU25" s="4"/>
      <c r="IV25" s="4"/>
    </row>
    <row r="26" spans="1:256" x14ac:dyDescent="0.35">
      <c r="A26" s="1">
        <v>18</v>
      </c>
      <c r="B26" s="4">
        <v>1.1099700000000001E-2</v>
      </c>
      <c r="C26" s="4">
        <v>1.1099700000000001E-2</v>
      </c>
      <c r="D26" s="4">
        <v>1.1040299999999999E-2</v>
      </c>
      <c r="E26" s="4">
        <v>1.0846700000000001E-2</v>
      </c>
      <c r="F26" s="4">
        <v>1.0101199999999999E-2</v>
      </c>
      <c r="G26" s="4">
        <v>9.4531000000000007E-3</v>
      </c>
      <c r="H26" s="4">
        <v>8.8585999999999995E-3</v>
      </c>
      <c r="I26" s="4">
        <v>8.2374000000000006E-3</v>
      </c>
      <c r="J26" s="4">
        <v>7.6927000000000002E-3</v>
      </c>
      <c r="K26" s="4">
        <v>7.1967999999999997E-3</v>
      </c>
      <c r="L26" s="4">
        <v>6.7571000000000003E-3</v>
      </c>
      <c r="M26" s="4">
        <v>6.3708000000000002E-3</v>
      </c>
      <c r="N26" s="4">
        <v>6.0160999999999999E-3</v>
      </c>
      <c r="O26" s="4">
        <v>5.6912999999999998E-3</v>
      </c>
      <c r="P26" s="4">
        <v>5.2826000000000001E-3</v>
      </c>
      <c r="Q26" s="4">
        <v>4.8628999999999999E-3</v>
      </c>
      <c r="R26" s="4">
        <v>4.4291000000000001E-3</v>
      </c>
      <c r="S26" s="4">
        <v>3.6782999999999998E-3</v>
      </c>
      <c r="T26" s="4">
        <v>3.9823999999999997E-3</v>
      </c>
      <c r="U26" s="4">
        <v>3.8489000000000002E-3</v>
      </c>
      <c r="V26" s="4">
        <v>3.7258E-3</v>
      </c>
      <c r="W26" s="4">
        <v>3.6215000000000002E-3</v>
      </c>
      <c r="X26" s="4">
        <v>3.5225999999999999E-3</v>
      </c>
      <c r="Y26" s="4">
        <v>3.4280999999999999E-3</v>
      </c>
      <c r="Z26" s="4">
        <v>3.3400999999999999E-3</v>
      </c>
      <c r="AA26" s="4">
        <v>3.2567E-3</v>
      </c>
      <c r="AB26" s="4">
        <v>3.1776999999999999E-3</v>
      </c>
      <c r="AC26" s="4">
        <v>3.1024999999999998E-3</v>
      </c>
      <c r="AD26" s="4">
        <v>3.0309E-3</v>
      </c>
      <c r="AE26" s="4">
        <v>2.9627E-3</v>
      </c>
      <c r="AF26" s="4">
        <v>2.8974999999999999E-3</v>
      </c>
      <c r="AG26" s="4">
        <v>2.8352E-3</v>
      </c>
      <c r="AH26" s="4">
        <v>2.7755000000000002E-3</v>
      </c>
      <c r="AI26" s="4">
        <v>2.7182999999999999E-3</v>
      </c>
      <c r="AJ26" s="4">
        <v>2.6633999999999998E-3</v>
      </c>
      <c r="AK26" s="4">
        <v>2.6107000000000001E-3</v>
      </c>
      <c r="AL26" s="4">
        <v>2.5600000000000002E-3</v>
      </c>
      <c r="AM26" s="4">
        <v>2.5113000000000002E-3</v>
      </c>
      <c r="AN26" s="4">
        <v>2.4643999999999998E-3</v>
      </c>
      <c r="AO26" s="4">
        <v>2.4191999999999998E-3</v>
      </c>
      <c r="AP26" s="4">
        <v>2.3755999999999998E-3</v>
      </c>
      <c r="AQ26" s="4">
        <v>2.3335000000000001E-3</v>
      </c>
      <c r="AR26" s="4">
        <v>2.2929000000000001E-3</v>
      </c>
      <c r="AS26" s="4">
        <v>2.2537E-3</v>
      </c>
      <c r="AT26" s="4">
        <v>2.2157000000000001E-3</v>
      </c>
      <c r="AU26" s="4">
        <v>2.1789000000000001E-3</v>
      </c>
      <c r="AV26" s="4">
        <v>2.1432000000000001E-3</v>
      </c>
      <c r="AW26" s="4">
        <v>2.1086E-3</v>
      </c>
      <c r="AX26" s="4">
        <v>2.075E-3</v>
      </c>
      <c r="AY26" s="4">
        <v>2.0424000000000002E-3</v>
      </c>
      <c r="AZ26" s="4">
        <v>2.0106E-3</v>
      </c>
      <c r="BA26" s="4">
        <v>1.9797E-3</v>
      </c>
      <c r="BB26" s="4">
        <v>1.9495000000000001E-3</v>
      </c>
      <c r="BC26" s="4">
        <v>1.9201000000000001E-3</v>
      </c>
      <c r="BD26" s="4">
        <v>1.8913999999999999E-3</v>
      </c>
      <c r="BE26" s="4">
        <v>1.8634000000000001E-3</v>
      </c>
      <c r="BF26" s="4">
        <v>1.8358999999999999E-3</v>
      </c>
      <c r="BG26" s="4">
        <v>1.8090999999999999E-3</v>
      </c>
      <c r="BH26" s="4">
        <v>1.7828E-3</v>
      </c>
      <c r="BI26" s="4">
        <v>1.7570999999999999E-3</v>
      </c>
      <c r="BJ26" s="4">
        <v>1.7319E-3</v>
      </c>
      <c r="BK26" s="4">
        <v>1.7071E-3</v>
      </c>
      <c r="BL26" s="4">
        <v>1.6829E-3</v>
      </c>
      <c r="BM26" s="4">
        <v>1.6590000000000001E-3</v>
      </c>
      <c r="BN26" s="4">
        <v>1.6356000000000001E-3</v>
      </c>
      <c r="BO26" s="4">
        <v>1.6126000000000001E-3</v>
      </c>
      <c r="BP26" s="4">
        <v>1.5899E-3</v>
      </c>
      <c r="BQ26" s="4">
        <v>1.5677E-3</v>
      </c>
      <c r="BR26" s="4">
        <v>1.5458E-3</v>
      </c>
      <c r="BS26" s="4">
        <v>1.5242000000000001E-3</v>
      </c>
      <c r="BT26" s="4">
        <v>1.503E-3</v>
      </c>
      <c r="BU26" s="4">
        <v>1.4821000000000001E-3</v>
      </c>
      <c r="BV26" s="4">
        <v>1.4614999999999999E-3</v>
      </c>
      <c r="BW26" s="4">
        <v>1.4411999999999999E-3</v>
      </c>
      <c r="BX26" s="4">
        <v>1.4212999999999999E-3</v>
      </c>
      <c r="BY26" s="4">
        <v>1.4016E-3</v>
      </c>
      <c r="BZ26" s="4">
        <v>1.3821E-3</v>
      </c>
      <c r="CA26" s="4">
        <v>1.3630000000000001E-3</v>
      </c>
      <c r="CB26" s="4">
        <v>1.3441E-3</v>
      </c>
      <c r="CC26" s="4">
        <v>1.3255000000000001E-3</v>
      </c>
      <c r="CD26" s="4">
        <v>1.3071999999999999E-3</v>
      </c>
      <c r="CE26" s="4">
        <v>1.2891000000000001E-3</v>
      </c>
      <c r="CF26" s="4">
        <v>1.2712000000000001E-3</v>
      </c>
      <c r="CG26" s="4">
        <v>1.2535999999999999E-3</v>
      </c>
      <c r="CH26" s="4">
        <v>1.2362E-3</v>
      </c>
      <c r="CI26" s="4">
        <v>1.2191000000000001E-3</v>
      </c>
      <c r="CJ26" s="4">
        <v>1.2022000000000001E-3</v>
      </c>
      <c r="CK26" s="4">
        <v>1.1854999999999999E-3</v>
      </c>
      <c r="CL26" s="4">
        <v>1.1689999999999999E-3</v>
      </c>
      <c r="CM26" s="4">
        <v>1.1528E-3</v>
      </c>
      <c r="CN26" s="4">
        <v>1.1367E-3</v>
      </c>
      <c r="CO26" s="4">
        <v>1.1209E-3</v>
      </c>
      <c r="CP26" s="4">
        <v>1.1053E-3</v>
      </c>
      <c r="CQ26" s="4">
        <v>1.0899E-3</v>
      </c>
      <c r="CR26" s="4">
        <v>1.0747E-3</v>
      </c>
      <c r="CS26" s="4">
        <v>1.0597E-3</v>
      </c>
      <c r="CT26" s="4">
        <v>1.0449000000000001E-3</v>
      </c>
      <c r="CU26" s="4">
        <v>1.0303000000000001E-3</v>
      </c>
      <c r="CV26" s="4">
        <v>1.0158999999999999E-3</v>
      </c>
      <c r="CW26" s="4">
        <v>1.0016999999999999E-3</v>
      </c>
      <c r="CX26" s="4">
        <v>9.8769999999999999E-4</v>
      </c>
      <c r="CY26" s="4">
        <v>9.7389999999999998E-4</v>
      </c>
      <c r="CZ26" s="4">
        <v>9.6020000000000003E-4</v>
      </c>
      <c r="DA26" s="4">
        <v>9.4680000000000003E-4</v>
      </c>
      <c r="DB26" s="4">
        <v>9.3349999999999998E-4</v>
      </c>
      <c r="DC26" s="4">
        <v>9.2040000000000004E-4</v>
      </c>
      <c r="DD26" s="4">
        <v>9.075E-4</v>
      </c>
      <c r="DE26" s="4">
        <v>8.9470000000000001E-4</v>
      </c>
      <c r="DF26" s="4">
        <v>8.8219999999999998E-4</v>
      </c>
      <c r="DG26" s="4">
        <v>8.698E-4</v>
      </c>
      <c r="DH26" s="4">
        <v>8.5749999999999997E-4</v>
      </c>
      <c r="DI26" s="4">
        <v>8.4550000000000001E-4</v>
      </c>
      <c r="DJ26" s="4">
        <v>8.3359999999999999E-4</v>
      </c>
      <c r="DK26" s="4">
        <v>8.2180000000000003E-4</v>
      </c>
      <c r="DL26" s="4">
        <v>8.1019999999999996E-4</v>
      </c>
      <c r="DM26" s="4">
        <v>7.9880000000000001E-4</v>
      </c>
      <c r="DN26" s="4">
        <v>7.8750000000000001E-4</v>
      </c>
      <c r="DO26" s="4">
        <v>7.7640000000000001E-4</v>
      </c>
      <c r="DP26" s="4">
        <v>7.6550000000000001E-4</v>
      </c>
      <c r="DQ26" s="4">
        <v>5.31627E-2</v>
      </c>
      <c r="DR26" s="4">
        <v>0</v>
      </c>
      <c r="DS26" s="4">
        <v>5.94E-5</v>
      </c>
      <c r="DT26" s="4">
        <v>1.9369999999999999E-4</v>
      </c>
      <c r="DU26" s="4">
        <v>7.4609999999999998E-4</v>
      </c>
      <c r="DV26" s="4">
        <v>6.4939999999999996E-4</v>
      </c>
      <c r="DW26" s="4">
        <v>6.0280000000000002E-4</v>
      </c>
      <c r="DX26" s="4">
        <v>6.2489999999999996E-4</v>
      </c>
      <c r="DY26" s="4">
        <v>5.4900000000000001E-4</v>
      </c>
      <c r="DZ26" s="4">
        <v>5.0089999999999998E-4</v>
      </c>
      <c r="EA26" s="4">
        <v>4.4329999999999999E-4</v>
      </c>
      <c r="EB26" s="4">
        <v>3.9550000000000002E-4</v>
      </c>
      <c r="EC26" s="4">
        <v>3.5290000000000001E-4</v>
      </c>
      <c r="ED26" s="4">
        <v>3.1550000000000003E-4</v>
      </c>
      <c r="EE26" s="4">
        <v>2.8269999999999999E-4</v>
      </c>
      <c r="EF26" s="4">
        <v>2.475E-4</v>
      </c>
      <c r="EG26" s="4">
        <v>2.1550000000000001E-4</v>
      </c>
      <c r="EH26" s="4">
        <v>1.8709999999999999E-4</v>
      </c>
      <c r="EI26" s="4">
        <v>1.471E-4</v>
      </c>
      <c r="EJ26" s="4">
        <v>1.5770000000000001E-4</v>
      </c>
      <c r="EK26" s="4">
        <v>1.448E-4</v>
      </c>
      <c r="EL26" s="4">
        <v>1.3329999999999999E-4</v>
      </c>
      <c r="EM26" s="4">
        <v>1.238E-4</v>
      </c>
      <c r="EN26" s="4">
        <v>1.1510000000000001E-4</v>
      </c>
      <c r="EO26" s="4">
        <v>1.072E-4</v>
      </c>
      <c r="EP26" s="4">
        <v>1.002E-4</v>
      </c>
      <c r="EQ26" s="4">
        <v>9.3999999999999994E-5</v>
      </c>
      <c r="ER26" s="4">
        <v>8.8300000000000005E-5</v>
      </c>
      <c r="ES26" s="4">
        <v>8.3200000000000003E-5</v>
      </c>
      <c r="ET26" s="4">
        <v>7.86E-5</v>
      </c>
      <c r="EU26" s="4">
        <v>7.4400000000000006E-5</v>
      </c>
      <c r="EV26" s="4">
        <v>7.0599999999999995E-5</v>
      </c>
      <c r="EW26" s="4">
        <v>6.7000000000000002E-5</v>
      </c>
      <c r="EX26" s="4">
        <v>6.3800000000000006E-5</v>
      </c>
      <c r="EY26" s="4">
        <v>6.0800000000000001E-5</v>
      </c>
      <c r="EZ26" s="4">
        <v>5.8E-5</v>
      </c>
      <c r="FA26" s="4">
        <v>5.5500000000000001E-5</v>
      </c>
      <c r="FB26" s="4">
        <v>5.3100000000000003E-5</v>
      </c>
      <c r="FC26" s="4">
        <v>5.0800000000000002E-5</v>
      </c>
      <c r="FD26" s="4">
        <v>4.8699999999999998E-5</v>
      </c>
      <c r="FE26" s="4">
        <v>4.6799999999999999E-5</v>
      </c>
      <c r="FF26" s="4">
        <v>4.5000000000000003E-5</v>
      </c>
      <c r="FG26" s="4">
        <v>4.3300000000000002E-5</v>
      </c>
      <c r="FH26" s="4">
        <v>4.1699999999999997E-5</v>
      </c>
      <c r="FI26" s="4">
        <v>4.0200000000000001E-5</v>
      </c>
      <c r="FJ26" s="4">
        <v>3.8800000000000001E-5</v>
      </c>
      <c r="FK26" s="4">
        <v>3.7499999999999997E-5</v>
      </c>
      <c r="FL26" s="4">
        <v>3.6300000000000001E-5</v>
      </c>
      <c r="FM26" s="4">
        <v>3.5200000000000002E-5</v>
      </c>
      <c r="FN26" s="4">
        <v>3.4100000000000002E-5</v>
      </c>
      <c r="FO26" s="4">
        <v>3.3099999999999998E-5</v>
      </c>
      <c r="FP26" s="4">
        <v>3.2199999999999997E-5</v>
      </c>
      <c r="FQ26" s="4">
        <v>3.1300000000000002E-5</v>
      </c>
      <c r="FR26" s="4">
        <v>3.0499999999999999E-5</v>
      </c>
      <c r="FS26" s="4">
        <v>2.97E-5</v>
      </c>
      <c r="FT26" s="4">
        <v>2.9E-5</v>
      </c>
      <c r="FU26" s="4">
        <v>2.83E-5</v>
      </c>
      <c r="FV26" s="4">
        <v>2.76E-5</v>
      </c>
      <c r="FW26" s="4">
        <v>2.6999999999999999E-5</v>
      </c>
      <c r="FX26" s="4">
        <v>2.6400000000000001E-5</v>
      </c>
      <c r="FY26" s="4">
        <v>2.5899999999999999E-5</v>
      </c>
      <c r="FZ26" s="4">
        <v>2.5400000000000001E-5</v>
      </c>
      <c r="GA26" s="4">
        <v>2.4899999999999999E-5</v>
      </c>
      <c r="GB26" s="4">
        <v>2.44E-5</v>
      </c>
      <c r="GC26" s="4">
        <v>2.3900000000000002E-5</v>
      </c>
      <c r="GD26" s="4">
        <v>2.3499999999999999E-5</v>
      </c>
      <c r="GE26" s="4">
        <v>2.3099999999999999E-5</v>
      </c>
      <c r="GF26" s="4">
        <v>2.27E-5</v>
      </c>
      <c r="GG26" s="4">
        <v>2.23E-5</v>
      </c>
      <c r="GH26" s="4">
        <v>2.19E-5</v>
      </c>
      <c r="GI26" s="4">
        <v>2.16E-5</v>
      </c>
      <c r="GJ26" s="4">
        <v>2.12E-5</v>
      </c>
      <c r="GK26" s="4">
        <v>2.09E-5</v>
      </c>
      <c r="GL26" s="4">
        <v>2.0599999999999999E-5</v>
      </c>
      <c r="GM26" s="4">
        <v>2.0299999999999999E-5</v>
      </c>
      <c r="GN26" s="4">
        <v>2.0000000000000002E-5</v>
      </c>
      <c r="GO26" s="4">
        <v>1.9700000000000001E-5</v>
      </c>
      <c r="GP26" s="4">
        <v>1.9400000000000001E-5</v>
      </c>
      <c r="GQ26" s="4">
        <v>1.91E-5</v>
      </c>
      <c r="GR26" s="4">
        <v>1.88E-5</v>
      </c>
      <c r="GS26" s="4">
        <v>1.8499999999999999E-5</v>
      </c>
      <c r="GT26" s="4">
        <v>1.8300000000000001E-5</v>
      </c>
      <c r="GU26" s="4">
        <v>1.8E-5</v>
      </c>
      <c r="GV26" s="4">
        <v>1.7799999999999999E-5</v>
      </c>
      <c r="GW26" s="4">
        <v>1.7499999999999998E-5</v>
      </c>
      <c r="GX26" s="4">
        <v>1.73E-5</v>
      </c>
      <c r="GY26" s="4">
        <v>1.7E-5</v>
      </c>
      <c r="GZ26" s="4">
        <v>1.6799999999999998E-5</v>
      </c>
      <c r="HA26" s="4">
        <v>1.66E-5</v>
      </c>
      <c r="HB26" s="4">
        <v>1.6399999999999999E-5</v>
      </c>
      <c r="HC26" s="4">
        <v>1.6099999999999998E-5</v>
      </c>
      <c r="HD26" s="4">
        <v>1.59E-5</v>
      </c>
      <c r="HE26" s="4">
        <v>1.5699999999999999E-5</v>
      </c>
      <c r="HF26" s="4">
        <v>1.5500000000000001E-5</v>
      </c>
      <c r="HG26" s="4">
        <v>1.5299999999999999E-5</v>
      </c>
      <c r="HH26" s="4">
        <v>1.5099999999999999E-5</v>
      </c>
      <c r="HI26" s="4">
        <v>1.49E-5</v>
      </c>
      <c r="HJ26" s="4">
        <v>1.47E-5</v>
      </c>
      <c r="HK26" s="4">
        <v>1.45E-5</v>
      </c>
      <c r="HL26" s="4">
        <v>1.43E-5</v>
      </c>
      <c r="HM26" s="4">
        <v>1.4100000000000001E-5</v>
      </c>
      <c r="HN26" s="4">
        <v>1.3900000000000001E-5</v>
      </c>
      <c r="HO26" s="4">
        <v>1.3699999999999999E-5</v>
      </c>
      <c r="HP26" s="4">
        <v>1.3499999999999999E-5</v>
      </c>
      <c r="HQ26" s="4">
        <v>1.33E-5</v>
      </c>
      <c r="HR26" s="4">
        <v>1.31E-5</v>
      </c>
      <c r="HS26" s="4">
        <v>1.2999999999999999E-5</v>
      </c>
      <c r="HT26" s="4">
        <v>1.2799999999999999E-5</v>
      </c>
      <c r="HU26" s="4">
        <v>1.26E-5</v>
      </c>
      <c r="HV26" s="4">
        <v>1.24E-5</v>
      </c>
      <c r="HW26" s="4">
        <v>1.2300000000000001E-5</v>
      </c>
      <c r="HX26" s="4">
        <v>1.2099999999999999E-5</v>
      </c>
      <c r="HY26" s="4">
        <v>1.19E-5</v>
      </c>
      <c r="HZ26" s="4">
        <v>1.1800000000000001E-5</v>
      </c>
      <c r="IA26" s="4">
        <v>1.1600000000000001E-5</v>
      </c>
      <c r="IB26" s="4">
        <v>1.1399999999999999E-5</v>
      </c>
      <c r="IC26" s="4">
        <v>1.13E-5</v>
      </c>
      <c r="ID26" s="4">
        <v>1.11E-5</v>
      </c>
      <c r="IE26" s="4">
        <v>1.1E-5</v>
      </c>
      <c r="IF26" s="4">
        <v>1.08E-5</v>
      </c>
      <c r="IG26" s="4">
        <v>7.5480000000000002E-4</v>
      </c>
      <c r="IH26" s="4"/>
      <c r="II26" s="4">
        <f t="shared" si="245"/>
        <v>0.1166753346929878</v>
      </c>
      <c r="IJ26">
        <f t="shared" si="246"/>
        <v>0.35806882500000037</v>
      </c>
      <c r="IN26" s="4"/>
      <c r="IO26" s="4"/>
      <c r="IP26" s="4"/>
      <c r="IQ26" s="4"/>
      <c r="IR26" s="4"/>
      <c r="IS26" s="4"/>
      <c r="IT26" s="4"/>
      <c r="IU26" s="4"/>
      <c r="IV26" s="4"/>
    </row>
    <row r="27" spans="1:256" x14ac:dyDescent="0.35">
      <c r="A27" s="1">
        <v>19</v>
      </c>
      <c r="B27" s="4">
        <v>1.0734799999999999E-2</v>
      </c>
      <c r="C27" s="4">
        <v>1.1099700000000001E-2</v>
      </c>
      <c r="D27" s="4">
        <v>1.1040299999999999E-2</v>
      </c>
      <c r="E27" s="4">
        <v>1.08466E-2</v>
      </c>
      <c r="F27" s="4">
        <v>1.01006E-2</v>
      </c>
      <c r="G27" s="4">
        <v>9.4517999999999998E-3</v>
      </c>
      <c r="H27" s="4">
        <v>8.8502000000000008E-3</v>
      </c>
      <c r="I27" s="4">
        <v>8.2337E-3</v>
      </c>
      <c r="J27" s="4">
        <v>7.6883999999999997E-3</v>
      </c>
      <c r="K27" s="4">
        <v>7.1917999999999999E-3</v>
      </c>
      <c r="L27" s="4">
        <v>6.7533999999999997E-3</v>
      </c>
      <c r="M27" s="4">
        <v>6.3616000000000002E-3</v>
      </c>
      <c r="N27" s="4">
        <v>6.0178000000000002E-3</v>
      </c>
      <c r="O27" s="4">
        <v>5.7006000000000001E-3</v>
      </c>
      <c r="P27" s="4">
        <v>5.4086000000000004E-3</v>
      </c>
      <c r="Q27" s="4">
        <v>5.0352000000000001E-3</v>
      </c>
      <c r="R27" s="4">
        <v>4.6474000000000003E-3</v>
      </c>
      <c r="S27" s="4">
        <v>4.2420000000000001E-3</v>
      </c>
      <c r="T27" s="4">
        <v>3.5312E-3</v>
      </c>
      <c r="U27" s="4">
        <v>3.8246999999999999E-3</v>
      </c>
      <c r="V27" s="4">
        <v>3.7041000000000001E-3</v>
      </c>
      <c r="W27" s="4">
        <v>3.5925000000000002E-3</v>
      </c>
      <c r="X27" s="4">
        <v>3.4978000000000001E-3</v>
      </c>
      <c r="Y27" s="4">
        <v>3.4074999999999999E-3</v>
      </c>
      <c r="Z27" s="4">
        <v>3.3208999999999999E-3</v>
      </c>
      <c r="AA27" s="4">
        <v>3.2399E-3</v>
      </c>
      <c r="AB27" s="4">
        <v>3.1627000000000001E-3</v>
      </c>
      <c r="AC27" s="4">
        <v>3.0894E-3</v>
      </c>
      <c r="AD27" s="4">
        <v>3.0192999999999999E-3</v>
      </c>
      <c r="AE27" s="4">
        <v>2.9523000000000001E-3</v>
      </c>
      <c r="AF27" s="4">
        <v>2.8882999999999999E-3</v>
      </c>
      <c r="AG27" s="4">
        <v>2.8268999999999998E-3</v>
      </c>
      <c r="AH27" s="4">
        <v>2.7680999999999999E-3</v>
      </c>
      <c r="AI27" s="4">
        <v>2.7117E-3</v>
      </c>
      <c r="AJ27" s="4">
        <v>2.6575000000000001E-3</v>
      </c>
      <c r="AK27" s="4">
        <v>2.6053000000000001E-3</v>
      </c>
      <c r="AL27" s="4">
        <v>2.5552000000000001E-3</v>
      </c>
      <c r="AM27" s="4">
        <v>2.5068999999999998E-3</v>
      </c>
      <c r="AN27" s="4">
        <v>2.4604000000000002E-3</v>
      </c>
      <c r="AO27" s="4">
        <v>2.4156E-3</v>
      </c>
      <c r="AP27" s="4">
        <v>2.3724000000000002E-3</v>
      </c>
      <c r="AQ27" s="4">
        <v>2.3305999999999999E-3</v>
      </c>
      <c r="AR27" s="4">
        <v>2.2902E-3</v>
      </c>
      <c r="AS27" s="4">
        <v>2.2512000000000001E-3</v>
      </c>
      <c r="AT27" s="4">
        <v>2.2133999999999999E-3</v>
      </c>
      <c r="AU27" s="4">
        <v>2.1768E-3</v>
      </c>
      <c r="AV27" s="4">
        <v>2.1413000000000001E-3</v>
      </c>
      <c r="AW27" s="4">
        <v>2.1069000000000001E-3</v>
      </c>
      <c r="AX27" s="4">
        <v>2.0734E-3</v>
      </c>
      <c r="AY27" s="4">
        <v>2.0409E-3</v>
      </c>
      <c r="AZ27" s="4">
        <v>2.0092E-3</v>
      </c>
      <c r="BA27" s="4">
        <v>1.9784E-3</v>
      </c>
      <c r="BB27" s="4">
        <v>1.9484000000000001E-3</v>
      </c>
      <c r="BC27" s="4">
        <v>1.9189999999999999E-3</v>
      </c>
      <c r="BD27" s="4">
        <v>1.8904E-3</v>
      </c>
      <c r="BE27" s="4">
        <v>1.8623999999999999E-3</v>
      </c>
      <c r="BF27" s="4">
        <v>1.8351000000000001E-3</v>
      </c>
      <c r="BG27" s="4">
        <v>1.8083000000000001E-3</v>
      </c>
      <c r="BH27" s="4">
        <v>1.7821E-3</v>
      </c>
      <c r="BI27" s="4">
        <v>1.7564E-3</v>
      </c>
      <c r="BJ27" s="4">
        <v>1.7312E-3</v>
      </c>
      <c r="BK27" s="4">
        <v>1.7064999999999999E-3</v>
      </c>
      <c r="BL27" s="4">
        <v>1.6823000000000001E-3</v>
      </c>
      <c r="BM27" s="4">
        <v>1.6585E-3</v>
      </c>
      <c r="BN27" s="4">
        <v>1.6351E-3</v>
      </c>
      <c r="BO27" s="4">
        <v>1.6121E-3</v>
      </c>
      <c r="BP27" s="4">
        <v>1.5895E-3</v>
      </c>
      <c r="BQ27" s="4">
        <v>1.5673E-3</v>
      </c>
      <c r="BR27" s="4">
        <v>1.5453999999999999E-3</v>
      </c>
      <c r="BS27" s="4">
        <v>1.5238000000000001E-3</v>
      </c>
      <c r="BT27" s="4">
        <v>1.5026E-3</v>
      </c>
      <c r="BU27" s="4">
        <v>1.4817999999999999E-3</v>
      </c>
      <c r="BV27" s="4">
        <v>1.4612E-3</v>
      </c>
      <c r="BW27" s="4">
        <v>1.4408999999999999E-3</v>
      </c>
      <c r="BX27" s="4">
        <v>1.421E-3</v>
      </c>
      <c r="BY27" s="4">
        <v>1.4013000000000001E-3</v>
      </c>
      <c r="BZ27" s="4">
        <v>1.3818999999999999E-3</v>
      </c>
      <c r="CA27" s="4">
        <v>1.3627999999999999E-3</v>
      </c>
      <c r="CB27" s="4">
        <v>1.3439000000000001E-3</v>
      </c>
      <c r="CC27" s="4">
        <v>1.3253E-3</v>
      </c>
      <c r="CD27" s="4">
        <v>1.307E-3</v>
      </c>
      <c r="CE27" s="4">
        <v>1.2888999999999999E-3</v>
      </c>
      <c r="CF27" s="4">
        <v>1.271E-3</v>
      </c>
      <c r="CG27" s="4">
        <v>1.2534E-3</v>
      </c>
      <c r="CH27" s="4">
        <v>1.2361E-3</v>
      </c>
      <c r="CI27" s="4">
        <v>1.2189E-3</v>
      </c>
      <c r="CJ27" s="4">
        <v>1.2019999999999999E-3</v>
      </c>
      <c r="CK27" s="4">
        <v>1.1853E-3</v>
      </c>
      <c r="CL27" s="4">
        <v>1.1689000000000001E-3</v>
      </c>
      <c r="CM27" s="4">
        <v>1.1525999999999999E-3</v>
      </c>
      <c r="CN27" s="4">
        <v>1.1366E-3</v>
      </c>
      <c r="CO27" s="4">
        <v>1.1207999999999999E-3</v>
      </c>
      <c r="CP27" s="4">
        <v>1.1052E-3</v>
      </c>
      <c r="CQ27" s="4">
        <v>1.0897999999999999E-3</v>
      </c>
      <c r="CR27" s="4">
        <v>1.0746E-3</v>
      </c>
      <c r="CS27" s="4">
        <v>1.0596E-3</v>
      </c>
      <c r="CT27" s="4">
        <v>1.0449000000000001E-3</v>
      </c>
      <c r="CU27" s="4">
        <v>1.0303000000000001E-3</v>
      </c>
      <c r="CV27" s="4">
        <v>1.0158999999999999E-3</v>
      </c>
      <c r="CW27" s="4">
        <v>1.0016999999999999E-3</v>
      </c>
      <c r="CX27" s="4">
        <v>9.8769999999999999E-4</v>
      </c>
      <c r="CY27" s="4">
        <v>9.7380000000000003E-4</v>
      </c>
      <c r="CZ27" s="4">
        <v>9.6020000000000003E-4</v>
      </c>
      <c r="DA27" s="4">
        <v>9.4669999999999997E-4</v>
      </c>
      <c r="DB27" s="4">
        <v>9.3349999999999998E-4</v>
      </c>
      <c r="DC27" s="4">
        <v>9.2040000000000004E-4</v>
      </c>
      <c r="DD27" s="4">
        <v>9.0740000000000005E-4</v>
      </c>
      <c r="DE27" s="4">
        <v>8.9470000000000001E-4</v>
      </c>
      <c r="DF27" s="4">
        <v>8.8210000000000003E-4</v>
      </c>
      <c r="DG27" s="4">
        <v>8.6970000000000005E-4</v>
      </c>
      <c r="DH27" s="4">
        <v>8.5749999999999997E-4</v>
      </c>
      <c r="DI27" s="4">
        <v>8.4539999999999995E-4</v>
      </c>
      <c r="DJ27" s="4">
        <v>8.3350000000000004E-4</v>
      </c>
      <c r="DK27" s="4">
        <v>8.2180000000000003E-4</v>
      </c>
      <c r="DL27" s="4">
        <v>8.1019999999999996E-4</v>
      </c>
      <c r="DM27" s="4">
        <v>7.9880000000000001E-4</v>
      </c>
      <c r="DN27" s="4">
        <v>7.8750000000000001E-4</v>
      </c>
      <c r="DO27" s="4">
        <v>7.7640000000000001E-4</v>
      </c>
      <c r="DP27" s="4">
        <v>7.6550000000000001E-4</v>
      </c>
      <c r="DQ27" s="4">
        <v>5.3162500000000001E-2</v>
      </c>
      <c r="DR27" s="4">
        <v>0</v>
      </c>
      <c r="DS27" s="4">
        <v>5.94E-5</v>
      </c>
      <c r="DT27" s="4">
        <v>1.939E-4</v>
      </c>
      <c r="DU27" s="4">
        <v>7.4660000000000004E-4</v>
      </c>
      <c r="DV27" s="4">
        <v>6.4999999999999997E-4</v>
      </c>
      <c r="DW27" s="4">
        <v>6.0340000000000003E-4</v>
      </c>
      <c r="DX27" s="4">
        <v>6.2319999999999997E-4</v>
      </c>
      <c r="DY27" s="4">
        <v>5.4900000000000001E-4</v>
      </c>
      <c r="DZ27" s="4">
        <v>5.0080000000000003E-4</v>
      </c>
      <c r="EA27" s="4">
        <v>4.4289999999999998E-4</v>
      </c>
      <c r="EB27" s="4">
        <v>3.9530000000000001E-4</v>
      </c>
      <c r="EC27" s="4">
        <v>3.5189999999999999E-4</v>
      </c>
      <c r="ED27" s="4">
        <v>3.1530000000000002E-4</v>
      </c>
      <c r="EE27" s="4">
        <v>2.8259999999999998E-4</v>
      </c>
      <c r="EF27" s="4">
        <v>2.543E-4</v>
      </c>
      <c r="EG27" s="4">
        <v>2.2350000000000001E-4</v>
      </c>
      <c r="EH27" s="4">
        <v>1.9550000000000001E-4</v>
      </c>
      <c r="EI27" s="4">
        <v>1.7029999999999999E-4</v>
      </c>
      <c r="EJ27" s="4">
        <v>1.3439999999999999E-4</v>
      </c>
      <c r="EK27" s="4">
        <v>1.44E-4</v>
      </c>
      <c r="EL27" s="4">
        <v>1.328E-4</v>
      </c>
      <c r="EM27" s="4">
        <v>1.227E-4</v>
      </c>
      <c r="EN27" s="4">
        <v>1.143E-4</v>
      </c>
      <c r="EO27" s="4">
        <v>1.066E-4</v>
      </c>
      <c r="EP27" s="4">
        <v>9.9699999999999998E-5</v>
      </c>
      <c r="EQ27" s="4">
        <v>9.3499999999999996E-5</v>
      </c>
      <c r="ER27" s="4">
        <v>8.7899999999999995E-5</v>
      </c>
      <c r="ES27" s="4">
        <v>8.2899999999999996E-5</v>
      </c>
      <c r="ET27" s="4">
        <v>7.8300000000000006E-5</v>
      </c>
      <c r="EU27" s="4">
        <v>7.4099999999999999E-5</v>
      </c>
      <c r="EV27" s="4">
        <v>7.0300000000000001E-5</v>
      </c>
      <c r="EW27" s="4">
        <v>6.6799999999999997E-5</v>
      </c>
      <c r="EX27" s="4">
        <v>6.3600000000000001E-5</v>
      </c>
      <c r="EY27" s="4">
        <v>6.0600000000000003E-5</v>
      </c>
      <c r="EZ27" s="4">
        <v>5.7899999999999998E-5</v>
      </c>
      <c r="FA27" s="4">
        <v>5.5300000000000002E-5</v>
      </c>
      <c r="FB27" s="4">
        <v>5.2899999999999998E-5</v>
      </c>
      <c r="FC27" s="4">
        <v>5.0699999999999999E-5</v>
      </c>
      <c r="FD27" s="4">
        <v>4.8600000000000002E-5</v>
      </c>
      <c r="FE27" s="4">
        <v>4.6699999999999997E-5</v>
      </c>
      <c r="FF27" s="4">
        <v>4.49E-5</v>
      </c>
      <c r="FG27" s="4">
        <v>4.32E-5</v>
      </c>
      <c r="FH27" s="4">
        <v>4.1600000000000002E-5</v>
      </c>
      <c r="FI27" s="4">
        <v>4.0099999999999999E-5</v>
      </c>
      <c r="FJ27" s="4">
        <v>3.8699999999999999E-5</v>
      </c>
      <c r="FK27" s="4">
        <v>3.7499999999999997E-5</v>
      </c>
      <c r="FL27" s="4">
        <v>3.6199999999999999E-5</v>
      </c>
      <c r="FM27" s="4">
        <v>3.5099999999999999E-5</v>
      </c>
      <c r="FN27" s="4">
        <v>3.4E-5</v>
      </c>
      <c r="FO27" s="4">
        <v>3.3099999999999998E-5</v>
      </c>
      <c r="FP27" s="4">
        <v>3.2100000000000001E-5</v>
      </c>
      <c r="FQ27" s="4">
        <v>3.1199999999999999E-5</v>
      </c>
      <c r="FR27" s="4">
        <v>3.04E-5</v>
      </c>
      <c r="FS27" s="4">
        <v>2.9600000000000001E-5</v>
      </c>
      <c r="FT27" s="4">
        <v>2.8900000000000001E-5</v>
      </c>
      <c r="FU27" s="4">
        <v>2.8200000000000001E-5</v>
      </c>
      <c r="FV27" s="4">
        <v>2.76E-5</v>
      </c>
      <c r="FW27" s="4">
        <v>2.6999999999999999E-5</v>
      </c>
      <c r="FX27" s="4">
        <v>2.6400000000000001E-5</v>
      </c>
      <c r="FY27" s="4">
        <v>2.58E-5</v>
      </c>
      <c r="FZ27" s="4">
        <v>2.5299999999999998E-5</v>
      </c>
      <c r="GA27" s="4">
        <v>2.48E-5</v>
      </c>
      <c r="GB27" s="4">
        <v>2.4300000000000001E-5</v>
      </c>
      <c r="GC27" s="4">
        <v>2.3900000000000002E-5</v>
      </c>
      <c r="GD27" s="4">
        <v>2.3499999999999999E-5</v>
      </c>
      <c r="GE27" s="4">
        <v>2.3E-5</v>
      </c>
      <c r="GF27" s="4">
        <v>2.26E-5</v>
      </c>
      <c r="GG27" s="4">
        <v>2.23E-5</v>
      </c>
      <c r="GH27" s="4">
        <v>2.19E-5</v>
      </c>
      <c r="GI27" s="4">
        <v>2.1500000000000001E-5</v>
      </c>
      <c r="GJ27" s="4">
        <v>2.12E-5</v>
      </c>
      <c r="GK27" s="4">
        <v>2.09E-5</v>
      </c>
      <c r="GL27" s="4">
        <v>2.05E-5</v>
      </c>
      <c r="GM27" s="4">
        <v>2.02E-5</v>
      </c>
      <c r="GN27" s="4">
        <v>1.9899999999999999E-5</v>
      </c>
      <c r="GO27" s="4">
        <v>1.9599999999999999E-5</v>
      </c>
      <c r="GP27" s="4">
        <v>1.9300000000000002E-5</v>
      </c>
      <c r="GQ27" s="4">
        <v>1.91E-5</v>
      </c>
      <c r="GR27" s="4">
        <v>1.88E-5</v>
      </c>
      <c r="GS27" s="4">
        <v>1.8499999999999999E-5</v>
      </c>
      <c r="GT27" s="4">
        <v>1.8300000000000001E-5</v>
      </c>
      <c r="GU27" s="4">
        <v>1.8E-5</v>
      </c>
      <c r="GV27" s="4">
        <v>1.7799999999999999E-5</v>
      </c>
      <c r="GW27" s="4">
        <v>1.7499999999999998E-5</v>
      </c>
      <c r="GX27" s="4">
        <v>1.73E-5</v>
      </c>
      <c r="GY27" s="4">
        <v>1.7E-5</v>
      </c>
      <c r="GZ27" s="4">
        <v>1.6799999999999998E-5</v>
      </c>
      <c r="HA27" s="4">
        <v>1.66E-5</v>
      </c>
      <c r="HB27" s="4">
        <v>1.63E-5</v>
      </c>
      <c r="HC27" s="4">
        <v>1.6099999999999998E-5</v>
      </c>
      <c r="HD27" s="4">
        <v>1.59E-5</v>
      </c>
      <c r="HE27" s="4">
        <v>1.5699999999999999E-5</v>
      </c>
      <c r="HF27" s="4">
        <v>1.5500000000000001E-5</v>
      </c>
      <c r="HG27" s="4">
        <v>1.5299999999999999E-5</v>
      </c>
      <c r="HH27" s="4">
        <v>1.5099999999999999E-5</v>
      </c>
      <c r="HI27" s="4">
        <v>1.49E-5</v>
      </c>
      <c r="HJ27" s="4">
        <v>1.4600000000000001E-5</v>
      </c>
      <c r="HK27" s="4">
        <v>1.45E-5</v>
      </c>
      <c r="HL27" s="4">
        <v>1.43E-5</v>
      </c>
      <c r="HM27" s="4">
        <v>1.4100000000000001E-5</v>
      </c>
      <c r="HN27" s="4">
        <v>1.3900000000000001E-5</v>
      </c>
      <c r="HO27" s="4">
        <v>1.3699999999999999E-5</v>
      </c>
      <c r="HP27" s="4">
        <v>1.3499999999999999E-5</v>
      </c>
      <c r="HQ27" s="4">
        <v>1.33E-5</v>
      </c>
      <c r="HR27" s="4">
        <v>1.31E-5</v>
      </c>
      <c r="HS27" s="4">
        <v>1.2999999999999999E-5</v>
      </c>
      <c r="HT27" s="4">
        <v>1.2799999999999999E-5</v>
      </c>
      <c r="HU27" s="4">
        <v>1.26E-5</v>
      </c>
      <c r="HV27" s="4">
        <v>1.24E-5</v>
      </c>
      <c r="HW27" s="4">
        <v>1.2300000000000001E-5</v>
      </c>
      <c r="HX27" s="4">
        <v>1.2099999999999999E-5</v>
      </c>
      <c r="HY27" s="4">
        <v>1.19E-5</v>
      </c>
      <c r="HZ27" s="4">
        <v>1.1800000000000001E-5</v>
      </c>
      <c r="IA27" s="4">
        <v>1.1600000000000001E-5</v>
      </c>
      <c r="IB27" s="4">
        <v>1.1399999999999999E-5</v>
      </c>
      <c r="IC27" s="4">
        <v>1.13E-5</v>
      </c>
      <c r="ID27" s="4">
        <v>1.11E-5</v>
      </c>
      <c r="IE27" s="4">
        <v>1.1E-5</v>
      </c>
      <c r="IF27" s="4">
        <v>1.08E-5</v>
      </c>
      <c r="IG27" s="4">
        <v>7.5480000000000002E-4</v>
      </c>
      <c r="IH27" s="4"/>
      <c r="II27" s="4">
        <f t="shared" si="245"/>
        <v>0.11687654520958284</v>
      </c>
      <c r="IJ27">
        <f t="shared" si="246"/>
        <v>0.35838585000000056</v>
      </c>
      <c r="IN27" s="4"/>
      <c r="IO27" s="4"/>
      <c r="IP27" s="4"/>
      <c r="IQ27" s="4"/>
      <c r="IR27" s="4"/>
      <c r="IS27" s="4"/>
      <c r="IT27" s="4"/>
      <c r="IU27" s="4"/>
      <c r="IV27" s="4"/>
    </row>
    <row r="28" spans="1:256" x14ac:dyDescent="0.35">
      <c r="A28" s="1">
        <v>20</v>
      </c>
      <c r="B28" s="4">
        <v>1.0734799999999999E-2</v>
      </c>
      <c r="C28" s="4">
        <v>1.0734799999999999E-2</v>
      </c>
      <c r="D28" s="4">
        <v>1.1040299999999999E-2</v>
      </c>
      <c r="E28" s="4">
        <v>1.0846400000000001E-2</v>
      </c>
      <c r="F28" s="4">
        <v>1.01E-2</v>
      </c>
      <c r="G28" s="4">
        <v>9.4506E-3</v>
      </c>
      <c r="H28" s="4">
        <v>8.8483999999999993E-3</v>
      </c>
      <c r="I28" s="4">
        <v>8.2269999999999999E-3</v>
      </c>
      <c r="J28" s="4">
        <v>7.6847E-3</v>
      </c>
      <c r="K28" s="4">
        <v>7.1875999999999997E-3</v>
      </c>
      <c r="L28" s="4">
        <v>6.7488000000000001E-3</v>
      </c>
      <c r="M28" s="4">
        <v>6.3581999999999996E-3</v>
      </c>
      <c r="N28" s="4">
        <v>6.0098E-3</v>
      </c>
      <c r="O28" s="4">
        <v>5.7025000000000001E-3</v>
      </c>
      <c r="P28" s="4">
        <v>5.4180000000000001E-3</v>
      </c>
      <c r="Q28" s="4">
        <v>5.1544E-3</v>
      </c>
      <c r="R28" s="4">
        <v>4.8117000000000004E-3</v>
      </c>
      <c r="S28" s="4">
        <v>4.4519E-3</v>
      </c>
      <c r="T28" s="4">
        <v>4.0718000000000004E-3</v>
      </c>
      <c r="U28" s="4">
        <v>3.3968000000000002E-3</v>
      </c>
      <c r="V28" s="4">
        <v>3.6806999999999999E-3</v>
      </c>
      <c r="W28" s="4">
        <v>3.5714000000000002E-3</v>
      </c>
      <c r="X28" s="4">
        <v>3.4697999999999999E-3</v>
      </c>
      <c r="Y28" s="4">
        <v>3.3834999999999998E-3</v>
      </c>
      <c r="Z28" s="4">
        <v>3.3008999999999998E-3</v>
      </c>
      <c r="AA28" s="4">
        <v>3.2212E-3</v>
      </c>
      <c r="AB28" s="4">
        <v>3.1464000000000002E-3</v>
      </c>
      <c r="AC28" s="4">
        <v>3.0747999999999999E-3</v>
      </c>
      <c r="AD28" s="4">
        <v>3.0065000000000001E-3</v>
      </c>
      <c r="AE28" s="4">
        <v>2.941E-3</v>
      </c>
      <c r="AF28" s="4">
        <v>2.8782E-3</v>
      </c>
      <c r="AG28" s="4">
        <v>2.8180000000000002E-3</v>
      </c>
      <c r="AH28" s="4">
        <v>2.7601000000000001E-3</v>
      </c>
      <c r="AI28" s="4">
        <v>2.7044999999999999E-3</v>
      </c>
      <c r="AJ28" s="4">
        <v>2.6510000000000001E-3</v>
      </c>
      <c r="AK28" s="4">
        <v>2.5996000000000001E-3</v>
      </c>
      <c r="AL28" s="4">
        <v>2.5500000000000002E-3</v>
      </c>
      <c r="AM28" s="4">
        <v>2.5022999999999998E-3</v>
      </c>
      <c r="AN28" s="4">
        <v>2.4562E-3</v>
      </c>
      <c r="AO28" s="4">
        <v>2.4118E-3</v>
      </c>
      <c r="AP28" s="4">
        <v>2.3689000000000002E-3</v>
      </c>
      <c r="AQ28" s="4">
        <v>2.3275000000000001E-3</v>
      </c>
      <c r="AR28" s="4">
        <v>2.2874000000000002E-3</v>
      </c>
      <c r="AS28" s="4">
        <v>2.2485999999999999E-3</v>
      </c>
      <c r="AT28" s="4">
        <v>2.2111000000000001E-3</v>
      </c>
      <c r="AU28" s="4">
        <v>2.1746999999999999E-3</v>
      </c>
      <c r="AV28" s="4">
        <v>2.1394000000000001E-3</v>
      </c>
      <c r="AW28" s="4">
        <v>2.1050999999999999E-3</v>
      </c>
      <c r="AX28" s="4">
        <v>2.0717999999999999E-3</v>
      </c>
      <c r="AY28" s="4">
        <v>2.0393999999999998E-3</v>
      </c>
      <c r="AZ28" s="4">
        <v>2.0079E-3</v>
      </c>
      <c r="BA28" s="4">
        <v>1.9770999999999999E-3</v>
      </c>
      <c r="BB28" s="4">
        <v>1.9472000000000001E-3</v>
      </c>
      <c r="BC28" s="4">
        <v>1.9178999999999999E-3</v>
      </c>
      <c r="BD28" s="4">
        <v>1.8894000000000001E-3</v>
      </c>
      <c r="BE28" s="4">
        <v>1.8615000000000001E-3</v>
      </c>
      <c r="BF28" s="4">
        <v>1.8342E-3</v>
      </c>
      <c r="BG28" s="4">
        <v>1.8075000000000001E-3</v>
      </c>
      <c r="BH28" s="4">
        <v>1.7813E-3</v>
      </c>
      <c r="BI28" s="4">
        <v>1.7557E-3</v>
      </c>
      <c r="BJ28" s="4">
        <v>1.7306000000000001E-3</v>
      </c>
      <c r="BK28" s="4">
        <v>1.7059E-3</v>
      </c>
      <c r="BL28" s="4">
        <v>1.6816999999999999E-3</v>
      </c>
      <c r="BM28" s="4">
        <v>1.6578999999999999E-3</v>
      </c>
      <c r="BN28" s="4">
        <v>1.6345999999999999E-3</v>
      </c>
      <c r="BO28" s="4">
        <v>1.6115999999999999E-3</v>
      </c>
      <c r="BP28" s="4">
        <v>1.5891E-3</v>
      </c>
      <c r="BQ28" s="4">
        <v>1.5667999999999999E-3</v>
      </c>
      <c r="BR28" s="4">
        <v>1.5449999999999999E-3</v>
      </c>
      <c r="BS28" s="4">
        <v>1.5234999999999999E-3</v>
      </c>
      <c r="BT28" s="4">
        <v>1.5023E-3</v>
      </c>
      <c r="BU28" s="4">
        <v>1.4815E-3</v>
      </c>
      <c r="BV28" s="4">
        <v>1.4609E-3</v>
      </c>
      <c r="BW28" s="4">
        <v>1.4407000000000001E-3</v>
      </c>
      <c r="BX28" s="4">
        <v>1.4207E-3</v>
      </c>
      <c r="BY28" s="4">
        <v>1.4011E-3</v>
      </c>
      <c r="BZ28" s="4">
        <v>1.3817E-3</v>
      </c>
      <c r="CA28" s="4">
        <v>1.3626000000000001E-3</v>
      </c>
      <c r="CB28" s="4">
        <v>1.3437E-3</v>
      </c>
      <c r="CC28" s="4">
        <v>1.3251000000000001E-3</v>
      </c>
      <c r="CD28" s="4">
        <v>1.3068000000000001E-3</v>
      </c>
      <c r="CE28" s="4">
        <v>1.2887E-3</v>
      </c>
      <c r="CF28" s="4">
        <v>1.2708999999999999E-3</v>
      </c>
      <c r="CG28" s="4">
        <v>1.2532999999999999E-3</v>
      </c>
      <c r="CH28" s="4">
        <v>1.2359000000000001E-3</v>
      </c>
      <c r="CI28" s="4">
        <v>1.2187999999999999E-3</v>
      </c>
      <c r="CJ28" s="4">
        <v>1.2019000000000001E-3</v>
      </c>
      <c r="CK28" s="4">
        <v>1.1852E-3</v>
      </c>
      <c r="CL28" s="4">
        <v>1.1688E-3</v>
      </c>
      <c r="CM28" s="4">
        <v>1.1525000000000001E-3</v>
      </c>
      <c r="CN28" s="4">
        <v>1.1364999999999999E-3</v>
      </c>
      <c r="CO28" s="4">
        <v>1.1207000000000001E-3</v>
      </c>
      <c r="CP28" s="4">
        <v>1.1050999999999999E-3</v>
      </c>
      <c r="CQ28" s="4">
        <v>1.0897000000000001E-3</v>
      </c>
      <c r="CR28" s="4">
        <v>1.0746E-3</v>
      </c>
      <c r="CS28" s="4">
        <v>1.0596E-3</v>
      </c>
      <c r="CT28" s="4">
        <v>1.0448E-3</v>
      </c>
      <c r="CU28" s="4">
        <v>1.0302E-3</v>
      </c>
      <c r="CV28" s="4">
        <v>1.0158000000000001E-3</v>
      </c>
      <c r="CW28" s="4">
        <v>1.0016000000000001E-3</v>
      </c>
      <c r="CX28" s="4">
        <v>9.8759999999999994E-4</v>
      </c>
      <c r="CY28" s="4">
        <v>9.7380000000000003E-4</v>
      </c>
      <c r="CZ28" s="4">
        <v>9.6020000000000003E-4</v>
      </c>
      <c r="DA28" s="4">
        <v>9.4669999999999997E-4</v>
      </c>
      <c r="DB28" s="4">
        <v>9.3340000000000003E-4</v>
      </c>
      <c r="DC28" s="4">
        <v>9.2029999999999998E-4</v>
      </c>
      <c r="DD28" s="4">
        <v>9.0740000000000005E-4</v>
      </c>
      <c r="DE28" s="4">
        <v>8.9470000000000001E-4</v>
      </c>
      <c r="DF28" s="4">
        <v>8.8210000000000003E-4</v>
      </c>
      <c r="DG28" s="4">
        <v>8.6970000000000005E-4</v>
      </c>
      <c r="DH28" s="4">
        <v>8.5749999999999997E-4</v>
      </c>
      <c r="DI28" s="4">
        <v>8.4539999999999995E-4</v>
      </c>
      <c r="DJ28" s="4">
        <v>8.3350000000000004E-4</v>
      </c>
      <c r="DK28" s="4">
        <v>8.2180000000000003E-4</v>
      </c>
      <c r="DL28" s="4">
        <v>8.1019999999999996E-4</v>
      </c>
      <c r="DM28" s="4">
        <v>7.9880000000000001E-4</v>
      </c>
      <c r="DN28" s="4">
        <v>7.8750000000000001E-4</v>
      </c>
      <c r="DO28" s="4">
        <v>7.7640000000000001E-4</v>
      </c>
      <c r="DP28" s="4">
        <v>7.6539999999999996E-4</v>
      </c>
      <c r="DQ28" s="4">
        <v>5.3162399999999999E-2</v>
      </c>
      <c r="DR28" s="4">
        <v>0</v>
      </c>
      <c r="DS28" s="4">
        <v>5.02E-5</v>
      </c>
      <c r="DT28" s="4">
        <v>1.94E-4</v>
      </c>
      <c r="DU28" s="4">
        <v>7.4680000000000005E-4</v>
      </c>
      <c r="DV28" s="4">
        <v>6.5039999999999998E-4</v>
      </c>
      <c r="DW28" s="4">
        <v>6.0389999999999999E-4</v>
      </c>
      <c r="DX28" s="4">
        <v>6.2359999999999998E-4</v>
      </c>
      <c r="DY28" s="4">
        <v>5.4819999999999999E-4</v>
      </c>
      <c r="DZ28" s="4">
        <v>5.0080000000000003E-4</v>
      </c>
      <c r="EA28" s="4">
        <v>4.4289999999999998E-4</v>
      </c>
      <c r="EB28" s="4">
        <v>3.9510000000000001E-4</v>
      </c>
      <c r="EC28" s="4">
        <v>3.5179999999999999E-4</v>
      </c>
      <c r="ED28" s="4">
        <v>3.146E-4</v>
      </c>
      <c r="EE28" s="4">
        <v>2.8259999999999998E-4</v>
      </c>
      <c r="EF28" s="4">
        <v>2.544E-4</v>
      </c>
      <c r="EG28" s="4">
        <v>2.297E-4</v>
      </c>
      <c r="EH28" s="4">
        <v>2.028E-4</v>
      </c>
      <c r="EI28" s="4">
        <v>1.7799999999999999E-4</v>
      </c>
      <c r="EJ28" s="4">
        <v>1.5559999999999999E-4</v>
      </c>
      <c r="EK28" s="4">
        <v>1.2329999999999999E-4</v>
      </c>
      <c r="EL28" s="4">
        <v>1.3210000000000001E-4</v>
      </c>
      <c r="EM28" s="4">
        <v>1.2219999999999999E-4</v>
      </c>
      <c r="EN28" s="4">
        <v>1.1340000000000001E-4</v>
      </c>
      <c r="EO28" s="4">
        <v>1.059E-4</v>
      </c>
      <c r="EP28" s="4">
        <v>9.9099999999999996E-5</v>
      </c>
      <c r="EQ28" s="4">
        <v>9.2999999999999997E-5</v>
      </c>
      <c r="ER28" s="4">
        <v>8.7499999999999999E-5</v>
      </c>
      <c r="ES28" s="4">
        <v>8.25E-5</v>
      </c>
      <c r="ET28" s="4">
        <v>7.7899999999999996E-5</v>
      </c>
      <c r="EU28" s="4">
        <v>7.3800000000000005E-5</v>
      </c>
      <c r="EV28" s="4">
        <v>7.0099999999999996E-5</v>
      </c>
      <c r="EW28" s="4">
        <v>6.6600000000000006E-5</v>
      </c>
      <c r="EX28" s="4">
        <v>6.3399999999999996E-5</v>
      </c>
      <c r="EY28" s="4">
        <v>6.05E-5</v>
      </c>
      <c r="EZ28" s="4">
        <v>5.77E-5</v>
      </c>
      <c r="FA28" s="4">
        <v>5.52E-5</v>
      </c>
      <c r="FB28" s="4">
        <v>5.2800000000000003E-5</v>
      </c>
      <c r="FC28" s="4">
        <v>5.0599999999999997E-5</v>
      </c>
      <c r="FD28" s="4">
        <v>4.85E-5</v>
      </c>
      <c r="FE28" s="4">
        <v>4.6600000000000001E-5</v>
      </c>
      <c r="FF28" s="4">
        <v>4.4799999999999998E-5</v>
      </c>
      <c r="FG28" s="4">
        <v>4.3099999999999997E-5</v>
      </c>
      <c r="FH28" s="4">
        <v>4.1499999999999999E-5</v>
      </c>
      <c r="FI28" s="4">
        <v>4.0099999999999999E-5</v>
      </c>
      <c r="FJ28" s="4">
        <v>3.8699999999999999E-5</v>
      </c>
      <c r="FK28" s="4">
        <v>3.7400000000000001E-5</v>
      </c>
      <c r="FL28" s="4">
        <v>3.6199999999999999E-5</v>
      </c>
      <c r="FM28" s="4">
        <v>3.5099999999999999E-5</v>
      </c>
      <c r="FN28" s="4">
        <v>3.4E-5</v>
      </c>
      <c r="FO28" s="4">
        <v>3.3000000000000003E-5</v>
      </c>
      <c r="FP28" s="4">
        <v>3.2100000000000001E-5</v>
      </c>
      <c r="FQ28" s="4">
        <v>3.1199999999999999E-5</v>
      </c>
      <c r="FR28" s="4">
        <v>3.04E-5</v>
      </c>
      <c r="FS28" s="4">
        <v>2.9600000000000001E-5</v>
      </c>
      <c r="FT28" s="4">
        <v>2.8900000000000001E-5</v>
      </c>
      <c r="FU28" s="4">
        <v>2.8200000000000001E-5</v>
      </c>
      <c r="FV28" s="4">
        <v>2.76E-5</v>
      </c>
      <c r="FW28" s="4">
        <v>2.69E-5</v>
      </c>
      <c r="FX28" s="4">
        <v>2.6400000000000001E-5</v>
      </c>
      <c r="FY28" s="4">
        <v>2.58E-5</v>
      </c>
      <c r="FZ28" s="4">
        <v>2.5299999999999998E-5</v>
      </c>
      <c r="GA28" s="4">
        <v>2.48E-5</v>
      </c>
      <c r="GB28" s="4">
        <v>2.4300000000000001E-5</v>
      </c>
      <c r="GC28" s="4">
        <v>2.3900000000000002E-5</v>
      </c>
      <c r="GD28" s="4">
        <v>2.34E-5</v>
      </c>
      <c r="GE28" s="4">
        <v>2.3E-5</v>
      </c>
      <c r="GF28" s="4">
        <v>2.26E-5</v>
      </c>
      <c r="GG28" s="4">
        <v>2.2200000000000001E-5</v>
      </c>
      <c r="GH28" s="4">
        <v>2.19E-5</v>
      </c>
      <c r="GI28" s="4">
        <v>2.1500000000000001E-5</v>
      </c>
      <c r="GJ28" s="4">
        <v>2.12E-5</v>
      </c>
      <c r="GK28" s="4">
        <v>2.09E-5</v>
      </c>
      <c r="GL28" s="4">
        <v>2.05E-5</v>
      </c>
      <c r="GM28" s="4">
        <v>2.02E-5</v>
      </c>
      <c r="GN28" s="4">
        <v>1.9899999999999999E-5</v>
      </c>
      <c r="GO28" s="4">
        <v>1.9599999999999999E-5</v>
      </c>
      <c r="GP28" s="4">
        <v>1.9300000000000002E-5</v>
      </c>
      <c r="GQ28" s="4">
        <v>1.91E-5</v>
      </c>
      <c r="GR28" s="4">
        <v>1.88E-5</v>
      </c>
      <c r="GS28" s="4">
        <v>1.8499999999999999E-5</v>
      </c>
      <c r="GT28" s="4">
        <v>1.8300000000000001E-5</v>
      </c>
      <c r="GU28" s="4">
        <v>1.8E-5</v>
      </c>
      <c r="GV28" s="4">
        <v>1.77E-5</v>
      </c>
      <c r="GW28" s="4">
        <v>1.7499999999999998E-5</v>
      </c>
      <c r="GX28" s="4">
        <v>1.73E-5</v>
      </c>
      <c r="GY28" s="4">
        <v>1.7E-5</v>
      </c>
      <c r="GZ28" s="4">
        <v>1.6799999999999998E-5</v>
      </c>
      <c r="HA28" s="4">
        <v>1.66E-5</v>
      </c>
      <c r="HB28" s="4">
        <v>1.63E-5</v>
      </c>
      <c r="HC28" s="4">
        <v>1.6099999999999998E-5</v>
      </c>
      <c r="HD28" s="4">
        <v>1.59E-5</v>
      </c>
      <c r="HE28" s="4">
        <v>1.5699999999999999E-5</v>
      </c>
      <c r="HF28" s="4">
        <v>1.5500000000000001E-5</v>
      </c>
      <c r="HG28" s="4">
        <v>1.5299999999999999E-5</v>
      </c>
      <c r="HH28" s="4">
        <v>1.5099999999999999E-5</v>
      </c>
      <c r="HI28" s="4">
        <v>1.4800000000000001E-5</v>
      </c>
      <c r="HJ28" s="4">
        <v>1.4600000000000001E-5</v>
      </c>
      <c r="HK28" s="4">
        <v>1.4399999999999999E-5</v>
      </c>
      <c r="HL28" s="4">
        <v>1.43E-5</v>
      </c>
      <c r="HM28" s="4">
        <v>1.4100000000000001E-5</v>
      </c>
      <c r="HN28" s="4">
        <v>1.3900000000000001E-5</v>
      </c>
      <c r="HO28" s="4">
        <v>1.3699999999999999E-5</v>
      </c>
      <c r="HP28" s="4">
        <v>1.3499999999999999E-5</v>
      </c>
      <c r="HQ28" s="4">
        <v>1.33E-5</v>
      </c>
      <c r="HR28" s="4">
        <v>1.31E-5</v>
      </c>
      <c r="HS28" s="4">
        <v>1.2999999999999999E-5</v>
      </c>
      <c r="HT28" s="4">
        <v>1.2799999999999999E-5</v>
      </c>
      <c r="HU28" s="4">
        <v>1.26E-5</v>
      </c>
      <c r="HV28" s="4">
        <v>1.24E-5</v>
      </c>
      <c r="HW28" s="4">
        <v>1.2300000000000001E-5</v>
      </c>
      <c r="HX28" s="4">
        <v>1.2099999999999999E-5</v>
      </c>
      <c r="HY28" s="4">
        <v>1.19E-5</v>
      </c>
      <c r="HZ28" s="4">
        <v>1.1800000000000001E-5</v>
      </c>
      <c r="IA28" s="4">
        <v>1.1600000000000001E-5</v>
      </c>
      <c r="IB28" s="4">
        <v>1.1399999999999999E-5</v>
      </c>
      <c r="IC28" s="4">
        <v>1.13E-5</v>
      </c>
      <c r="ID28" s="4">
        <v>1.11E-5</v>
      </c>
      <c r="IE28" s="4">
        <v>1.1E-5</v>
      </c>
      <c r="IF28" s="4">
        <v>1.08E-5</v>
      </c>
      <c r="IG28" s="4">
        <v>7.5480000000000002E-4</v>
      </c>
      <c r="IH28" s="4"/>
      <c r="II28" s="4">
        <f t="shared" si="245"/>
        <v>0.11696857081354041</v>
      </c>
      <c r="IJ28">
        <f t="shared" si="246"/>
        <v>0.35863480000000048</v>
      </c>
      <c r="IN28" s="4"/>
      <c r="IO28" s="4"/>
      <c r="IP28" s="4"/>
      <c r="IQ28" s="4"/>
      <c r="IR28" s="4"/>
      <c r="IS28" s="4"/>
      <c r="IT28" s="4"/>
      <c r="IU28" s="4"/>
      <c r="IV28" s="4"/>
    </row>
    <row r="29" spans="1:256" x14ac:dyDescent="0.35">
      <c r="A29" s="1">
        <v>21</v>
      </c>
      <c r="B29" s="4">
        <v>1.0734799999999999E-2</v>
      </c>
      <c r="C29" s="4">
        <v>1.0734799999999999E-2</v>
      </c>
      <c r="D29" s="4">
        <v>1.0684600000000001E-2</v>
      </c>
      <c r="E29" s="4">
        <v>1.08463E-2</v>
      </c>
      <c r="F29" s="4">
        <v>1.0099500000000001E-2</v>
      </c>
      <c r="G29" s="4">
        <v>9.4497000000000001E-3</v>
      </c>
      <c r="H29" s="4">
        <v>8.8468000000000001E-3</v>
      </c>
      <c r="I29" s="4">
        <v>8.2248000000000009E-3</v>
      </c>
      <c r="J29" s="4">
        <v>7.6788000000000004E-3</v>
      </c>
      <c r="K29" s="4">
        <v>7.1837999999999997E-3</v>
      </c>
      <c r="L29" s="4">
        <v>6.7447000000000002E-3</v>
      </c>
      <c r="M29" s="4">
        <v>6.3537999999999997E-3</v>
      </c>
      <c r="N29" s="4">
        <v>6.0064000000000003E-3</v>
      </c>
      <c r="O29" s="4">
        <v>5.6952000000000001E-3</v>
      </c>
      <c r="P29" s="4">
        <v>5.4199000000000001E-3</v>
      </c>
      <c r="Q29" s="4">
        <v>5.1636E-3</v>
      </c>
      <c r="R29" s="4">
        <v>4.9246999999999997E-3</v>
      </c>
      <c r="S29" s="4">
        <v>4.6089E-3</v>
      </c>
      <c r="T29" s="4">
        <v>4.2738000000000003E-3</v>
      </c>
      <c r="U29" s="4">
        <v>3.9161999999999999E-3</v>
      </c>
      <c r="V29" s="4">
        <v>3.2734999999999999E-3</v>
      </c>
      <c r="W29" s="4">
        <v>3.5485999999999998E-3</v>
      </c>
      <c r="X29" s="4">
        <v>3.4491000000000001E-3</v>
      </c>
      <c r="Y29" s="4">
        <v>3.3563999999999998E-3</v>
      </c>
      <c r="Z29" s="4">
        <v>3.2775999999999999E-3</v>
      </c>
      <c r="AA29" s="4">
        <v>3.2017999999999999E-3</v>
      </c>
      <c r="AB29" s="4">
        <v>3.1283000000000001E-3</v>
      </c>
      <c r="AC29" s="4">
        <v>3.0590000000000001E-3</v>
      </c>
      <c r="AD29" s="4">
        <v>2.9924000000000001E-3</v>
      </c>
      <c r="AE29" s="4">
        <v>2.9286E-3</v>
      </c>
      <c r="AF29" s="4">
        <v>2.8671999999999999E-3</v>
      </c>
      <c r="AG29" s="4">
        <v>2.8081999999999998E-3</v>
      </c>
      <c r="AH29" s="4">
        <v>2.7514000000000002E-3</v>
      </c>
      <c r="AI29" s="4">
        <v>2.6966999999999998E-3</v>
      </c>
      <c r="AJ29" s="4">
        <v>2.6440000000000001E-3</v>
      </c>
      <c r="AK29" s="4">
        <v>2.5933000000000002E-3</v>
      </c>
      <c r="AL29" s="4">
        <v>2.5444E-3</v>
      </c>
      <c r="AM29" s="4">
        <v>2.4972000000000002E-3</v>
      </c>
      <c r="AN29" s="4">
        <v>2.4516999999999998E-3</v>
      </c>
      <c r="AO29" s="4">
        <v>2.4077E-3</v>
      </c>
      <c r="AP29" s="4">
        <v>2.3652E-3</v>
      </c>
      <c r="AQ29" s="4">
        <v>2.3241E-3</v>
      </c>
      <c r="AR29" s="4">
        <v>2.2843999999999998E-3</v>
      </c>
      <c r="AS29" s="4">
        <v>2.2458999999999999E-3</v>
      </c>
      <c r="AT29" s="4">
        <v>2.2085999999999998E-3</v>
      </c>
      <c r="AU29" s="4">
        <v>2.1724000000000001E-3</v>
      </c>
      <c r="AV29" s="4">
        <v>2.1373E-3</v>
      </c>
      <c r="AW29" s="4">
        <v>2.1031999999999999E-3</v>
      </c>
      <c r="AX29" s="4">
        <v>2.0699999999999998E-3</v>
      </c>
      <c r="AY29" s="4">
        <v>2.0378000000000002E-3</v>
      </c>
      <c r="AZ29" s="4">
        <v>2.0064000000000002E-3</v>
      </c>
      <c r="BA29" s="4">
        <v>1.9758000000000002E-3</v>
      </c>
      <c r="BB29" s="4">
        <v>1.9459E-3</v>
      </c>
      <c r="BC29" s="4">
        <v>1.9168E-3</v>
      </c>
      <c r="BD29" s="4">
        <v>1.8883000000000001E-3</v>
      </c>
      <c r="BE29" s="4">
        <v>1.8605E-3</v>
      </c>
      <c r="BF29" s="4">
        <v>1.8332999999999999E-3</v>
      </c>
      <c r="BG29" s="4">
        <v>1.8066E-3</v>
      </c>
      <c r="BH29" s="4">
        <v>1.7805E-3</v>
      </c>
      <c r="BI29" s="4">
        <v>1.755E-3</v>
      </c>
      <c r="BJ29" s="4">
        <v>1.7298999999999999E-3</v>
      </c>
      <c r="BK29" s="4">
        <v>1.7053000000000001E-3</v>
      </c>
      <c r="BL29" s="4">
        <v>1.6811E-3</v>
      </c>
      <c r="BM29" s="4">
        <v>1.6574000000000001E-3</v>
      </c>
      <c r="BN29" s="4">
        <v>1.6341000000000001E-3</v>
      </c>
      <c r="BO29" s="4">
        <v>1.6111000000000001E-3</v>
      </c>
      <c r="BP29" s="4">
        <v>1.5885999999999999E-3</v>
      </c>
      <c r="BQ29" s="4">
        <v>1.5663999999999999E-3</v>
      </c>
      <c r="BR29" s="4">
        <v>1.5445999999999999E-3</v>
      </c>
      <c r="BS29" s="4">
        <v>1.5231000000000001E-3</v>
      </c>
      <c r="BT29" s="4">
        <v>1.5020000000000001E-3</v>
      </c>
      <c r="BU29" s="4">
        <v>1.4811E-3</v>
      </c>
      <c r="BV29" s="4">
        <v>1.4606E-3</v>
      </c>
      <c r="BW29" s="4">
        <v>1.4404000000000001E-3</v>
      </c>
      <c r="BX29" s="4">
        <v>1.4205000000000001E-3</v>
      </c>
      <c r="BY29" s="4">
        <v>1.4008E-3</v>
      </c>
      <c r="BZ29" s="4">
        <v>1.3814000000000001E-3</v>
      </c>
      <c r="CA29" s="4">
        <v>1.3623000000000001E-3</v>
      </c>
      <c r="CB29" s="4">
        <v>1.3435000000000001E-3</v>
      </c>
      <c r="CC29" s="4">
        <v>1.3248999999999999E-3</v>
      </c>
      <c r="CD29" s="4">
        <v>1.3066E-3</v>
      </c>
      <c r="CE29" s="4">
        <v>1.2884999999999999E-3</v>
      </c>
      <c r="CF29" s="4">
        <v>1.2707E-3</v>
      </c>
      <c r="CG29" s="4">
        <v>1.2531E-3</v>
      </c>
      <c r="CH29" s="4">
        <v>1.2358E-3</v>
      </c>
      <c r="CI29" s="4">
        <v>1.2187000000000001E-3</v>
      </c>
      <c r="CJ29" s="4">
        <v>1.2018E-3</v>
      </c>
      <c r="CK29" s="4">
        <v>1.1850999999999999E-3</v>
      </c>
      <c r="CL29" s="4">
        <v>1.1686999999999999E-3</v>
      </c>
      <c r="CM29" s="4">
        <v>1.1524E-3</v>
      </c>
      <c r="CN29" s="4">
        <v>1.1364000000000001E-3</v>
      </c>
      <c r="CO29" s="4">
        <v>1.1206E-3</v>
      </c>
      <c r="CP29" s="4">
        <v>1.1050000000000001E-3</v>
      </c>
      <c r="CQ29" s="4">
        <v>1.0897000000000001E-3</v>
      </c>
      <c r="CR29" s="4">
        <v>1.0744999999999999E-3</v>
      </c>
      <c r="CS29" s="4">
        <v>1.0594999999999999E-3</v>
      </c>
      <c r="CT29" s="4">
        <v>1.0447E-3</v>
      </c>
      <c r="CU29" s="4">
        <v>1.0300999999999999E-3</v>
      </c>
      <c r="CV29" s="4">
        <v>1.0158000000000001E-3</v>
      </c>
      <c r="CW29" s="4">
        <v>1.0016000000000001E-3</v>
      </c>
      <c r="CX29" s="4">
        <v>9.8759999999999994E-4</v>
      </c>
      <c r="CY29" s="4">
        <v>9.7369999999999998E-4</v>
      </c>
      <c r="CZ29" s="4">
        <v>9.6009999999999997E-4</v>
      </c>
      <c r="DA29" s="4">
        <v>9.4669999999999997E-4</v>
      </c>
      <c r="DB29" s="4">
        <v>9.3340000000000003E-4</v>
      </c>
      <c r="DC29" s="4">
        <v>9.2029999999999998E-4</v>
      </c>
      <c r="DD29" s="4">
        <v>9.0740000000000005E-4</v>
      </c>
      <c r="DE29" s="4">
        <v>8.9459999999999995E-4</v>
      </c>
      <c r="DF29" s="4">
        <v>8.8210000000000003E-4</v>
      </c>
      <c r="DG29" s="4">
        <v>8.6970000000000005E-4</v>
      </c>
      <c r="DH29" s="4">
        <v>8.5740000000000002E-4</v>
      </c>
      <c r="DI29" s="4">
        <v>8.4539999999999995E-4</v>
      </c>
      <c r="DJ29" s="4">
        <v>8.3350000000000004E-4</v>
      </c>
      <c r="DK29" s="4">
        <v>8.2169999999999997E-4</v>
      </c>
      <c r="DL29" s="4">
        <v>8.1019999999999996E-4</v>
      </c>
      <c r="DM29" s="4">
        <v>7.9880000000000001E-4</v>
      </c>
      <c r="DN29" s="4">
        <v>7.8750000000000001E-4</v>
      </c>
      <c r="DO29" s="4">
        <v>7.7640000000000001E-4</v>
      </c>
      <c r="DP29" s="4">
        <v>7.6539999999999996E-4</v>
      </c>
      <c r="DQ29" s="4">
        <v>5.3162300000000003E-2</v>
      </c>
      <c r="DR29" s="4">
        <v>0</v>
      </c>
      <c r="DS29" s="4">
        <v>5.02E-5</v>
      </c>
      <c r="DT29" s="4">
        <v>1.73E-4</v>
      </c>
      <c r="DU29" s="4">
        <v>7.4689999999999999E-4</v>
      </c>
      <c r="DV29" s="4">
        <v>6.5050000000000004E-4</v>
      </c>
      <c r="DW29" s="4">
        <v>6.0479999999999996E-4</v>
      </c>
      <c r="DX29" s="4">
        <v>6.2419999999999999E-4</v>
      </c>
      <c r="DY29" s="4">
        <v>5.4889999999999995E-4</v>
      </c>
      <c r="DZ29" s="4">
        <v>5.0080000000000003E-4</v>
      </c>
      <c r="EA29" s="4">
        <v>4.4329999999999999E-4</v>
      </c>
      <c r="EB29" s="4">
        <v>3.9540000000000002E-4</v>
      </c>
      <c r="EC29" s="4">
        <v>3.5189999999999999E-4</v>
      </c>
      <c r="ED29" s="4">
        <v>3.1480000000000001E-4</v>
      </c>
      <c r="EE29" s="4">
        <v>2.8219999999999997E-4</v>
      </c>
      <c r="EF29" s="4">
        <v>2.5460000000000001E-4</v>
      </c>
      <c r="EG29" s="4">
        <v>2.3000000000000001E-4</v>
      </c>
      <c r="EH29" s="4">
        <v>2.084E-4</v>
      </c>
      <c r="EI29" s="4">
        <v>1.8479999999999999E-4</v>
      </c>
      <c r="EJ29" s="4">
        <v>1.629E-4</v>
      </c>
      <c r="EK29" s="4">
        <v>1.427E-4</v>
      </c>
      <c r="EL29" s="4">
        <v>1.1349999999999999E-4</v>
      </c>
      <c r="EM29" s="4">
        <v>1.216E-4</v>
      </c>
      <c r="EN29" s="4">
        <v>1.1290000000000001E-4</v>
      </c>
      <c r="EO29" s="4">
        <v>1.0509999999999999E-4</v>
      </c>
      <c r="EP29" s="4">
        <v>9.8499999999999995E-5</v>
      </c>
      <c r="EQ29" s="4">
        <v>9.2499999999999999E-5</v>
      </c>
      <c r="ER29" s="4">
        <v>8.7000000000000001E-5</v>
      </c>
      <c r="ES29" s="4">
        <v>8.2100000000000003E-5</v>
      </c>
      <c r="ET29" s="4">
        <v>7.7600000000000002E-5</v>
      </c>
      <c r="EU29" s="4">
        <v>7.3499999999999998E-5</v>
      </c>
      <c r="EV29" s="4">
        <v>6.9800000000000003E-5</v>
      </c>
      <c r="EW29" s="4">
        <v>6.6400000000000001E-5</v>
      </c>
      <c r="EX29" s="4">
        <v>6.3200000000000005E-5</v>
      </c>
      <c r="EY29" s="4">
        <v>6.0300000000000002E-5</v>
      </c>
      <c r="EZ29" s="4">
        <v>5.7599999999999997E-5</v>
      </c>
      <c r="FA29" s="4">
        <v>5.5000000000000002E-5</v>
      </c>
      <c r="FB29" s="4">
        <v>5.27E-5</v>
      </c>
      <c r="FC29" s="4">
        <v>5.0500000000000001E-5</v>
      </c>
      <c r="FD29" s="4">
        <v>4.8399999999999997E-5</v>
      </c>
      <c r="FE29" s="4">
        <v>4.6499999999999999E-5</v>
      </c>
      <c r="FF29" s="4">
        <v>4.4700000000000002E-5</v>
      </c>
      <c r="FG29" s="4">
        <v>4.3000000000000002E-5</v>
      </c>
      <c r="FH29" s="4">
        <v>4.1499999999999999E-5</v>
      </c>
      <c r="FI29" s="4">
        <v>4.0000000000000003E-5</v>
      </c>
      <c r="FJ29" s="4">
        <v>3.8600000000000003E-5</v>
      </c>
      <c r="FK29" s="4">
        <v>3.7400000000000001E-5</v>
      </c>
      <c r="FL29" s="4">
        <v>3.6199999999999999E-5</v>
      </c>
      <c r="FM29" s="4">
        <v>3.4999999999999997E-5</v>
      </c>
      <c r="FN29" s="4">
        <v>3.4E-5</v>
      </c>
      <c r="FO29" s="4">
        <v>3.3000000000000003E-5</v>
      </c>
      <c r="FP29" s="4">
        <v>3.2100000000000001E-5</v>
      </c>
      <c r="FQ29" s="4">
        <v>3.1199999999999999E-5</v>
      </c>
      <c r="FR29" s="4">
        <v>3.04E-5</v>
      </c>
      <c r="FS29" s="4">
        <v>2.9600000000000001E-5</v>
      </c>
      <c r="FT29" s="4">
        <v>2.8900000000000001E-5</v>
      </c>
      <c r="FU29" s="4">
        <v>2.8200000000000001E-5</v>
      </c>
      <c r="FV29" s="4">
        <v>2.7500000000000001E-5</v>
      </c>
      <c r="FW29" s="4">
        <v>2.69E-5</v>
      </c>
      <c r="FX29" s="4">
        <v>2.6299999999999999E-5</v>
      </c>
      <c r="FY29" s="4">
        <v>2.58E-5</v>
      </c>
      <c r="FZ29" s="4">
        <v>2.5299999999999998E-5</v>
      </c>
      <c r="GA29" s="4">
        <v>2.48E-5</v>
      </c>
      <c r="GB29" s="4">
        <v>2.4300000000000001E-5</v>
      </c>
      <c r="GC29" s="4">
        <v>2.3900000000000002E-5</v>
      </c>
      <c r="GD29" s="4">
        <v>2.34E-5</v>
      </c>
      <c r="GE29" s="4">
        <v>2.3E-5</v>
      </c>
      <c r="GF29" s="4">
        <v>2.26E-5</v>
      </c>
      <c r="GG29" s="4">
        <v>2.2200000000000001E-5</v>
      </c>
      <c r="GH29" s="4">
        <v>2.19E-5</v>
      </c>
      <c r="GI29" s="4">
        <v>2.1500000000000001E-5</v>
      </c>
      <c r="GJ29" s="4">
        <v>2.12E-5</v>
      </c>
      <c r="GK29" s="4">
        <v>2.0800000000000001E-5</v>
      </c>
      <c r="GL29" s="4">
        <v>2.05E-5</v>
      </c>
      <c r="GM29" s="4">
        <v>2.02E-5</v>
      </c>
      <c r="GN29" s="4">
        <v>1.9899999999999999E-5</v>
      </c>
      <c r="GO29" s="4">
        <v>1.9599999999999999E-5</v>
      </c>
      <c r="GP29" s="4">
        <v>1.9300000000000002E-5</v>
      </c>
      <c r="GQ29" s="4">
        <v>1.91E-5</v>
      </c>
      <c r="GR29" s="4">
        <v>1.88E-5</v>
      </c>
      <c r="GS29" s="4">
        <v>1.8499999999999999E-5</v>
      </c>
      <c r="GT29" s="4">
        <v>1.8300000000000001E-5</v>
      </c>
      <c r="GU29" s="4">
        <v>1.8E-5</v>
      </c>
      <c r="GV29" s="4">
        <v>1.77E-5</v>
      </c>
      <c r="GW29" s="4">
        <v>1.7499999999999998E-5</v>
      </c>
      <c r="GX29" s="4">
        <v>1.73E-5</v>
      </c>
      <c r="GY29" s="4">
        <v>1.7E-5</v>
      </c>
      <c r="GZ29" s="4">
        <v>1.6799999999999998E-5</v>
      </c>
      <c r="HA29" s="4">
        <v>1.66E-5</v>
      </c>
      <c r="HB29" s="4">
        <v>1.63E-5</v>
      </c>
      <c r="HC29" s="4">
        <v>1.6099999999999998E-5</v>
      </c>
      <c r="HD29" s="4">
        <v>1.59E-5</v>
      </c>
      <c r="HE29" s="4">
        <v>1.5699999999999999E-5</v>
      </c>
      <c r="HF29" s="4">
        <v>1.5500000000000001E-5</v>
      </c>
      <c r="HG29" s="4">
        <v>1.5299999999999999E-5</v>
      </c>
      <c r="HH29" s="4">
        <v>1.5099999999999999E-5</v>
      </c>
      <c r="HI29" s="4">
        <v>1.4800000000000001E-5</v>
      </c>
      <c r="HJ29" s="4">
        <v>1.4600000000000001E-5</v>
      </c>
      <c r="HK29" s="4">
        <v>1.4399999999999999E-5</v>
      </c>
      <c r="HL29" s="4">
        <v>1.43E-5</v>
      </c>
      <c r="HM29" s="4">
        <v>1.4100000000000001E-5</v>
      </c>
      <c r="HN29" s="4">
        <v>1.3900000000000001E-5</v>
      </c>
      <c r="HO29" s="4">
        <v>1.3699999999999999E-5</v>
      </c>
      <c r="HP29" s="4">
        <v>1.3499999999999999E-5</v>
      </c>
      <c r="HQ29" s="4">
        <v>1.33E-5</v>
      </c>
      <c r="HR29" s="4">
        <v>1.31E-5</v>
      </c>
      <c r="HS29" s="4">
        <v>1.2999999999999999E-5</v>
      </c>
      <c r="HT29" s="4">
        <v>1.2799999999999999E-5</v>
      </c>
      <c r="HU29" s="4">
        <v>1.26E-5</v>
      </c>
      <c r="HV29" s="4">
        <v>1.24E-5</v>
      </c>
      <c r="HW29" s="4">
        <v>1.2300000000000001E-5</v>
      </c>
      <c r="HX29" s="4">
        <v>1.2099999999999999E-5</v>
      </c>
      <c r="HY29" s="4">
        <v>1.19E-5</v>
      </c>
      <c r="HZ29" s="4">
        <v>1.1800000000000001E-5</v>
      </c>
      <c r="IA29" s="4">
        <v>1.1600000000000001E-5</v>
      </c>
      <c r="IB29" s="4">
        <v>1.1399999999999999E-5</v>
      </c>
      <c r="IC29" s="4">
        <v>1.13E-5</v>
      </c>
      <c r="ID29" s="4">
        <v>1.11E-5</v>
      </c>
      <c r="IE29" s="4">
        <v>1.1E-5</v>
      </c>
      <c r="IF29" s="4">
        <v>1.08E-5</v>
      </c>
      <c r="IG29" s="4">
        <v>7.5469999999999997E-4</v>
      </c>
      <c r="IH29" s="4"/>
      <c r="II29" s="4">
        <f t="shared" si="245"/>
        <v>0.1169977975699896</v>
      </c>
      <c r="IJ29">
        <f t="shared" si="246"/>
        <v>0.35881957500000011</v>
      </c>
      <c r="IN29" s="4"/>
      <c r="IO29" s="4"/>
      <c r="IP29" s="4"/>
      <c r="IQ29" s="4"/>
      <c r="IR29" s="4"/>
      <c r="IS29" s="4"/>
      <c r="IT29" s="4"/>
      <c r="IU29" s="4"/>
      <c r="IV29" s="4"/>
    </row>
    <row r="30" spans="1:256" x14ac:dyDescent="0.35">
      <c r="A30" s="1">
        <v>22</v>
      </c>
      <c r="B30" s="4">
        <v>1.0734799999999999E-2</v>
      </c>
      <c r="C30" s="4">
        <v>1.0734799999999999E-2</v>
      </c>
      <c r="D30" s="4">
        <v>1.0684600000000001E-2</v>
      </c>
      <c r="E30" s="4">
        <v>1.0511700000000001E-2</v>
      </c>
      <c r="F30" s="4">
        <v>1.00994E-2</v>
      </c>
      <c r="G30" s="4">
        <v>9.4491000000000002E-3</v>
      </c>
      <c r="H30" s="4">
        <v>8.8448999999999993E-3</v>
      </c>
      <c r="I30" s="4">
        <v>8.2225000000000006E-3</v>
      </c>
      <c r="J30" s="4">
        <v>7.6759000000000003E-3</v>
      </c>
      <c r="K30" s="4">
        <v>7.1780000000000004E-3</v>
      </c>
      <c r="L30" s="4">
        <v>6.7405E-3</v>
      </c>
      <c r="M30" s="4">
        <v>6.3493999999999998E-3</v>
      </c>
      <c r="N30" s="4">
        <v>6.0017999999999998E-3</v>
      </c>
      <c r="O30" s="4">
        <v>5.6915999999999998E-3</v>
      </c>
      <c r="P30" s="4">
        <v>5.4130000000000003E-3</v>
      </c>
      <c r="Q30" s="4">
        <v>5.1653000000000003E-3</v>
      </c>
      <c r="R30" s="4">
        <v>4.9337000000000001E-3</v>
      </c>
      <c r="S30" s="4">
        <v>4.7162999999999997E-3</v>
      </c>
      <c r="T30" s="4">
        <v>4.4241000000000003E-3</v>
      </c>
      <c r="U30" s="4">
        <v>4.1110000000000001E-3</v>
      </c>
      <c r="V30" s="4">
        <v>3.7734999999999999E-3</v>
      </c>
      <c r="W30" s="4">
        <v>3.1599000000000002E-3</v>
      </c>
      <c r="X30" s="4">
        <v>3.4269000000000001E-3</v>
      </c>
      <c r="Y30" s="4">
        <v>3.3362000000000001E-3</v>
      </c>
      <c r="Z30" s="4">
        <v>3.2512999999999999E-3</v>
      </c>
      <c r="AA30" s="4">
        <v>3.1790999999999998E-3</v>
      </c>
      <c r="AB30" s="4">
        <v>3.1093000000000002E-3</v>
      </c>
      <c r="AC30" s="4">
        <v>3.0412999999999998E-3</v>
      </c>
      <c r="AD30" s="4">
        <v>2.9769000000000002E-3</v>
      </c>
      <c r="AE30" s="4">
        <v>2.9147999999999999E-3</v>
      </c>
      <c r="AF30" s="4">
        <v>2.8549999999999999E-3</v>
      </c>
      <c r="AG30" s="4">
        <v>2.7973999999999998E-3</v>
      </c>
      <c r="AH30" s="4">
        <v>2.7418E-3</v>
      </c>
      <c r="AI30" s="4">
        <v>2.6882E-3</v>
      </c>
      <c r="AJ30" s="4">
        <v>2.6364000000000001E-3</v>
      </c>
      <c r="AK30" s="4">
        <v>2.5864999999999998E-3</v>
      </c>
      <c r="AL30" s="4">
        <v>2.5382999999999998E-3</v>
      </c>
      <c r="AM30" s="4">
        <v>2.4916999999999999E-3</v>
      </c>
      <c r="AN30" s="4">
        <v>2.4467E-3</v>
      </c>
      <c r="AO30" s="4">
        <v>2.4031999999999999E-3</v>
      </c>
      <c r="AP30" s="4">
        <v>2.3611999999999999E-3</v>
      </c>
      <c r="AQ30" s="4">
        <v>2.3205000000000001E-3</v>
      </c>
      <c r="AR30" s="4">
        <v>2.2810999999999999E-3</v>
      </c>
      <c r="AS30" s="4">
        <v>2.2428999999999999E-3</v>
      </c>
      <c r="AT30" s="4">
        <v>2.2057999999999999E-3</v>
      </c>
      <c r="AU30" s="4">
        <v>2.1699000000000002E-3</v>
      </c>
      <c r="AV30" s="4">
        <v>2.1350000000000002E-3</v>
      </c>
      <c r="AW30" s="4">
        <v>2.1010999999999998E-3</v>
      </c>
      <c r="AX30" s="4">
        <v>2.0682000000000001E-3</v>
      </c>
      <c r="AY30" s="4">
        <v>2.0360999999999999E-3</v>
      </c>
      <c r="AZ30" s="4">
        <v>2.0048000000000002E-3</v>
      </c>
      <c r="BA30" s="4">
        <v>1.9743E-3</v>
      </c>
      <c r="BB30" s="4">
        <v>1.9446000000000001E-3</v>
      </c>
      <c r="BC30" s="4">
        <v>1.9155000000000001E-3</v>
      </c>
      <c r="BD30" s="4">
        <v>1.8871999999999999E-3</v>
      </c>
      <c r="BE30" s="4">
        <v>1.8594E-3</v>
      </c>
      <c r="BF30" s="4">
        <v>1.8323E-3</v>
      </c>
      <c r="BG30" s="4">
        <v>1.8056999999999999E-3</v>
      </c>
      <c r="BH30" s="4">
        <v>1.7796999999999999E-3</v>
      </c>
      <c r="BI30" s="4">
        <v>1.7542E-3</v>
      </c>
      <c r="BJ30" s="4">
        <v>1.7292E-3</v>
      </c>
      <c r="BK30" s="4">
        <v>1.7045999999999999E-3</v>
      </c>
      <c r="BL30" s="4">
        <v>1.6804999999999999E-3</v>
      </c>
      <c r="BM30" s="4">
        <v>1.6567999999999999E-3</v>
      </c>
      <c r="BN30" s="4">
        <v>1.6335E-3</v>
      </c>
      <c r="BO30" s="4">
        <v>1.6106E-3</v>
      </c>
      <c r="BP30" s="4">
        <v>1.5881000000000001E-3</v>
      </c>
      <c r="BQ30" s="4">
        <v>1.5659999999999999E-3</v>
      </c>
      <c r="BR30" s="4">
        <v>1.5441999999999999E-3</v>
      </c>
      <c r="BS30" s="4">
        <v>1.5227000000000001E-3</v>
      </c>
      <c r="BT30" s="4">
        <v>1.5016000000000001E-3</v>
      </c>
      <c r="BU30" s="4">
        <v>1.4808E-3</v>
      </c>
      <c r="BV30" s="4">
        <v>1.4603000000000001E-3</v>
      </c>
      <c r="BW30" s="4">
        <v>1.4400999999999999E-3</v>
      </c>
      <c r="BX30" s="4">
        <v>1.4201999999999999E-3</v>
      </c>
      <c r="BY30" s="4">
        <v>1.4005000000000001E-3</v>
      </c>
      <c r="BZ30" s="4">
        <v>1.3812E-3</v>
      </c>
      <c r="CA30" s="4">
        <v>1.3621E-3</v>
      </c>
      <c r="CB30" s="4">
        <v>1.3433E-3</v>
      </c>
      <c r="CC30" s="4">
        <v>1.3247000000000001E-3</v>
      </c>
      <c r="CD30" s="4">
        <v>1.3064000000000001E-3</v>
      </c>
      <c r="CE30" s="4">
        <v>1.2884000000000001E-3</v>
      </c>
      <c r="CF30" s="4">
        <v>1.2704999999999999E-3</v>
      </c>
      <c r="CG30" s="4">
        <v>1.253E-3</v>
      </c>
      <c r="CH30" s="4">
        <v>1.2355999999999999E-3</v>
      </c>
      <c r="CI30" s="4">
        <v>1.2185E-3</v>
      </c>
      <c r="CJ30" s="4">
        <v>1.2015999999999999E-3</v>
      </c>
      <c r="CK30" s="4">
        <v>1.1850000000000001E-3</v>
      </c>
      <c r="CL30" s="4">
        <v>1.1685000000000001E-3</v>
      </c>
      <c r="CM30" s="4">
        <v>1.1523E-3</v>
      </c>
      <c r="CN30" s="4">
        <v>1.1363E-3</v>
      </c>
      <c r="CO30" s="4">
        <v>1.1205E-3</v>
      </c>
      <c r="CP30" s="4">
        <v>1.1050000000000001E-3</v>
      </c>
      <c r="CQ30" s="4">
        <v>1.0896E-3</v>
      </c>
      <c r="CR30" s="4">
        <v>1.0744000000000001E-3</v>
      </c>
      <c r="CS30" s="4">
        <v>1.0594000000000001E-3</v>
      </c>
      <c r="CT30" s="4">
        <v>1.0447E-3</v>
      </c>
      <c r="CU30" s="4">
        <v>1.0300999999999999E-3</v>
      </c>
      <c r="CV30" s="4">
        <v>1.0157E-3</v>
      </c>
      <c r="CW30" s="4">
        <v>1.0015E-3</v>
      </c>
      <c r="CX30" s="4">
        <v>9.875000000000001E-4</v>
      </c>
      <c r="CY30" s="4">
        <v>9.7369999999999998E-4</v>
      </c>
      <c r="CZ30" s="4">
        <v>9.6009999999999997E-4</v>
      </c>
      <c r="DA30" s="4">
        <v>9.4660000000000002E-4</v>
      </c>
      <c r="DB30" s="4">
        <v>9.3329999999999997E-4</v>
      </c>
      <c r="DC30" s="4">
        <v>9.2029999999999998E-4</v>
      </c>
      <c r="DD30" s="4">
        <v>9.0729999999999999E-4</v>
      </c>
      <c r="DE30" s="4">
        <v>8.9459999999999995E-4</v>
      </c>
      <c r="DF30" s="4">
        <v>8.8199999999999997E-4</v>
      </c>
      <c r="DG30" s="4">
        <v>8.696E-4</v>
      </c>
      <c r="DH30" s="4">
        <v>8.5740000000000002E-4</v>
      </c>
      <c r="DI30" s="4">
        <v>8.4539999999999995E-4</v>
      </c>
      <c r="DJ30" s="4">
        <v>8.3350000000000004E-4</v>
      </c>
      <c r="DK30" s="4">
        <v>8.2169999999999997E-4</v>
      </c>
      <c r="DL30" s="4">
        <v>8.1010000000000001E-4</v>
      </c>
      <c r="DM30" s="4">
        <v>7.9869999999999995E-4</v>
      </c>
      <c r="DN30" s="4">
        <v>7.8750000000000001E-4</v>
      </c>
      <c r="DO30" s="4">
        <v>7.7640000000000001E-4</v>
      </c>
      <c r="DP30" s="4">
        <v>7.6539999999999996E-4</v>
      </c>
      <c r="DQ30" s="4">
        <v>5.31622E-2</v>
      </c>
      <c r="DR30" s="4">
        <v>0</v>
      </c>
      <c r="DS30" s="4">
        <v>5.02E-5</v>
      </c>
      <c r="DT30" s="4">
        <v>1.73E-4</v>
      </c>
      <c r="DU30" s="4">
        <v>6.9169999999999995E-4</v>
      </c>
      <c r="DV30" s="4">
        <v>6.5050000000000004E-4</v>
      </c>
      <c r="DW30" s="4">
        <v>6.0499999999999996E-4</v>
      </c>
      <c r="DX30" s="4">
        <v>6.2410000000000005E-4</v>
      </c>
      <c r="DY30" s="4">
        <v>5.4960000000000002E-4</v>
      </c>
      <c r="DZ30" s="4">
        <v>5.0199999999999995E-4</v>
      </c>
      <c r="EA30" s="4">
        <v>4.4440000000000001E-4</v>
      </c>
      <c r="EB30" s="4">
        <v>3.971E-4</v>
      </c>
      <c r="EC30" s="4">
        <v>3.5369999999999998E-4</v>
      </c>
      <c r="ED30" s="4">
        <v>3.1639999999999999E-4</v>
      </c>
      <c r="EE30" s="4">
        <v>2.8390000000000002E-4</v>
      </c>
      <c r="EF30" s="4">
        <v>2.5569999999999998E-4</v>
      </c>
      <c r="EG30" s="4">
        <v>2.3149999999999999E-4</v>
      </c>
      <c r="EH30" s="4">
        <v>2.1000000000000001E-4</v>
      </c>
      <c r="EI30" s="4">
        <v>1.9100000000000001E-4</v>
      </c>
      <c r="EJ30" s="4">
        <v>1.7000000000000001E-4</v>
      </c>
      <c r="EK30" s="4">
        <v>1.504E-4</v>
      </c>
      <c r="EL30" s="4">
        <v>1.3219999999999999E-4</v>
      </c>
      <c r="EM30" s="4">
        <v>1.054E-4</v>
      </c>
      <c r="EN30" s="4">
        <v>1.13E-4</v>
      </c>
      <c r="EO30" s="4">
        <v>1.052E-4</v>
      </c>
      <c r="EP30" s="4">
        <v>9.8300000000000004E-5</v>
      </c>
      <c r="EQ30" s="4">
        <v>9.2299999999999994E-5</v>
      </c>
      <c r="ER30" s="4">
        <v>8.6899999999999998E-5</v>
      </c>
      <c r="ES30" s="4">
        <v>8.2000000000000001E-5</v>
      </c>
      <c r="ET30" s="4">
        <v>7.7600000000000002E-5</v>
      </c>
      <c r="EU30" s="4">
        <v>7.3499999999999998E-5</v>
      </c>
      <c r="EV30" s="4">
        <v>6.9800000000000003E-5</v>
      </c>
      <c r="EW30" s="4">
        <v>6.6400000000000001E-5</v>
      </c>
      <c r="EX30" s="4">
        <v>6.3200000000000005E-5</v>
      </c>
      <c r="EY30" s="4">
        <v>6.0300000000000002E-5</v>
      </c>
      <c r="EZ30" s="4">
        <v>5.7599999999999997E-5</v>
      </c>
      <c r="FA30" s="4">
        <v>5.5099999999999998E-5</v>
      </c>
      <c r="FB30" s="4">
        <v>5.27E-5</v>
      </c>
      <c r="FC30" s="4">
        <v>5.0500000000000001E-5</v>
      </c>
      <c r="FD30" s="4">
        <v>4.85E-5</v>
      </c>
      <c r="FE30" s="4">
        <v>4.6499999999999999E-5</v>
      </c>
      <c r="FF30" s="4">
        <v>4.4799999999999998E-5</v>
      </c>
      <c r="FG30" s="4">
        <v>4.3099999999999997E-5</v>
      </c>
      <c r="FH30" s="4">
        <v>4.1499999999999999E-5</v>
      </c>
      <c r="FI30" s="4">
        <v>4.0000000000000003E-5</v>
      </c>
      <c r="FJ30" s="4">
        <v>3.8699999999999999E-5</v>
      </c>
      <c r="FK30" s="4">
        <v>3.7400000000000001E-5</v>
      </c>
      <c r="FL30" s="4">
        <v>3.6199999999999999E-5</v>
      </c>
      <c r="FM30" s="4">
        <v>3.5099999999999999E-5</v>
      </c>
      <c r="FN30" s="4">
        <v>3.4E-5</v>
      </c>
      <c r="FO30" s="4">
        <v>3.3000000000000003E-5</v>
      </c>
      <c r="FP30" s="4">
        <v>3.2100000000000001E-5</v>
      </c>
      <c r="FQ30" s="4">
        <v>3.1199999999999999E-5</v>
      </c>
      <c r="FR30" s="4">
        <v>3.04E-5</v>
      </c>
      <c r="FS30" s="4">
        <v>2.9600000000000001E-5</v>
      </c>
      <c r="FT30" s="4">
        <v>2.8900000000000001E-5</v>
      </c>
      <c r="FU30" s="4">
        <v>2.8200000000000001E-5</v>
      </c>
      <c r="FV30" s="4">
        <v>2.76E-5</v>
      </c>
      <c r="FW30" s="4">
        <v>2.69E-5</v>
      </c>
      <c r="FX30" s="4">
        <v>2.6400000000000001E-5</v>
      </c>
      <c r="FY30" s="4">
        <v>2.58E-5</v>
      </c>
      <c r="FZ30" s="4">
        <v>2.5299999999999998E-5</v>
      </c>
      <c r="GA30" s="4">
        <v>2.48E-5</v>
      </c>
      <c r="GB30" s="4">
        <v>2.4300000000000001E-5</v>
      </c>
      <c r="GC30" s="4">
        <v>2.3900000000000002E-5</v>
      </c>
      <c r="GD30" s="4">
        <v>2.34E-5</v>
      </c>
      <c r="GE30" s="4">
        <v>2.3E-5</v>
      </c>
      <c r="GF30" s="4">
        <v>2.26E-5</v>
      </c>
      <c r="GG30" s="4">
        <v>2.2200000000000001E-5</v>
      </c>
      <c r="GH30" s="4">
        <v>2.19E-5</v>
      </c>
      <c r="GI30" s="4">
        <v>2.1500000000000001E-5</v>
      </c>
      <c r="GJ30" s="4">
        <v>2.12E-5</v>
      </c>
      <c r="GK30" s="4">
        <v>2.09E-5</v>
      </c>
      <c r="GL30" s="4">
        <v>2.05E-5</v>
      </c>
      <c r="GM30" s="4">
        <v>2.02E-5</v>
      </c>
      <c r="GN30" s="4">
        <v>1.9899999999999999E-5</v>
      </c>
      <c r="GO30" s="4">
        <v>1.9599999999999999E-5</v>
      </c>
      <c r="GP30" s="4">
        <v>1.9300000000000002E-5</v>
      </c>
      <c r="GQ30" s="4">
        <v>1.91E-5</v>
      </c>
      <c r="GR30" s="4">
        <v>1.88E-5</v>
      </c>
      <c r="GS30" s="4">
        <v>1.8499999999999999E-5</v>
      </c>
      <c r="GT30" s="4">
        <v>1.8300000000000001E-5</v>
      </c>
      <c r="GU30" s="4">
        <v>1.8E-5</v>
      </c>
      <c r="GV30" s="4">
        <v>1.7799999999999999E-5</v>
      </c>
      <c r="GW30" s="4">
        <v>1.7499999999999998E-5</v>
      </c>
      <c r="GX30" s="4">
        <v>1.73E-5</v>
      </c>
      <c r="GY30" s="4">
        <v>1.7E-5</v>
      </c>
      <c r="GZ30" s="4">
        <v>1.6799999999999998E-5</v>
      </c>
      <c r="HA30" s="4">
        <v>1.66E-5</v>
      </c>
      <c r="HB30" s="4">
        <v>1.63E-5</v>
      </c>
      <c r="HC30" s="4">
        <v>1.6099999999999998E-5</v>
      </c>
      <c r="HD30" s="4">
        <v>1.59E-5</v>
      </c>
      <c r="HE30" s="4">
        <v>1.5699999999999999E-5</v>
      </c>
      <c r="HF30" s="4">
        <v>1.5500000000000001E-5</v>
      </c>
      <c r="HG30" s="4">
        <v>1.5299999999999999E-5</v>
      </c>
      <c r="HH30" s="4">
        <v>1.5099999999999999E-5</v>
      </c>
      <c r="HI30" s="4">
        <v>1.4800000000000001E-5</v>
      </c>
      <c r="HJ30" s="4">
        <v>1.4600000000000001E-5</v>
      </c>
      <c r="HK30" s="4">
        <v>1.45E-5</v>
      </c>
      <c r="HL30" s="4">
        <v>1.43E-5</v>
      </c>
      <c r="HM30" s="4">
        <v>1.4100000000000001E-5</v>
      </c>
      <c r="HN30" s="4">
        <v>1.3900000000000001E-5</v>
      </c>
      <c r="HO30" s="4">
        <v>1.3699999999999999E-5</v>
      </c>
      <c r="HP30" s="4">
        <v>1.3499999999999999E-5</v>
      </c>
      <c r="HQ30" s="4">
        <v>1.33E-5</v>
      </c>
      <c r="HR30" s="4">
        <v>1.31E-5</v>
      </c>
      <c r="HS30" s="4">
        <v>1.2999999999999999E-5</v>
      </c>
      <c r="HT30" s="4">
        <v>1.2799999999999999E-5</v>
      </c>
      <c r="HU30" s="4">
        <v>1.26E-5</v>
      </c>
      <c r="HV30" s="4">
        <v>1.24E-5</v>
      </c>
      <c r="HW30" s="4">
        <v>1.2300000000000001E-5</v>
      </c>
      <c r="HX30" s="4">
        <v>1.2099999999999999E-5</v>
      </c>
      <c r="HY30" s="4">
        <v>1.19E-5</v>
      </c>
      <c r="HZ30" s="4">
        <v>1.1800000000000001E-5</v>
      </c>
      <c r="IA30" s="4">
        <v>1.1600000000000001E-5</v>
      </c>
      <c r="IB30" s="4">
        <v>1.1399999999999999E-5</v>
      </c>
      <c r="IC30" s="4">
        <v>1.13E-5</v>
      </c>
      <c r="ID30" s="4">
        <v>1.11E-5</v>
      </c>
      <c r="IE30" s="4">
        <v>1.1E-5</v>
      </c>
      <c r="IF30" s="4">
        <v>1.08E-5</v>
      </c>
      <c r="IG30" s="4">
        <v>7.5480000000000002E-4</v>
      </c>
      <c r="IH30" s="4"/>
      <c r="II30" s="4">
        <f t="shared" si="245"/>
        <v>0.11717684865736537</v>
      </c>
      <c r="IJ30">
        <f t="shared" si="246"/>
        <v>0.35894462499999996</v>
      </c>
      <c r="IN30" s="4"/>
      <c r="IO30" s="4"/>
      <c r="IP30" s="4"/>
      <c r="IQ30" s="4"/>
      <c r="IR30" s="4"/>
      <c r="IS30" s="4"/>
      <c r="IT30" s="4"/>
      <c r="IU30" s="4"/>
      <c r="IV30" s="4"/>
    </row>
    <row r="31" spans="1:256" x14ac:dyDescent="0.35">
      <c r="A31" s="1">
        <v>23</v>
      </c>
      <c r="B31" s="4">
        <v>1.0734799999999999E-2</v>
      </c>
      <c r="C31" s="4">
        <v>1.0734799999999999E-2</v>
      </c>
      <c r="D31" s="4">
        <v>1.0684600000000001E-2</v>
      </c>
      <c r="E31" s="4">
        <v>1.0511599999999999E-2</v>
      </c>
      <c r="F31" s="4">
        <v>9.8200000000000006E-3</v>
      </c>
      <c r="G31" s="4">
        <v>9.4488999999999997E-3</v>
      </c>
      <c r="H31" s="4">
        <v>8.8441000000000006E-3</v>
      </c>
      <c r="I31" s="4">
        <v>8.2208000000000003E-3</v>
      </c>
      <c r="J31" s="4">
        <v>7.6728999999999999E-3</v>
      </c>
      <c r="K31" s="4">
        <v>7.1739000000000004E-3</v>
      </c>
      <c r="L31" s="4">
        <v>6.7336000000000002E-3</v>
      </c>
      <c r="M31" s="4">
        <v>6.3435000000000002E-3</v>
      </c>
      <c r="N31" s="4">
        <v>5.9956999999999996E-3</v>
      </c>
      <c r="O31" s="4">
        <v>5.6854000000000002E-3</v>
      </c>
      <c r="P31" s="4">
        <v>5.4076999999999997E-3</v>
      </c>
      <c r="Q31" s="4">
        <v>5.1571999999999998E-3</v>
      </c>
      <c r="R31" s="4">
        <v>4.9338000000000003E-3</v>
      </c>
      <c r="S31" s="4">
        <v>4.7236999999999999E-3</v>
      </c>
      <c r="T31" s="4">
        <v>4.5253000000000003E-3</v>
      </c>
      <c r="U31" s="4">
        <v>4.2541000000000002E-3</v>
      </c>
      <c r="V31" s="4">
        <v>3.9605999999999999E-3</v>
      </c>
      <c r="W31" s="4">
        <v>3.6413000000000001E-3</v>
      </c>
      <c r="X31" s="4">
        <v>3.0544999999999999E-3</v>
      </c>
      <c r="Y31" s="4">
        <v>3.3138999999999998E-3</v>
      </c>
      <c r="Z31" s="4">
        <v>3.2309999999999999E-3</v>
      </c>
      <c r="AA31" s="4">
        <v>3.1530999999999998E-3</v>
      </c>
      <c r="AB31" s="4">
        <v>3.0867999999999998E-3</v>
      </c>
      <c r="AC31" s="4">
        <v>3.0224000000000002E-3</v>
      </c>
      <c r="AD31" s="4">
        <v>2.9593000000000002E-3</v>
      </c>
      <c r="AE31" s="4">
        <v>2.8993000000000001E-3</v>
      </c>
      <c r="AF31" s="4">
        <v>2.8413000000000002E-3</v>
      </c>
      <c r="AG31" s="4">
        <v>2.7851999999999998E-3</v>
      </c>
      <c r="AH31" s="4">
        <v>2.7309999999999999E-3</v>
      </c>
      <c r="AI31" s="4">
        <v>2.6786000000000002E-3</v>
      </c>
      <c r="AJ31" s="4">
        <v>2.6278E-3</v>
      </c>
      <c r="AK31" s="4">
        <v>2.5788E-3</v>
      </c>
      <c r="AL31" s="4">
        <v>2.5314000000000001E-3</v>
      </c>
      <c r="AM31" s="4">
        <v>2.4854999999999999E-3</v>
      </c>
      <c r="AN31" s="4">
        <v>2.4412000000000001E-3</v>
      </c>
      <c r="AO31" s="4">
        <v>2.3982000000000001E-3</v>
      </c>
      <c r="AP31" s="4">
        <v>2.3567000000000002E-3</v>
      </c>
      <c r="AQ31" s="4">
        <v>2.3164000000000001E-3</v>
      </c>
      <c r="AR31" s="4">
        <v>2.2774000000000002E-3</v>
      </c>
      <c r="AS31" s="4">
        <v>2.2395000000000002E-3</v>
      </c>
      <c r="AT31" s="4">
        <v>2.2028E-3</v>
      </c>
      <c r="AU31" s="4">
        <v>2.1672000000000002E-3</v>
      </c>
      <c r="AV31" s="4">
        <v>2.1324999999999998E-3</v>
      </c>
      <c r="AW31" s="4">
        <v>2.0988999999999999E-3</v>
      </c>
      <c r="AX31" s="4">
        <v>2.0661E-3</v>
      </c>
      <c r="AY31" s="4">
        <v>2.0341999999999999E-3</v>
      </c>
      <c r="AZ31" s="4">
        <v>2.0030999999999998E-3</v>
      </c>
      <c r="BA31" s="4">
        <v>1.9727E-3</v>
      </c>
      <c r="BB31" s="4">
        <v>1.9430999999999999E-3</v>
      </c>
      <c r="BC31" s="4">
        <v>1.9142E-3</v>
      </c>
      <c r="BD31" s="4">
        <v>1.8859E-3</v>
      </c>
      <c r="BE31" s="4">
        <v>1.8583E-3</v>
      </c>
      <c r="BF31" s="4">
        <v>1.8312000000000001E-3</v>
      </c>
      <c r="BG31" s="4">
        <v>1.8047E-3</v>
      </c>
      <c r="BH31" s="4">
        <v>1.7788000000000001E-3</v>
      </c>
      <c r="BI31" s="4">
        <v>1.7533E-3</v>
      </c>
      <c r="BJ31" s="4">
        <v>1.7283999999999999E-3</v>
      </c>
      <c r="BK31" s="4">
        <v>1.7038999999999999E-3</v>
      </c>
      <c r="BL31" s="4">
        <v>1.6798E-3</v>
      </c>
      <c r="BM31" s="4">
        <v>1.6562E-3</v>
      </c>
      <c r="BN31" s="4">
        <v>1.6329000000000001E-3</v>
      </c>
      <c r="BO31" s="4">
        <v>1.6100999999999999E-3</v>
      </c>
      <c r="BP31" s="4">
        <v>1.5876E-3</v>
      </c>
      <c r="BQ31" s="4">
        <v>1.5655000000000001E-3</v>
      </c>
      <c r="BR31" s="4">
        <v>1.5437000000000001E-3</v>
      </c>
      <c r="BS31" s="4">
        <v>1.5223000000000001E-3</v>
      </c>
      <c r="BT31" s="4">
        <v>1.5012000000000001E-3</v>
      </c>
      <c r="BU31" s="4">
        <v>1.4804E-3</v>
      </c>
      <c r="BV31" s="4">
        <v>1.4599000000000001E-3</v>
      </c>
      <c r="BW31" s="4">
        <v>1.4398E-3</v>
      </c>
      <c r="BX31" s="4">
        <v>1.4199E-3</v>
      </c>
      <c r="BY31" s="4">
        <v>1.4002999999999999E-3</v>
      </c>
      <c r="BZ31" s="4">
        <v>1.3809E-3</v>
      </c>
      <c r="CA31" s="4">
        <v>1.3619000000000001E-3</v>
      </c>
      <c r="CB31" s="4">
        <v>1.343E-3</v>
      </c>
      <c r="CC31" s="4">
        <v>1.3244999999999999E-3</v>
      </c>
      <c r="CD31" s="4">
        <v>1.3062E-3</v>
      </c>
      <c r="CE31" s="4">
        <v>1.2882E-3</v>
      </c>
      <c r="CF31" s="4">
        <v>1.2704000000000001E-3</v>
      </c>
      <c r="CG31" s="4">
        <v>1.2528000000000001E-3</v>
      </c>
      <c r="CH31" s="4">
        <v>1.2355000000000001E-3</v>
      </c>
      <c r="CI31" s="4">
        <v>1.2183999999999999E-3</v>
      </c>
      <c r="CJ31" s="4">
        <v>1.2015000000000001E-3</v>
      </c>
      <c r="CK31" s="4">
        <v>1.1848E-3</v>
      </c>
      <c r="CL31" s="4">
        <v>1.1684E-3</v>
      </c>
      <c r="CM31" s="4">
        <v>1.1521999999999999E-3</v>
      </c>
      <c r="CN31" s="4">
        <v>1.1362E-3</v>
      </c>
      <c r="CO31" s="4">
        <v>1.1203999999999999E-3</v>
      </c>
      <c r="CP31" s="4">
        <v>1.1049E-3</v>
      </c>
      <c r="CQ31" s="4">
        <v>1.0895E-3</v>
      </c>
      <c r="CR31" s="4">
        <v>1.0743E-3</v>
      </c>
      <c r="CS31" s="4">
        <v>1.0593E-3</v>
      </c>
      <c r="CT31" s="4">
        <v>1.0445999999999999E-3</v>
      </c>
      <c r="CU31" s="4">
        <v>1.0300000000000001E-3</v>
      </c>
      <c r="CV31" s="4">
        <v>1.0156E-3</v>
      </c>
      <c r="CW31" s="4">
        <v>1.0013999999999999E-3</v>
      </c>
      <c r="CX31" s="4">
        <v>9.8740000000000004E-4</v>
      </c>
      <c r="CY31" s="4">
        <v>9.7360000000000003E-4</v>
      </c>
      <c r="CZ31" s="4">
        <v>9.6000000000000002E-4</v>
      </c>
      <c r="DA31" s="4">
        <v>9.4660000000000002E-4</v>
      </c>
      <c r="DB31" s="4">
        <v>9.3329999999999997E-4</v>
      </c>
      <c r="DC31" s="4">
        <v>9.2020000000000003E-4</v>
      </c>
      <c r="DD31" s="4">
        <v>9.0729999999999999E-4</v>
      </c>
      <c r="DE31" s="4">
        <v>8.9459999999999995E-4</v>
      </c>
      <c r="DF31" s="4">
        <v>8.8199999999999997E-4</v>
      </c>
      <c r="DG31" s="4">
        <v>8.696E-4</v>
      </c>
      <c r="DH31" s="4">
        <v>8.5740000000000002E-4</v>
      </c>
      <c r="DI31" s="4">
        <v>8.453E-4</v>
      </c>
      <c r="DJ31" s="4">
        <v>8.3339999999999998E-4</v>
      </c>
      <c r="DK31" s="4">
        <v>8.2169999999999997E-4</v>
      </c>
      <c r="DL31" s="4">
        <v>8.1010000000000001E-4</v>
      </c>
      <c r="DM31" s="4">
        <v>7.9869999999999995E-4</v>
      </c>
      <c r="DN31" s="4">
        <v>7.8739999999999995E-4</v>
      </c>
      <c r="DO31" s="4">
        <v>7.7629999999999995E-4</v>
      </c>
      <c r="DP31" s="4">
        <v>7.6539999999999996E-4</v>
      </c>
      <c r="DQ31" s="4">
        <v>5.3162000000000001E-2</v>
      </c>
      <c r="DR31" s="4">
        <v>0</v>
      </c>
      <c r="DS31" s="4">
        <v>5.02E-5</v>
      </c>
      <c r="DT31" s="4">
        <v>1.73E-4</v>
      </c>
      <c r="DU31" s="4">
        <v>6.9180000000000001E-4</v>
      </c>
      <c r="DV31" s="4">
        <v>6.1669999999999997E-4</v>
      </c>
      <c r="DW31" s="4">
        <v>6.0590000000000004E-4</v>
      </c>
      <c r="DX31" s="4">
        <v>6.2500000000000001E-4</v>
      </c>
      <c r="DY31" s="4">
        <v>5.5049999999999999E-4</v>
      </c>
      <c r="DZ31" s="4">
        <v>5.019E-4</v>
      </c>
      <c r="EA31" s="4">
        <v>4.4349999999999999E-4</v>
      </c>
      <c r="EB31" s="4">
        <v>3.9540000000000002E-4</v>
      </c>
      <c r="EC31" s="4">
        <v>3.5189999999999999E-4</v>
      </c>
      <c r="ED31" s="4">
        <v>3.145E-4</v>
      </c>
      <c r="EE31" s="4">
        <v>2.8190000000000002E-4</v>
      </c>
      <c r="EF31" s="4">
        <v>2.5389999999999999E-4</v>
      </c>
      <c r="EG31" s="4">
        <v>2.2939999999999999E-4</v>
      </c>
      <c r="EH31" s="4">
        <v>2.085E-4</v>
      </c>
      <c r="EI31" s="4">
        <v>1.8980000000000001E-4</v>
      </c>
      <c r="EJ31" s="4">
        <v>1.7330000000000001E-4</v>
      </c>
      <c r="EK31" s="4">
        <v>1.548E-4</v>
      </c>
      <c r="EL31" s="4">
        <v>1.3750000000000001E-4</v>
      </c>
      <c r="EM31" s="4">
        <v>1.2120000000000001E-4</v>
      </c>
      <c r="EN31" s="4">
        <v>9.7E-5</v>
      </c>
      <c r="EO31" s="4">
        <v>1.041E-4</v>
      </c>
      <c r="EP31" s="4">
        <v>9.7299999999999993E-5</v>
      </c>
      <c r="EQ31" s="4">
        <v>9.1100000000000005E-5</v>
      </c>
      <c r="ER31" s="4">
        <v>8.5900000000000001E-5</v>
      </c>
      <c r="ES31" s="4">
        <v>8.1199999999999995E-5</v>
      </c>
      <c r="ET31" s="4">
        <v>7.6799999999999997E-5</v>
      </c>
      <c r="EU31" s="4">
        <v>7.2899999999999997E-5</v>
      </c>
      <c r="EV31" s="4">
        <v>6.9200000000000002E-5</v>
      </c>
      <c r="EW31" s="4">
        <v>6.5900000000000003E-5</v>
      </c>
      <c r="EX31" s="4">
        <v>6.2799999999999995E-5</v>
      </c>
      <c r="EY31" s="4">
        <v>5.9899999999999999E-5</v>
      </c>
      <c r="EZ31" s="4">
        <v>5.7299999999999997E-5</v>
      </c>
      <c r="FA31" s="4">
        <v>5.4799999999999997E-5</v>
      </c>
      <c r="FB31" s="4">
        <v>5.2500000000000002E-5</v>
      </c>
      <c r="FC31" s="4">
        <v>5.0300000000000003E-5</v>
      </c>
      <c r="FD31" s="4">
        <v>4.8300000000000002E-5</v>
      </c>
      <c r="FE31" s="4">
        <v>4.6400000000000003E-5</v>
      </c>
      <c r="FF31" s="4">
        <v>4.46E-5</v>
      </c>
      <c r="FG31" s="4">
        <v>4.2899999999999999E-5</v>
      </c>
      <c r="FH31" s="4">
        <v>4.1399999999999997E-5</v>
      </c>
      <c r="FI31" s="4">
        <v>3.9900000000000001E-5</v>
      </c>
      <c r="FJ31" s="4">
        <v>3.8600000000000003E-5</v>
      </c>
      <c r="FK31" s="4">
        <v>3.7299999999999999E-5</v>
      </c>
      <c r="FL31" s="4">
        <v>3.6100000000000003E-5</v>
      </c>
      <c r="FM31" s="4">
        <v>3.4999999999999997E-5</v>
      </c>
      <c r="FN31" s="4">
        <v>3.3899999999999997E-5</v>
      </c>
      <c r="FO31" s="4">
        <v>3.3000000000000003E-5</v>
      </c>
      <c r="FP31" s="4">
        <v>3.1999999999999999E-5</v>
      </c>
      <c r="FQ31" s="4">
        <v>3.1199999999999999E-5</v>
      </c>
      <c r="FR31" s="4">
        <v>3.0300000000000001E-5</v>
      </c>
      <c r="FS31" s="4">
        <v>2.9600000000000001E-5</v>
      </c>
      <c r="FT31" s="4">
        <v>2.8900000000000001E-5</v>
      </c>
      <c r="FU31" s="4">
        <v>2.8200000000000001E-5</v>
      </c>
      <c r="FV31" s="4">
        <v>2.7500000000000001E-5</v>
      </c>
      <c r="FW31" s="4">
        <v>2.69E-5</v>
      </c>
      <c r="FX31" s="4">
        <v>2.6299999999999999E-5</v>
      </c>
      <c r="FY31" s="4">
        <v>2.58E-5</v>
      </c>
      <c r="FZ31" s="4">
        <v>2.5299999999999998E-5</v>
      </c>
      <c r="GA31" s="4">
        <v>2.48E-5</v>
      </c>
      <c r="GB31" s="4">
        <v>2.4300000000000001E-5</v>
      </c>
      <c r="GC31" s="4">
        <v>2.3900000000000002E-5</v>
      </c>
      <c r="GD31" s="4">
        <v>2.34E-5</v>
      </c>
      <c r="GE31" s="4">
        <v>2.3E-5</v>
      </c>
      <c r="GF31" s="4">
        <v>2.26E-5</v>
      </c>
      <c r="GG31" s="4">
        <v>2.2200000000000001E-5</v>
      </c>
      <c r="GH31" s="4">
        <v>2.19E-5</v>
      </c>
      <c r="GI31" s="4">
        <v>2.1500000000000001E-5</v>
      </c>
      <c r="GJ31" s="4">
        <v>2.12E-5</v>
      </c>
      <c r="GK31" s="4">
        <v>2.0800000000000001E-5</v>
      </c>
      <c r="GL31" s="4">
        <v>2.05E-5</v>
      </c>
      <c r="GM31" s="4">
        <v>2.02E-5</v>
      </c>
      <c r="GN31" s="4">
        <v>1.9899999999999999E-5</v>
      </c>
      <c r="GO31" s="4">
        <v>1.9599999999999999E-5</v>
      </c>
      <c r="GP31" s="4">
        <v>1.9300000000000002E-5</v>
      </c>
      <c r="GQ31" s="4">
        <v>1.91E-5</v>
      </c>
      <c r="GR31" s="4">
        <v>1.88E-5</v>
      </c>
      <c r="GS31" s="4">
        <v>1.8499999999999999E-5</v>
      </c>
      <c r="GT31" s="4">
        <v>1.8300000000000001E-5</v>
      </c>
      <c r="GU31" s="4">
        <v>1.8E-5</v>
      </c>
      <c r="GV31" s="4">
        <v>1.77E-5</v>
      </c>
      <c r="GW31" s="4">
        <v>1.7499999999999998E-5</v>
      </c>
      <c r="GX31" s="4">
        <v>1.73E-5</v>
      </c>
      <c r="GY31" s="4">
        <v>1.7E-5</v>
      </c>
      <c r="GZ31" s="4">
        <v>1.6799999999999998E-5</v>
      </c>
      <c r="HA31" s="4">
        <v>1.66E-5</v>
      </c>
      <c r="HB31" s="4">
        <v>1.63E-5</v>
      </c>
      <c r="HC31" s="4">
        <v>1.6099999999999998E-5</v>
      </c>
      <c r="HD31" s="4">
        <v>1.59E-5</v>
      </c>
      <c r="HE31" s="4">
        <v>1.5699999999999999E-5</v>
      </c>
      <c r="HF31" s="4">
        <v>1.5500000000000001E-5</v>
      </c>
      <c r="HG31" s="4">
        <v>1.5299999999999999E-5</v>
      </c>
      <c r="HH31" s="4">
        <v>1.5099999999999999E-5</v>
      </c>
      <c r="HI31" s="4">
        <v>1.4800000000000001E-5</v>
      </c>
      <c r="HJ31" s="4">
        <v>1.4600000000000001E-5</v>
      </c>
      <c r="HK31" s="4">
        <v>1.4399999999999999E-5</v>
      </c>
      <c r="HL31" s="4">
        <v>1.43E-5</v>
      </c>
      <c r="HM31" s="4">
        <v>1.4100000000000001E-5</v>
      </c>
      <c r="HN31" s="4">
        <v>1.3900000000000001E-5</v>
      </c>
      <c r="HO31" s="4">
        <v>1.3699999999999999E-5</v>
      </c>
      <c r="HP31" s="4">
        <v>1.3499999999999999E-5</v>
      </c>
      <c r="HQ31" s="4">
        <v>1.33E-5</v>
      </c>
      <c r="HR31" s="4">
        <v>1.31E-5</v>
      </c>
      <c r="HS31" s="4">
        <v>1.2999999999999999E-5</v>
      </c>
      <c r="HT31" s="4">
        <v>1.2799999999999999E-5</v>
      </c>
      <c r="HU31" s="4">
        <v>1.26E-5</v>
      </c>
      <c r="HV31" s="4">
        <v>1.24E-5</v>
      </c>
      <c r="HW31" s="4">
        <v>1.2300000000000001E-5</v>
      </c>
      <c r="HX31" s="4">
        <v>1.2099999999999999E-5</v>
      </c>
      <c r="HY31" s="4">
        <v>1.19E-5</v>
      </c>
      <c r="HZ31" s="4">
        <v>1.1800000000000001E-5</v>
      </c>
      <c r="IA31" s="4">
        <v>1.1600000000000001E-5</v>
      </c>
      <c r="IB31" s="4">
        <v>1.1399999999999999E-5</v>
      </c>
      <c r="IC31" s="4">
        <v>1.13E-5</v>
      </c>
      <c r="ID31" s="4">
        <v>1.11E-5</v>
      </c>
      <c r="IE31" s="4">
        <v>1.1E-5</v>
      </c>
      <c r="IF31" s="4">
        <v>1.08E-5</v>
      </c>
      <c r="IG31" s="4">
        <v>7.5480000000000002E-4</v>
      </c>
      <c r="IH31" s="4"/>
      <c r="II31" s="4">
        <f t="shared" si="245"/>
        <v>0.11698244764006768</v>
      </c>
      <c r="IJ31">
        <f t="shared" si="246"/>
        <v>0.35901796249999973</v>
      </c>
      <c r="IN31" s="4"/>
      <c r="IO31" s="4"/>
      <c r="IP31" s="4"/>
      <c r="IQ31" s="4"/>
      <c r="IR31" s="4"/>
      <c r="IS31" s="4"/>
      <c r="IT31" s="4"/>
      <c r="IU31" s="4"/>
      <c r="IV31" s="4"/>
    </row>
    <row r="32" spans="1:256" x14ac:dyDescent="0.35">
      <c r="A32" s="1">
        <v>24</v>
      </c>
      <c r="B32" s="4">
        <v>1.0734799999999999E-2</v>
      </c>
      <c r="C32" s="4">
        <v>1.0734799999999999E-2</v>
      </c>
      <c r="D32" s="4">
        <v>1.0684600000000001E-2</v>
      </c>
      <c r="E32" s="4">
        <v>1.0511599999999999E-2</v>
      </c>
      <c r="F32" s="4">
        <v>9.8198999999999995E-3</v>
      </c>
      <c r="G32" s="4">
        <v>9.2032999999999993E-3</v>
      </c>
      <c r="H32" s="4">
        <v>8.8430000000000002E-3</v>
      </c>
      <c r="I32" s="4">
        <v>8.2190000000000006E-3</v>
      </c>
      <c r="J32" s="4">
        <v>7.6702999999999997E-3</v>
      </c>
      <c r="K32" s="4">
        <v>7.1710999999999997E-3</v>
      </c>
      <c r="L32" s="4">
        <v>6.7304000000000001E-3</v>
      </c>
      <c r="M32" s="4">
        <v>6.3382999999999998E-3</v>
      </c>
      <c r="N32" s="4">
        <v>5.9915999999999997E-3</v>
      </c>
      <c r="O32" s="4">
        <v>5.6812E-3</v>
      </c>
      <c r="P32" s="4">
        <v>5.4035000000000003E-3</v>
      </c>
      <c r="Q32" s="4">
        <v>5.1538E-3</v>
      </c>
      <c r="R32" s="4">
        <v>4.9278000000000004E-3</v>
      </c>
      <c r="S32" s="4">
        <v>4.7253E-3</v>
      </c>
      <c r="T32" s="4">
        <v>4.5339000000000004E-3</v>
      </c>
      <c r="U32" s="4">
        <v>4.352E-3</v>
      </c>
      <c r="V32" s="4">
        <v>4.0991999999999999E-3</v>
      </c>
      <c r="W32" s="4">
        <v>3.8232000000000001E-3</v>
      </c>
      <c r="X32" s="4">
        <v>3.5201E-3</v>
      </c>
      <c r="Y32" s="4">
        <v>2.9575000000000001E-3</v>
      </c>
      <c r="Z32" s="4">
        <v>3.2098999999999999E-3</v>
      </c>
      <c r="AA32" s="4">
        <v>3.1337000000000001E-3</v>
      </c>
      <c r="AB32" s="4">
        <v>3.0619000000000002E-3</v>
      </c>
      <c r="AC32" s="4">
        <v>3.0008000000000001E-3</v>
      </c>
      <c r="AD32" s="4">
        <v>2.9412000000000002E-3</v>
      </c>
      <c r="AE32" s="4">
        <v>2.8825000000000001E-3</v>
      </c>
      <c r="AF32" s="4">
        <v>2.8265E-3</v>
      </c>
      <c r="AG32" s="4">
        <v>2.7720000000000002E-3</v>
      </c>
      <c r="AH32" s="4">
        <v>2.7193E-3</v>
      </c>
      <c r="AI32" s="4">
        <v>2.6681999999999999E-3</v>
      </c>
      <c r="AJ32" s="4">
        <v>2.6186E-3</v>
      </c>
      <c r="AK32" s="4">
        <v>2.5706000000000001E-3</v>
      </c>
      <c r="AL32" s="4">
        <v>2.5240000000000002E-3</v>
      </c>
      <c r="AM32" s="4">
        <v>2.4789E-3</v>
      </c>
      <c r="AN32" s="4">
        <v>2.4352000000000002E-3</v>
      </c>
      <c r="AO32" s="4">
        <v>2.3928999999999999E-3</v>
      </c>
      <c r="AP32" s="4">
        <v>2.3519000000000001E-3</v>
      </c>
      <c r="AQ32" s="4">
        <v>2.3121000000000001E-3</v>
      </c>
      <c r="AR32" s="4">
        <v>2.2734999999999999E-3</v>
      </c>
      <c r="AS32" s="4">
        <v>2.2360000000000001E-3</v>
      </c>
      <c r="AT32" s="4">
        <v>2.1995999999999999E-3</v>
      </c>
      <c r="AU32" s="4">
        <v>2.1643000000000001E-3</v>
      </c>
      <c r="AV32" s="4">
        <v>2.1299000000000001E-3</v>
      </c>
      <c r="AW32" s="4">
        <v>2.0964E-3</v>
      </c>
      <c r="AX32" s="4">
        <v>2.0639E-3</v>
      </c>
      <c r="AY32" s="4">
        <v>2.0320999999999998E-3</v>
      </c>
      <c r="AZ32" s="4">
        <v>2.0011999999999999E-3</v>
      </c>
      <c r="BA32" s="4">
        <v>1.9710000000000001E-3</v>
      </c>
      <c r="BB32" s="4">
        <v>1.9415999999999999E-3</v>
      </c>
      <c r="BC32" s="4">
        <v>1.9128000000000001E-3</v>
      </c>
      <c r="BD32" s="4">
        <v>1.8845999999999999E-3</v>
      </c>
      <c r="BE32" s="4">
        <v>1.8571E-3</v>
      </c>
      <c r="BF32" s="4">
        <v>1.8301000000000001E-3</v>
      </c>
      <c r="BG32" s="4">
        <v>1.8037000000000001E-3</v>
      </c>
      <c r="BH32" s="4">
        <v>1.7778E-3</v>
      </c>
      <c r="BI32" s="4">
        <v>1.7524000000000001E-3</v>
      </c>
      <c r="BJ32" s="4">
        <v>1.7275000000000001E-3</v>
      </c>
      <c r="BK32" s="4">
        <v>1.7030999999999999E-3</v>
      </c>
      <c r="BL32" s="4">
        <v>1.6791E-3</v>
      </c>
      <c r="BM32" s="4">
        <v>1.6555000000000001E-3</v>
      </c>
      <c r="BN32" s="4">
        <v>1.6322999999999999E-3</v>
      </c>
      <c r="BO32" s="4">
        <v>1.6095E-3</v>
      </c>
      <c r="BP32" s="4">
        <v>1.5870999999999999E-3</v>
      </c>
      <c r="BQ32" s="4">
        <v>1.565E-3</v>
      </c>
      <c r="BR32" s="4">
        <v>1.5433000000000001E-3</v>
      </c>
      <c r="BS32" s="4">
        <v>1.5219000000000001E-3</v>
      </c>
      <c r="BT32" s="4">
        <v>1.5008000000000001E-3</v>
      </c>
      <c r="BU32" s="4">
        <v>1.48E-3</v>
      </c>
      <c r="BV32" s="4">
        <v>1.4595999999999999E-3</v>
      </c>
      <c r="BW32" s="4">
        <v>1.4394E-3</v>
      </c>
      <c r="BX32" s="4">
        <v>1.4195E-3</v>
      </c>
      <c r="BY32" s="4">
        <v>1.4E-3</v>
      </c>
      <c r="BZ32" s="4">
        <v>1.3806000000000001E-3</v>
      </c>
      <c r="CA32" s="4">
        <v>1.3615999999999999E-3</v>
      </c>
      <c r="CB32" s="4">
        <v>1.3427999999999999E-3</v>
      </c>
      <c r="CC32" s="4">
        <v>1.3243E-3</v>
      </c>
      <c r="CD32" s="4">
        <v>1.3060000000000001E-3</v>
      </c>
      <c r="CE32" s="4">
        <v>1.2880000000000001E-3</v>
      </c>
      <c r="CF32" s="4">
        <v>1.2702E-3</v>
      </c>
      <c r="CG32" s="4">
        <v>1.2526E-3</v>
      </c>
      <c r="CH32" s="4">
        <v>1.2352999999999999E-3</v>
      </c>
      <c r="CI32" s="4">
        <v>1.2182E-3</v>
      </c>
      <c r="CJ32" s="4">
        <v>1.2013E-3</v>
      </c>
      <c r="CK32" s="4">
        <v>1.1846999999999999E-3</v>
      </c>
      <c r="CL32" s="4">
        <v>1.1682999999999999E-3</v>
      </c>
      <c r="CM32" s="4">
        <v>1.1521000000000001E-3</v>
      </c>
      <c r="CN32" s="4">
        <v>1.1360999999999999E-3</v>
      </c>
      <c r="CO32" s="4">
        <v>1.1203000000000001E-3</v>
      </c>
      <c r="CP32" s="4">
        <v>1.1046999999999999E-3</v>
      </c>
      <c r="CQ32" s="4">
        <v>1.0893999999999999E-3</v>
      </c>
      <c r="CR32" s="4">
        <v>1.0742E-3</v>
      </c>
      <c r="CS32" s="4">
        <v>1.0593E-3</v>
      </c>
      <c r="CT32" s="4">
        <v>1.0445000000000001E-3</v>
      </c>
      <c r="CU32" s="4">
        <v>1.0299E-3</v>
      </c>
      <c r="CV32" s="4">
        <v>1.0156E-3</v>
      </c>
      <c r="CW32" s="4">
        <v>1.0013999999999999E-3</v>
      </c>
      <c r="CX32" s="4">
        <v>9.8740000000000004E-4</v>
      </c>
      <c r="CY32" s="4">
        <v>9.7360000000000003E-4</v>
      </c>
      <c r="CZ32" s="4">
        <v>9.6000000000000002E-4</v>
      </c>
      <c r="DA32" s="4">
        <v>9.4649999999999997E-4</v>
      </c>
      <c r="DB32" s="4">
        <v>9.3329999999999997E-4</v>
      </c>
      <c r="DC32" s="4">
        <v>9.2020000000000003E-4</v>
      </c>
      <c r="DD32" s="4">
        <v>9.0729999999999999E-4</v>
      </c>
      <c r="DE32" s="4">
        <v>8.945E-4</v>
      </c>
      <c r="DF32" s="4">
        <v>8.8199999999999997E-4</v>
      </c>
      <c r="DG32" s="4">
        <v>8.696E-4</v>
      </c>
      <c r="DH32" s="4">
        <v>8.5740000000000002E-4</v>
      </c>
      <c r="DI32" s="4">
        <v>8.453E-4</v>
      </c>
      <c r="DJ32" s="4">
        <v>8.3339999999999998E-4</v>
      </c>
      <c r="DK32" s="4">
        <v>8.2169999999999997E-4</v>
      </c>
      <c r="DL32" s="4">
        <v>8.1010000000000001E-4</v>
      </c>
      <c r="DM32" s="4">
        <v>7.9869999999999995E-4</v>
      </c>
      <c r="DN32" s="4">
        <v>7.8739999999999995E-4</v>
      </c>
      <c r="DO32" s="4">
        <v>7.7629999999999995E-4</v>
      </c>
      <c r="DP32" s="4">
        <v>7.6539999999999996E-4</v>
      </c>
      <c r="DQ32" s="4">
        <v>5.3161800000000002E-2</v>
      </c>
      <c r="DR32" s="4">
        <v>0</v>
      </c>
      <c r="DS32" s="4">
        <v>5.02E-5</v>
      </c>
      <c r="DT32" s="4">
        <v>1.7310000000000001E-4</v>
      </c>
      <c r="DU32" s="4">
        <v>6.9189999999999996E-4</v>
      </c>
      <c r="DV32" s="4">
        <v>6.1680000000000003E-4</v>
      </c>
      <c r="DW32" s="4">
        <v>5.7609999999999996E-4</v>
      </c>
      <c r="DX32" s="4">
        <v>6.246E-4</v>
      </c>
      <c r="DY32" s="4">
        <v>5.5000000000000003E-4</v>
      </c>
      <c r="DZ32" s="4">
        <v>5.0109999999999998E-4</v>
      </c>
      <c r="EA32" s="4">
        <v>4.4299999999999998E-4</v>
      </c>
      <c r="EB32" s="4">
        <v>3.949E-4</v>
      </c>
      <c r="EC32" s="4">
        <v>3.5129999999999997E-4</v>
      </c>
      <c r="ED32" s="4">
        <v>3.1419999999999999E-4</v>
      </c>
      <c r="EE32" s="4">
        <v>2.8160000000000001E-4</v>
      </c>
      <c r="EF32" s="4">
        <v>2.5359999999999998E-4</v>
      </c>
      <c r="EG32" s="4">
        <v>2.2919999999999999E-4</v>
      </c>
      <c r="EH32" s="4">
        <v>2.0799999999999999E-4</v>
      </c>
      <c r="EI32" s="4">
        <v>1.8980000000000001E-4</v>
      </c>
      <c r="EJ32" s="4">
        <v>1.7340000000000001E-4</v>
      </c>
      <c r="EK32" s="4">
        <v>1.5890000000000001E-4</v>
      </c>
      <c r="EL32" s="4">
        <v>1.4249999999999999E-4</v>
      </c>
      <c r="EM32" s="4">
        <v>1.2689999999999999E-4</v>
      </c>
      <c r="EN32" s="4">
        <v>1.122E-4</v>
      </c>
      <c r="EO32" s="4">
        <v>9.0099999999999995E-5</v>
      </c>
      <c r="EP32" s="4">
        <v>9.6700000000000006E-5</v>
      </c>
      <c r="EQ32" s="4">
        <v>9.0699999999999996E-5</v>
      </c>
      <c r="ER32" s="4">
        <v>8.5199999999999997E-5</v>
      </c>
      <c r="ES32" s="4">
        <v>8.0599999999999994E-5</v>
      </c>
      <c r="ET32" s="4">
        <v>7.64E-5</v>
      </c>
      <c r="EU32" s="4">
        <v>7.2399999999999998E-5</v>
      </c>
      <c r="EV32" s="4">
        <v>6.8899999999999994E-5</v>
      </c>
      <c r="EW32" s="4">
        <v>6.5599999999999995E-5</v>
      </c>
      <c r="EX32" s="4">
        <v>6.2500000000000001E-5</v>
      </c>
      <c r="EY32" s="4">
        <v>5.9700000000000001E-5</v>
      </c>
      <c r="EZ32" s="4">
        <v>5.7000000000000003E-5</v>
      </c>
      <c r="FA32" s="4">
        <v>5.4599999999999999E-5</v>
      </c>
      <c r="FB32" s="4">
        <v>5.2299999999999997E-5</v>
      </c>
      <c r="FC32" s="4">
        <v>5.0099999999999998E-5</v>
      </c>
      <c r="FD32" s="4">
        <v>4.8099999999999997E-5</v>
      </c>
      <c r="FE32" s="4">
        <v>4.6300000000000001E-5</v>
      </c>
      <c r="FF32" s="4">
        <v>4.4499999999999997E-5</v>
      </c>
      <c r="FG32" s="4">
        <v>4.2799999999999997E-5</v>
      </c>
      <c r="FH32" s="4">
        <v>4.1300000000000001E-5</v>
      </c>
      <c r="FI32" s="4">
        <v>3.9900000000000001E-5</v>
      </c>
      <c r="FJ32" s="4">
        <v>3.8500000000000001E-5</v>
      </c>
      <c r="FK32" s="4">
        <v>3.7200000000000003E-5</v>
      </c>
      <c r="FL32" s="4">
        <v>3.6000000000000001E-5</v>
      </c>
      <c r="FM32" s="4">
        <v>3.4900000000000001E-5</v>
      </c>
      <c r="FN32" s="4">
        <v>3.3899999999999997E-5</v>
      </c>
      <c r="FO32" s="4">
        <v>3.29E-5</v>
      </c>
      <c r="FP32" s="4">
        <v>3.1999999999999999E-5</v>
      </c>
      <c r="FQ32" s="4">
        <v>3.1099999999999997E-5</v>
      </c>
      <c r="FR32" s="4">
        <v>3.0300000000000001E-5</v>
      </c>
      <c r="FS32" s="4">
        <v>2.9499999999999999E-5</v>
      </c>
      <c r="FT32" s="4">
        <v>2.8799999999999999E-5</v>
      </c>
      <c r="FU32" s="4">
        <v>2.8099999999999999E-5</v>
      </c>
      <c r="FV32" s="4">
        <v>2.7500000000000001E-5</v>
      </c>
      <c r="FW32" s="4">
        <v>2.69E-5</v>
      </c>
      <c r="FX32" s="4">
        <v>2.6299999999999999E-5</v>
      </c>
      <c r="FY32" s="4">
        <v>2.58E-5</v>
      </c>
      <c r="FZ32" s="4">
        <v>2.5299999999999998E-5</v>
      </c>
      <c r="GA32" s="4">
        <v>2.48E-5</v>
      </c>
      <c r="GB32" s="4">
        <v>2.4300000000000001E-5</v>
      </c>
      <c r="GC32" s="4">
        <v>2.3799999999999999E-5</v>
      </c>
      <c r="GD32" s="4">
        <v>2.34E-5</v>
      </c>
      <c r="GE32" s="4">
        <v>2.3E-5</v>
      </c>
      <c r="GF32" s="4">
        <v>2.26E-5</v>
      </c>
      <c r="GG32" s="4">
        <v>2.2200000000000001E-5</v>
      </c>
      <c r="GH32" s="4">
        <v>2.19E-5</v>
      </c>
      <c r="GI32" s="4">
        <v>2.1500000000000001E-5</v>
      </c>
      <c r="GJ32" s="4">
        <v>2.12E-5</v>
      </c>
      <c r="GK32" s="4">
        <v>2.0800000000000001E-5</v>
      </c>
      <c r="GL32" s="4">
        <v>2.05E-5</v>
      </c>
      <c r="GM32" s="4">
        <v>2.02E-5</v>
      </c>
      <c r="GN32" s="4">
        <v>1.9899999999999999E-5</v>
      </c>
      <c r="GO32" s="4">
        <v>1.9599999999999999E-5</v>
      </c>
      <c r="GP32" s="4">
        <v>1.9300000000000002E-5</v>
      </c>
      <c r="GQ32" s="4">
        <v>1.9000000000000001E-5</v>
      </c>
      <c r="GR32" s="4">
        <v>1.88E-5</v>
      </c>
      <c r="GS32" s="4">
        <v>1.8499999999999999E-5</v>
      </c>
      <c r="GT32" s="4">
        <v>1.8199999999999999E-5</v>
      </c>
      <c r="GU32" s="4">
        <v>1.8E-5</v>
      </c>
      <c r="GV32" s="4">
        <v>1.77E-5</v>
      </c>
      <c r="GW32" s="4">
        <v>1.7499999999999998E-5</v>
      </c>
      <c r="GX32" s="4">
        <v>1.73E-5</v>
      </c>
      <c r="GY32" s="4">
        <v>1.7E-5</v>
      </c>
      <c r="GZ32" s="4">
        <v>1.6799999999999998E-5</v>
      </c>
      <c r="HA32" s="4">
        <v>1.66E-5</v>
      </c>
      <c r="HB32" s="4">
        <v>1.63E-5</v>
      </c>
      <c r="HC32" s="4">
        <v>1.6099999999999998E-5</v>
      </c>
      <c r="HD32" s="4">
        <v>1.59E-5</v>
      </c>
      <c r="HE32" s="4">
        <v>1.5699999999999999E-5</v>
      </c>
      <c r="HF32" s="4">
        <v>1.5500000000000001E-5</v>
      </c>
      <c r="HG32" s="4">
        <v>1.5299999999999999E-5</v>
      </c>
      <c r="HH32" s="4">
        <v>1.5E-5</v>
      </c>
      <c r="HI32" s="4">
        <v>1.4800000000000001E-5</v>
      </c>
      <c r="HJ32" s="4">
        <v>1.4600000000000001E-5</v>
      </c>
      <c r="HK32" s="4">
        <v>1.4399999999999999E-5</v>
      </c>
      <c r="HL32" s="4">
        <v>1.43E-5</v>
      </c>
      <c r="HM32" s="4">
        <v>1.4100000000000001E-5</v>
      </c>
      <c r="HN32" s="4">
        <v>1.3900000000000001E-5</v>
      </c>
      <c r="HO32" s="4">
        <v>1.3699999999999999E-5</v>
      </c>
      <c r="HP32" s="4">
        <v>1.3499999999999999E-5</v>
      </c>
      <c r="HQ32" s="4">
        <v>1.33E-5</v>
      </c>
      <c r="HR32" s="4">
        <v>1.31E-5</v>
      </c>
      <c r="HS32" s="4">
        <v>1.29E-5</v>
      </c>
      <c r="HT32" s="4">
        <v>1.2799999999999999E-5</v>
      </c>
      <c r="HU32" s="4">
        <v>1.26E-5</v>
      </c>
      <c r="HV32" s="4">
        <v>1.24E-5</v>
      </c>
      <c r="HW32" s="4">
        <v>1.2300000000000001E-5</v>
      </c>
      <c r="HX32" s="4">
        <v>1.2099999999999999E-5</v>
      </c>
      <c r="HY32" s="4">
        <v>1.19E-5</v>
      </c>
      <c r="HZ32" s="4">
        <v>1.1800000000000001E-5</v>
      </c>
      <c r="IA32" s="4">
        <v>1.1600000000000001E-5</v>
      </c>
      <c r="IB32" s="4">
        <v>1.1399999999999999E-5</v>
      </c>
      <c r="IC32" s="4">
        <v>1.13E-5</v>
      </c>
      <c r="ID32" s="4">
        <v>1.11E-5</v>
      </c>
      <c r="IE32" s="4">
        <v>1.1E-5</v>
      </c>
      <c r="IF32" s="4">
        <v>1.08E-5</v>
      </c>
      <c r="IG32" s="4">
        <v>7.5469999999999997E-4</v>
      </c>
      <c r="IH32" s="4"/>
      <c r="II32" s="4">
        <f t="shared" si="245"/>
        <v>0.11672071376919836</v>
      </c>
      <c r="IJ32">
        <f t="shared" si="246"/>
        <v>0.35905023749999948</v>
      </c>
      <c r="IN32" s="4"/>
      <c r="IO32" s="4"/>
      <c r="IP32" s="4"/>
      <c r="IQ32" s="4"/>
      <c r="IR32" s="4"/>
      <c r="IS32" s="4"/>
      <c r="IT32" s="4"/>
      <c r="IU32" s="4"/>
      <c r="IV32" s="4"/>
    </row>
    <row r="33" spans="1:256" x14ac:dyDescent="0.35">
      <c r="A33" s="1">
        <v>25</v>
      </c>
      <c r="B33" s="4">
        <v>1.0734799999999999E-2</v>
      </c>
      <c r="C33" s="4">
        <v>1.0734799999999999E-2</v>
      </c>
      <c r="D33" s="4">
        <v>1.0684600000000001E-2</v>
      </c>
      <c r="E33" s="4">
        <v>1.05115E-2</v>
      </c>
      <c r="F33" s="4">
        <v>9.8197000000000007E-3</v>
      </c>
      <c r="G33" s="4">
        <v>9.2029999999999994E-3</v>
      </c>
      <c r="H33" s="4">
        <v>8.6271999999999998E-3</v>
      </c>
      <c r="I33" s="4">
        <v>8.2184000000000007E-3</v>
      </c>
      <c r="J33" s="4">
        <v>7.6689999999999996E-3</v>
      </c>
      <c r="K33" s="4">
        <v>7.1691999999999997E-3</v>
      </c>
      <c r="L33" s="4">
        <v>6.7279999999999996E-3</v>
      </c>
      <c r="M33" s="4">
        <v>6.3355E-3</v>
      </c>
      <c r="N33" s="4">
        <v>5.9870000000000001E-3</v>
      </c>
      <c r="O33" s="4">
        <v>5.6774E-3</v>
      </c>
      <c r="P33" s="4">
        <v>5.3994999999999998E-3</v>
      </c>
      <c r="Q33" s="4">
        <v>5.1498999999999998E-3</v>
      </c>
      <c r="R33" s="4">
        <v>4.9246000000000003E-3</v>
      </c>
      <c r="S33" s="4">
        <v>4.7197999999999997E-3</v>
      </c>
      <c r="T33" s="4">
        <v>4.5355999999999999E-3</v>
      </c>
      <c r="U33" s="4">
        <v>4.3604999999999998E-3</v>
      </c>
      <c r="V33" s="4">
        <v>4.1931E-3</v>
      </c>
      <c r="W33" s="4">
        <v>3.9567999999999999E-3</v>
      </c>
      <c r="X33" s="4">
        <v>3.6963E-3</v>
      </c>
      <c r="Y33" s="4">
        <v>3.4079000000000002E-3</v>
      </c>
      <c r="Z33" s="4">
        <v>2.8673000000000001E-3</v>
      </c>
      <c r="AA33" s="4">
        <v>3.1132E-3</v>
      </c>
      <c r="AB33" s="4">
        <v>3.0431E-3</v>
      </c>
      <c r="AC33" s="4">
        <v>2.9767000000000001E-3</v>
      </c>
      <c r="AD33" s="4">
        <v>2.9202E-3</v>
      </c>
      <c r="AE33" s="4">
        <v>2.8649000000000001E-3</v>
      </c>
      <c r="AF33" s="4">
        <v>2.8100999999999998E-3</v>
      </c>
      <c r="AG33" s="4">
        <v>2.7575999999999998E-3</v>
      </c>
      <c r="AH33" s="4">
        <v>2.7065000000000001E-3</v>
      </c>
      <c r="AI33" s="4">
        <v>2.6568E-3</v>
      </c>
      <c r="AJ33" s="4">
        <v>2.6085000000000001E-3</v>
      </c>
      <c r="AK33" s="4">
        <v>2.5615999999999998E-3</v>
      </c>
      <c r="AL33" s="4">
        <v>2.516E-3</v>
      </c>
      <c r="AM33" s="4">
        <v>2.4716999999999999E-3</v>
      </c>
      <c r="AN33" s="4">
        <v>2.4288000000000001E-3</v>
      </c>
      <c r="AO33" s="4">
        <v>2.3871000000000001E-3</v>
      </c>
      <c r="AP33" s="4">
        <v>2.3465999999999999E-3</v>
      </c>
      <c r="AQ33" s="4">
        <v>2.3073999999999998E-3</v>
      </c>
      <c r="AR33" s="4">
        <v>2.2691999999999999E-3</v>
      </c>
      <c r="AS33" s="4">
        <v>2.2322000000000002E-3</v>
      </c>
      <c r="AT33" s="4">
        <v>2.1960999999999999E-3</v>
      </c>
      <c r="AU33" s="4">
        <v>2.1611E-3</v>
      </c>
      <c r="AV33" s="4">
        <v>2.127E-3</v>
      </c>
      <c r="AW33" s="4">
        <v>2.0937999999999998E-3</v>
      </c>
      <c r="AX33" s="4">
        <v>2.0615E-3</v>
      </c>
      <c r="AY33" s="4">
        <v>2.0300000000000001E-3</v>
      </c>
      <c r="AZ33" s="4">
        <v>1.9992E-3</v>
      </c>
      <c r="BA33" s="4">
        <v>1.9691999999999999E-3</v>
      </c>
      <c r="BB33" s="4">
        <v>1.9399E-3</v>
      </c>
      <c r="BC33" s="4">
        <v>1.9113000000000001E-3</v>
      </c>
      <c r="BD33" s="4">
        <v>1.8832E-3</v>
      </c>
      <c r="BE33" s="4">
        <v>1.8557999999999999E-3</v>
      </c>
      <c r="BF33" s="4">
        <v>1.8289000000000001E-3</v>
      </c>
      <c r="BG33" s="4">
        <v>1.8025999999999999E-3</v>
      </c>
      <c r="BH33" s="4">
        <v>1.7768E-3</v>
      </c>
      <c r="BI33" s="4">
        <v>1.7515E-3</v>
      </c>
      <c r="BJ33" s="4">
        <v>1.7267000000000001E-3</v>
      </c>
      <c r="BK33" s="4">
        <v>1.7022999999999999E-3</v>
      </c>
      <c r="BL33" s="4">
        <v>1.6783E-3</v>
      </c>
      <c r="BM33" s="4">
        <v>1.6548000000000001E-3</v>
      </c>
      <c r="BN33" s="4">
        <v>1.6317E-3</v>
      </c>
      <c r="BO33" s="4">
        <v>1.6088999999999999E-3</v>
      </c>
      <c r="BP33" s="4">
        <v>1.5865E-3</v>
      </c>
      <c r="BQ33" s="4">
        <v>1.5644999999999999E-3</v>
      </c>
      <c r="BR33" s="4">
        <v>1.5428E-3</v>
      </c>
      <c r="BS33" s="4">
        <v>1.5214E-3</v>
      </c>
      <c r="BT33" s="4">
        <v>1.5004E-3</v>
      </c>
      <c r="BU33" s="4">
        <v>1.4796E-3</v>
      </c>
      <c r="BV33" s="4">
        <v>1.4591999999999999E-3</v>
      </c>
      <c r="BW33" s="4">
        <v>1.4391E-3</v>
      </c>
      <c r="BX33" s="4">
        <v>1.4192E-3</v>
      </c>
      <c r="BY33" s="4">
        <v>1.3996E-3</v>
      </c>
      <c r="BZ33" s="4">
        <v>1.3803000000000001E-3</v>
      </c>
      <c r="CA33" s="4">
        <v>1.3613E-3</v>
      </c>
      <c r="CB33" s="4">
        <v>1.3424999999999999E-3</v>
      </c>
      <c r="CC33" s="4">
        <v>1.3240000000000001E-3</v>
      </c>
      <c r="CD33" s="4">
        <v>1.3058E-3</v>
      </c>
      <c r="CE33" s="4">
        <v>1.2876999999999999E-3</v>
      </c>
      <c r="CF33" s="4">
        <v>1.2700000000000001E-3</v>
      </c>
      <c r="CG33" s="4">
        <v>1.2524000000000001E-3</v>
      </c>
      <c r="CH33" s="4">
        <v>1.2351E-3</v>
      </c>
      <c r="CI33" s="4">
        <v>1.2179999999999999E-3</v>
      </c>
      <c r="CJ33" s="4">
        <v>1.2011999999999999E-3</v>
      </c>
      <c r="CK33" s="4">
        <v>1.1846000000000001E-3</v>
      </c>
      <c r="CL33" s="4">
        <v>1.1682000000000001E-3</v>
      </c>
      <c r="CM33" s="4">
        <v>1.152E-3</v>
      </c>
      <c r="CN33" s="4">
        <v>1.1360000000000001E-3</v>
      </c>
      <c r="CO33" s="4">
        <v>1.1202E-3</v>
      </c>
      <c r="CP33" s="4">
        <v>1.1046000000000001E-3</v>
      </c>
      <c r="CQ33" s="4">
        <v>1.0893000000000001E-3</v>
      </c>
      <c r="CR33" s="4">
        <v>1.0740999999999999E-3</v>
      </c>
      <c r="CS33" s="4">
        <v>1.0591999999999999E-3</v>
      </c>
      <c r="CT33" s="4">
        <v>1.0444E-3</v>
      </c>
      <c r="CU33" s="4">
        <v>1.0299E-3</v>
      </c>
      <c r="CV33" s="4">
        <v>1.0154999999999999E-3</v>
      </c>
      <c r="CW33" s="4">
        <v>1.0013000000000001E-3</v>
      </c>
      <c r="CX33" s="4">
        <v>9.8729999999999998E-4</v>
      </c>
      <c r="CY33" s="4">
        <v>9.7349999999999997E-4</v>
      </c>
      <c r="CZ33" s="4">
        <v>9.5989999999999997E-4</v>
      </c>
      <c r="DA33" s="4">
        <v>9.4649999999999997E-4</v>
      </c>
      <c r="DB33" s="4">
        <v>9.3320000000000002E-4</v>
      </c>
      <c r="DC33" s="4">
        <v>9.2009999999999998E-4</v>
      </c>
      <c r="DD33" s="4">
        <v>9.0720000000000004E-4</v>
      </c>
      <c r="DE33" s="4">
        <v>8.945E-4</v>
      </c>
      <c r="DF33" s="4">
        <v>8.8190000000000002E-4</v>
      </c>
      <c r="DG33" s="4">
        <v>8.6950000000000005E-4</v>
      </c>
      <c r="DH33" s="4">
        <v>8.5729999999999997E-4</v>
      </c>
      <c r="DI33" s="4">
        <v>8.453E-4</v>
      </c>
      <c r="DJ33" s="4">
        <v>8.3339999999999998E-4</v>
      </c>
      <c r="DK33" s="4">
        <v>8.2160000000000002E-4</v>
      </c>
      <c r="DL33" s="4">
        <v>8.1010000000000001E-4</v>
      </c>
      <c r="DM33" s="4">
        <v>7.9869999999999995E-4</v>
      </c>
      <c r="DN33" s="4">
        <v>7.8739999999999995E-4</v>
      </c>
      <c r="DO33" s="4">
        <v>7.7629999999999995E-4</v>
      </c>
      <c r="DP33" s="4">
        <v>7.6539999999999996E-4</v>
      </c>
      <c r="DQ33" s="4">
        <v>5.3161600000000003E-2</v>
      </c>
      <c r="DR33" s="4">
        <v>0</v>
      </c>
      <c r="DS33" s="4">
        <v>5.02E-5</v>
      </c>
      <c r="DT33" s="4">
        <v>1.7310000000000001E-4</v>
      </c>
      <c r="DU33" s="4">
        <v>6.9200000000000002E-4</v>
      </c>
      <c r="DV33" s="4">
        <v>6.1669999999999997E-4</v>
      </c>
      <c r="DW33" s="4">
        <v>5.7609999999999996E-4</v>
      </c>
      <c r="DX33" s="4">
        <v>5.9860000000000002E-4</v>
      </c>
      <c r="DY33" s="4">
        <v>5.4980000000000003E-4</v>
      </c>
      <c r="DZ33" s="4">
        <v>5.0089999999999998E-4</v>
      </c>
      <c r="EA33" s="4">
        <v>4.4279999999999998E-4</v>
      </c>
      <c r="EB33" s="4">
        <v>3.948E-4</v>
      </c>
      <c r="EC33" s="4">
        <v>3.5120000000000003E-4</v>
      </c>
      <c r="ED33" s="4">
        <v>3.1389999999999999E-4</v>
      </c>
      <c r="EE33" s="4">
        <v>2.8160000000000001E-4</v>
      </c>
      <c r="EF33" s="4">
        <v>2.5359999999999998E-4</v>
      </c>
      <c r="EG33" s="4">
        <v>2.2929999999999999E-4</v>
      </c>
      <c r="EH33" s="4">
        <v>2.0819999999999999E-4</v>
      </c>
      <c r="EI33" s="4">
        <v>1.897E-4</v>
      </c>
      <c r="EJ33" s="4">
        <v>1.7369999999999999E-4</v>
      </c>
      <c r="EK33" s="4">
        <v>1.593E-4</v>
      </c>
      <c r="EL33" s="4">
        <v>1.4640000000000001E-4</v>
      </c>
      <c r="EM33" s="4">
        <v>1.317E-4</v>
      </c>
      <c r="EN33" s="4">
        <v>1.177E-4</v>
      </c>
      <c r="EO33" s="4">
        <v>1.044E-4</v>
      </c>
      <c r="EP33" s="4">
        <v>8.4099999999999998E-5</v>
      </c>
      <c r="EQ33" s="4">
        <v>9.0299999999999999E-5</v>
      </c>
      <c r="ER33" s="4">
        <v>8.4900000000000004E-5</v>
      </c>
      <c r="ES33" s="4">
        <v>8.0099999999999995E-5</v>
      </c>
      <c r="ET33" s="4">
        <v>7.5900000000000002E-5</v>
      </c>
      <c r="EU33" s="4">
        <v>7.2100000000000004E-5</v>
      </c>
      <c r="EV33" s="4">
        <v>6.8499999999999998E-5</v>
      </c>
      <c r="EW33" s="4">
        <v>6.5300000000000002E-5</v>
      </c>
      <c r="EX33" s="4">
        <v>6.2299999999999996E-5</v>
      </c>
      <c r="EY33" s="4">
        <v>5.9500000000000003E-5</v>
      </c>
      <c r="EZ33" s="4">
        <v>5.6900000000000001E-5</v>
      </c>
      <c r="FA33" s="4">
        <v>5.4400000000000001E-5</v>
      </c>
      <c r="FB33" s="4">
        <v>5.2099999999999999E-5</v>
      </c>
      <c r="FC33" s="4">
        <v>5.0000000000000002E-5</v>
      </c>
      <c r="FD33" s="4">
        <v>4.8000000000000001E-5</v>
      </c>
      <c r="FE33" s="4">
        <v>4.6100000000000002E-5</v>
      </c>
      <c r="FF33" s="4">
        <v>4.4400000000000002E-5</v>
      </c>
      <c r="FG33" s="4">
        <v>4.2799999999999997E-5</v>
      </c>
      <c r="FH33" s="4">
        <v>4.1199999999999999E-5</v>
      </c>
      <c r="FI33" s="4">
        <v>3.9799999999999998E-5</v>
      </c>
      <c r="FJ33" s="4">
        <v>3.8399999999999998E-5</v>
      </c>
      <c r="FK33" s="4">
        <v>3.7200000000000003E-5</v>
      </c>
      <c r="FL33" s="4">
        <v>3.6000000000000001E-5</v>
      </c>
      <c r="FM33" s="4">
        <v>3.4900000000000001E-5</v>
      </c>
      <c r="FN33" s="4">
        <v>3.3800000000000002E-5</v>
      </c>
      <c r="FO33" s="4">
        <v>3.29E-5</v>
      </c>
      <c r="FP33" s="4">
        <v>3.1900000000000003E-5</v>
      </c>
      <c r="FQ33" s="4">
        <v>3.1099999999999997E-5</v>
      </c>
      <c r="FR33" s="4">
        <v>3.0300000000000001E-5</v>
      </c>
      <c r="FS33" s="4">
        <v>2.9499999999999999E-5</v>
      </c>
      <c r="FT33" s="4">
        <v>2.8799999999999999E-5</v>
      </c>
      <c r="FU33" s="4">
        <v>2.8099999999999999E-5</v>
      </c>
      <c r="FV33" s="4">
        <v>2.7500000000000001E-5</v>
      </c>
      <c r="FW33" s="4">
        <v>2.69E-5</v>
      </c>
      <c r="FX33" s="4">
        <v>2.6299999999999999E-5</v>
      </c>
      <c r="FY33" s="4">
        <v>2.58E-5</v>
      </c>
      <c r="FZ33" s="4">
        <v>2.5199999999999999E-5</v>
      </c>
      <c r="GA33" s="4">
        <v>2.4700000000000001E-5</v>
      </c>
      <c r="GB33" s="4">
        <v>2.4300000000000001E-5</v>
      </c>
      <c r="GC33" s="4">
        <v>2.3799999999999999E-5</v>
      </c>
      <c r="GD33" s="4">
        <v>2.34E-5</v>
      </c>
      <c r="GE33" s="4">
        <v>2.3E-5</v>
      </c>
      <c r="GF33" s="4">
        <v>2.26E-5</v>
      </c>
      <c r="GG33" s="4">
        <v>2.2200000000000001E-5</v>
      </c>
      <c r="GH33" s="4">
        <v>2.1800000000000001E-5</v>
      </c>
      <c r="GI33" s="4">
        <v>2.1500000000000001E-5</v>
      </c>
      <c r="GJ33" s="4">
        <v>2.12E-5</v>
      </c>
      <c r="GK33" s="4">
        <v>2.0800000000000001E-5</v>
      </c>
      <c r="GL33" s="4">
        <v>2.05E-5</v>
      </c>
      <c r="GM33" s="4">
        <v>2.02E-5</v>
      </c>
      <c r="GN33" s="4">
        <v>1.9899999999999999E-5</v>
      </c>
      <c r="GO33" s="4">
        <v>1.9599999999999999E-5</v>
      </c>
      <c r="GP33" s="4">
        <v>1.9300000000000002E-5</v>
      </c>
      <c r="GQ33" s="4">
        <v>1.9000000000000001E-5</v>
      </c>
      <c r="GR33" s="4">
        <v>1.88E-5</v>
      </c>
      <c r="GS33" s="4">
        <v>1.8499999999999999E-5</v>
      </c>
      <c r="GT33" s="4">
        <v>1.8199999999999999E-5</v>
      </c>
      <c r="GU33" s="4">
        <v>1.8E-5</v>
      </c>
      <c r="GV33" s="4">
        <v>1.77E-5</v>
      </c>
      <c r="GW33" s="4">
        <v>1.7499999999999998E-5</v>
      </c>
      <c r="GX33" s="4">
        <v>1.7200000000000001E-5</v>
      </c>
      <c r="GY33" s="4">
        <v>1.7E-5</v>
      </c>
      <c r="GZ33" s="4">
        <v>1.6799999999999998E-5</v>
      </c>
      <c r="HA33" s="4">
        <v>1.66E-5</v>
      </c>
      <c r="HB33" s="4">
        <v>1.63E-5</v>
      </c>
      <c r="HC33" s="4">
        <v>1.6099999999999998E-5</v>
      </c>
      <c r="HD33" s="4">
        <v>1.59E-5</v>
      </c>
      <c r="HE33" s="4">
        <v>1.5699999999999999E-5</v>
      </c>
      <c r="HF33" s="4">
        <v>1.5500000000000001E-5</v>
      </c>
      <c r="HG33" s="4">
        <v>1.5299999999999999E-5</v>
      </c>
      <c r="HH33" s="4">
        <v>1.5E-5</v>
      </c>
      <c r="HI33" s="4">
        <v>1.4800000000000001E-5</v>
      </c>
      <c r="HJ33" s="4">
        <v>1.4600000000000001E-5</v>
      </c>
      <c r="HK33" s="4">
        <v>1.4399999999999999E-5</v>
      </c>
      <c r="HL33" s="4">
        <v>1.42E-5</v>
      </c>
      <c r="HM33" s="4">
        <v>1.4100000000000001E-5</v>
      </c>
      <c r="HN33" s="4">
        <v>1.3900000000000001E-5</v>
      </c>
      <c r="HO33" s="4">
        <v>1.3699999999999999E-5</v>
      </c>
      <c r="HP33" s="4">
        <v>1.3499999999999999E-5</v>
      </c>
      <c r="HQ33" s="4">
        <v>1.33E-5</v>
      </c>
      <c r="HR33" s="4">
        <v>1.31E-5</v>
      </c>
      <c r="HS33" s="4">
        <v>1.29E-5</v>
      </c>
      <c r="HT33" s="4">
        <v>1.2799999999999999E-5</v>
      </c>
      <c r="HU33" s="4">
        <v>1.26E-5</v>
      </c>
      <c r="HV33" s="4">
        <v>1.24E-5</v>
      </c>
      <c r="HW33" s="4">
        <v>1.2300000000000001E-5</v>
      </c>
      <c r="HX33" s="4">
        <v>1.2099999999999999E-5</v>
      </c>
      <c r="HY33" s="4">
        <v>1.19E-5</v>
      </c>
      <c r="HZ33" s="4">
        <v>1.1800000000000001E-5</v>
      </c>
      <c r="IA33" s="4">
        <v>1.1600000000000001E-5</v>
      </c>
      <c r="IB33" s="4">
        <v>1.1399999999999999E-5</v>
      </c>
      <c r="IC33" s="4">
        <v>1.13E-5</v>
      </c>
      <c r="ID33" s="4">
        <v>1.11E-5</v>
      </c>
      <c r="IE33" s="4">
        <v>1.1E-5</v>
      </c>
      <c r="IF33" s="4">
        <v>1.08E-5</v>
      </c>
      <c r="IG33" s="4">
        <v>7.5469999999999997E-4</v>
      </c>
      <c r="IH33" s="4"/>
      <c r="II33" s="4">
        <f t="shared" si="245"/>
        <v>0.11643435945342</v>
      </c>
      <c r="IJ33">
        <f t="shared" si="246"/>
        <v>0.35904951250000006</v>
      </c>
      <c r="IN33" s="4"/>
      <c r="IO33" s="4"/>
      <c r="IP33" s="4"/>
      <c r="IQ33" s="4"/>
      <c r="IR33" s="4"/>
      <c r="IS33" s="4"/>
      <c r="IT33" s="4"/>
      <c r="IU33" s="4"/>
      <c r="IV33" s="4"/>
    </row>
    <row r="34" spans="1:256" x14ac:dyDescent="0.35">
      <c r="A34" s="1">
        <v>26</v>
      </c>
      <c r="B34" s="4">
        <v>1.0734799999999999E-2</v>
      </c>
      <c r="C34" s="4">
        <v>1.0734799999999999E-2</v>
      </c>
      <c r="D34" s="4">
        <v>1.0684600000000001E-2</v>
      </c>
      <c r="E34" s="4">
        <v>1.05115E-2</v>
      </c>
      <c r="F34" s="4">
        <v>9.8195999999999995E-3</v>
      </c>
      <c r="G34" s="4">
        <v>9.2031000000000005E-3</v>
      </c>
      <c r="H34" s="4">
        <v>8.6269999999999993E-3</v>
      </c>
      <c r="I34" s="4">
        <v>8.0286000000000003E-3</v>
      </c>
      <c r="J34" s="4">
        <v>7.6686000000000002E-3</v>
      </c>
      <c r="K34" s="4">
        <v>7.1681000000000002E-3</v>
      </c>
      <c r="L34" s="4">
        <v>6.7263999999999996E-3</v>
      </c>
      <c r="M34" s="4">
        <v>6.3333E-3</v>
      </c>
      <c r="N34" s="4">
        <v>5.9842999999999997E-3</v>
      </c>
      <c r="O34" s="4">
        <v>5.6730000000000001E-3</v>
      </c>
      <c r="P34" s="4">
        <v>5.3958000000000001E-3</v>
      </c>
      <c r="Q34" s="4">
        <v>5.1459000000000001E-3</v>
      </c>
      <c r="R34" s="4">
        <v>4.9205999999999998E-3</v>
      </c>
      <c r="S34" s="4">
        <v>4.7163999999999999E-3</v>
      </c>
      <c r="T34" s="4">
        <v>4.5300999999999996E-3</v>
      </c>
      <c r="U34" s="4">
        <v>4.3619000000000002E-3</v>
      </c>
      <c r="V34" s="4">
        <v>4.2012000000000004E-3</v>
      </c>
      <c r="W34" s="4">
        <v>4.0467999999999997E-3</v>
      </c>
      <c r="X34" s="4">
        <v>3.8249999999999998E-3</v>
      </c>
      <c r="Y34" s="4">
        <v>3.5785999999999999E-3</v>
      </c>
      <c r="Z34" s="4">
        <v>3.3035E-3</v>
      </c>
      <c r="AA34" s="4">
        <v>2.7832E-3</v>
      </c>
      <c r="AB34" s="4">
        <v>3.0228999999999998E-3</v>
      </c>
      <c r="AC34" s="4">
        <v>2.9581E-3</v>
      </c>
      <c r="AD34" s="4">
        <v>2.8966E-3</v>
      </c>
      <c r="AE34" s="4">
        <v>2.8443000000000001E-3</v>
      </c>
      <c r="AF34" s="4">
        <v>2.7927999999999998E-3</v>
      </c>
      <c r="AG34" s="4">
        <v>2.7415E-3</v>
      </c>
      <c r="AH34" s="4">
        <v>2.6922999999999999E-3</v>
      </c>
      <c r="AI34" s="4">
        <v>2.6442000000000002E-3</v>
      </c>
      <c r="AJ34" s="4">
        <v>2.5974000000000001E-3</v>
      </c>
      <c r="AK34" s="4">
        <v>2.5515999999999998E-3</v>
      </c>
      <c r="AL34" s="4">
        <v>2.5071999999999998E-3</v>
      </c>
      <c r="AM34" s="4">
        <v>2.4637999999999999E-3</v>
      </c>
      <c r="AN34" s="4">
        <v>2.4217000000000002E-3</v>
      </c>
      <c r="AO34" s="4">
        <v>2.3808000000000002E-3</v>
      </c>
      <c r="AP34" s="4">
        <v>2.3410000000000002E-3</v>
      </c>
      <c r="AQ34" s="4">
        <v>2.3021999999999999E-3</v>
      </c>
      <c r="AR34" s="4">
        <v>2.2645999999999999E-3</v>
      </c>
      <c r="AS34" s="4">
        <v>2.2279999999999999E-3</v>
      </c>
      <c r="AT34" s="4">
        <v>2.1924000000000002E-3</v>
      </c>
      <c r="AU34" s="4">
        <v>2.1576999999999998E-3</v>
      </c>
      <c r="AV34" s="4">
        <v>2.1239000000000002E-3</v>
      </c>
      <c r="AW34" s="4">
        <v>2.091E-3</v>
      </c>
      <c r="AX34" s="4">
        <v>2.0590000000000001E-3</v>
      </c>
      <c r="AY34" s="4">
        <v>2.0276999999999999E-3</v>
      </c>
      <c r="AZ34" s="4">
        <v>1.9970999999999999E-3</v>
      </c>
      <c r="BA34" s="4">
        <v>1.9673E-3</v>
      </c>
      <c r="BB34" s="4">
        <v>1.9380999999999999E-3</v>
      </c>
      <c r="BC34" s="4">
        <v>1.9096E-3</v>
      </c>
      <c r="BD34" s="4">
        <v>1.8817E-3</v>
      </c>
      <c r="BE34" s="4">
        <v>1.8544E-3</v>
      </c>
      <c r="BF34" s="4">
        <v>1.8277E-3</v>
      </c>
      <c r="BG34" s="4">
        <v>1.8014999999999999E-3</v>
      </c>
      <c r="BH34" s="4">
        <v>1.7757999999999999E-3</v>
      </c>
      <c r="BI34" s="4">
        <v>1.7505000000000001E-3</v>
      </c>
      <c r="BJ34" s="4">
        <v>1.7258E-3</v>
      </c>
      <c r="BK34" s="4">
        <v>1.7014E-3</v>
      </c>
      <c r="BL34" s="4">
        <v>1.6776E-3</v>
      </c>
      <c r="BM34" s="4">
        <v>1.6540999999999999E-3</v>
      </c>
      <c r="BN34" s="4">
        <v>1.6310000000000001E-3</v>
      </c>
      <c r="BO34" s="4">
        <v>1.6083E-3</v>
      </c>
      <c r="BP34" s="4">
        <v>1.5858999999999999E-3</v>
      </c>
      <c r="BQ34" s="4">
        <v>1.5639E-3</v>
      </c>
      <c r="BR34" s="4">
        <v>1.5422999999999999E-3</v>
      </c>
      <c r="BS34" s="4">
        <v>1.5208999999999999E-3</v>
      </c>
      <c r="BT34" s="4">
        <v>1.4999E-3</v>
      </c>
      <c r="BU34" s="4">
        <v>1.4792E-3</v>
      </c>
      <c r="BV34" s="4">
        <v>1.4587999999999999E-3</v>
      </c>
      <c r="BW34" s="4">
        <v>1.4387E-3</v>
      </c>
      <c r="BX34" s="4">
        <v>1.4189000000000001E-3</v>
      </c>
      <c r="BY34" s="4">
        <v>1.3993E-3</v>
      </c>
      <c r="BZ34" s="4">
        <v>1.3799999999999999E-3</v>
      </c>
      <c r="CA34" s="4">
        <v>1.361E-3</v>
      </c>
      <c r="CB34" s="4">
        <v>1.3423E-3</v>
      </c>
      <c r="CC34" s="4">
        <v>1.3238E-3</v>
      </c>
      <c r="CD34" s="4">
        <v>1.3055E-3</v>
      </c>
      <c r="CE34" s="4">
        <v>1.2875E-3</v>
      </c>
      <c r="CF34" s="4">
        <v>1.2698E-3</v>
      </c>
      <c r="CG34" s="4">
        <v>1.2522E-3</v>
      </c>
      <c r="CH34" s="4">
        <v>1.2348999999999999E-3</v>
      </c>
      <c r="CI34" s="4">
        <v>1.2179000000000001E-3</v>
      </c>
      <c r="CJ34" s="4">
        <v>1.201E-3</v>
      </c>
      <c r="CK34" s="4">
        <v>1.1843999999999999E-3</v>
      </c>
      <c r="CL34" s="4">
        <v>1.168E-3</v>
      </c>
      <c r="CM34" s="4">
        <v>1.1517999999999999E-3</v>
      </c>
      <c r="CN34" s="4">
        <v>1.1359E-3</v>
      </c>
      <c r="CO34" s="4">
        <v>1.1201E-3</v>
      </c>
      <c r="CP34" s="4">
        <v>1.1045E-3</v>
      </c>
      <c r="CQ34" s="4">
        <v>1.0892E-3</v>
      </c>
      <c r="CR34" s="4">
        <v>1.0740000000000001E-3</v>
      </c>
      <c r="CS34" s="4">
        <v>1.0591000000000001E-3</v>
      </c>
      <c r="CT34" s="4">
        <v>1.0443E-3</v>
      </c>
      <c r="CU34" s="4">
        <v>1.0298E-3</v>
      </c>
      <c r="CV34" s="4">
        <v>1.0154000000000001E-3</v>
      </c>
      <c r="CW34" s="4">
        <v>1.0012E-3</v>
      </c>
      <c r="CX34" s="4">
        <v>9.8729999999999998E-4</v>
      </c>
      <c r="CY34" s="4">
        <v>9.7349999999999997E-4</v>
      </c>
      <c r="CZ34" s="4">
        <v>9.5980000000000002E-4</v>
      </c>
      <c r="DA34" s="4">
        <v>9.4640000000000002E-4</v>
      </c>
      <c r="DB34" s="4">
        <v>9.3320000000000002E-4</v>
      </c>
      <c r="DC34" s="4">
        <v>9.2009999999999998E-4</v>
      </c>
      <c r="DD34" s="4">
        <v>9.0720000000000004E-4</v>
      </c>
      <c r="DE34" s="4">
        <v>8.9439999999999995E-4</v>
      </c>
      <c r="DF34" s="4">
        <v>8.8190000000000002E-4</v>
      </c>
      <c r="DG34" s="4">
        <v>8.6950000000000005E-4</v>
      </c>
      <c r="DH34" s="4">
        <v>8.5729999999999997E-4</v>
      </c>
      <c r="DI34" s="4">
        <v>8.4520000000000005E-4</v>
      </c>
      <c r="DJ34" s="4">
        <v>8.3330000000000003E-4</v>
      </c>
      <c r="DK34" s="4">
        <v>8.2160000000000002E-4</v>
      </c>
      <c r="DL34" s="4">
        <v>8.0999999999999996E-4</v>
      </c>
      <c r="DM34" s="4">
        <v>7.986E-4</v>
      </c>
      <c r="DN34" s="4">
        <v>7.8739999999999995E-4</v>
      </c>
      <c r="DO34" s="4">
        <v>7.7629999999999995E-4</v>
      </c>
      <c r="DP34" s="4">
        <v>7.6530000000000001E-4</v>
      </c>
      <c r="DQ34" s="4">
        <v>5.3161399999999998E-2</v>
      </c>
      <c r="DR34" s="4">
        <v>0</v>
      </c>
      <c r="DS34" s="4">
        <v>5.02E-5</v>
      </c>
      <c r="DT34" s="4">
        <v>1.7320000000000001E-4</v>
      </c>
      <c r="DU34" s="4">
        <v>6.9209999999999996E-4</v>
      </c>
      <c r="DV34" s="4">
        <v>6.1680000000000003E-4</v>
      </c>
      <c r="DW34" s="4">
        <v>5.7609999999999996E-4</v>
      </c>
      <c r="DX34" s="4">
        <v>5.9869999999999997E-4</v>
      </c>
      <c r="DY34" s="4">
        <v>5.2959999999999997E-4</v>
      </c>
      <c r="DZ34" s="4">
        <v>5.0089999999999998E-4</v>
      </c>
      <c r="EA34" s="4">
        <v>4.4279999999999998E-4</v>
      </c>
      <c r="EB34" s="4">
        <v>3.947E-4</v>
      </c>
      <c r="EC34" s="4">
        <v>3.5110000000000002E-4</v>
      </c>
      <c r="ED34" s="4">
        <v>3.1389999999999999E-4</v>
      </c>
      <c r="EE34" s="4">
        <v>2.8140000000000001E-4</v>
      </c>
      <c r="EF34" s="4">
        <v>2.5359999999999998E-4</v>
      </c>
      <c r="EG34" s="4">
        <v>2.2919999999999999E-4</v>
      </c>
      <c r="EH34" s="4">
        <v>2.0809999999999999E-4</v>
      </c>
      <c r="EI34" s="4">
        <v>1.896E-4</v>
      </c>
      <c r="EJ34" s="4">
        <v>1.7349999999999999E-4</v>
      </c>
      <c r="EK34" s="4">
        <v>1.594E-4</v>
      </c>
      <c r="EL34" s="4">
        <v>1.4660000000000001E-4</v>
      </c>
      <c r="EM34" s="4">
        <v>1.3520000000000001E-4</v>
      </c>
      <c r="EN34" s="4">
        <v>1.22E-4</v>
      </c>
      <c r="EO34" s="4">
        <v>1.094E-4</v>
      </c>
      <c r="EP34" s="4">
        <v>9.7299999999999993E-5</v>
      </c>
      <c r="EQ34" s="4">
        <v>7.86E-5</v>
      </c>
      <c r="ER34" s="4">
        <v>8.4499999999999994E-5</v>
      </c>
      <c r="ES34" s="4">
        <v>7.9699999999999999E-5</v>
      </c>
      <c r="ET34" s="4">
        <v>7.5300000000000001E-5</v>
      </c>
      <c r="EU34" s="4">
        <v>7.1600000000000006E-5</v>
      </c>
      <c r="EV34" s="4">
        <v>6.8200000000000004E-5</v>
      </c>
      <c r="EW34" s="4">
        <v>6.4900000000000005E-5</v>
      </c>
      <c r="EX34" s="4">
        <v>6.2000000000000003E-5</v>
      </c>
      <c r="EY34" s="4">
        <v>5.9200000000000002E-5</v>
      </c>
      <c r="EZ34" s="4">
        <v>5.66E-5</v>
      </c>
      <c r="FA34" s="4">
        <v>5.4200000000000003E-5</v>
      </c>
      <c r="FB34" s="4">
        <v>5.1999999999999997E-5</v>
      </c>
      <c r="FC34" s="4">
        <v>4.99E-5</v>
      </c>
      <c r="FD34" s="4">
        <v>4.7899999999999999E-5</v>
      </c>
      <c r="FE34" s="4">
        <v>4.6E-5</v>
      </c>
      <c r="FF34" s="4">
        <v>4.4299999999999999E-5</v>
      </c>
      <c r="FG34" s="4">
        <v>4.2700000000000001E-5</v>
      </c>
      <c r="FH34" s="4">
        <v>4.1100000000000003E-5</v>
      </c>
      <c r="FI34" s="4">
        <v>3.9700000000000003E-5</v>
      </c>
      <c r="FJ34" s="4">
        <v>3.8399999999999998E-5</v>
      </c>
      <c r="FK34" s="4">
        <v>3.7100000000000001E-5</v>
      </c>
      <c r="FL34" s="4">
        <v>3.5899999999999998E-5</v>
      </c>
      <c r="FM34" s="4">
        <v>3.4799999999999999E-5</v>
      </c>
      <c r="FN34" s="4">
        <v>3.3800000000000002E-5</v>
      </c>
      <c r="FO34" s="4">
        <v>3.2799999999999998E-5</v>
      </c>
      <c r="FP34" s="4">
        <v>3.1900000000000003E-5</v>
      </c>
      <c r="FQ34" s="4">
        <v>3.1099999999999997E-5</v>
      </c>
      <c r="FR34" s="4">
        <v>3.0300000000000001E-5</v>
      </c>
      <c r="FS34" s="4">
        <v>2.9499999999999999E-5</v>
      </c>
      <c r="FT34" s="4">
        <v>2.8799999999999999E-5</v>
      </c>
      <c r="FU34" s="4">
        <v>2.8099999999999999E-5</v>
      </c>
      <c r="FV34" s="4">
        <v>2.7500000000000001E-5</v>
      </c>
      <c r="FW34" s="4">
        <v>2.69E-5</v>
      </c>
      <c r="FX34" s="4">
        <v>2.6299999999999999E-5</v>
      </c>
      <c r="FY34" s="4">
        <v>2.58E-5</v>
      </c>
      <c r="FZ34" s="4">
        <v>2.5199999999999999E-5</v>
      </c>
      <c r="GA34" s="4">
        <v>2.4700000000000001E-5</v>
      </c>
      <c r="GB34" s="4">
        <v>2.4300000000000001E-5</v>
      </c>
      <c r="GC34" s="4">
        <v>2.3799999999999999E-5</v>
      </c>
      <c r="GD34" s="4">
        <v>2.34E-5</v>
      </c>
      <c r="GE34" s="4">
        <v>2.3E-5</v>
      </c>
      <c r="GF34" s="4">
        <v>2.26E-5</v>
      </c>
      <c r="GG34" s="4">
        <v>2.2200000000000001E-5</v>
      </c>
      <c r="GH34" s="4">
        <v>2.19E-5</v>
      </c>
      <c r="GI34" s="4">
        <v>2.1500000000000001E-5</v>
      </c>
      <c r="GJ34" s="4">
        <v>2.12E-5</v>
      </c>
      <c r="GK34" s="4">
        <v>2.0800000000000001E-5</v>
      </c>
      <c r="GL34" s="4">
        <v>2.05E-5</v>
      </c>
      <c r="GM34" s="4">
        <v>2.02E-5</v>
      </c>
      <c r="GN34" s="4">
        <v>1.9899999999999999E-5</v>
      </c>
      <c r="GO34" s="4">
        <v>1.9599999999999999E-5</v>
      </c>
      <c r="GP34" s="4">
        <v>1.9300000000000002E-5</v>
      </c>
      <c r="GQ34" s="4">
        <v>1.9000000000000001E-5</v>
      </c>
      <c r="GR34" s="4">
        <v>1.88E-5</v>
      </c>
      <c r="GS34" s="4">
        <v>1.8499999999999999E-5</v>
      </c>
      <c r="GT34" s="4">
        <v>1.8199999999999999E-5</v>
      </c>
      <c r="GU34" s="4">
        <v>1.8E-5</v>
      </c>
      <c r="GV34" s="4">
        <v>1.77E-5</v>
      </c>
      <c r="GW34" s="4">
        <v>1.7499999999999998E-5</v>
      </c>
      <c r="GX34" s="4">
        <v>1.73E-5</v>
      </c>
      <c r="GY34" s="4">
        <v>1.7E-5</v>
      </c>
      <c r="GZ34" s="4">
        <v>1.6799999999999998E-5</v>
      </c>
      <c r="HA34" s="4">
        <v>1.66E-5</v>
      </c>
      <c r="HB34" s="4">
        <v>1.63E-5</v>
      </c>
      <c r="HC34" s="4">
        <v>1.6099999999999998E-5</v>
      </c>
      <c r="HD34" s="4">
        <v>1.59E-5</v>
      </c>
      <c r="HE34" s="4">
        <v>1.5699999999999999E-5</v>
      </c>
      <c r="HF34" s="4">
        <v>1.5500000000000001E-5</v>
      </c>
      <c r="HG34" s="4">
        <v>1.5299999999999999E-5</v>
      </c>
      <c r="HH34" s="4">
        <v>1.5E-5</v>
      </c>
      <c r="HI34" s="4">
        <v>1.4800000000000001E-5</v>
      </c>
      <c r="HJ34" s="4">
        <v>1.4600000000000001E-5</v>
      </c>
      <c r="HK34" s="4">
        <v>1.4399999999999999E-5</v>
      </c>
      <c r="HL34" s="4">
        <v>1.43E-5</v>
      </c>
      <c r="HM34" s="4">
        <v>1.4100000000000001E-5</v>
      </c>
      <c r="HN34" s="4">
        <v>1.3900000000000001E-5</v>
      </c>
      <c r="HO34" s="4">
        <v>1.3699999999999999E-5</v>
      </c>
      <c r="HP34" s="4">
        <v>1.3499999999999999E-5</v>
      </c>
      <c r="HQ34" s="4">
        <v>1.33E-5</v>
      </c>
      <c r="HR34" s="4">
        <v>1.31E-5</v>
      </c>
      <c r="HS34" s="4">
        <v>1.2999999999999999E-5</v>
      </c>
      <c r="HT34" s="4">
        <v>1.2799999999999999E-5</v>
      </c>
      <c r="HU34" s="4">
        <v>1.26E-5</v>
      </c>
      <c r="HV34" s="4">
        <v>1.24E-5</v>
      </c>
      <c r="HW34" s="4">
        <v>1.2300000000000001E-5</v>
      </c>
      <c r="HX34" s="4">
        <v>1.2099999999999999E-5</v>
      </c>
      <c r="HY34" s="4">
        <v>1.19E-5</v>
      </c>
      <c r="HZ34" s="4">
        <v>1.1800000000000001E-5</v>
      </c>
      <c r="IA34" s="4">
        <v>1.1600000000000001E-5</v>
      </c>
      <c r="IB34" s="4">
        <v>1.1399999999999999E-5</v>
      </c>
      <c r="IC34" s="4">
        <v>1.13E-5</v>
      </c>
      <c r="ID34" s="4">
        <v>1.11E-5</v>
      </c>
      <c r="IE34" s="4">
        <v>1.1E-5</v>
      </c>
      <c r="IF34" s="4">
        <v>1.08E-5</v>
      </c>
      <c r="IG34" s="4">
        <v>7.5480000000000002E-4</v>
      </c>
      <c r="IH34" s="4"/>
      <c r="II34" s="4">
        <f t="shared" si="245"/>
        <v>0.11617529939293129</v>
      </c>
      <c r="IJ34">
        <f t="shared" si="246"/>
        <v>0.35901607500000021</v>
      </c>
      <c r="IN34" s="4"/>
      <c r="IO34" s="4"/>
      <c r="IP34" s="4"/>
      <c r="IQ34" s="4"/>
      <c r="IR34" s="4"/>
      <c r="IS34" s="4"/>
      <c r="IT34" s="4"/>
      <c r="IU34" s="4"/>
      <c r="IV34" s="4"/>
    </row>
    <row r="35" spans="1:256" x14ac:dyDescent="0.35">
      <c r="A35" s="1">
        <v>27</v>
      </c>
      <c r="B35" s="4">
        <v>1.0734799999999999E-2</v>
      </c>
      <c r="C35" s="4">
        <v>1.0734799999999999E-2</v>
      </c>
      <c r="D35" s="4">
        <v>1.0684600000000001E-2</v>
      </c>
      <c r="E35" s="4">
        <v>1.05115E-2</v>
      </c>
      <c r="F35" s="4">
        <v>9.8194000000000007E-3</v>
      </c>
      <c r="G35" s="4">
        <v>9.2028000000000006E-3</v>
      </c>
      <c r="H35" s="4">
        <v>8.6269999999999993E-3</v>
      </c>
      <c r="I35" s="4">
        <v>8.0283000000000004E-3</v>
      </c>
      <c r="J35" s="4">
        <v>7.4989999999999996E-3</v>
      </c>
      <c r="K35" s="4">
        <v>7.1675999999999997E-3</v>
      </c>
      <c r="L35" s="4">
        <v>6.7253E-3</v>
      </c>
      <c r="M35" s="4">
        <v>6.3315999999999997E-3</v>
      </c>
      <c r="N35" s="4">
        <v>5.9820999999999997E-3</v>
      </c>
      <c r="O35" s="4">
        <v>5.6703999999999999E-3</v>
      </c>
      <c r="P35" s="4">
        <v>5.3915999999999999E-3</v>
      </c>
      <c r="Q35" s="4">
        <v>5.1422000000000004E-3</v>
      </c>
      <c r="R35" s="4">
        <v>4.9167000000000004E-3</v>
      </c>
      <c r="S35" s="4">
        <v>4.7124999999999997E-3</v>
      </c>
      <c r="T35" s="4">
        <v>4.5268000000000001E-3</v>
      </c>
      <c r="U35" s="4">
        <v>4.3566999999999998E-3</v>
      </c>
      <c r="V35" s="4">
        <v>4.2024999999999996E-3</v>
      </c>
      <c r="W35" s="4">
        <v>4.0546000000000002E-3</v>
      </c>
      <c r="X35" s="4">
        <v>3.9116000000000003E-3</v>
      </c>
      <c r="Y35" s="4">
        <v>3.7030000000000001E-3</v>
      </c>
      <c r="Z35" s="4">
        <v>3.4692E-3</v>
      </c>
      <c r="AA35" s="4">
        <v>3.2063E-3</v>
      </c>
      <c r="AB35" s="4">
        <v>2.7046000000000001E-3</v>
      </c>
      <c r="AC35" s="4">
        <v>2.9383999999999999E-3</v>
      </c>
      <c r="AD35" s="4">
        <v>2.8785E-3</v>
      </c>
      <c r="AE35" s="4">
        <v>2.8213000000000001E-3</v>
      </c>
      <c r="AF35" s="4">
        <v>2.7726999999999999E-3</v>
      </c>
      <c r="AG35" s="4">
        <v>2.7246000000000002E-3</v>
      </c>
      <c r="AH35" s="4">
        <v>2.6765999999999999E-3</v>
      </c>
      <c r="AI35" s="4">
        <v>2.6304000000000002E-3</v>
      </c>
      <c r="AJ35" s="4">
        <v>2.5850000000000001E-3</v>
      </c>
      <c r="AK35" s="4">
        <v>2.5406999999999999E-3</v>
      </c>
      <c r="AL35" s="4">
        <v>2.4973999999999999E-3</v>
      </c>
      <c r="AM35" s="4">
        <v>2.4551999999999998E-3</v>
      </c>
      <c r="AN35" s="4">
        <v>2.4139999999999999E-3</v>
      </c>
      <c r="AO35" s="4">
        <v>2.3738000000000001E-3</v>
      </c>
      <c r="AP35" s="4">
        <v>2.3346999999999999E-3</v>
      </c>
      <c r="AQ35" s="4">
        <v>2.2967E-3</v>
      </c>
      <c r="AR35" s="4">
        <v>2.2596000000000001E-3</v>
      </c>
      <c r="AS35" s="4">
        <v>2.2235000000000002E-3</v>
      </c>
      <c r="AT35" s="4">
        <v>2.1882999999999998E-3</v>
      </c>
      <c r="AU35" s="4">
        <v>2.1540000000000001E-3</v>
      </c>
      <c r="AV35" s="4">
        <v>2.1205999999999998E-3</v>
      </c>
      <c r="AW35" s="4">
        <v>2.088E-3</v>
      </c>
      <c r="AX35" s="4">
        <v>2.0562000000000002E-3</v>
      </c>
      <c r="AY35" s="4">
        <v>2.0252E-3</v>
      </c>
      <c r="AZ35" s="4">
        <v>1.9948000000000001E-3</v>
      </c>
      <c r="BA35" s="4">
        <v>1.9651999999999998E-3</v>
      </c>
      <c r="BB35" s="4">
        <v>1.9361999999999999E-3</v>
      </c>
      <c r="BC35" s="4">
        <v>1.9078999999999999E-3</v>
      </c>
      <c r="BD35" s="4">
        <v>1.8801E-3</v>
      </c>
      <c r="BE35" s="4">
        <v>1.853E-3</v>
      </c>
      <c r="BF35" s="4">
        <v>1.8263000000000001E-3</v>
      </c>
      <c r="BG35" s="4">
        <v>1.8002000000000001E-3</v>
      </c>
      <c r="BH35" s="4">
        <v>1.7746000000000001E-3</v>
      </c>
      <c r="BI35" s="4">
        <v>1.7495E-3</v>
      </c>
      <c r="BJ35" s="4">
        <v>1.7248000000000001E-3</v>
      </c>
      <c r="BK35" s="4">
        <v>1.7005E-3</v>
      </c>
      <c r="BL35" s="4">
        <v>1.6766999999999999E-3</v>
      </c>
      <c r="BM35" s="4">
        <v>1.6532999999999999E-3</v>
      </c>
      <c r="BN35" s="4">
        <v>1.6302000000000001E-3</v>
      </c>
      <c r="BO35" s="4">
        <v>1.6076E-3</v>
      </c>
      <c r="BP35" s="4">
        <v>1.5853E-3</v>
      </c>
      <c r="BQ35" s="4">
        <v>1.5633000000000001E-3</v>
      </c>
      <c r="BR35" s="4">
        <v>1.5417E-3</v>
      </c>
      <c r="BS35" s="4">
        <v>1.5204000000000001E-3</v>
      </c>
      <c r="BT35" s="4">
        <v>1.4993999999999999E-3</v>
      </c>
      <c r="BU35" s="4">
        <v>1.4787999999999999E-3</v>
      </c>
      <c r="BV35" s="4">
        <v>1.4584000000000001E-3</v>
      </c>
      <c r="BW35" s="4">
        <v>1.4383E-3</v>
      </c>
      <c r="BX35" s="4">
        <v>1.4185000000000001E-3</v>
      </c>
      <c r="BY35" s="4">
        <v>1.3990000000000001E-3</v>
      </c>
      <c r="BZ35" s="4">
        <v>1.3797E-3</v>
      </c>
      <c r="CA35" s="4">
        <v>1.3607000000000001E-3</v>
      </c>
      <c r="CB35" s="4">
        <v>1.3420000000000001E-3</v>
      </c>
      <c r="CC35" s="4">
        <v>1.3235E-3</v>
      </c>
      <c r="CD35" s="4">
        <v>1.3052999999999999E-3</v>
      </c>
      <c r="CE35" s="4">
        <v>1.2872999999999999E-3</v>
      </c>
      <c r="CF35" s="4">
        <v>1.2695E-3</v>
      </c>
      <c r="CG35" s="4">
        <v>1.2520000000000001E-3</v>
      </c>
      <c r="CH35" s="4">
        <v>1.2347E-3</v>
      </c>
      <c r="CI35" s="4">
        <v>1.2176999999999999E-3</v>
      </c>
      <c r="CJ35" s="4">
        <v>1.2009E-3</v>
      </c>
      <c r="CK35" s="4">
        <v>1.1842000000000001E-3</v>
      </c>
      <c r="CL35" s="4">
        <v>1.1678999999999999E-3</v>
      </c>
      <c r="CM35" s="4">
        <v>1.1517000000000001E-3</v>
      </c>
      <c r="CN35" s="4">
        <v>1.1356999999999999E-3</v>
      </c>
      <c r="CO35" s="4">
        <v>1.1199999999999999E-3</v>
      </c>
      <c r="CP35" s="4">
        <v>1.1044E-3</v>
      </c>
      <c r="CQ35" s="4">
        <v>1.0891E-3</v>
      </c>
      <c r="CR35" s="4">
        <v>1.0739E-3</v>
      </c>
      <c r="CS35" s="4">
        <v>1.059E-3</v>
      </c>
      <c r="CT35" s="4">
        <v>1.0441999999999999E-3</v>
      </c>
      <c r="CU35" s="4">
        <v>1.0296999999999999E-3</v>
      </c>
      <c r="CV35" s="4">
        <v>1.0153E-3</v>
      </c>
      <c r="CW35" s="4">
        <v>1.0012E-3</v>
      </c>
      <c r="CX35" s="4">
        <v>9.8719999999999993E-4</v>
      </c>
      <c r="CY35" s="4">
        <v>9.7340000000000002E-4</v>
      </c>
      <c r="CZ35" s="4">
        <v>9.5980000000000002E-4</v>
      </c>
      <c r="DA35" s="4">
        <v>9.4629999999999996E-4</v>
      </c>
      <c r="DB35" s="4">
        <v>9.3309999999999997E-4</v>
      </c>
      <c r="DC35" s="4">
        <v>9.2000000000000003E-4</v>
      </c>
      <c r="DD35" s="4">
        <v>9.0709999999999999E-4</v>
      </c>
      <c r="DE35" s="4">
        <v>8.9439999999999995E-4</v>
      </c>
      <c r="DF35" s="4">
        <v>8.8179999999999997E-4</v>
      </c>
      <c r="DG35" s="4">
        <v>8.6950000000000005E-4</v>
      </c>
      <c r="DH35" s="4">
        <v>8.5720000000000002E-4</v>
      </c>
      <c r="DI35" s="4">
        <v>8.4520000000000005E-4</v>
      </c>
      <c r="DJ35" s="4">
        <v>8.3330000000000003E-4</v>
      </c>
      <c r="DK35" s="4">
        <v>8.2160000000000002E-4</v>
      </c>
      <c r="DL35" s="4">
        <v>8.0999999999999996E-4</v>
      </c>
      <c r="DM35" s="4">
        <v>7.986E-4</v>
      </c>
      <c r="DN35" s="4">
        <v>7.8739999999999995E-4</v>
      </c>
      <c r="DO35" s="4">
        <v>7.7629999999999995E-4</v>
      </c>
      <c r="DP35" s="4">
        <v>7.6530000000000001E-4</v>
      </c>
      <c r="DQ35" s="4">
        <v>5.3161199999999999E-2</v>
      </c>
      <c r="DR35" s="4">
        <v>0</v>
      </c>
      <c r="DS35" s="4">
        <v>5.02E-5</v>
      </c>
      <c r="DT35" s="4">
        <v>1.7320000000000001E-4</v>
      </c>
      <c r="DU35" s="4">
        <v>6.9220000000000002E-4</v>
      </c>
      <c r="DV35" s="4">
        <v>6.1700000000000004E-4</v>
      </c>
      <c r="DW35" s="4">
        <v>5.7620000000000002E-4</v>
      </c>
      <c r="DX35" s="4">
        <v>5.9900000000000003E-4</v>
      </c>
      <c r="DY35" s="4">
        <v>5.2970000000000003E-4</v>
      </c>
      <c r="DZ35" s="4">
        <v>4.84E-4</v>
      </c>
      <c r="EA35" s="4">
        <v>4.4289999999999998E-4</v>
      </c>
      <c r="EB35" s="4">
        <v>3.948E-4</v>
      </c>
      <c r="EC35" s="4">
        <v>3.5110000000000002E-4</v>
      </c>
      <c r="ED35" s="4">
        <v>3.1389999999999999E-4</v>
      </c>
      <c r="EE35" s="4">
        <v>2.8140000000000001E-4</v>
      </c>
      <c r="EF35" s="4">
        <v>2.5339999999999998E-4</v>
      </c>
      <c r="EG35" s="4">
        <v>2.2910000000000001E-4</v>
      </c>
      <c r="EH35" s="4">
        <v>2.0799999999999999E-4</v>
      </c>
      <c r="EI35" s="4">
        <v>1.895E-4</v>
      </c>
      <c r="EJ35" s="4">
        <v>1.7330000000000001E-4</v>
      </c>
      <c r="EK35" s="4">
        <v>1.5909999999999999E-4</v>
      </c>
      <c r="EL35" s="4">
        <v>1.4660000000000001E-4</v>
      </c>
      <c r="EM35" s="4">
        <v>1.3530000000000001E-4</v>
      </c>
      <c r="EN35" s="4">
        <v>1.2510000000000001E-4</v>
      </c>
      <c r="EO35" s="4">
        <v>1.133E-4</v>
      </c>
      <c r="EP35" s="4">
        <v>1.019E-4</v>
      </c>
      <c r="EQ35" s="4">
        <v>9.09E-5</v>
      </c>
      <c r="ER35" s="4">
        <v>7.3700000000000002E-5</v>
      </c>
      <c r="ES35" s="4">
        <v>7.9200000000000001E-5</v>
      </c>
      <c r="ET35" s="4">
        <v>7.4900000000000005E-5</v>
      </c>
      <c r="EU35" s="4">
        <v>7.1000000000000005E-5</v>
      </c>
      <c r="EV35" s="4">
        <v>6.7700000000000006E-5</v>
      </c>
      <c r="EW35" s="4">
        <v>6.4499999999999996E-5</v>
      </c>
      <c r="EX35" s="4">
        <v>6.1600000000000007E-5</v>
      </c>
      <c r="EY35" s="4">
        <v>5.8900000000000002E-5</v>
      </c>
      <c r="EZ35" s="4">
        <v>5.63E-5</v>
      </c>
      <c r="FA35" s="4">
        <v>5.3999999999999998E-5</v>
      </c>
      <c r="FB35" s="4">
        <v>5.1700000000000003E-5</v>
      </c>
      <c r="FC35" s="4">
        <v>4.9700000000000002E-5</v>
      </c>
      <c r="FD35" s="4">
        <v>4.7700000000000001E-5</v>
      </c>
      <c r="FE35" s="4">
        <v>4.5899999999999998E-5</v>
      </c>
      <c r="FF35" s="4">
        <v>4.4199999999999997E-5</v>
      </c>
      <c r="FG35" s="4">
        <v>4.2599999999999999E-5</v>
      </c>
      <c r="FH35" s="4">
        <v>4.1E-5</v>
      </c>
      <c r="FI35" s="4">
        <v>3.96E-5</v>
      </c>
      <c r="FJ35" s="4">
        <v>3.8300000000000003E-5</v>
      </c>
      <c r="FK35" s="4">
        <v>3.7100000000000001E-5</v>
      </c>
      <c r="FL35" s="4">
        <v>3.5899999999999998E-5</v>
      </c>
      <c r="FM35" s="4">
        <v>3.4799999999999999E-5</v>
      </c>
      <c r="FN35" s="4">
        <v>3.3800000000000002E-5</v>
      </c>
      <c r="FO35" s="4">
        <v>3.2799999999999998E-5</v>
      </c>
      <c r="FP35" s="4">
        <v>3.1900000000000003E-5</v>
      </c>
      <c r="FQ35" s="4">
        <v>3.1000000000000001E-5</v>
      </c>
      <c r="FR35" s="4">
        <v>3.0199999999999999E-5</v>
      </c>
      <c r="FS35" s="4">
        <v>2.9499999999999999E-5</v>
      </c>
      <c r="FT35" s="4">
        <v>2.8799999999999999E-5</v>
      </c>
      <c r="FU35" s="4">
        <v>2.8099999999999999E-5</v>
      </c>
      <c r="FV35" s="4">
        <v>2.7500000000000001E-5</v>
      </c>
      <c r="FW35" s="4">
        <v>2.69E-5</v>
      </c>
      <c r="FX35" s="4">
        <v>2.6299999999999999E-5</v>
      </c>
      <c r="FY35" s="4">
        <v>2.5700000000000001E-5</v>
      </c>
      <c r="FZ35" s="4">
        <v>2.5199999999999999E-5</v>
      </c>
      <c r="GA35" s="4">
        <v>2.4700000000000001E-5</v>
      </c>
      <c r="GB35" s="4">
        <v>2.4300000000000001E-5</v>
      </c>
      <c r="GC35" s="4">
        <v>2.3799999999999999E-5</v>
      </c>
      <c r="GD35" s="4">
        <v>2.34E-5</v>
      </c>
      <c r="GE35" s="4">
        <v>2.3E-5</v>
      </c>
      <c r="GF35" s="4">
        <v>2.26E-5</v>
      </c>
      <c r="GG35" s="4">
        <v>2.2200000000000001E-5</v>
      </c>
      <c r="GH35" s="4">
        <v>2.1800000000000001E-5</v>
      </c>
      <c r="GI35" s="4">
        <v>2.1500000000000001E-5</v>
      </c>
      <c r="GJ35" s="4">
        <v>2.12E-5</v>
      </c>
      <c r="GK35" s="4">
        <v>2.0800000000000001E-5</v>
      </c>
      <c r="GL35" s="4">
        <v>2.05E-5</v>
      </c>
      <c r="GM35" s="4">
        <v>2.02E-5</v>
      </c>
      <c r="GN35" s="4">
        <v>1.9899999999999999E-5</v>
      </c>
      <c r="GO35" s="4">
        <v>1.9599999999999999E-5</v>
      </c>
      <c r="GP35" s="4">
        <v>1.9300000000000002E-5</v>
      </c>
      <c r="GQ35" s="4">
        <v>1.9000000000000001E-5</v>
      </c>
      <c r="GR35" s="4">
        <v>1.88E-5</v>
      </c>
      <c r="GS35" s="4">
        <v>1.8499999999999999E-5</v>
      </c>
      <c r="GT35" s="4">
        <v>1.8199999999999999E-5</v>
      </c>
      <c r="GU35" s="4">
        <v>1.8E-5</v>
      </c>
      <c r="GV35" s="4">
        <v>1.77E-5</v>
      </c>
      <c r="GW35" s="4">
        <v>1.7499999999999998E-5</v>
      </c>
      <c r="GX35" s="4">
        <v>1.73E-5</v>
      </c>
      <c r="GY35" s="4">
        <v>1.7E-5</v>
      </c>
      <c r="GZ35" s="4">
        <v>1.6799999999999998E-5</v>
      </c>
      <c r="HA35" s="4">
        <v>1.66E-5</v>
      </c>
      <c r="HB35" s="4">
        <v>1.63E-5</v>
      </c>
      <c r="HC35" s="4">
        <v>1.6099999999999998E-5</v>
      </c>
      <c r="HD35" s="4">
        <v>1.59E-5</v>
      </c>
      <c r="HE35" s="4">
        <v>1.5699999999999999E-5</v>
      </c>
      <c r="HF35" s="4">
        <v>1.5500000000000001E-5</v>
      </c>
      <c r="HG35" s="4">
        <v>1.5299999999999999E-5</v>
      </c>
      <c r="HH35" s="4">
        <v>1.5E-5</v>
      </c>
      <c r="HI35" s="4">
        <v>1.4800000000000001E-5</v>
      </c>
      <c r="HJ35" s="4">
        <v>1.4600000000000001E-5</v>
      </c>
      <c r="HK35" s="4">
        <v>1.4399999999999999E-5</v>
      </c>
      <c r="HL35" s="4">
        <v>1.43E-5</v>
      </c>
      <c r="HM35" s="4">
        <v>1.4100000000000001E-5</v>
      </c>
      <c r="HN35" s="4">
        <v>1.3900000000000001E-5</v>
      </c>
      <c r="HO35" s="4">
        <v>1.3699999999999999E-5</v>
      </c>
      <c r="HP35" s="4">
        <v>1.3499999999999999E-5</v>
      </c>
      <c r="HQ35" s="4">
        <v>1.33E-5</v>
      </c>
      <c r="HR35" s="4">
        <v>1.31E-5</v>
      </c>
      <c r="HS35" s="4">
        <v>1.2999999999999999E-5</v>
      </c>
      <c r="HT35" s="4">
        <v>1.2799999999999999E-5</v>
      </c>
      <c r="HU35" s="4">
        <v>1.26E-5</v>
      </c>
      <c r="HV35" s="4">
        <v>1.24E-5</v>
      </c>
      <c r="HW35" s="4">
        <v>1.2300000000000001E-5</v>
      </c>
      <c r="HX35" s="4">
        <v>1.2099999999999999E-5</v>
      </c>
      <c r="HY35" s="4">
        <v>1.19E-5</v>
      </c>
      <c r="HZ35" s="4">
        <v>1.1800000000000001E-5</v>
      </c>
      <c r="IA35" s="4">
        <v>1.1600000000000001E-5</v>
      </c>
      <c r="IB35" s="4">
        <v>1.1399999999999999E-5</v>
      </c>
      <c r="IC35" s="4">
        <v>1.13E-5</v>
      </c>
      <c r="ID35" s="4">
        <v>1.11E-5</v>
      </c>
      <c r="IE35" s="4">
        <v>1.1E-5</v>
      </c>
      <c r="IF35" s="4">
        <v>1.08E-5</v>
      </c>
      <c r="IG35" s="4">
        <v>7.5480000000000002E-4</v>
      </c>
      <c r="IH35" s="4"/>
      <c r="II35" s="4">
        <f t="shared" si="245"/>
        <v>0.11601296721038439</v>
      </c>
      <c r="IJ35">
        <f t="shared" si="246"/>
        <v>0.35899780000000009</v>
      </c>
      <c r="IN35" s="4"/>
      <c r="IO35" s="4"/>
      <c r="IP35" s="4"/>
      <c r="IQ35" s="4"/>
      <c r="IR35" s="4"/>
      <c r="IS35" s="4"/>
      <c r="IT35" s="4"/>
      <c r="IU35" s="4"/>
      <c r="IV35" s="4"/>
    </row>
    <row r="36" spans="1:256" x14ac:dyDescent="0.35">
      <c r="A36" s="1">
        <v>28</v>
      </c>
      <c r="B36" s="4">
        <v>1.0734799999999999E-2</v>
      </c>
      <c r="C36" s="4">
        <v>1.0734799999999999E-2</v>
      </c>
      <c r="D36" s="4">
        <v>1.0684600000000001E-2</v>
      </c>
      <c r="E36" s="4">
        <v>1.0511400000000001E-2</v>
      </c>
      <c r="F36" s="4">
        <v>9.8192999999999996E-3</v>
      </c>
      <c r="G36" s="4">
        <v>9.2025000000000006E-3</v>
      </c>
      <c r="H36" s="4">
        <v>8.6265999999999999E-3</v>
      </c>
      <c r="I36" s="4">
        <v>8.0280999999999998E-3</v>
      </c>
      <c r="J36" s="4">
        <v>7.4986000000000002E-3</v>
      </c>
      <c r="K36" s="4">
        <v>7.0150000000000004E-3</v>
      </c>
      <c r="L36" s="4">
        <v>6.7248000000000004E-3</v>
      </c>
      <c r="M36" s="4">
        <v>6.3305999999999996E-3</v>
      </c>
      <c r="N36" s="4">
        <v>5.9804999999999997E-3</v>
      </c>
      <c r="O36" s="4">
        <v>5.6682E-3</v>
      </c>
      <c r="P36" s="4">
        <v>5.3889000000000003E-3</v>
      </c>
      <c r="Q36" s="4">
        <v>5.1381999999999999E-3</v>
      </c>
      <c r="R36" s="4">
        <v>4.9131000000000001E-3</v>
      </c>
      <c r="S36" s="4">
        <v>4.7086999999999997E-3</v>
      </c>
      <c r="T36" s="4">
        <v>4.5230000000000001E-3</v>
      </c>
      <c r="U36" s="4">
        <v>4.3534999999999997E-3</v>
      </c>
      <c r="V36" s="4">
        <v>4.1976000000000001E-3</v>
      </c>
      <c r="W36" s="4">
        <v>4.0559000000000003E-3</v>
      </c>
      <c r="X36" s="4">
        <v>3.9192999999999997E-3</v>
      </c>
      <c r="Y36" s="4">
        <v>3.7864999999999999E-3</v>
      </c>
      <c r="Z36" s="4">
        <v>3.5896000000000001E-3</v>
      </c>
      <c r="AA36" s="4">
        <v>3.3673000000000002E-3</v>
      </c>
      <c r="AB36" s="4">
        <v>3.1153999999999999E-3</v>
      </c>
      <c r="AC36" s="4">
        <v>2.6310000000000001E-3</v>
      </c>
      <c r="AD36" s="4">
        <v>2.8592000000000001E-3</v>
      </c>
      <c r="AE36" s="4">
        <v>2.8035E-3</v>
      </c>
      <c r="AF36" s="4">
        <v>2.7502999999999998E-3</v>
      </c>
      <c r="AG36" s="4">
        <v>2.7049999999999999E-3</v>
      </c>
      <c r="AH36" s="4">
        <v>2.6600999999999999E-3</v>
      </c>
      <c r="AI36" s="4">
        <v>2.6150000000000001E-3</v>
      </c>
      <c r="AJ36" s="4">
        <v>2.5715E-3</v>
      </c>
      <c r="AK36" s="4">
        <v>2.5287E-3</v>
      </c>
      <c r="AL36" s="4">
        <v>2.4867999999999999E-3</v>
      </c>
      <c r="AM36" s="4">
        <v>2.4456999999999999E-3</v>
      </c>
      <c r="AN36" s="4">
        <v>2.4055000000000001E-3</v>
      </c>
      <c r="AO36" s="4">
        <v>2.3663E-3</v>
      </c>
      <c r="AP36" s="4">
        <v>2.3280000000000002E-3</v>
      </c>
      <c r="AQ36" s="4">
        <v>2.2905999999999998E-3</v>
      </c>
      <c r="AR36" s="4">
        <v>2.2541000000000002E-3</v>
      </c>
      <c r="AS36" s="4">
        <v>2.2185E-3</v>
      </c>
      <c r="AT36" s="4">
        <v>2.1838000000000001E-3</v>
      </c>
      <c r="AU36" s="4">
        <v>2.15E-3</v>
      </c>
      <c r="AV36" s="4">
        <v>2.117E-3</v>
      </c>
      <c r="AW36" s="4">
        <v>2.0847000000000001E-3</v>
      </c>
      <c r="AX36" s="4">
        <v>2.0531999999999998E-3</v>
      </c>
      <c r="AY36" s="4">
        <v>2.0224000000000002E-3</v>
      </c>
      <c r="AZ36" s="4">
        <v>1.9924000000000001E-3</v>
      </c>
      <c r="BA36" s="4">
        <v>1.9629000000000001E-3</v>
      </c>
      <c r="BB36" s="4">
        <v>1.9342000000000001E-3</v>
      </c>
      <c r="BC36" s="4">
        <v>1.9059999999999999E-3</v>
      </c>
      <c r="BD36" s="4">
        <v>1.8783999999999999E-3</v>
      </c>
      <c r="BE36" s="4">
        <v>1.8514E-3</v>
      </c>
      <c r="BF36" s="4">
        <v>1.8249E-3</v>
      </c>
      <c r="BG36" s="4">
        <v>1.7989E-3</v>
      </c>
      <c r="BH36" s="4">
        <v>1.7734000000000001E-3</v>
      </c>
      <c r="BI36" s="4">
        <v>1.7482999999999999E-3</v>
      </c>
      <c r="BJ36" s="4">
        <v>1.7237000000000001E-3</v>
      </c>
      <c r="BK36" s="4">
        <v>1.6995999999999999E-3</v>
      </c>
      <c r="BL36" s="4">
        <v>1.6758000000000001E-3</v>
      </c>
      <c r="BM36" s="4">
        <v>1.6524E-3</v>
      </c>
      <c r="BN36" s="4">
        <v>1.6295000000000001E-3</v>
      </c>
      <c r="BO36" s="4">
        <v>1.6068E-3</v>
      </c>
      <c r="BP36" s="4">
        <v>1.5846E-3</v>
      </c>
      <c r="BQ36" s="4">
        <v>1.5627E-3</v>
      </c>
      <c r="BR36" s="4">
        <v>1.5410999999999999E-3</v>
      </c>
      <c r="BS36" s="4">
        <v>1.5198E-3</v>
      </c>
      <c r="BT36" s="4">
        <v>1.4989000000000001E-3</v>
      </c>
      <c r="BU36" s="4">
        <v>1.4783000000000001E-3</v>
      </c>
      <c r="BV36" s="4">
        <v>1.4579E-3</v>
      </c>
      <c r="BW36" s="4">
        <v>1.4379E-3</v>
      </c>
      <c r="BX36" s="4">
        <v>1.4181E-3</v>
      </c>
      <c r="BY36" s="4">
        <v>1.3986000000000001E-3</v>
      </c>
      <c r="BZ36" s="4">
        <v>1.3794E-3</v>
      </c>
      <c r="CA36" s="4">
        <v>1.3604000000000001E-3</v>
      </c>
      <c r="CB36" s="4">
        <v>1.3416999999999999E-3</v>
      </c>
      <c r="CC36" s="4">
        <v>1.3232000000000001E-3</v>
      </c>
      <c r="CD36" s="4">
        <v>1.305E-3</v>
      </c>
      <c r="CE36" s="4">
        <v>1.2869999999999999E-3</v>
      </c>
      <c r="CF36" s="4">
        <v>1.2692999999999999E-3</v>
      </c>
      <c r="CG36" s="4">
        <v>1.2518E-3</v>
      </c>
      <c r="CH36" s="4">
        <v>1.2344999999999999E-3</v>
      </c>
      <c r="CI36" s="4">
        <v>1.2175E-3</v>
      </c>
      <c r="CJ36" s="4">
        <v>1.2007000000000001E-3</v>
      </c>
      <c r="CK36" s="4">
        <v>1.1841E-3</v>
      </c>
      <c r="CL36" s="4">
        <v>1.1677E-3</v>
      </c>
      <c r="CM36" s="4">
        <v>1.1515E-3</v>
      </c>
      <c r="CN36" s="4">
        <v>1.1356000000000001E-3</v>
      </c>
      <c r="CO36" s="4">
        <v>1.1198E-3</v>
      </c>
      <c r="CP36" s="4">
        <v>1.1042999999999999E-3</v>
      </c>
      <c r="CQ36" s="4">
        <v>1.0889000000000001E-3</v>
      </c>
      <c r="CR36" s="4">
        <v>1.0738E-3</v>
      </c>
      <c r="CS36" s="4">
        <v>1.0589E-3</v>
      </c>
      <c r="CT36" s="4">
        <v>1.0441000000000001E-3</v>
      </c>
      <c r="CU36" s="4">
        <v>1.0296000000000001E-3</v>
      </c>
      <c r="CV36" s="4">
        <v>1.0152E-3</v>
      </c>
      <c r="CW36" s="4">
        <v>1.0011E-3</v>
      </c>
      <c r="CX36" s="4">
        <v>9.8710000000000009E-4</v>
      </c>
      <c r="CY36" s="4">
        <v>9.7329999999999997E-4</v>
      </c>
      <c r="CZ36" s="4">
        <v>9.5969999999999996E-4</v>
      </c>
      <c r="DA36" s="4">
        <v>9.4629999999999996E-4</v>
      </c>
      <c r="DB36" s="4">
        <v>9.3300000000000002E-4</v>
      </c>
      <c r="DC36" s="4">
        <v>9.2000000000000003E-4</v>
      </c>
      <c r="DD36" s="4">
        <v>9.0709999999999999E-4</v>
      </c>
      <c r="DE36" s="4">
        <v>8.9439999999999995E-4</v>
      </c>
      <c r="DF36" s="4">
        <v>8.8179999999999997E-4</v>
      </c>
      <c r="DG36" s="4">
        <v>8.6939999999999999E-4</v>
      </c>
      <c r="DH36" s="4">
        <v>8.5720000000000002E-4</v>
      </c>
      <c r="DI36" s="4">
        <v>8.4520000000000005E-4</v>
      </c>
      <c r="DJ36" s="4">
        <v>8.3330000000000003E-4</v>
      </c>
      <c r="DK36" s="4">
        <v>8.2160000000000002E-4</v>
      </c>
      <c r="DL36" s="4">
        <v>8.0999999999999996E-4</v>
      </c>
      <c r="DM36" s="4">
        <v>7.986E-4</v>
      </c>
      <c r="DN36" s="4">
        <v>7.873E-4</v>
      </c>
      <c r="DO36" s="4">
        <v>7.762E-4</v>
      </c>
      <c r="DP36" s="4">
        <v>7.6530000000000001E-4</v>
      </c>
      <c r="DQ36" s="4">
        <v>5.3160899999999997E-2</v>
      </c>
      <c r="DR36" s="4">
        <v>0</v>
      </c>
      <c r="DS36" s="4">
        <v>5.02E-5</v>
      </c>
      <c r="DT36" s="4">
        <v>1.7330000000000001E-4</v>
      </c>
      <c r="DU36" s="4">
        <v>6.9229999999999997E-4</v>
      </c>
      <c r="DV36" s="4">
        <v>6.1709999999999998E-4</v>
      </c>
      <c r="DW36" s="4">
        <v>5.7640000000000002E-4</v>
      </c>
      <c r="DX36" s="4">
        <v>5.9909999999999998E-4</v>
      </c>
      <c r="DY36" s="4">
        <v>5.2979999999999998E-4</v>
      </c>
      <c r="DZ36" s="4">
        <v>4.841E-4</v>
      </c>
      <c r="EA36" s="4">
        <v>4.2890000000000002E-4</v>
      </c>
      <c r="EB36" s="4">
        <v>3.948E-4</v>
      </c>
      <c r="EC36" s="4">
        <v>3.5120000000000003E-4</v>
      </c>
      <c r="ED36" s="4">
        <v>3.1389999999999999E-4</v>
      </c>
      <c r="EE36" s="4">
        <v>2.8140000000000001E-4</v>
      </c>
      <c r="EF36" s="4">
        <v>2.5339999999999998E-4</v>
      </c>
      <c r="EG36" s="4">
        <v>2.2900000000000001E-4</v>
      </c>
      <c r="EH36" s="4">
        <v>2.0790000000000001E-4</v>
      </c>
      <c r="EI36" s="4">
        <v>1.894E-4</v>
      </c>
      <c r="EJ36" s="4">
        <v>1.7330000000000001E-4</v>
      </c>
      <c r="EK36" s="4">
        <v>1.5899999999999999E-4</v>
      </c>
      <c r="EL36" s="4">
        <v>1.4640000000000001E-4</v>
      </c>
      <c r="EM36" s="4">
        <v>1.3540000000000001E-4</v>
      </c>
      <c r="EN36" s="4">
        <v>1.2530000000000001E-4</v>
      </c>
      <c r="EO36" s="4">
        <v>1.1620000000000001E-4</v>
      </c>
      <c r="EP36" s="4">
        <v>1.0560000000000001E-4</v>
      </c>
      <c r="EQ36" s="4">
        <v>9.5199999999999997E-5</v>
      </c>
      <c r="ER36" s="4">
        <v>8.5099999999999995E-5</v>
      </c>
      <c r="ES36" s="4">
        <v>6.9200000000000002E-5</v>
      </c>
      <c r="ET36" s="4">
        <v>7.4499999999999995E-5</v>
      </c>
      <c r="EU36" s="4">
        <v>7.0599999999999995E-5</v>
      </c>
      <c r="EV36" s="4">
        <v>6.7100000000000005E-5</v>
      </c>
      <c r="EW36" s="4">
        <v>6.41E-5</v>
      </c>
      <c r="EX36" s="4">
        <v>6.1199999999999997E-5</v>
      </c>
      <c r="EY36" s="4">
        <v>5.8499999999999999E-5</v>
      </c>
      <c r="EZ36" s="4">
        <v>5.5999999999999999E-5</v>
      </c>
      <c r="FA36" s="4">
        <v>5.3699999999999997E-5</v>
      </c>
      <c r="FB36" s="4">
        <v>5.1499999999999998E-5</v>
      </c>
      <c r="FC36" s="4">
        <v>4.9499999999999997E-5</v>
      </c>
      <c r="FD36" s="4">
        <v>4.7500000000000003E-5</v>
      </c>
      <c r="FE36" s="4">
        <v>4.57E-5</v>
      </c>
      <c r="FF36" s="4">
        <v>4.3999999999999999E-5</v>
      </c>
      <c r="FG36" s="4">
        <v>4.2400000000000001E-5</v>
      </c>
      <c r="FH36" s="4">
        <v>4.0899999999999998E-5</v>
      </c>
      <c r="FI36" s="4">
        <v>3.9499999999999998E-5</v>
      </c>
      <c r="FJ36" s="4">
        <v>3.82E-5</v>
      </c>
      <c r="FK36" s="4">
        <v>3.6999999999999998E-5</v>
      </c>
      <c r="FL36" s="4">
        <v>3.5800000000000003E-5</v>
      </c>
      <c r="FM36" s="4">
        <v>3.4700000000000003E-5</v>
      </c>
      <c r="FN36" s="4">
        <v>3.3699999999999999E-5</v>
      </c>
      <c r="FO36" s="4">
        <v>3.2700000000000002E-5</v>
      </c>
      <c r="FP36" s="4">
        <v>3.18E-5</v>
      </c>
      <c r="FQ36" s="4">
        <v>3.1000000000000001E-5</v>
      </c>
      <c r="FR36" s="4">
        <v>3.0199999999999999E-5</v>
      </c>
      <c r="FS36" s="4">
        <v>2.94E-5</v>
      </c>
      <c r="FT36" s="4">
        <v>2.87E-5</v>
      </c>
      <c r="FU36" s="4">
        <v>2.8099999999999999E-5</v>
      </c>
      <c r="FV36" s="4">
        <v>2.7399999999999999E-5</v>
      </c>
      <c r="FW36" s="4">
        <v>2.6800000000000001E-5</v>
      </c>
      <c r="FX36" s="4">
        <v>2.62E-5</v>
      </c>
      <c r="FY36" s="4">
        <v>2.5700000000000001E-5</v>
      </c>
      <c r="FZ36" s="4">
        <v>2.5199999999999999E-5</v>
      </c>
      <c r="GA36" s="4">
        <v>2.4700000000000001E-5</v>
      </c>
      <c r="GB36" s="4">
        <v>2.4199999999999999E-5</v>
      </c>
      <c r="GC36" s="4">
        <v>2.3799999999999999E-5</v>
      </c>
      <c r="GD36" s="4">
        <v>2.34E-5</v>
      </c>
      <c r="GE36" s="4">
        <v>2.3E-5</v>
      </c>
      <c r="GF36" s="4">
        <v>2.26E-5</v>
      </c>
      <c r="GG36" s="4">
        <v>2.2200000000000001E-5</v>
      </c>
      <c r="GH36" s="4">
        <v>2.1800000000000001E-5</v>
      </c>
      <c r="GI36" s="4">
        <v>2.1500000000000001E-5</v>
      </c>
      <c r="GJ36" s="4">
        <v>2.1100000000000001E-5</v>
      </c>
      <c r="GK36" s="4">
        <v>2.0800000000000001E-5</v>
      </c>
      <c r="GL36" s="4">
        <v>2.05E-5</v>
      </c>
      <c r="GM36" s="4">
        <v>2.02E-5</v>
      </c>
      <c r="GN36" s="4">
        <v>1.9899999999999999E-5</v>
      </c>
      <c r="GO36" s="4">
        <v>1.9599999999999999E-5</v>
      </c>
      <c r="GP36" s="4">
        <v>1.9300000000000002E-5</v>
      </c>
      <c r="GQ36" s="4">
        <v>1.9000000000000001E-5</v>
      </c>
      <c r="GR36" s="4">
        <v>1.88E-5</v>
      </c>
      <c r="GS36" s="4">
        <v>1.8499999999999999E-5</v>
      </c>
      <c r="GT36" s="4">
        <v>1.8199999999999999E-5</v>
      </c>
      <c r="GU36" s="4">
        <v>1.8E-5</v>
      </c>
      <c r="GV36" s="4">
        <v>1.77E-5</v>
      </c>
      <c r="GW36" s="4">
        <v>1.7499999999999998E-5</v>
      </c>
      <c r="GX36" s="4">
        <v>1.7200000000000001E-5</v>
      </c>
      <c r="GY36" s="4">
        <v>1.7E-5</v>
      </c>
      <c r="GZ36" s="4">
        <v>1.6799999999999998E-5</v>
      </c>
      <c r="HA36" s="4">
        <v>1.66E-5</v>
      </c>
      <c r="HB36" s="4">
        <v>1.63E-5</v>
      </c>
      <c r="HC36" s="4">
        <v>1.6099999999999998E-5</v>
      </c>
      <c r="HD36" s="4">
        <v>1.59E-5</v>
      </c>
      <c r="HE36" s="4">
        <v>1.5699999999999999E-5</v>
      </c>
      <c r="HF36" s="4">
        <v>1.5500000000000001E-5</v>
      </c>
      <c r="HG36" s="4">
        <v>1.5299999999999999E-5</v>
      </c>
      <c r="HH36" s="4">
        <v>1.5E-5</v>
      </c>
      <c r="HI36" s="4">
        <v>1.4800000000000001E-5</v>
      </c>
      <c r="HJ36" s="4">
        <v>1.4600000000000001E-5</v>
      </c>
      <c r="HK36" s="4">
        <v>1.4399999999999999E-5</v>
      </c>
      <c r="HL36" s="4">
        <v>1.42E-5</v>
      </c>
      <c r="HM36" s="4">
        <v>1.4100000000000001E-5</v>
      </c>
      <c r="HN36" s="4">
        <v>1.3900000000000001E-5</v>
      </c>
      <c r="HO36" s="4">
        <v>1.3699999999999999E-5</v>
      </c>
      <c r="HP36" s="4">
        <v>1.3499999999999999E-5</v>
      </c>
      <c r="HQ36" s="4">
        <v>1.33E-5</v>
      </c>
      <c r="HR36" s="4">
        <v>1.31E-5</v>
      </c>
      <c r="HS36" s="4">
        <v>1.29E-5</v>
      </c>
      <c r="HT36" s="4">
        <v>1.2799999999999999E-5</v>
      </c>
      <c r="HU36" s="4">
        <v>1.26E-5</v>
      </c>
      <c r="HV36" s="4">
        <v>1.24E-5</v>
      </c>
      <c r="HW36" s="4">
        <v>1.2300000000000001E-5</v>
      </c>
      <c r="HX36" s="4">
        <v>1.2099999999999999E-5</v>
      </c>
      <c r="HY36" s="4">
        <v>1.19E-5</v>
      </c>
      <c r="HZ36" s="4">
        <v>1.1800000000000001E-5</v>
      </c>
      <c r="IA36" s="4">
        <v>1.1600000000000001E-5</v>
      </c>
      <c r="IB36" s="4">
        <v>1.1399999999999999E-5</v>
      </c>
      <c r="IC36" s="4">
        <v>1.13E-5</v>
      </c>
      <c r="ID36" s="4">
        <v>1.11E-5</v>
      </c>
      <c r="IE36" s="4">
        <v>1.1E-5</v>
      </c>
      <c r="IF36" s="4">
        <v>1.08E-5</v>
      </c>
      <c r="IG36" s="4">
        <v>7.5469999999999997E-4</v>
      </c>
      <c r="IH36" s="4"/>
      <c r="II36" s="4">
        <f t="shared" si="245"/>
        <v>0.11589628143128003</v>
      </c>
      <c r="IJ36">
        <f t="shared" si="246"/>
        <v>0.35899598749999978</v>
      </c>
      <c r="IN36" s="4"/>
      <c r="IO36" s="4"/>
      <c r="IP36" s="4"/>
      <c r="IQ36" s="4"/>
      <c r="IR36" s="4"/>
      <c r="IS36" s="4"/>
      <c r="IT36" s="4"/>
      <c r="IU36" s="4"/>
      <c r="IV36" s="4"/>
    </row>
    <row r="37" spans="1:256" x14ac:dyDescent="0.35">
      <c r="A37" s="1">
        <v>29</v>
      </c>
      <c r="B37" s="4">
        <v>1.0734799999999999E-2</v>
      </c>
      <c r="C37" s="4">
        <v>1.0734799999999999E-2</v>
      </c>
      <c r="D37" s="4">
        <v>1.0684600000000001E-2</v>
      </c>
      <c r="E37" s="4">
        <v>1.0511299999999999E-2</v>
      </c>
      <c r="F37" s="4">
        <v>9.8191000000000007E-3</v>
      </c>
      <c r="G37" s="4">
        <v>9.2020999999999995E-3</v>
      </c>
      <c r="H37" s="4">
        <v>8.6260999999999994E-3</v>
      </c>
      <c r="I37" s="4">
        <v>8.0274999999999999E-3</v>
      </c>
      <c r="J37" s="4">
        <v>7.4982E-3</v>
      </c>
      <c r="K37" s="4">
        <v>7.0144999999999999E-3</v>
      </c>
      <c r="L37" s="4">
        <v>6.5861000000000001E-3</v>
      </c>
      <c r="M37" s="4">
        <v>6.3299000000000003E-3</v>
      </c>
      <c r="N37" s="4">
        <v>5.9794000000000002E-3</v>
      </c>
      <c r="O37" s="4">
        <v>5.6665999999999999E-3</v>
      </c>
      <c r="P37" s="4">
        <v>5.3867999999999997E-3</v>
      </c>
      <c r="Q37" s="4">
        <v>5.1355999999999997E-3</v>
      </c>
      <c r="R37" s="4">
        <v>4.9091999999999998E-3</v>
      </c>
      <c r="S37" s="4">
        <v>4.7051999999999997E-3</v>
      </c>
      <c r="T37" s="4">
        <v>4.5193000000000004E-3</v>
      </c>
      <c r="U37" s="4">
        <v>4.3496999999999997E-3</v>
      </c>
      <c r="V37" s="4">
        <v>4.1944E-3</v>
      </c>
      <c r="W37" s="4">
        <v>4.0511999999999996E-3</v>
      </c>
      <c r="X37" s="4">
        <v>3.9205000000000004E-3</v>
      </c>
      <c r="Y37" s="4">
        <v>3.7938999999999998E-3</v>
      </c>
      <c r="Z37" s="4">
        <v>3.6702000000000002E-3</v>
      </c>
      <c r="AA37" s="4">
        <v>3.4840000000000001E-3</v>
      </c>
      <c r="AB37" s="4">
        <v>3.2720000000000002E-3</v>
      </c>
      <c r="AC37" s="4">
        <v>3.0303000000000001E-3</v>
      </c>
      <c r="AD37" s="4">
        <v>2.5617000000000001E-3</v>
      </c>
      <c r="AE37" s="4">
        <v>2.7848E-3</v>
      </c>
      <c r="AF37" s="4">
        <v>2.7328999999999999E-3</v>
      </c>
      <c r="AG37" s="4">
        <v>2.6832000000000002E-3</v>
      </c>
      <c r="AH37" s="4">
        <v>2.6408999999999998E-3</v>
      </c>
      <c r="AI37" s="4">
        <v>2.5988999999999999E-3</v>
      </c>
      <c r="AJ37" s="4">
        <v>2.5565000000000002E-3</v>
      </c>
      <c r="AK37" s="4">
        <v>2.5154000000000001E-3</v>
      </c>
      <c r="AL37" s="4">
        <v>2.4748999999999999E-3</v>
      </c>
      <c r="AM37" s="4">
        <v>2.4352000000000002E-3</v>
      </c>
      <c r="AN37" s="4">
        <v>2.3961999999999998E-3</v>
      </c>
      <c r="AO37" s="4">
        <v>2.3579999999999999E-3</v>
      </c>
      <c r="AP37" s="4">
        <v>2.3205000000000001E-3</v>
      </c>
      <c r="AQ37" s="4">
        <v>2.2839000000000002E-3</v>
      </c>
      <c r="AR37" s="4">
        <v>2.2480999999999998E-3</v>
      </c>
      <c r="AS37" s="4">
        <v>2.2131999999999998E-3</v>
      </c>
      <c r="AT37" s="4">
        <v>2.1789999999999999E-3</v>
      </c>
      <c r="AU37" s="4">
        <v>2.1456000000000001E-3</v>
      </c>
      <c r="AV37" s="4">
        <v>2.1129999999999999E-3</v>
      </c>
      <c r="AW37" s="4">
        <v>2.0810999999999998E-3</v>
      </c>
      <c r="AX37" s="4">
        <v>2.0500000000000002E-3</v>
      </c>
      <c r="AY37" s="4">
        <v>2.0195E-3</v>
      </c>
      <c r="AZ37" s="4">
        <v>1.9897000000000001E-3</v>
      </c>
      <c r="BA37" s="4">
        <v>1.9605E-3</v>
      </c>
      <c r="BB37" s="4">
        <v>1.9319999999999999E-3</v>
      </c>
      <c r="BC37" s="4">
        <v>1.9040000000000001E-3</v>
      </c>
      <c r="BD37" s="4">
        <v>1.8766E-3</v>
      </c>
      <c r="BE37" s="4">
        <v>1.8496999999999999E-3</v>
      </c>
      <c r="BF37" s="4">
        <v>1.8232999999999999E-3</v>
      </c>
      <c r="BG37" s="4">
        <v>1.7975000000000001E-3</v>
      </c>
      <c r="BH37" s="4">
        <v>1.7721E-3</v>
      </c>
      <c r="BI37" s="4">
        <v>1.7470999999999999E-3</v>
      </c>
      <c r="BJ37" s="4">
        <v>1.7225999999999999E-3</v>
      </c>
      <c r="BK37" s="4">
        <v>1.6984999999999999E-3</v>
      </c>
      <c r="BL37" s="4">
        <v>1.6747999999999999E-3</v>
      </c>
      <c r="BM37" s="4">
        <v>1.6516E-3</v>
      </c>
      <c r="BN37" s="4">
        <v>1.6286E-3</v>
      </c>
      <c r="BO37" s="4">
        <v>1.6061000000000001E-3</v>
      </c>
      <c r="BP37" s="4">
        <v>1.5839000000000001E-3</v>
      </c>
      <c r="BQ37" s="4">
        <v>1.562E-3</v>
      </c>
      <c r="BR37" s="4">
        <v>1.5405E-3</v>
      </c>
      <c r="BS37" s="4">
        <v>1.5192999999999999E-3</v>
      </c>
      <c r="BT37" s="4">
        <v>1.4984E-3</v>
      </c>
      <c r="BU37" s="4">
        <v>1.4778E-3</v>
      </c>
      <c r="BV37" s="4">
        <v>1.4575E-3</v>
      </c>
      <c r="BW37" s="4">
        <v>1.4373999999999999E-3</v>
      </c>
      <c r="BX37" s="4">
        <v>1.4177E-3</v>
      </c>
      <c r="BY37" s="4">
        <v>1.3982000000000001E-3</v>
      </c>
      <c r="BZ37" s="4">
        <v>1.379E-3</v>
      </c>
      <c r="CA37" s="4">
        <v>1.3600999999999999E-3</v>
      </c>
      <c r="CB37" s="4">
        <v>1.3414E-3</v>
      </c>
      <c r="CC37" s="4">
        <v>1.3228999999999999E-3</v>
      </c>
      <c r="CD37" s="4">
        <v>1.3047E-3</v>
      </c>
      <c r="CE37" s="4">
        <v>1.2868000000000001E-3</v>
      </c>
      <c r="CF37" s="4">
        <v>1.2689999999999999E-3</v>
      </c>
      <c r="CG37" s="4">
        <v>1.2516000000000001E-3</v>
      </c>
      <c r="CH37" s="4">
        <v>1.2343E-3</v>
      </c>
      <c r="CI37" s="4">
        <v>1.2172999999999999E-3</v>
      </c>
      <c r="CJ37" s="4">
        <v>1.2005E-3</v>
      </c>
      <c r="CK37" s="4">
        <v>1.1839000000000001E-3</v>
      </c>
      <c r="CL37" s="4">
        <v>1.1674999999999999E-3</v>
      </c>
      <c r="CM37" s="4">
        <v>1.1513999999999999E-3</v>
      </c>
      <c r="CN37" s="4">
        <v>1.1354E-3</v>
      </c>
      <c r="CO37" s="4">
        <v>1.1196999999999999E-3</v>
      </c>
      <c r="CP37" s="4">
        <v>1.1042000000000001E-3</v>
      </c>
      <c r="CQ37" s="4">
        <v>1.0888E-3</v>
      </c>
      <c r="CR37" s="4">
        <v>1.0736999999999999E-3</v>
      </c>
      <c r="CS37" s="4">
        <v>1.0587999999999999E-3</v>
      </c>
      <c r="CT37" s="4">
        <v>1.044E-3</v>
      </c>
      <c r="CU37" s="4">
        <v>1.0295E-3</v>
      </c>
      <c r="CV37" s="4">
        <v>1.0152E-3</v>
      </c>
      <c r="CW37" s="4">
        <v>1.0009999999999999E-3</v>
      </c>
      <c r="CX37" s="4">
        <v>9.8700000000000003E-4</v>
      </c>
      <c r="CY37" s="4">
        <v>9.7320000000000002E-4</v>
      </c>
      <c r="CZ37" s="4">
        <v>9.5960000000000001E-4</v>
      </c>
      <c r="DA37" s="4">
        <v>9.4620000000000001E-4</v>
      </c>
      <c r="DB37" s="4">
        <v>9.3300000000000002E-4</v>
      </c>
      <c r="DC37" s="4">
        <v>9.1989999999999997E-4</v>
      </c>
      <c r="DD37" s="4">
        <v>9.0700000000000004E-4</v>
      </c>
      <c r="DE37" s="4">
        <v>8.943E-4</v>
      </c>
      <c r="DF37" s="4">
        <v>8.8179999999999997E-4</v>
      </c>
      <c r="DG37" s="4">
        <v>8.6939999999999999E-4</v>
      </c>
      <c r="DH37" s="4">
        <v>8.5720000000000002E-4</v>
      </c>
      <c r="DI37" s="4">
        <v>8.451E-4</v>
      </c>
      <c r="DJ37" s="4">
        <v>8.3319999999999998E-4</v>
      </c>
      <c r="DK37" s="4">
        <v>8.2149999999999996E-4</v>
      </c>
      <c r="DL37" s="4">
        <v>8.0999999999999996E-4</v>
      </c>
      <c r="DM37" s="4">
        <v>7.986E-4</v>
      </c>
      <c r="DN37" s="4">
        <v>7.873E-4</v>
      </c>
      <c r="DO37" s="4">
        <v>7.762E-4</v>
      </c>
      <c r="DP37" s="4">
        <v>7.6530000000000001E-4</v>
      </c>
      <c r="DQ37" s="4">
        <v>5.3160600000000002E-2</v>
      </c>
      <c r="DR37" s="4">
        <v>0</v>
      </c>
      <c r="DS37" s="4">
        <v>5.02E-5</v>
      </c>
      <c r="DT37" s="4">
        <v>1.7330000000000001E-4</v>
      </c>
      <c r="DU37" s="4">
        <v>6.9240000000000002E-4</v>
      </c>
      <c r="DV37" s="4">
        <v>6.1729999999999999E-4</v>
      </c>
      <c r="DW37" s="4">
        <v>5.7660000000000003E-4</v>
      </c>
      <c r="DX37" s="4">
        <v>5.9920000000000004E-4</v>
      </c>
      <c r="DY37" s="4">
        <v>5.2999999999999998E-4</v>
      </c>
      <c r="DZ37" s="4">
        <v>4.8430000000000001E-4</v>
      </c>
      <c r="EA37" s="4">
        <v>4.2910000000000002E-4</v>
      </c>
      <c r="EB37" s="4">
        <v>3.8309999999999999E-4</v>
      </c>
      <c r="EC37" s="4">
        <v>3.5129999999999997E-4</v>
      </c>
      <c r="ED37" s="4">
        <v>3.1399999999999999E-4</v>
      </c>
      <c r="EE37" s="4">
        <v>2.8150000000000001E-4</v>
      </c>
      <c r="EF37" s="4">
        <v>2.5339999999999998E-4</v>
      </c>
      <c r="EG37" s="4">
        <v>2.2900000000000001E-4</v>
      </c>
      <c r="EH37" s="4">
        <v>2.0780000000000001E-4</v>
      </c>
      <c r="EI37" s="4">
        <v>1.894E-4</v>
      </c>
      <c r="EJ37" s="4">
        <v>1.7320000000000001E-4</v>
      </c>
      <c r="EK37" s="4">
        <v>1.5890000000000001E-4</v>
      </c>
      <c r="EL37" s="4">
        <v>1.4640000000000001E-4</v>
      </c>
      <c r="EM37" s="4">
        <v>1.3520000000000001E-4</v>
      </c>
      <c r="EN37" s="4">
        <v>1.2530000000000001E-4</v>
      </c>
      <c r="EO37" s="4">
        <v>1.164E-4</v>
      </c>
      <c r="EP37" s="4">
        <v>1.083E-4</v>
      </c>
      <c r="EQ37" s="4">
        <v>9.87E-5</v>
      </c>
      <c r="ER37" s="4">
        <v>8.9300000000000002E-5</v>
      </c>
      <c r="ES37" s="4">
        <v>8.0000000000000007E-5</v>
      </c>
      <c r="ET37" s="4">
        <v>6.5199999999999999E-5</v>
      </c>
      <c r="EU37" s="4">
        <v>7.0199999999999999E-5</v>
      </c>
      <c r="EV37" s="4">
        <v>6.6699999999999995E-5</v>
      </c>
      <c r="EW37" s="4">
        <v>6.3600000000000001E-5</v>
      </c>
      <c r="EX37" s="4">
        <v>6.0800000000000001E-5</v>
      </c>
      <c r="EY37" s="4">
        <v>5.8199999999999998E-5</v>
      </c>
      <c r="EZ37" s="4">
        <v>5.5699999999999999E-5</v>
      </c>
      <c r="FA37" s="4">
        <v>5.3399999999999997E-5</v>
      </c>
      <c r="FB37" s="4">
        <v>5.13E-5</v>
      </c>
      <c r="FC37" s="4">
        <v>4.9200000000000003E-5</v>
      </c>
      <c r="FD37" s="4">
        <v>4.7299999999999998E-5</v>
      </c>
      <c r="FE37" s="4">
        <v>4.5599999999999997E-5</v>
      </c>
      <c r="FF37" s="4">
        <v>4.3900000000000003E-5</v>
      </c>
      <c r="FG37" s="4">
        <v>4.2299999999999998E-5</v>
      </c>
      <c r="FH37" s="4">
        <v>4.0800000000000002E-5</v>
      </c>
      <c r="FI37" s="4">
        <v>3.9400000000000002E-5</v>
      </c>
      <c r="FJ37" s="4">
        <v>3.8099999999999998E-5</v>
      </c>
      <c r="FK37" s="4">
        <v>3.6900000000000002E-5</v>
      </c>
      <c r="FL37" s="4">
        <v>3.57E-5</v>
      </c>
      <c r="FM37" s="4">
        <v>3.4600000000000001E-5</v>
      </c>
      <c r="FN37" s="4">
        <v>3.3599999999999997E-5</v>
      </c>
      <c r="FO37" s="4">
        <v>3.2700000000000002E-5</v>
      </c>
      <c r="FP37" s="4">
        <v>3.18E-5</v>
      </c>
      <c r="FQ37" s="4">
        <v>3.0899999999999999E-5</v>
      </c>
      <c r="FR37" s="4">
        <v>3.01E-5</v>
      </c>
      <c r="FS37" s="4">
        <v>2.94E-5</v>
      </c>
      <c r="FT37" s="4">
        <v>2.87E-5</v>
      </c>
      <c r="FU37" s="4">
        <v>2.8E-5</v>
      </c>
      <c r="FV37" s="4">
        <v>2.7399999999999999E-5</v>
      </c>
      <c r="FW37" s="4">
        <v>2.6800000000000001E-5</v>
      </c>
      <c r="FX37" s="4">
        <v>2.62E-5</v>
      </c>
      <c r="FY37" s="4">
        <v>2.5700000000000001E-5</v>
      </c>
      <c r="FZ37" s="4">
        <v>2.5199999999999999E-5</v>
      </c>
      <c r="GA37" s="4">
        <v>2.4700000000000001E-5</v>
      </c>
      <c r="GB37" s="4">
        <v>2.4199999999999999E-5</v>
      </c>
      <c r="GC37" s="4">
        <v>2.3799999999999999E-5</v>
      </c>
      <c r="GD37" s="4">
        <v>2.3300000000000001E-5</v>
      </c>
      <c r="GE37" s="4">
        <v>2.2900000000000001E-5</v>
      </c>
      <c r="GF37" s="4">
        <v>2.2500000000000001E-5</v>
      </c>
      <c r="GG37" s="4">
        <v>2.2200000000000001E-5</v>
      </c>
      <c r="GH37" s="4">
        <v>2.1800000000000001E-5</v>
      </c>
      <c r="GI37" s="4">
        <v>2.1500000000000001E-5</v>
      </c>
      <c r="GJ37" s="4">
        <v>2.1100000000000001E-5</v>
      </c>
      <c r="GK37" s="4">
        <v>2.0800000000000001E-5</v>
      </c>
      <c r="GL37" s="4">
        <v>2.05E-5</v>
      </c>
      <c r="GM37" s="4">
        <v>2.02E-5</v>
      </c>
      <c r="GN37" s="4">
        <v>1.9899999999999999E-5</v>
      </c>
      <c r="GO37" s="4">
        <v>1.9599999999999999E-5</v>
      </c>
      <c r="GP37" s="4">
        <v>1.9300000000000002E-5</v>
      </c>
      <c r="GQ37" s="4">
        <v>1.9000000000000001E-5</v>
      </c>
      <c r="GR37" s="4">
        <v>1.8700000000000001E-5</v>
      </c>
      <c r="GS37" s="4">
        <v>1.8499999999999999E-5</v>
      </c>
      <c r="GT37" s="4">
        <v>1.8199999999999999E-5</v>
      </c>
      <c r="GU37" s="4">
        <v>1.8E-5</v>
      </c>
      <c r="GV37" s="4">
        <v>1.77E-5</v>
      </c>
      <c r="GW37" s="4">
        <v>1.7499999999999998E-5</v>
      </c>
      <c r="GX37" s="4">
        <v>1.7200000000000001E-5</v>
      </c>
      <c r="GY37" s="4">
        <v>1.7E-5</v>
      </c>
      <c r="GZ37" s="4">
        <v>1.6799999999999998E-5</v>
      </c>
      <c r="HA37" s="4">
        <v>1.6500000000000001E-5</v>
      </c>
      <c r="HB37" s="4">
        <v>1.63E-5</v>
      </c>
      <c r="HC37" s="4">
        <v>1.6099999999999998E-5</v>
      </c>
      <c r="HD37" s="4">
        <v>1.59E-5</v>
      </c>
      <c r="HE37" s="4">
        <v>1.5699999999999999E-5</v>
      </c>
      <c r="HF37" s="4">
        <v>1.5500000000000001E-5</v>
      </c>
      <c r="HG37" s="4">
        <v>1.52E-5</v>
      </c>
      <c r="HH37" s="4">
        <v>1.5E-5</v>
      </c>
      <c r="HI37" s="4">
        <v>1.4800000000000001E-5</v>
      </c>
      <c r="HJ37" s="4">
        <v>1.4600000000000001E-5</v>
      </c>
      <c r="HK37" s="4">
        <v>1.4399999999999999E-5</v>
      </c>
      <c r="HL37" s="4">
        <v>1.42E-5</v>
      </c>
      <c r="HM37" s="4">
        <v>1.4100000000000001E-5</v>
      </c>
      <c r="HN37" s="4">
        <v>1.3900000000000001E-5</v>
      </c>
      <c r="HO37" s="4">
        <v>1.3699999999999999E-5</v>
      </c>
      <c r="HP37" s="4">
        <v>1.3499999999999999E-5</v>
      </c>
      <c r="HQ37" s="4">
        <v>1.33E-5</v>
      </c>
      <c r="HR37" s="4">
        <v>1.31E-5</v>
      </c>
      <c r="HS37" s="4">
        <v>1.29E-5</v>
      </c>
      <c r="HT37" s="4">
        <v>1.2799999999999999E-5</v>
      </c>
      <c r="HU37" s="4">
        <v>1.26E-5</v>
      </c>
      <c r="HV37" s="4">
        <v>1.24E-5</v>
      </c>
      <c r="HW37" s="4">
        <v>1.2300000000000001E-5</v>
      </c>
      <c r="HX37" s="4">
        <v>1.2099999999999999E-5</v>
      </c>
      <c r="HY37" s="4">
        <v>1.19E-5</v>
      </c>
      <c r="HZ37" s="4">
        <v>1.1800000000000001E-5</v>
      </c>
      <c r="IA37" s="4">
        <v>1.1600000000000001E-5</v>
      </c>
      <c r="IB37" s="4">
        <v>1.1399999999999999E-5</v>
      </c>
      <c r="IC37" s="4">
        <v>1.13E-5</v>
      </c>
      <c r="ID37" s="4">
        <v>1.11E-5</v>
      </c>
      <c r="IE37" s="4">
        <v>1.1E-5</v>
      </c>
      <c r="IF37" s="4">
        <v>1.08E-5</v>
      </c>
      <c r="IG37" s="4">
        <v>7.5469999999999997E-4</v>
      </c>
      <c r="IH37" s="4"/>
      <c r="II37" s="4">
        <f t="shared" si="245"/>
        <v>0.11580597479874141</v>
      </c>
      <c r="IJ37">
        <f t="shared" si="246"/>
        <v>0.35901083749999951</v>
      </c>
      <c r="IN37" s="4"/>
      <c r="IO37" s="4"/>
      <c r="IP37" s="4"/>
      <c r="IQ37" s="4"/>
      <c r="IR37" s="4"/>
      <c r="IS37" s="4"/>
      <c r="IT37" s="4"/>
      <c r="IU37" s="4"/>
      <c r="IV37" s="4"/>
    </row>
    <row r="38" spans="1:256" x14ac:dyDescent="0.35">
      <c r="A38" s="1">
        <v>30</v>
      </c>
      <c r="B38" s="4">
        <v>1.0734799999999999E-2</v>
      </c>
      <c r="C38" s="4">
        <v>1.0734799999999999E-2</v>
      </c>
      <c r="D38" s="4">
        <v>1.0684600000000001E-2</v>
      </c>
      <c r="E38" s="4">
        <v>1.0511299999999999E-2</v>
      </c>
      <c r="F38" s="4">
        <v>9.8189000000000002E-3</v>
      </c>
      <c r="G38" s="4">
        <v>9.2017999999999996E-3</v>
      </c>
      <c r="H38" s="4">
        <v>8.6256000000000006E-3</v>
      </c>
      <c r="I38" s="4">
        <v>8.0268000000000006E-3</v>
      </c>
      <c r="J38" s="4">
        <v>7.4974999999999998E-3</v>
      </c>
      <c r="K38" s="4">
        <v>7.0139E-3</v>
      </c>
      <c r="L38" s="4">
        <v>6.5853999999999999E-3</v>
      </c>
      <c r="M38" s="4">
        <v>6.2030000000000002E-3</v>
      </c>
      <c r="N38" s="4">
        <v>5.9785999999999997E-3</v>
      </c>
      <c r="O38" s="4">
        <v>5.6652999999999998E-3</v>
      </c>
      <c r="P38" s="4">
        <v>5.3851000000000003E-3</v>
      </c>
      <c r="Q38" s="4">
        <v>5.1333999999999998E-3</v>
      </c>
      <c r="R38" s="4">
        <v>4.9065000000000003E-3</v>
      </c>
      <c r="S38" s="4">
        <v>4.7013000000000003E-3</v>
      </c>
      <c r="T38" s="4">
        <v>4.5158000000000004E-3</v>
      </c>
      <c r="U38" s="4">
        <v>4.3461000000000003E-3</v>
      </c>
      <c r="V38" s="4">
        <v>4.1907999999999997E-3</v>
      </c>
      <c r="W38" s="4">
        <v>4.0480999999999998E-3</v>
      </c>
      <c r="X38" s="4">
        <v>3.9160000000000002E-3</v>
      </c>
      <c r="Y38" s="4">
        <v>3.7951999999999999E-3</v>
      </c>
      <c r="Z38" s="4">
        <v>3.6776000000000001E-3</v>
      </c>
      <c r="AA38" s="4">
        <v>3.5620000000000001E-3</v>
      </c>
      <c r="AB38" s="4">
        <v>3.3852999999999999E-3</v>
      </c>
      <c r="AC38" s="4">
        <v>3.1828E-3</v>
      </c>
      <c r="AD38" s="4">
        <v>2.9502999999999999E-3</v>
      </c>
      <c r="AE38" s="4">
        <v>2.4965E-3</v>
      </c>
      <c r="AF38" s="4">
        <v>2.7144999999999999E-3</v>
      </c>
      <c r="AG38" s="4">
        <v>2.6662000000000001E-3</v>
      </c>
      <c r="AH38" s="4">
        <v>2.6196000000000001E-3</v>
      </c>
      <c r="AI38" s="4">
        <v>2.5801000000000001E-3</v>
      </c>
      <c r="AJ38" s="4">
        <v>2.5406999999999999E-3</v>
      </c>
      <c r="AK38" s="4">
        <v>2.5008000000000001E-3</v>
      </c>
      <c r="AL38" s="4">
        <v>2.4620000000000002E-3</v>
      </c>
      <c r="AM38" s="4">
        <v>2.4237E-3</v>
      </c>
      <c r="AN38" s="4">
        <v>2.3860000000000001E-3</v>
      </c>
      <c r="AO38" s="4">
        <v>2.3489000000000001E-3</v>
      </c>
      <c r="AP38" s="4">
        <v>2.3124E-3</v>
      </c>
      <c r="AQ38" s="4">
        <v>2.2767E-3</v>
      </c>
      <c r="AR38" s="4">
        <v>2.2415999999999998E-3</v>
      </c>
      <c r="AS38" s="4">
        <v>2.2073000000000001E-3</v>
      </c>
      <c r="AT38" s="4">
        <v>2.1738E-3</v>
      </c>
      <c r="AU38" s="4">
        <v>2.1408999999999998E-3</v>
      </c>
      <c r="AV38" s="4">
        <v>2.1088000000000001E-3</v>
      </c>
      <c r="AW38" s="4">
        <v>2.0772999999999998E-3</v>
      </c>
      <c r="AX38" s="4">
        <v>2.0465000000000001E-3</v>
      </c>
      <c r="AY38" s="4">
        <v>2.0163999999999998E-3</v>
      </c>
      <c r="AZ38" s="4">
        <v>1.9869000000000002E-3</v>
      </c>
      <c r="BA38" s="4">
        <v>1.9578999999999998E-3</v>
      </c>
      <c r="BB38" s="4">
        <v>1.9296000000000001E-3</v>
      </c>
      <c r="BC38" s="4">
        <v>1.9017999999999999E-3</v>
      </c>
      <c r="BD38" s="4">
        <v>1.8745999999999999E-3</v>
      </c>
      <c r="BE38" s="4">
        <v>1.8479E-3</v>
      </c>
      <c r="BF38" s="4">
        <v>1.8217000000000001E-3</v>
      </c>
      <c r="BG38" s="4">
        <v>1.7960000000000001E-3</v>
      </c>
      <c r="BH38" s="4">
        <v>1.7707000000000001E-3</v>
      </c>
      <c r="BI38" s="4">
        <v>1.7458E-3</v>
      </c>
      <c r="BJ38" s="4">
        <v>1.7214000000000001E-3</v>
      </c>
      <c r="BK38" s="4">
        <v>1.6974E-3</v>
      </c>
      <c r="BL38" s="4">
        <v>1.6738E-3</v>
      </c>
      <c r="BM38" s="4">
        <v>1.6505999999999999E-3</v>
      </c>
      <c r="BN38" s="4">
        <v>1.6278E-3</v>
      </c>
      <c r="BO38" s="4">
        <v>1.6053E-3</v>
      </c>
      <c r="BP38" s="4">
        <v>1.5831E-3</v>
      </c>
      <c r="BQ38" s="4">
        <v>1.5613000000000001E-3</v>
      </c>
      <c r="BR38" s="4">
        <v>1.5399000000000001E-3</v>
      </c>
      <c r="BS38" s="4">
        <v>1.5187E-3</v>
      </c>
      <c r="BT38" s="4">
        <v>1.4978000000000001E-3</v>
      </c>
      <c r="BU38" s="4">
        <v>1.4771999999999999E-3</v>
      </c>
      <c r="BV38" s="4">
        <v>1.457E-3</v>
      </c>
      <c r="BW38" s="4">
        <v>1.4369999999999999E-3</v>
      </c>
      <c r="BX38" s="4">
        <v>1.4173E-3</v>
      </c>
      <c r="BY38" s="4">
        <v>1.3978E-3</v>
      </c>
      <c r="BZ38" s="4">
        <v>1.3786E-3</v>
      </c>
      <c r="CA38" s="4">
        <v>1.3596999999999999E-3</v>
      </c>
      <c r="CB38" s="4">
        <v>1.341E-3</v>
      </c>
      <c r="CC38" s="4">
        <v>1.3225999999999999E-3</v>
      </c>
      <c r="CD38" s="4">
        <v>1.3044E-3</v>
      </c>
      <c r="CE38" s="4">
        <v>1.2865000000000001E-3</v>
      </c>
      <c r="CF38" s="4">
        <v>1.2688E-3</v>
      </c>
      <c r="CG38" s="4">
        <v>1.2512999999999999E-3</v>
      </c>
      <c r="CH38" s="4">
        <v>1.2340999999999999E-3</v>
      </c>
      <c r="CI38" s="4">
        <v>1.2171E-3</v>
      </c>
      <c r="CJ38" s="4">
        <v>1.2003000000000001E-3</v>
      </c>
      <c r="CK38" s="4">
        <v>1.1837E-3</v>
      </c>
      <c r="CL38" s="4">
        <v>1.1673E-3</v>
      </c>
      <c r="CM38" s="4">
        <v>1.1512E-3</v>
      </c>
      <c r="CN38" s="4">
        <v>1.1352999999999999E-3</v>
      </c>
      <c r="CO38" s="4">
        <v>1.1195000000000001E-3</v>
      </c>
      <c r="CP38" s="4">
        <v>1.1039999999999999E-3</v>
      </c>
      <c r="CQ38" s="4">
        <v>1.0887E-3</v>
      </c>
      <c r="CR38" s="4">
        <v>1.0736000000000001E-3</v>
      </c>
      <c r="CS38" s="4">
        <v>1.0587000000000001E-3</v>
      </c>
      <c r="CT38" s="4">
        <v>1.0438999999999999E-3</v>
      </c>
      <c r="CU38" s="4">
        <v>1.0294E-3</v>
      </c>
      <c r="CV38" s="4">
        <v>1.0150999999999999E-3</v>
      </c>
      <c r="CW38" s="4">
        <v>1.0009000000000001E-3</v>
      </c>
      <c r="CX38" s="4">
        <v>9.8689999999999997E-4</v>
      </c>
      <c r="CY38" s="4">
        <v>9.7320000000000002E-4</v>
      </c>
      <c r="CZ38" s="4">
        <v>9.5960000000000001E-4</v>
      </c>
      <c r="DA38" s="4">
        <v>9.4609999999999996E-4</v>
      </c>
      <c r="DB38" s="4">
        <v>9.3289999999999996E-4</v>
      </c>
      <c r="DC38" s="4">
        <v>9.1980000000000002E-4</v>
      </c>
      <c r="DD38" s="4">
        <v>9.0700000000000004E-4</v>
      </c>
      <c r="DE38" s="4">
        <v>8.9420000000000005E-4</v>
      </c>
      <c r="DF38" s="4">
        <v>8.8170000000000002E-4</v>
      </c>
      <c r="DG38" s="4">
        <v>8.6930000000000004E-4</v>
      </c>
      <c r="DH38" s="4">
        <v>8.5709999999999996E-4</v>
      </c>
      <c r="DI38" s="4">
        <v>8.451E-4</v>
      </c>
      <c r="DJ38" s="4">
        <v>8.3319999999999998E-4</v>
      </c>
      <c r="DK38" s="4">
        <v>8.2149999999999996E-4</v>
      </c>
      <c r="DL38" s="4">
        <v>8.0990000000000001E-4</v>
      </c>
      <c r="DM38" s="4">
        <v>7.9849999999999995E-4</v>
      </c>
      <c r="DN38" s="4">
        <v>7.873E-4</v>
      </c>
      <c r="DO38" s="4">
        <v>7.762E-4</v>
      </c>
      <c r="DP38" s="4">
        <v>7.6519999999999995E-4</v>
      </c>
      <c r="DQ38" s="4">
        <v>5.3160399999999997E-2</v>
      </c>
      <c r="DR38" s="4">
        <v>0</v>
      </c>
      <c r="DS38" s="4">
        <v>5.02E-5</v>
      </c>
      <c r="DT38" s="4">
        <v>1.7340000000000001E-4</v>
      </c>
      <c r="DU38" s="4">
        <v>6.9260000000000003E-4</v>
      </c>
      <c r="DV38" s="4">
        <v>6.1749999999999999E-4</v>
      </c>
      <c r="DW38" s="4">
        <v>5.7669999999999998E-4</v>
      </c>
      <c r="DX38" s="4">
        <v>5.9920000000000004E-4</v>
      </c>
      <c r="DY38" s="4">
        <v>5.2999999999999998E-4</v>
      </c>
      <c r="DZ38" s="4">
        <v>4.8430000000000001E-4</v>
      </c>
      <c r="EA38" s="4">
        <v>4.2910000000000002E-4</v>
      </c>
      <c r="EB38" s="4">
        <v>3.8319999999999999E-4</v>
      </c>
      <c r="EC38" s="4">
        <v>3.414E-4</v>
      </c>
      <c r="ED38" s="4">
        <v>3.1409999999999999E-4</v>
      </c>
      <c r="EE38" s="4">
        <v>2.8150000000000001E-4</v>
      </c>
      <c r="EF38" s="4">
        <v>2.5339999999999998E-4</v>
      </c>
      <c r="EG38" s="4">
        <v>2.2900000000000001E-4</v>
      </c>
      <c r="EH38" s="4">
        <v>2.0780000000000001E-4</v>
      </c>
      <c r="EI38" s="4">
        <v>1.8929999999999999E-4</v>
      </c>
      <c r="EJ38" s="4">
        <v>1.7310000000000001E-4</v>
      </c>
      <c r="EK38" s="4">
        <v>1.5890000000000001E-4</v>
      </c>
      <c r="EL38" s="4">
        <v>1.4630000000000001E-4</v>
      </c>
      <c r="EM38" s="4">
        <v>1.351E-4</v>
      </c>
      <c r="EN38" s="4">
        <v>1.2520000000000001E-4</v>
      </c>
      <c r="EO38" s="4">
        <v>1.164E-4</v>
      </c>
      <c r="EP38" s="4">
        <v>1.0840000000000001E-4</v>
      </c>
      <c r="EQ38" s="4">
        <v>1.0119999999999999E-4</v>
      </c>
      <c r="ER38" s="4">
        <v>9.2499999999999999E-5</v>
      </c>
      <c r="ES38" s="4">
        <v>8.3900000000000006E-5</v>
      </c>
      <c r="ET38" s="4">
        <v>7.5400000000000003E-5</v>
      </c>
      <c r="EU38" s="4">
        <v>6.1600000000000007E-5</v>
      </c>
      <c r="EV38" s="4">
        <v>6.6400000000000001E-5</v>
      </c>
      <c r="EW38" s="4">
        <v>6.3200000000000005E-5</v>
      </c>
      <c r="EX38" s="4">
        <v>6.0300000000000002E-5</v>
      </c>
      <c r="EY38" s="4">
        <v>5.7800000000000002E-5</v>
      </c>
      <c r="EZ38" s="4">
        <v>5.5399999999999998E-5</v>
      </c>
      <c r="FA38" s="4">
        <v>5.3100000000000003E-5</v>
      </c>
      <c r="FB38" s="4">
        <v>5.1E-5</v>
      </c>
      <c r="FC38" s="4">
        <v>4.8999999999999998E-5</v>
      </c>
      <c r="FD38" s="4">
        <v>4.71E-5</v>
      </c>
      <c r="FE38" s="4">
        <v>4.5399999999999999E-5</v>
      </c>
      <c r="FF38" s="4">
        <v>4.3699999999999998E-5</v>
      </c>
      <c r="FG38" s="4">
        <v>4.21E-5</v>
      </c>
      <c r="FH38" s="4">
        <v>4.07E-5</v>
      </c>
      <c r="FI38" s="4">
        <v>3.93E-5</v>
      </c>
      <c r="FJ38" s="4">
        <v>3.8000000000000002E-5</v>
      </c>
      <c r="FK38" s="4">
        <v>3.68E-5</v>
      </c>
      <c r="FL38" s="4">
        <v>3.5599999999999998E-5</v>
      </c>
      <c r="FM38" s="4">
        <v>3.4600000000000001E-5</v>
      </c>
      <c r="FN38" s="4">
        <v>3.3599999999999997E-5</v>
      </c>
      <c r="FO38" s="4">
        <v>3.26E-5</v>
      </c>
      <c r="FP38" s="4">
        <v>3.1699999999999998E-5</v>
      </c>
      <c r="FQ38" s="4">
        <v>3.0899999999999999E-5</v>
      </c>
      <c r="FR38" s="4">
        <v>3.01E-5</v>
      </c>
      <c r="FS38" s="4">
        <v>2.9300000000000001E-5</v>
      </c>
      <c r="FT38" s="4">
        <v>2.8600000000000001E-5</v>
      </c>
      <c r="FU38" s="4">
        <v>2.8E-5</v>
      </c>
      <c r="FV38" s="4">
        <v>2.73E-5</v>
      </c>
      <c r="FW38" s="4">
        <v>2.6800000000000001E-5</v>
      </c>
      <c r="FX38" s="4">
        <v>2.62E-5</v>
      </c>
      <c r="FY38" s="4">
        <v>2.5700000000000001E-5</v>
      </c>
      <c r="FZ38" s="4">
        <v>2.51E-5</v>
      </c>
      <c r="GA38" s="4">
        <v>2.4700000000000001E-5</v>
      </c>
      <c r="GB38" s="4">
        <v>2.4199999999999999E-5</v>
      </c>
      <c r="GC38" s="4">
        <v>2.3799999999999999E-5</v>
      </c>
      <c r="GD38" s="4">
        <v>2.3300000000000001E-5</v>
      </c>
      <c r="GE38" s="4">
        <v>2.2900000000000001E-5</v>
      </c>
      <c r="GF38" s="4">
        <v>2.2500000000000001E-5</v>
      </c>
      <c r="GG38" s="4">
        <v>2.2200000000000001E-5</v>
      </c>
      <c r="GH38" s="4">
        <v>2.1800000000000001E-5</v>
      </c>
      <c r="GI38" s="4">
        <v>2.1399999999999998E-5</v>
      </c>
      <c r="GJ38" s="4">
        <v>2.1100000000000001E-5</v>
      </c>
      <c r="GK38" s="4">
        <v>2.0800000000000001E-5</v>
      </c>
      <c r="GL38" s="4">
        <v>2.05E-5</v>
      </c>
      <c r="GM38" s="4">
        <v>2.02E-5</v>
      </c>
      <c r="GN38" s="4">
        <v>1.9899999999999999E-5</v>
      </c>
      <c r="GO38" s="4">
        <v>1.9599999999999999E-5</v>
      </c>
      <c r="GP38" s="4">
        <v>1.9300000000000002E-5</v>
      </c>
      <c r="GQ38" s="4">
        <v>1.9000000000000001E-5</v>
      </c>
      <c r="GR38" s="4">
        <v>1.8700000000000001E-5</v>
      </c>
      <c r="GS38" s="4">
        <v>1.8499999999999999E-5</v>
      </c>
      <c r="GT38" s="4">
        <v>1.8199999999999999E-5</v>
      </c>
      <c r="GU38" s="4">
        <v>1.8E-5</v>
      </c>
      <c r="GV38" s="4">
        <v>1.77E-5</v>
      </c>
      <c r="GW38" s="4">
        <v>1.7499999999999998E-5</v>
      </c>
      <c r="GX38" s="4">
        <v>1.7200000000000001E-5</v>
      </c>
      <c r="GY38" s="4">
        <v>1.7E-5</v>
      </c>
      <c r="GZ38" s="4">
        <v>1.6799999999999998E-5</v>
      </c>
      <c r="HA38" s="4">
        <v>1.6500000000000001E-5</v>
      </c>
      <c r="HB38" s="4">
        <v>1.63E-5</v>
      </c>
      <c r="HC38" s="4">
        <v>1.6099999999999998E-5</v>
      </c>
      <c r="HD38" s="4">
        <v>1.59E-5</v>
      </c>
      <c r="HE38" s="4">
        <v>1.5699999999999999E-5</v>
      </c>
      <c r="HF38" s="4">
        <v>1.5500000000000001E-5</v>
      </c>
      <c r="HG38" s="4">
        <v>1.52E-5</v>
      </c>
      <c r="HH38" s="4">
        <v>1.5E-5</v>
      </c>
      <c r="HI38" s="4">
        <v>1.4800000000000001E-5</v>
      </c>
      <c r="HJ38" s="4">
        <v>1.4600000000000001E-5</v>
      </c>
      <c r="HK38" s="4">
        <v>1.4399999999999999E-5</v>
      </c>
      <c r="HL38" s="4">
        <v>1.42E-5</v>
      </c>
      <c r="HM38" s="4">
        <v>1.4100000000000001E-5</v>
      </c>
      <c r="HN38" s="4">
        <v>1.3900000000000001E-5</v>
      </c>
      <c r="HO38" s="4">
        <v>1.3699999999999999E-5</v>
      </c>
      <c r="HP38" s="4">
        <v>1.3499999999999999E-5</v>
      </c>
      <c r="HQ38" s="4">
        <v>1.33E-5</v>
      </c>
      <c r="HR38" s="4">
        <v>1.31E-5</v>
      </c>
      <c r="HS38" s="4">
        <v>1.29E-5</v>
      </c>
      <c r="HT38" s="4">
        <v>1.2799999999999999E-5</v>
      </c>
      <c r="HU38" s="4">
        <v>1.26E-5</v>
      </c>
      <c r="HV38" s="4">
        <v>1.24E-5</v>
      </c>
      <c r="HW38" s="4">
        <v>1.2300000000000001E-5</v>
      </c>
      <c r="HX38" s="4">
        <v>1.2099999999999999E-5</v>
      </c>
      <c r="HY38" s="4">
        <v>1.19E-5</v>
      </c>
      <c r="HZ38" s="4">
        <v>1.1800000000000001E-5</v>
      </c>
      <c r="IA38" s="4">
        <v>1.1600000000000001E-5</v>
      </c>
      <c r="IB38" s="4">
        <v>1.1399999999999999E-5</v>
      </c>
      <c r="IC38" s="4">
        <v>1.13E-5</v>
      </c>
      <c r="ID38" s="4">
        <v>1.11E-5</v>
      </c>
      <c r="IE38" s="4">
        <v>1.1E-5</v>
      </c>
      <c r="IF38" s="4">
        <v>1.08E-5</v>
      </c>
      <c r="IG38" s="4">
        <v>7.5469999999999997E-4</v>
      </c>
      <c r="IH38" s="4"/>
      <c r="II38" s="4">
        <f t="shared" si="245"/>
        <v>0.11573089873452326</v>
      </c>
      <c r="IJ38">
        <f t="shared" si="246"/>
        <v>0.35904067499999992</v>
      </c>
      <c r="IN38" s="4"/>
      <c r="IO38" s="4"/>
      <c r="IP38" s="4"/>
      <c r="IQ38" s="4"/>
      <c r="IR38" s="4"/>
      <c r="IS38" s="4"/>
      <c r="IT38" s="4"/>
      <c r="IU38" s="4"/>
      <c r="IV38" s="4"/>
    </row>
    <row r="39" spans="1:256" x14ac:dyDescent="0.35">
      <c r="A39" s="1">
        <v>31</v>
      </c>
      <c r="B39" s="4">
        <v>1.0734799999999999E-2</v>
      </c>
      <c r="C39" s="4">
        <v>1.0734799999999999E-2</v>
      </c>
      <c r="D39" s="4">
        <v>1.0684600000000001E-2</v>
      </c>
      <c r="E39" s="4">
        <v>1.05112E-2</v>
      </c>
      <c r="F39" s="4">
        <v>9.8186999999999997E-3</v>
      </c>
      <c r="G39" s="4">
        <v>9.2014000000000002E-3</v>
      </c>
      <c r="H39" s="4">
        <v>8.6251000000000001E-3</v>
      </c>
      <c r="I39" s="4">
        <v>8.0263000000000001E-3</v>
      </c>
      <c r="J39" s="4">
        <v>7.4968999999999999E-3</v>
      </c>
      <c r="K39" s="4">
        <v>7.0131999999999998E-3</v>
      </c>
      <c r="L39" s="4">
        <v>6.5848E-3</v>
      </c>
      <c r="M39" s="4">
        <v>6.2021999999999997E-3</v>
      </c>
      <c r="N39" s="4">
        <v>5.8615999999999998E-3</v>
      </c>
      <c r="O39" s="4">
        <v>5.6645999999999997E-3</v>
      </c>
      <c r="P39" s="4">
        <v>5.3838999999999996E-3</v>
      </c>
      <c r="Q39" s="4">
        <v>5.1317000000000003E-3</v>
      </c>
      <c r="R39" s="4">
        <v>4.9043999999999997E-3</v>
      </c>
      <c r="S39" s="4">
        <v>4.6987000000000001E-3</v>
      </c>
      <c r="T39" s="4">
        <v>4.5120000000000004E-3</v>
      </c>
      <c r="U39" s="4">
        <v>4.3426000000000003E-3</v>
      </c>
      <c r="V39" s="4">
        <v>4.1872000000000003E-3</v>
      </c>
      <c r="W39" s="4">
        <v>4.0445000000000004E-3</v>
      </c>
      <c r="X39" s="4">
        <v>3.9129000000000004E-3</v>
      </c>
      <c r="Y39" s="4">
        <v>3.7908E-3</v>
      </c>
      <c r="Z39" s="4">
        <v>3.6787999999999999E-3</v>
      </c>
      <c r="AA39" s="4">
        <v>3.5691E-3</v>
      </c>
      <c r="AB39" s="4">
        <v>3.4608E-3</v>
      </c>
      <c r="AC39" s="4">
        <v>3.2927999999999998E-3</v>
      </c>
      <c r="AD39" s="4">
        <v>3.0988999999999999E-3</v>
      </c>
      <c r="AE39" s="4">
        <v>2.8749000000000001E-3</v>
      </c>
      <c r="AF39" s="4">
        <v>2.4348999999999998E-3</v>
      </c>
      <c r="AG39" s="4">
        <v>2.6481999999999999E-3</v>
      </c>
      <c r="AH39" s="4">
        <v>2.6029E-3</v>
      </c>
      <c r="AI39" s="4">
        <v>2.5593E-3</v>
      </c>
      <c r="AJ39" s="4">
        <v>2.5224000000000002E-3</v>
      </c>
      <c r="AK39" s="4">
        <v>2.4853000000000002E-3</v>
      </c>
      <c r="AL39" s="4">
        <v>2.4475999999999999E-3</v>
      </c>
      <c r="AM39" s="4">
        <v>2.4109999999999999E-3</v>
      </c>
      <c r="AN39" s="4">
        <v>2.3747E-3</v>
      </c>
      <c r="AO39" s="4">
        <v>2.3387999999999998E-3</v>
      </c>
      <c r="AP39" s="4">
        <v>2.3035E-3</v>
      </c>
      <c r="AQ39" s="4">
        <v>2.2686999999999998E-3</v>
      </c>
      <c r="AR39" s="4">
        <v>2.2344999999999999E-3</v>
      </c>
      <c r="AS39" s="4">
        <v>2.2009999999999998E-3</v>
      </c>
      <c r="AT39" s="4">
        <v>2.1679999999999998E-3</v>
      </c>
      <c r="AU39" s="4">
        <v>2.1358000000000002E-3</v>
      </c>
      <c r="AV39" s="4">
        <v>2.1040999999999998E-3</v>
      </c>
      <c r="AW39" s="4">
        <v>2.0731E-3</v>
      </c>
      <c r="AX39" s="4">
        <v>2.0427000000000002E-3</v>
      </c>
      <c r="AY39" s="4">
        <v>2.013E-3</v>
      </c>
      <c r="AZ39" s="4">
        <v>1.9838E-3</v>
      </c>
      <c r="BA39" s="4">
        <v>1.9551E-3</v>
      </c>
      <c r="BB39" s="4">
        <v>1.9271E-3</v>
      </c>
      <c r="BC39" s="4">
        <v>1.8994999999999999E-3</v>
      </c>
      <c r="BD39" s="4">
        <v>1.8725E-3</v>
      </c>
      <c r="BE39" s="4">
        <v>1.846E-3</v>
      </c>
      <c r="BF39" s="4">
        <v>1.8198999999999999E-3</v>
      </c>
      <c r="BG39" s="4">
        <v>1.7943E-3</v>
      </c>
      <c r="BH39" s="4">
        <v>1.7692000000000001E-3</v>
      </c>
      <c r="BI39" s="4">
        <v>1.7445E-3</v>
      </c>
      <c r="BJ39" s="4">
        <v>1.7202000000000001E-3</v>
      </c>
      <c r="BK39" s="4">
        <v>1.6963E-3</v>
      </c>
      <c r="BL39" s="4">
        <v>1.6727999999999999E-3</v>
      </c>
      <c r="BM39" s="4">
        <v>1.6497E-3</v>
      </c>
      <c r="BN39" s="4">
        <v>1.6268999999999999E-3</v>
      </c>
      <c r="BO39" s="4">
        <v>1.6045E-3</v>
      </c>
      <c r="BP39" s="4">
        <v>1.5824000000000001E-3</v>
      </c>
      <c r="BQ39" s="4">
        <v>1.5606000000000001E-3</v>
      </c>
      <c r="BR39" s="4">
        <v>1.5391999999999999E-3</v>
      </c>
      <c r="BS39" s="4">
        <v>1.5181000000000001E-3</v>
      </c>
      <c r="BT39" s="4">
        <v>1.4972E-3</v>
      </c>
      <c r="BU39" s="4">
        <v>1.4767000000000001E-3</v>
      </c>
      <c r="BV39" s="4">
        <v>1.4564999999999999E-3</v>
      </c>
      <c r="BW39" s="4">
        <v>1.4365000000000001E-3</v>
      </c>
      <c r="BX39" s="4">
        <v>1.4168E-3</v>
      </c>
      <c r="BY39" s="4">
        <v>1.3974E-3</v>
      </c>
      <c r="BZ39" s="4">
        <v>1.3782E-3</v>
      </c>
      <c r="CA39" s="4">
        <v>1.3592999999999999E-3</v>
      </c>
      <c r="CB39" s="4">
        <v>1.3407E-3</v>
      </c>
      <c r="CC39" s="4">
        <v>1.3223E-3</v>
      </c>
      <c r="CD39" s="4">
        <v>1.3041000000000001E-3</v>
      </c>
      <c r="CE39" s="4">
        <v>1.2861999999999999E-3</v>
      </c>
      <c r="CF39" s="4">
        <v>1.2685000000000001E-3</v>
      </c>
      <c r="CG39" s="4">
        <v>1.2511E-3</v>
      </c>
      <c r="CH39" s="4">
        <v>1.2339E-3</v>
      </c>
      <c r="CI39" s="4">
        <v>1.2168999999999999E-3</v>
      </c>
      <c r="CJ39" s="4">
        <v>1.2001E-3</v>
      </c>
      <c r="CK39" s="4">
        <v>1.1835000000000001E-3</v>
      </c>
      <c r="CL39" s="4">
        <v>1.1672E-3</v>
      </c>
      <c r="CM39" s="4">
        <v>1.1509999999999999E-3</v>
      </c>
      <c r="CN39" s="4">
        <v>1.1351E-3</v>
      </c>
      <c r="CO39" s="4">
        <v>1.1194E-3</v>
      </c>
      <c r="CP39" s="4">
        <v>1.1039000000000001E-3</v>
      </c>
      <c r="CQ39" s="4">
        <v>1.0885999999999999E-3</v>
      </c>
      <c r="CR39" s="4">
        <v>1.0735E-3</v>
      </c>
      <c r="CS39" s="4">
        <v>1.0585E-3</v>
      </c>
      <c r="CT39" s="4">
        <v>1.0437999999999999E-3</v>
      </c>
      <c r="CU39" s="4">
        <v>1.0292999999999999E-3</v>
      </c>
      <c r="CV39" s="4">
        <v>1.0150000000000001E-3</v>
      </c>
      <c r="CW39" s="4">
        <v>1.0008E-3</v>
      </c>
      <c r="CX39" s="4">
        <v>9.8689999999999997E-4</v>
      </c>
      <c r="CY39" s="4">
        <v>9.7309999999999996E-4</v>
      </c>
      <c r="CZ39" s="4">
        <v>9.5949999999999996E-4</v>
      </c>
      <c r="DA39" s="4">
        <v>9.4609999999999996E-4</v>
      </c>
      <c r="DB39" s="4">
        <v>9.3280000000000001E-4</v>
      </c>
      <c r="DC39" s="4">
        <v>9.1980000000000002E-4</v>
      </c>
      <c r="DD39" s="4">
        <v>9.0689999999999998E-4</v>
      </c>
      <c r="DE39" s="4">
        <v>8.9420000000000005E-4</v>
      </c>
      <c r="DF39" s="4">
        <v>8.8170000000000002E-4</v>
      </c>
      <c r="DG39" s="4">
        <v>8.6930000000000004E-4</v>
      </c>
      <c r="DH39" s="4">
        <v>8.5709999999999996E-4</v>
      </c>
      <c r="DI39" s="4">
        <v>8.4500000000000005E-4</v>
      </c>
      <c r="DJ39" s="4">
        <v>8.3319999999999998E-4</v>
      </c>
      <c r="DK39" s="4">
        <v>8.2140000000000002E-4</v>
      </c>
      <c r="DL39" s="4">
        <v>8.0990000000000001E-4</v>
      </c>
      <c r="DM39" s="4">
        <v>7.9849999999999995E-4</v>
      </c>
      <c r="DN39" s="4">
        <v>7.8720000000000005E-4</v>
      </c>
      <c r="DO39" s="4">
        <v>7.762E-4</v>
      </c>
      <c r="DP39" s="4">
        <v>7.6519999999999995E-4</v>
      </c>
      <c r="DQ39" s="4">
        <v>5.3160100000000002E-2</v>
      </c>
      <c r="DR39" s="4">
        <v>0</v>
      </c>
      <c r="DS39" s="4">
        <v>5.02E-5</v>
      </c>
      <c r="DT39" s="4">
        <v>1.7340000000000001E-4</v>
      </c>
      <c r="DU39" s="4">
        <v>6.9269999999999998E-4</v>
      </c>
      <c r="DV39" s="4">
        <v>6.1760000000000005E-4</v>
      </c>
      <c r="DW39" s="4">
        <v>5.7689999999999998E-4</v>
      </c>
      <c r="DX39" s="4">
        <v>5.9940000000000004E-4</v>
      </c>
      <c r="DY39" s="4">
        <v>5.3030000000000004E-4</v>
      </c>
      <c r="DZ39" s="4">
        <v>4.8460000000000002E-4</v>
      </c>
      <c r="EA39" s="4">
        <v>4.2939999999999997E-4</v>
      </c>
      <c r="EB39" s="4">
        <v>3.834E-4</v>
      </c>
      <c r="EC39" s="4">
        <v>3.4150000000000001E-4</v>
      </c>
      <c r="ED39" s="4">
        <v>3.056E-4</v>
      </c>
      <c r="EE39" s="4">
        <v>2.8160000000000001E-4</v>
      </c>
      <c r="EF39" s="4">
        <v>2.5349999999999998E-4</v>
      </c>
      <c r="EG39" s="4">
        <v>2.2910000000000001E-4</v>
      </c>
      <c r="EH39" s="4">
        <v>2.0780000000000001E-4</v>
      </c>
      <c r="EI39" s="4">
        <v>1.8929999999999999E-4</v>
      </c>
      <c r="EJ39" s="4">
        <v>1.7310000000000001E-4</v>
      </c>
      <c r="EK39" s="4">
        <v>1.5880000000000001E-4</v>
      </c>
      <c r="EL39" s="4">
        <v>1.462E-4</v>
      </c>
      <c r="EM39" s="4">
        <v>1.351E-4</v>
      </c>
      <c r="EN39" s="4">
        <v>1.2510000000000001E-4</v>
      </c>
      <c r="EO39" s="4">
        <v>1.1629999999999999E-4</v>
      </c>
      <c r="EP39" s="4">
        <v>1.0849999999999999E-4</v>
      </c>
      <c r="EQ39" s="4">
        <v>1.013E-4</v>
      </c>
      <c r="ER39" s="4">
        <v>9.48E-5</v>
      </c>
      <c r="ES39" s="4">
        <v>8.6899999999999998E-5</v>
      </c>
      <c r="ET39" s="4">
        <v>7.9099999999999998E-5</v>
      </c>
      <c r="EU39" s="4">
        <v>7.1199999999999996E-5</v>
      </c>
      <c r="EV39" s="4">
        <v>5.8300000000000001E-5</v>
      </c>
      <c r="EW39" s="4">
        <v>6.2799999999999995E-5</v>
      </c>
      <c r="EX39" s="4">
        <v>6.0000000000000002E-5</v>
      </c>
      <c r="EY39" s="4">
        <v>5.7299999999999997E-5</v>
      </c>
      <c r="EZ39" s="4">
        <v>5.5000000000000002E-5</v>
      </c>
      <c r="FA39" s="4">
        <v>5.2800000000000003E-5</v>
      </c>
      <c r="FB39" s="4">
        <v>5.0699999999999999E-5</v>
      </c>
      <c r="FC39" s="4">
        <v>4.88E-5</v>
      </c>
      <c r="FD39" s="4">
        <v>4.6900000000000002E-5</v>
      </c>
      <c r="FE39" s="4">
        <v>4.5200000000000001E-5</v>
      </c>
      <c r="FF39" s="4">
        <v>4.35E-5</v>
      </c>
      <c r="FG39" s="4">
        <v>4.1999999999999998E-5</v>
      </c>
      <c r="FH39" s="4">
        <v>4.0500000000000002E-5</v>
      </c>
      <c r="FI39" s="4">
        <v>3.9199999999999997E-5</v>
      </c>
      <c r="FJ39" s="4">
        <v>3.79E-5</v>
      </c>
      <c r="FK39" s="4">
        <v>3.6699999999999998E-5</v>
      </c>
      <c r="FL39" s="4">
        <v>3.5599999999999998E-5</v>
      </c>
      <c r="FM39" s="4">
        <v>3.4499999999999998E-5</v>
      </c>
      <c r="FN39" s="4">
        <v>3.3500000000000001E-5</v>
      </c>
      <c r="FO39" s="4">
        <v>3.2499999999999997E-5</v>
      </c>
      <c r="FP39" s="4">
        <v>3.1699999999999998E-5</v>
      </c>
      <c r="FQ39" s="4">
        <v>3.0800000000000003E-5</v>
      </c>
      <c r="FR39" s="4">
        <v>3.0000000000000001E-5</v>
      </c>
      <c r="FS39" s="4">
        <v>2.9300000000000001E-5</v>
      </c>
      <c r="FT39" s="4">
        <v>2.8600000000000001E-5</v>
      </c>
      <c r="FU39" s="4">
        <v>2.7900000000000001E-5</v>
      </c>
      <c r="FV39" s="4">
        <v>2.73E-5</v>
      </c>
      <c r="FW39" s="4">
        <v>2.6699999999999998E-5</v>
      </c>
      <c r="FX39" s="4">
        <v>2.62E-5</v>
      </c>
      <c r="FY39" s="4">
        <v>2.5599999999999999E-5</v>
      </c>
      <c r="FZ39" s="4">
        <v>2.51E-5</v>
      </c>
      <c r="GA39" s="4">
        <v>2.4600000000000002E-5</v>
      </c>
      <c r="GB39" s="4">
        <v>2.4199999999999999E-5</v>
      </c>
      <c r="GC39" s="4">
        <v>2.37E-5</v>
      </c>
      <c r="GD39" s="4">
        <v>2.3300000000000001E-5</v>
      </c>
      <c r="GE39" s="4">
        <v>2.2900000000000001E-5</v>
      </c>
      <c r="GF39" s="4">
        <v>2.2500000000000001E-5</v>
      </c>
      <c r="GG39" s="4">
        <v>2.2099999999999998E-5</v>
      </c>
      <c r="GH39" s="4">
        <v>2.1800000000000001E-5</v>
      </c>
      <c r="GI39" s="4">
        <v>2.1399999999999998E-5</v>
      </c>
      <c r="GJ39" s="4">
        <v>2.1100000000000001E-5</v>
      </c>
      <c r="GK39" s="4">
        <v>2.0800000000000001E-5</v>
      </c>
      <c r="GL39" s="4">
        <v>2.05E-5</v>
      </c>
      <c r="GM39" s="4">
        <v>2.02E-5</v>
      </c>
      <c r="GN39" s="4">
        <v>1.9899999999999999E-5</v>
      </c>
      <c r="GO39" s="4">
        <v>1.9599999999999999E-5</v>
      </c>
      <c r="GP39" s="4">
        <v>1.9300000000000002E-5</v>
      </c>
      <c r="GQ39" s="4">
        <v>1.9000000000000001E-5</v>
      </c>
      <c r="GR39" s="4">
        <v>1.8700000000000001E-5</v>
      </c>
      <c r="GS39" s="4">
        <v>1.8499999999999999E-5</v>
      </c>
      <c r="GT39" s="4">
        <v>1.8199999999999999E-5</v>
      </c>
      <c r="GU39" s="4">
        <v>1.8E-5</v>
      </c>
      <c r="GV39" s="4">
        <v>1.77E-5</v>
      </c>
      <c r="GW39" s="4">
        <v>1.7499999999999998E-5</v>
      </c>
      <c r="GX39" s="4">
        <v>1.7200000000000001E-5</v>
      </c>
      <c r="GY39" s="4">
        <v>1.7E-5</v>
      </c>
      <c r="GZ39" s="4">
        <v>1.6799999999999998E-5</v>
      </c>
      <c r="HA39" s="4">
        <v>1.6500000000000001E-5</v>
      </c>
      <c r="HB39" s="4">
        <v>1.63E-5</v>
      </c>
      <c r="HC39" s="4">
        <v>1.6099999999999998E-5</v>
      </c>
      <c r="HD39" s="4">
        <v>1.59E-5</v>
      </c>
      <c r="HE39" s="4">
        <v>1.5699999999999999E-5</v>
      </c>
      <c r="HF39" s="4">
        <v>1.5400000000000002E-5</v>
      </c>
      <c r="HG39" s="4">
        <v>1.52E-5</v>
      </c>
      <c r="HH39" s="4">
        <v>1.5E-5</v>
      </c>
      <c r="HI39" s="4">
        <v>1.4800000000000001E-5</v>
      </c>
      <c r="HJ39" s="4">
        <v>1.4600000000000001E-5</v>
      </c>
      <c r="HK39" s="4">
        <v>1.4399999999999999E-5</v>
      </c>
      <c r="HL39" s="4">
        <v>1.42E-5</v>
      </c>
      <c r="HM39" s="4">
        <v>1.4E-5</v>
      </c>
      <c r="HN39" s="4">
        <v>1.3900000000000001E-5</v>
      </c>
      <c r="HO39" s="4">
        <v>1.3699999999999999E-5</v>
      </c>
      <c r="HP39" s="4">
        <v>1.3499999999999999E-5</v>
      </c>
      <c r="HQ39" s="4">
        <v>1.33E-5</v>
      </c>
      <c r="HR39" s="4">
        <v>1.31E-5</v>
      </c>
      <c r="HS39" s="4">
        <v>1.29E-5</v>
      </c>
      <c r="HT39" s="4">
        <v>1.2799999999999999E-5</v>
      </c>
      <c r="HU39" s="4">
        <v>1.26E-5</v>
      </c>
      <c r="HV39" s="4">
        <v>1.24E-5</v>
      </c>
      <c r="HW39" s="4">
        <v>1.2300000000000001E-5</v>
      </c>
      <c r="HX39" s="4">
        <v>1.2099999999999999E-5</v>
      </c>
      <c r="HY39" s="4">
        <v>1.19E-5</v>
      </c>
      <c r="HZ39" s="4">
        <v>1.1800000000000001E-5</v>
      </c>
      <c r="IA39" s="4">
        <v>1.1600000000000001E-5</v>
      </c>
      <c r="IB39" s="4">
        <v>1.1399999999999999E-5</v>
      </c>
      <c r="IC39" s="4">
        <v>1.13E-5</v>
      </c>
      <c r="ID39" s="4">
        <v>1.11E-5</v>
      </c>
      <c r="IE39" s="4">
        <v>1.1E-5</v>
      </c>
      <c r="IF39" s="4">
        <v>1.08E-5</v>
      </c>
      <c r="IG39" s="4">
        <v>7.5469999999999997E-4</v>
      </c>
      <c r="IH39" s="4"/>
      <c r="II39" s="4">
        <f t="shared" si="245"/>
        <v>0.11568128995326747</v>
      </c>
      <c r="IJ39">
        <f t="shared" si="246"/>
        <v>0.35907967499999993</v>
      </c>
      <c r="IN39" s="4"/>
      <c r="IO39" s="4"/>
      <c r="IP39" s="4"/>
      <c r="IQ39" s="4"/>
      <c r="IR39" s="4"/>
      <c r="IS39" s="4"/>
      <c r="IT39" s="4"/>
      <c r="IU39" s="4"/>
      <c r="IV39" s="4"/>
    </row>
    <row r="40" spans="1:256" x14ac:dyDescent="0.35">
      <c r="A40" s="1">
        <v>32</v>
      </c>
      <c r="B40" s="4">
        <v>1.0734799999999999E-2</v>
      </c>
      <c r="C40" s="4">
        <v>1.0734799999999999E-2</v>
      </c>
      <c r="D40" s="4">
        <v>1.0684600000000001E-2</v>
      </c>
      <c r="E40" s="4">
        <v>1.05112E-2</v>
      </c>
      <c r="F40" s="4">
        <v>9.8185000000000008E-3</v>
      </c>
      <c r="G40" s="4">
        <v>9.2011000000000003E-3</v>
      </c>
      <c r="H40" s="4">
        <v>8.6245000000000002E-3</v>
      </c>
      <c r="I40" s="4">
        <v>8.0257000000000002E-3</v>
      </c>
      <c r="J40" s="4">
        <v>7.4960000000000001E-3</v>
      </c>
      <c r="K40" s="4">
        <v>7.0121999999999997E-3</v>
      </c>
      <c r="L40" s="4">
        <v>6.5837999999999999E-3</v>
      </c>
      <c r="M40" s="4">
        <v>6.2012999999999999E-3</v>
      </c>
      <c r="N40" s="4">
        <v>5.8606999999999999E-3</v>
      </c>
      <c r="O40" s="4">
        <v>5.5560000000000002E-3</v>
      </c>
      <c r="P40" s="4">
        <v>5.3829999999999998E-3</v>
      </c>
      <c r="Q40" s="4">
        <v>5.1303E-3</v>
      </c>
      <c r="R40" s="4">
        <v>4.9026E-3</v>
      </c>
      <c r="S40" s="4">
        <v>4.6965000000000002E-3</v>
      </c>
      <c r="T40" s="4">
        <v>4.5094000000000002E-3</v>
      </c>
      <c r="U40" s="4">
        <v>4.339E-3</v>
      </c>
      <c r="V40" s="4">
        <v>4.1837999999999997E-3</v>
      </c>
      <c r="W40" s="4">
        <v>4.0409E-3</v>
      </c>
      <c r="X40" s="4">
        <v>3.9094000000000004E-3</v>
      </c>
      <c r="Y40" s="4">
        <v>3.7878E-3</v>
      </c>
      <c r="Z40" s="4">
        <v>3.6744999999999998E-3</v>
      </c>
      <c r="AA40" s="4">
        <v>3.5703000000000002E-3</v>
      </c>
      <c r="AB40" s="4">
        <v>3.4678E-3</v>
      </c>
      <c r="AC40" s="4">
        <v>3.3660000000000001E-3</v>
      </c>
      <c r="AD40" s="4">
        <v>3.2058999999999998E-3</v>
      </c>
      <c r="AE40" s="4">
        <v>3.0198E-3</v>
      </c>
      <c r="AF40" s="4">
        <v>2.8037000000000001E-3</v>
      </c>
      <c r="AG40" s="4">
        <v>2.3765000000000001E-3</v>
      </c>
      <c r="AH40" s="4">
        <v>2.5853999999999999E-3</v>
      </c>
      <c r="AI40" s="4">
        <v>2.5430000000000001E-3</v>
      </c>
      <c r="AJ40" s="4">
        <v>2.5019999999999999E-3</v>
      </c>
      <c r="AK40" s="4">
        <v>2.4673E-3</v>
      </c>
      <c r="AL40" s="4">
        <v>2.4325000000000002E-3</v>
      </c>
      <c r="AM40" s="4">
        <v>2.3969E-3</v>
      </c>
      <c r="AN40" s="4">
        <v>2.3622000000000001E-3</v>
      </c>
      <c r="AO40" s="4">
        <v>2.3276999999999998E-3</v>
      </c>
      <c r="AP40" s="4">
        <v>2.2937000000000001E-3</v>
      </c>
      <c r="AQ40" s="4">
        <v>2.2599E-3</v>
      </c>
      <c r="AR40" s="4">
        <v>2.2266999999999999E-3</v>
      </c>
      <c r="AS40" s="4">
        <v>2.1940000000000002E-3</v>
      </c>
      <c r="AT40" s="4">
        <v>2.1618000000000002E-3</v>
      </c>
      <c r="AU40" s="4">
        <v>2.1300999999999998E-3</v>
      </c>
      <c r="AV40" s="4">
        <v>2.0991E-3</v>
      </c>
      <c r="AW40" s="4">
        <v>2.0685999999999999E-3</v>
      </c>
      <c r="AX40" s="4">
        <v>2.0385999999999998E-3</v>
      </c>
      <c r="AY40" s="4">
        <v>2.0092E-3</v>
      </c>
      <c r="AZ40" s="4">
        <v>1.9804000000000002E-3</v>
      </c>
      <c r="BA40" s="4">
        <v>1.9521E-3</v>
      </c>
      <c r="BB40" s="4">
        <v>1.9243000000000001E-3</v>
      </c>
      <c r="BC40" s="4">
        <v>1.897E-3</v>
      </c>
      <c r="BD40" s="4">
        <v>1.8702E-3</v>
      </c>
      <c r="BE40" s="4">
        <v>1.8439000000000001E-3</v>
      </c>
      <c r="BF40" s="4">
        <v>1.818E-3</v>
      </c>
      <c r="BG40" s="4">
        <v>1.7926000000000001E-3</v>
      </c>
      <c r="BH40" s="4">
        <v>1.7676E-3</v>
      </c>
      <c r="BI40" s="4">
        <v>1.743E-3</v>
      </c>
      <c r="BJ40" s="4">
        <v>1.7189E-3</v>
      </c>
      <c r="BK40" s="4">
        <v>1.6950999999999999E-3</v>
      </c>
      <c r="BL40" s="4">
        <v>1.6716999999999999E-3</v>
      </c>
      <c r="BM40" s="4">
        <v>1.6486000000000001E-3</v>
      </c>
      <c r="BN40" s="4">
        <v>1.6259E-3</v>
      </c>
      <c r="BO40" s="4">
        <v>1.6035999999999999E-3</v>
      </c>
      <c r="BP40" s="4">
        <v>1.5815E-3</v>
      </c>
      <c r="BQ40" s="4">
        <v>1.5598999999999999E-3</v>
      </c>
      <c r="BR40" s="4">
        <v>1.5384999999999999E-3</v>
      </c>
      <c r="BS40" s="4">
        <v>1.5173999999999999E-3</v>
      </c>
      <c r="BT40" s="4">
        <v>1.4966000000000001E-3</v>
      </c>
      <c r="BU40" s="4">
        <v>1.4760999999999999E-3</v>
      </c>
      <c r="BV40" s="4">
        <v>1.4559E-3</v>
      </c>
      <c r="BW40" s="4">
        <v>1.436E-3</v>
      </c>
      <c r="BX40" s="4">
        <v>1.4162999999999999E-3</v>
      </c>
      <c r="BY40" s="4">
        <v>1.397E-3</v>
      </c>
      <c r="BZ40" s="4">
        <v>1.3778E-3</v>
      </c>
      <c r="CA40" s="4">
        <v>1.359E-3</v>
      </c>
      <c r="CB40" s="4">
        <v>1.3403E-3</v>
      </c>
      <c r="CC40" s="4">
        <v>1.322E-3</v>
      </c>
      <c r="CD40" s="4">
        <v>1.3037999999999999E-3</v>
      </c>
      <c r="CE40" s="4">
        <v>1.2859E-3</v>
      </c>
      <c r="CF40" s="4">
        <v>1.2683E-3</v>
      </c>
      <c r="CG40" s="4">
        <v>1.2508E-3</v>
      </c>
      <c r="CH40" s="4">
        <v>1.2336000000000001E-3</v>
      </c>
      <c r="CI40" s="4">
        <v>1.2166E-3</v>
      </c>
      <c r="CJ40" s="4">
        <v>1.1999000000000001E-3</v>
      </c>
      <c r="CK40" s="4">
        <v>1.1833E-3</v>
      </c>
      <c r="CL40" s="4">
        <v>1.1670000000000001E-3</v>
      </c>
      <c r="CM40" s="4">
        <v>1.1509000000000001E-3</v>
      </c>
      <c r="CN40" s="4">
        <v>1.1349000000000001E-3</v>
      </c>
      <c r="CO40" s="4">
        <v>1.1192000000000001E-3</v>
      </c>
      <c r="CP40" s="4">
        <v>1.1037E-3</v>
      </c>
      <c r="CQ40" s="4">
        <v>1.0884E-3</v>
      </c>
      <c r="CR40" s="4">
        <v>1.0732999999999999E-3</v>
      </c>
      <c r="CS40" s="4">
        <v>1.0583999999999999E-3</v>
      </c>
      <c r="CT40" s="4">
        <v>1.0437000000000001E-3</v>
      </c>
      <c r="CU40" s="4">
        <v>1.0292000000000001E-3</v>
      </c>
      <c r="CV40" s="4">
        <v>1.0149E-3</v>
      </c>
      <c r="CW40" s="4">
        <v>1.0007E-3</v>
      </c>
      <c r="CX40" s="4">
        <v>9.8679999999999992E-4</v>
      </c>
      <c r="CY40" s="4">
        <v>9.7300000000000002E-4</v>
      </c>
      <c r="CZ40" s="4">
        <v>9.5940000000000001E-4</v>
      </c>
      <c r="DA40" s="4">
        <v>9.4600000000000001E-4</v>
      </c>
      <c r="DB40" s="4">
        <v>9.3280000000000001E-4</v>
      </c>
      <c r="DC40" s="4">
        <v>9.1969999999999997E-4</v>
      </c>
      <c r="DD40" s="4">
        <v>9.0680000000000003E-4</v>
      </c>
      <c r="DE40" s="4">
        <v>8.9409999999999999E-4</v>
      </c>
      <c r="DF40" s="4">
        <v>8.8159999999999996E-4</v>
      </c>
      <c r="DG40" s="4">
        <v>8.6919999999999999E-4</v>
      </c>
      <c r="DH40" s="4">
        <v>8.5700000000000001E-4</v>
      </c>
      <c r="DI40" s="4">
        <v>8.4500000000000005E-4</v>
      </c>
      <c r="DJ40" s="4">
        <v>8.3310000000000003E-4</v>
      </c>
      <c r="DK40" s="4">
        <v>8.2140000000000002E-4</v>
      </c>
      <c r="DL40" s="4">
        <v>8.0990000000000001E-4</v>
      </c>
      <c r="DM40" s="4">
        <v>7.9849999999999995E-4</v>
      </c>
      <c r="DN40" s="4">
        <v>7.8720000000000005E-4</v>
      </c>
      <c r="DO40" s="4">
        <v>7.7610000000000005E-4</v>
      </c>
      <c r="DP40" s="4">
        <v>7.6519999999999995E-4</v>
      </c>
      <c r="DQ40" s="4">
        <v>5.3159699999999997E-2</v>
      </c>
      <c r="DR40" s="4">
        <v>0</v>
      </c>
      <c r="DS40" s="4">
        <v>5.02E-5</v>
      </c>
      <c r="DT40" s="4">
        <v>1.7349999999999999E-4</v>
      </c>
      <c r="DU40" s="4">
        <v>6.9280000000000003E-4</v>
      </c>
      <c r="DV40" s="4">
        <v>6.1779999999999995E-4</v>
      </c>
      <c r="DW40" s="4">
        <v>5.7709999999999999E-4</v>
      </c>
      <c r="DX40" s="4">
        <v>5.9960000000000005E-4</v>
      </c>
      <c r="DY40" s="4">
        <v>5.3039999999999999E-4</v>
      </c>
      <c r="DZ40" s="4">
        <v>4.8470000000000002E-4</v>
      </c>
      <c r="EA40" s="4">
        <v>4.2939999999999997E-4</v>
      </c>
      <c r="EB40" s="4">
        <v>3.835E-4</v>
      </c>
      <c r="EC40" s="4">
        <v>3.4160000000000001E-4</v>
      </c>
      <c r="ED40" s="4">
        <v>3.057E-4</v>
      </c>
      <c r="EE40" s="4">
        <v>2.743E-4</v>
      </c>
      <c r="EF40" s="4">
        <v>2.5359999999999998E-4</v>
      </c>
      <c r="EG40" s="4">
        <v>2.2910000000000001E-4</v>
      </c>
      <c r="EH40" s="4">
        <v>2.0790000000000001E-4</v>
      </c>
      <c r="EI40" s="4">
        <v>1.8929999999999999E-4</v>
      </c>
      <c r="EJ40" s="4">
        <v>1.7310000000000001E-4</v>
      </c>
      <c r="EK40" s="4">
        <v>1.5880000000000001E-4</v>
      </c>
      <c r="EL40" s="4">
        <v>1.462E-4</v>
      </c>
      <c r="EM40" s="4">
        <v>1.35E-4</v>
      </c>
      <c r="EN40" s="4">
        <v>1.2510000000000001E-4</v>
      </c>
      <c r="EO40" s="4">
        <v>1.1629999999999999E-4</v>
      </c>
      <c r="EP40" s="4">
        <v>1.0840000000000001E-4</v>
      </c>
      <c r="EQ40" s="4">
        <v>1.014E-4</v>
      </c>
      <c r="ER40" s="4">
        <v>9.5000000000000005E-5</v>
      </c>
      <c r="ES40" s="4">
        <v>8.9099999999999997E-5</v>
      </c>
      <c r="ET40" s="4">
        <v>8.1899999999999999E-5</v>
      </c>
      <c r="EU40" s="4">
        <v>7.47E-5</v>
      </c>
      <c r="EV40" s="4">
        <v>6.7399999999999998E-5</v>
      </c>
      <c r="EW40" s="4">
        <v>5.5300000000000002E-5</v>
      </c>
      <c r="EX40" s="4">
        <v>5.9599999999999999E-5</v>
      </c>
      <c r="EY40" s="4">
        <v>5.7000000000000003E-5</v>
      </c>
      <c r="EZ40" s="4">
        <v>5.4599999999999999E-5</v>
      </c>
      <c r="FA40" s="4">
        <v>5.2500000000000002E-5</v>
      </c>
      <c r="FB40" s="4">
        <v>5.0399999999999999E-5</v>
      </c>
      <c r="FC40" s="4">
        <v>4.85E-5</v>
      </c>
      <c r="FD40" s="4">
        <v>4.6699999999999997E-5</v>
      </c>
      <c r="FE40" s="4">
        <v>4.5000000000000003E-5</v>
      </c>
      <c r="FF40" s="4">
        <v>4.3399999999999998E-5</v>
      </c>
      <c r="FG40" s="4">
        <v>4.1900000000000002E-5</v>
      </c>
      <c r="FH40" s="4">
        <v>4.0399999999999999E-5</v>
      </c>
      <c r="FI40" s="4">
        <v>3.9100000000000002E-5</v>
      </c>
      <c r="FJ40" s="4">
        <v>3.7799999999999997E-5</v>
      </c>
      <c r="FK40" s="4">
        <v>3.6600000000000002E-5</v>
      </c>
      <c r="FL40" s="4">
        <v>3.5500000000000002E-5</v>
      </c>
      <c r="FM40" s="4">
        <v>3.4400000000000003E-5</v>
      </c>
      <c r="FN40" s="4">
        <v>3.3399999999999999E-5</v>
      </c>
      <c r="FO40" s="4">
        <v>3.2499999999999997E-5</v>
      </c>
      <c r="FP40" s="4">
        <v>3.1600000000000002E-5</v>
      </c>
      <c r="FQ40" s="4">
        <v>3.0800000000000003E-5</v>
      </c>
      <c r="FR40" s="4">
        <v>3.0000000000000001E-5</v>
      </c>
      <c r="FS40" s="4">
        <v>2.9300000000000001E-5</v>
      </c>
      <c r="FT40" s="4">
        <v>2.8600000000000001E-5</v>
      </c>
      <c r="FU40" s="4">
        <v>2.7900000000000001E-5</v>
      </c>
      <c r="FV40" s="4">
        <v>2.73E-5</v>
      </c>
      <c r="FW40" s="4">
        <v>2.6699999999999998E-5</v>
      </c>
      <c r="FX40" s="4">
        <v>2.6100000000000001E-5</v>
      </c>
      <c r="FY40" s="4">
        <v>2.5599999999999999E-5</v>
      </c>
      <c r="FZ40" s="4">
        <v>2.51E-5</v>
      </c>
      <c r="GA40" s="4">
        <v>2.4600000000000002E-5</v>
      </c>
      <c r="GB40" s="4">
        <v>2.4199999999999999E-5</v>
      </c>
      <c r="GC40" s="4">
        <v>2.37E-5</v>
      </c>
      <c r="GD40" s="4">
        <v>2.3300000000000001E-5</v>
      </c>
      <c r="GE40" s="4">
        <v>2.2900000000000001E-5</v>
      </c>
      <c r="GF40" s="4">
        <v>2.2500000000000001E-5</v>
      </c>
      <c r="GG40" s="4">
        <v>2.2099999999999998E-5</v>
      </c>
      <c r="GH40" s="4">
        <v>2.1800000000000001E-5</v>
      </c>
      <c r="GI40" s="4">
        <v>2.1399999999999998E-5</v>
      </c>
      <c r="GJ40" s="4">
        <v>2.1100000000000001E-5</v>
      </c>
      <c r="GK40" s="4">
        <v>2.0800000000000001E-5</v>
      </c>
      <c r="GL40" s="4">
        <v>2.05E-5</v>
      </c>
      <c r="GM40" s="4">
        <v>2.0100000000000001E-5</v>
      </c>
      <c r="GN40" s="4">
        <v>1.9899999999999999E-5</v>
      </c>
      <c r="GO40" s="4">
        <v>1.9599999999999999E-5</v>
      </c>
      <c r="GP40" s="4">
        <v>1.9300000000000002E-5</v>
      </c>
      <c r="GQ40" s="4">
        <v>1.9000000000000001E-5</v>
      </c>
      <c r="GR40" s="4">
        <v>1.8700000000000001E-5</v>
      </c>
      <c r="GS40" s="4">
        <v>1.8499999999999999E-5</v>
      </c>
      <c r="GT40" s="4">
        <v>1.8199999999999999E-5</v>
      </c>
      <c r="GU40" s="4">
        <v>1.8E-5</v>
      </c>
      <c r="GV40" s="4">
        <v>1.77E-5</v>
      </c>
      <c r="GW40" s="4">
        <v>1.7499999999999998E-5</v>
      </c>
      <c r="GX40" s="4">
        <v>1.7200000000000001E-5</v>
      </c>
      <c r="GY40" s="4">
        <v>1.7E-5</v>
      </c>
      <c r="GZ40" s="4">
        <v>1.6799999999999998E-5</v>
      </c>
      <c r="HA40" s="4">
        <v>1.6500000000000001E-5</v>
      </c>
      <c r="HB40" s="4">
        <v>1.63E-5</v>
      </c>
      <c r="HC40" s="4">
        <v>1.6099999999999998E-5</v>
      </c>
      <c r="HD40" s="4">
        <v>1.59E-5</v>
      </c>
      <c r="HE40" s="4">
        <v>1.5699999999999999E-5</v>
      </c>
      <c r="HF40" s="4">
        <v>1.5400000000000002E-5</v>
      </c>
      <c r="HG40" s="4">
        <v>1.52E-5</v>
      </c>
      <c r="HH40" s="4">
        <v>1.5E-5</v>
      </c>
      <c r="HI40" s="4">
        <v>1.4800000000000001E-5</v>
      </c>
      <c r="HJ40" s="4">
        <v>1.4600000000000001E-5</v>
      </c>
      <c r="HK40" s="4">
        <v>1.4399999999999999E-5</v>
      </c>
      <c r="HL40" s="4">
        <v>1.42E-5</v>
      </c>
      <c r="HM40" s="4">
        <v>1.4E-5</v>
      </c>
      <c r="HN40" s="4">
        <v>1.3900000000000001E-5</v>
      </c>
      <c r="HO40" s="4">
        <v>1.3699999999999999E-5</v>
      </c>
      <c r="HP40" s="4">
        <v>1.3499999999999999E-5</v>
      </c>
      <c r="HQ40" s="4">
        <v>1.33E-5</v>
      </c>
      <c r="HR40" s="4">
        <v>1.31E-5</v>
      </c>
      <c r="HS40" s="4">
        <v>1.29E-5</v>
      </c>
      <c r="HT40" s="4">
        <v>1.2799999999999999E-5</v>
      </c>
      <c r="HU40" s="4">
        <v>1.26E-5</v>
      </c>
      <c r="HV40" s="4">
        <v>1.24E-5</v>
      </c>
      <c r="HW40" s="4">
        <v>1.2300000000000001E-5</v>
      </c>
      <c r="HX40" s="4">
        <v>1.2099999999999999E-5</v>
      </c>
      <c r="HY40" s="4">
        <v>1.19E-5</v>
      </c>
      <c r="HZ40" s="4">
        <v>1.1800000000000001E-5</v>
      </c>
      <c r="IA40" s="4">
        <v>1.1600000000000001E-5</v>
      </c>
      <c r="IB40" s="4">
        <v>1.1399999999999999E-5</v>
      </c>
      <c r="IC40" s="4">
        <v>1.13E-5</v>
      </c>
      <c r="ID40" s="4">
        <v>1.11E-5</v>
      </c>
      <c r="IE40" s="4">
        <v>1.1E-5</v>
      </c>
      <c r="IF40" s="4">
        <v>1.08E-5</v>
      </c>
      <c r="IG40" s="4">
        <v>7.5469999999999997E-4</v>
      </c>
      <c r="IH40" s="4"/>
      <c r="II40" s="4">
        <f t="shared" si="245"/>
        <v>0.11563852168382396</v>
      </c>
      <c r="IJ40">
        <f t="shared" si="246"/>
        <v>0.35912513750000014</v>
      </c>
      <c r="IN40" s="4"/>
      <c r="IO40" s="4"/>
      <c r="IP40" s="4"/>
      <c r="IQ40" s="4"/>
      <c r="IR40" s="4"/>
      <c r="IS40" s="4"/>
      <c r="IT40" s="4"/>
      <c r="IU40" s="4"/>
      <c r="IV40" s="4"/>
    </row>
    <row r="41" spans="1:256" x14ac:dyDescent="0.35">
      <c r="A41" s="1">
        <v>33</v>
      </c>
      <c r="B41" s="4">
        <v>1.0734799999999999E-2</v>
      </c>
      <c r="C41" s="4">
        <v>1.0734799999999999E-2</v>
      </c>
      <c r="D41" s="4">
        <v>1.0684600000000001E-2</v>
      </c>
      <c r="E41" s="4">
        <v>1.0511100000000001E-2</v>
      </c>
      <c r="F41" s="4">
        <v>9.8183999999999997E-3</v>
      </c>
      <c r="G41" s="4">
        <v>9.2006999999999992E-3</v>
      </c>
      <c r="H41" s="4">
        <v>8.6239999999999997E-3</v>
      </c>
      <c r="I41" s="4">
        <v>8.0249999999999991E-3</v>
      </c>
      <c r="J41" s="4">
        <v>7.4951999999999996E-3</v>
      </c>
      <c r="K41" s="4">
        <v>7.0112999999999998E-3</v>
      </c>
      <c r="L41" s="4">
        <v>6.5827999999999998E-3</v>
      </c>
      <c r="M41" s="4">
        <v>6.2002999999999997E-3</v>
      </c>
      <c r="N41" s="4">
        <v>5.8598000000000001E-3</v>
      </c>
      <c r="O41" s="4">
        <v>5.555E-3</v>
      </c>
      <c r="P41" s="4">
        <v>5.2817000000000003E-3</v>
      </c>
      <c r="Q41" s="4">
        <v>5.1294000000000001E-3</v>
      </c>
      <c r="R41" s="4">
        <v>4.9011999999999997E-3</v>
      </c>
      <c r="S41" s="4">
        <v>4.6946999999999996E-3</v>
      </c>
      <c r="T41" s="4">
        <v>4.5072000000000003E-3</v>
      </c>
      <c r="U41" s="4">
        <v>4.3363999999999998E-3</v>
      </c>
      <c r="V41" s="4">
        <v>4.1802000000000002E-3</v>
      </c>
      <c r="W41" s="4">
        <v>4.0375999999999997E-3</v>
      </c>
      <c r="X41" s="4">
        <v>3.9058999999999999E-3</v>
      </c>
      <c r="Y41" s="4">
        <v>3.7843E-3</v>
      </c>
      <c r="Z41" s="4">
        <v>3.6714999999999999E-3</v>
      </c>
      <c r="AA41" s="4">
        <v>3.5661E-3</v>
      </c>
      <c r="AB41" s="4">
        <v>3.4689E-3</v>
      </c>
      <c r="AC41" s="4">
        <v>3.3728999999999999E-3</v>
      </c>
      <c r="AD41" s="4">
        <v>3.277E-3</v>
      </c>
      <c r="AE41" s="4">
        <v>3.124E-3</v>
      </c>
      <c r="AF41" s="4">
        <v>2.9451999999999998E-3</v>
      </c>
      <c r="AG41" s="4">
        <v>2.7363999999999999E-3</v>
      </c>
      <c r="AH41" s="4">
        <v>2.3211999999999998E-3</v>
      </c>
      <c r="AI41" s="4">
        <v>2.5257000000000001E-3</v>
      </c>
      <c r="AJ41" s="4">
        <v>2.4859999999999999E-3</v>
      </c>
      <c r="AK41" s="4">
        <v>2.4474000000000002E-3</v>
      </c>
      <c r="AL41" s="4">
        <v>2.4149000000000002E-3</v>
      </c>
      <c r="AM41" s="4">
        <v>2.3820999999999998E-3</v>
      </c>
      <c r="AN41" s="4">
        <v>2.3484000000000001E-3</v>
      </c>
      <c r="AO41" s="4">
        <v>2.3154999999999999E-3</v>
      </c>
      <c r="AP41" s="4">
        <v>2.2828000000000002E-3</v>
      </c>
      <c r="AQ41" s="4">
        <v>2.2503000000000002E-3</v>
      </c>
      <c r="AR41" s="4">
        <v>2.2181000000000002E-3</v>
      </c>
      <c r="AS41" s="4">
        <v>2.1863E-3</v>
      </c>
      <c r="AT41" s="4">
        <v>2.1549E-3</v>
      </c>
      <c r="AU41" s="4">
        <v>2.124E-3</v>
      </c>
      <c r="AV41" s="4">
        <v>2.0934999999999999E-3</v>
      </c>
      <c r="AW41" s="4">
        <v>2.0636000000000001E-3</v>
      </c>
      <c r="AX41" s="4">
        <v>2.0341000000000001E-3</v>
      </c>
      <c r="AY41" s="4">
        <v>2.0052E-3</v>
      </c>
      <c r="AZ41" s="4">
        <v>1.9767999999999999E-3</v>
      </c>
      <c r="BA41" s="4">
        <v>1.9488000000000001E-3</v>
      </c>
      <c r="BB41" s="4">
        <v>1.9212999999999999E-3</v>
      </c>
      <c r="BC41" s="4">
        <v>1.8943E-3</v>
      </c>
      <c r="BD41" s="4">
        <v>1.8678E-3</v>
      </c>
      <c r="BE41" s="4">
        <v>1.8416000000000001E-3</v>
      </c>
      <c r="BF41" s="4">
        <v>1.8159999999999999E-3</v>
      </c>
      <c r="BG41" s="4">
        <v>1.7907000000000001E-3</v>
      </c>
      <c r="BH41" s="4">
        <v>1.7658999999999999E-3</v>
      </c>
      <c r="BI41" s="4">
        <v>1.7415E-3</v>
      </c>
      <c r="BJ41" s="4">
        <v>1.7174E-3</v>
      </c>
      <c r="BK41" s="4">
        <v>1.6938000000000001E-3</v>
      </c>
      <c r="BL41" s="4">
        <v>1.6704000000000001E-3</v>
      </c>
      <c r="BM41" s="4">
        <v>1.6475000000000001E-3</v>
      </c>
      <c r="BN41" s="4">
        <v>1.6249000000000001E-3</v>
      </c>
      <c r="BO41" s="4">
        <v>1.6026E-3</v>
      </c>
      <c r="BP41" s="4">
        <v>1.5807E-3</v>
      </c>
      <c r="BQ41" s="4">
        <v>1.5590000000000001E-3</v>
      </c>
      <c r="BR41" s="4">
        <v>1.5376999999999999E-3</v>
      </c>
      <c r="BS41" s="4">
        <v>1.5166999999999999E-3</v>
      </c>
      <c r="BT41" s="4">
        <v>1.4959999999999999E-3</v>
      </c>
      <c r="BU41" s="4">
        <v>1.4755E-3</v>
      </c>
      <c r="BV41" s="4">
        <v>1.4553999999999999E-3</v>
      </c>
      <c r="BW41" s="4">
        <v>1.4354999999999999E-3</v>
      </c>
      <c r="BX41" s="4">
        <v>1.4159000000000001E-3</v>
      </c>
      <c r="BY41" s="4">
        <v>1.3965E-3</v>
      </c>
      <c r="BZ41" s="4">
        <v>1.3774E-3</v>
      </c>
      <c r="CA41" s="4">
        <v>1.3586E-3</v>
      </c>
      <c r="CB41" s="4">
        <v>1.34E-3</v>
      </c>
      <c r="CC41" s="4">
        <v>1.3216E-3</v>
      </c>
      <c r="CD41" s="4">
        <v>1.3035E-3</v>
      </c>
      <c r="CE41" s="4">
        <v>1.2856E-3</v>
      </c>
      <c r="CF41" s="4">
        <v>1.268E-3</v>
      </c>
      <c r="CG41" s="4">
        <v>1.2505000000000001E-3</v>
      </c>
      <c r="CH41" s="4">
        <v>1.2333999999999999E-3</v>
      </c>
      <c r="CI41" s="4">
        <v>1.2164000000000001E-3</v>
      </c>
      <c r="CJ41" s="4">
        <v>1.1996000000000001E-3</v>
      </c>
      <c r="CK41" s="4">
        <v>1.1831000000000001E-3</v>
      </c>
      <c r="CL41" s="4">
        <v>1.1668E-3</v>
      </c>
      <c r="CM41" s="4">
        <v>1.1506999999999999E-3</v>
      </c>
      <c r="CN41" s="4">
        <v>1.1348E-3</v>
      </c>
      <c r="CO41" s="4">
        <v>1.1191E-3</v>
      </c>
      <c r="CP41" s="4">
        <v>1.1035999999999999E-3</v>
      </c>
      <c r="CQ41" s="4">
        <v>1.0882999999999999E-3</v>
      </c>
      <c r="CR41" s="4">
        <v>1.0732000000000001E-3</v>
      </c>
      <c r="CS41" s="4">
        <v>1.0583000000000001E-3</v>
      </c>
      <c r="CT41" s="4">
        <v>1.0436E-3</v>
      </c>
      <c r="CU41" s="4">
        <v>1.0291E-3</v>
      </c>
      <c r="CV41" s="4">
        <v>1.0147999999999999E-3</v>
      </c>
      <c r="CW41" s="4">
        <v>1.0005999999999999E-3</v>
      </c>
      <c r="CX41" s="4">
        <v>9.8670000000000008E-4</v>
      </c>
      <c r="CY41" s="4">
        <v>9.7289999999999996E-4</v>
      </c>
      <c r="CZ41" s="4">
        <v>9.5929999999999995E-4</v>
      </c>
      <c r="DA41" s="4">
        <v>9.4589999999999995E-4</v>
      </c>
      <c r="DB41" s="4">
        <v>9.3269999999999996E-4</v>
      </c>
      <c r="DC41" s="4">
        <v>9.1969999999999997E-4</v>
      </c>
      <c r="DD41" s="4">
        <v>9.0680000000000003E-4</v>
      </c>
      <c r="DE41" s="4">
        <v>8.9409999999999999E-4</v>
      </c>
      <c r="DF41" s="4">
        <v>8.8150000000000001E-4</v>
      </c>
      <c r="DG41" s="4">
        <v>8.6919999999999999E-4</v>
      </c>
      <c r="DH41" s="4">
        <v>8.5700000000000001E-4</v>
      </c>
      <c r="DI41" s="4">
        <v>8.4489999999999999E-4</v>
      </c>
      <c r="DJ41" s="4">
        <v>8.3310000000000003E-4</v>
      </c>
      <c r="DK41" s="4">
        <v>8.2140000000000002E-4</v>
      </c>
      <c r="DL41" s="4">
        <v>8.0979999999999995E-4</v>
      </c>
      <c r="DM41" s="4">
        <v>7.984E-4</v>
      </c>
      <c r="DN41" s="4">
        <v>7.8720000000000005E-4</v>
      </c>
      <c r="DO41" s="4">
        <v>7.7610000000000005E-4</v>
      </c>
      <c r="DP41" s="4">
        <v>7.6519999999999995E-4</v>
      </c>
      <c r="DQ41" s="4">
        <v>5.3159400000000002E-2</v>
      </c>
      <c r="DR41" s="4">
        <v>0</v>
      </c>
      <c r="DS41" s="4">
        <v>5.02E-5</v>
      </c>
      <c r="DT41" s="4">
        <v>1.7349999999999999E-4</v>
      </c>
      <c r="DU41" s="4">
        <v>6.9289999999999998E-4</v>
      </c>
      <c r="DV41" s="4">
        <v>6.1799999999999995E-4</v>
      </c>
      <c r="DW41" s="4">
        <v>5.7720000000000004E-4</v>
      </c>
      <c r="DX41" s="4">
        <v>5.9969999999999999E-4</v>
      </c>
      <c r="DY41" s="4">
        <v>5.306E-4</v>
      </c>
      <c r="DZ41" s="4">
        <v>4.8480000000000002E-4</v>
      </c>
      <c r="EA41" s="4">
        <v>4.2969999999999998E-4</v>
      </c>
      <c r="EB41" s="4">
        <v>3.838E-4</v>
      </c>
      <c r="EC41" s="4">
        <v>3.4180000000000001E-4</v>
      </c>
      <c r="ED41" s="4">
        <v>3.0590000000000001E-4</v>
      </c>
      <c r="EE41" s="4">
        <v>2.744E-4</v>
      </c>
      <c r="EF41" s="4">
        <v>2.4719999999999999E-4</v>
      </c>
      <c r="EG41" s="4">
        <v>2.2919999999999999E-4</v>
      </c>
      <c r="EH41" s="4">
        <v>2.0790000000000001E-4</v>
      </c>
      <c r="EI41" s="4">
        <v>1.8929999999999999E-4</v>
      </c>
      <c r="EJ41" s="4">
        <v>1.7310000000000001E-4</v>
      </c>
      <c r="EK41" s="4">
        <v>1.5880000000000001E-4</v>
      </c>
      <c r="EL41" s="4">
        <v>1.462E-4</v>
      </c>
      <c r="EM41" s="4">
        <v>1.35E-4</v>
      </c>
      <c r="EN41" s="4">
        <v>1.2510000000000001E-4</v>
      </c>
      <c r="EO41" s="4">
        <v>1.1620000000000001E-4</v>
      </c>
      <c r="EP41" s="4">
        <v>1.083E-4</v>
      </c>
      <c r="EQ41" s="4">
        <v>1.013E-4</v>
      </c>
      <c r="ER41" s="4">
        <v>9.5000000000000005E-5</v>
      </c>
      <c r="ES41" s="4">
        <v>8.9300000000000002E-5</v>
      </c>
      <c r="ET41" s="4">
        <v>8.3900000000000006E-5</v>
      </c>
      <c r="EU41" s="4">
        <v>7.7399999999999998E-5</v>
      </c>
      <c r="EV41" s="4">
        <v>7.0699999999999997E-5</v>
      </c>
      <c r="EW41" s="4">
        <v>6.3899999999999995E-5</v>
      </c>
      <c r="EX41" s="4">
        <v>5.2599999999999998E-5</v>
      </c>
      <c r="EY41" s="4">
        <v>5.6700000000000003E-5</v>
      </c>
      <c r="EZ41" s="4">
        <v>5.4299999999999998E-5</v>
      </c>
      <c r="FA41" s="4">
        <v>5.2099999999999999E-5</v>
      </c>
      <c r="FB41" s="4">
        <v>5.0099999999999998E-5</v>
      </c>
      <c r="FC41" s="4">
        <v>4.8199999999999999E-5</v>
      </c>
      <c r="FD41" s="4">
        <v>4.6400000000000003E-5</v>
      </c>
      <c r="FE41" s="4">
        <v>4.4799999999999998E-5</v>
      </c>
      <c r="FF41" s="4">
        <v>4.32E-5</v>
      </c>
      <c r="FG41" s="4">
        <v>4.1699999999999997E-5</v>
      </c>
      <c r="FH41" s="4">
        <v>4.0299999999999997E-5</v>
      </c>
      <c r="FI41" s="4">
        <v>3.8899999999999997E-5</v>
      </c>
      <c r="FJ41" s="4">
        <v>3.7700000000000002E-5</v>
      </c>
      <c r="FK41" s="4">
        <v>3.65E-5</v>
      </c>
      <c r="FL41" s="4">
        <v>3.54E-5</v>
      </c>
      <c r="FM41" s="4">
        <v>3.43E-5</v>
      </c>
      <c r="FN41" s="4">
        <v>3.3399999999999999E-5</v>
      </c>
      <c r="FO41" s="4">
        <v>3.2400000000000001E-5</v>
      </c>
      <c r="FP41" s="4">
        <v>3.1600000000000002E-5</v>
      </c>
      <c r="FQ41" s="4">
        <v>3.0700000000000001E-5</v>
      </c>
      <c r="FR41" s="4">
        <v>3.0000000000000001E-5</v>
      </c>
      <c r="FS41" s="4">
        <v>2.9200000000000002E-5</v>
      </c>
      <c r="FT41" s="4">
        <v>2.8500000000000002E-5</v>
      </c>
      <c r="FU41" s="4">
        <v>2.7900000000000001E-5</v>
      </c>
      <c r="FV41" s="4">
        <v>2.73E-5</v>
      </c>
      <c r="FW41" s="4">
        <v>2.6699999999999998E-5</v>
      </c>
      <c r="FX41" s="4">
        <v>2.6100000000000001E-5</v>
      </c>
      <c r="FY41" s="4">
        <v>2.5599999999999999E-5</v>
      </c>
      <c r="FZ41" s="4">
        <v>2.51E-5</v>
      </c>
      <c r="GA41" s="4">
        <v>2.4600000000000002E-5</v>
      </c>
      <c r="GB41" s="4">
        <v>2.41E-5</v>
      </c>
      <c r="GC41" s="4">
        <v>2.37E-5</v>
      </c>
      <c r="GD41" s="4">
        <v>2.3300000000000001E-5</v>
      </c>
      <c r="GE41" s="4">
        <v>2.2900000000000001E-5</v>
      </c>
      <c r="GF41" s="4">
        <v>2.2500000000000001E-5</v>
      </c>
      <c r="GG41" s="4">
        <v>2.2099999999999998E-5</v>
      </c>
      <c r="GH41" s="4">
        <v>2.1800000000000001E-5</v>
      </c>
      <c r="GI41" s="4">
        <v>2.1399999999999998E-5</v>
      </c>
      <c r="GJ41" s="4">
        <v>2.1100000000000001E-5</v>
      </c>
      <c r="GK41" s="4">
        <v>2.0800000000000001E-5</v>
      </c>
      <c r="GL41" s="4">
        <v>2.0400000000000001E-5</v>
      </c>
      <c r="GM41" s="4">
        <v>2.0100000000000001E-5</v>
      </c>
      <c r="GN41" s="4">
        <v>1.98E-5</v>
      </c>
      <c r="GO41" s="4">
        <v>1.9599999999999999E-5</v>
      </c>
      <c r="GP41" s="4">
        <v>1.9300000000000002E-5</v>
      </c>
      <c r="GQ41" s="4">
        <v>1.9000000000000001E-5</v>
      </c>
      <c r="GR41" s="4">
        <v>1.8700000000000001E-5</v>
      </c>
      <c r="GS41" s="4">
        <v>1.8499999999999999E-5</v>
      </c>
      <c r="GT41" s="4">
        <v>1.8199999999999999E-5</v>
      </c>
      <c r="GU41" s="4">
        <v>1.8E-5</v>
      </c>
      <c r="GV41" s="4">
        <v>1.77E-5</v>
      </c>
      <c r="GW41" s="4">
        <v>1.7499999999999998E-5</v>
      </c>
      <c r="GX41" s="4">
        <v>1.7200000000000001E-5</v>
      </c>
      <c r="GY41" s="4">
        <v>1.7E-5</v>
      </c>
      <c r="GZ41" s="4">
        <v>1.6799999999999998E-5</v>
      </c>
      <c r="HA41" s="4">
        <v>1.6500000000000001E-5</v>
      </c>
      <c r="HB41" s="4">
        <v>1.63E-5</v>
      </c>
      <c r="HC41" s="4">
        <v>1.6099999999999998E-5</v>
      </c>
      <c r="HD41" s="4">
        <v>1.59E-5</v>
      </c>
      <c r="HE41" s="4">
        <v>1.5699999999999999E-5</v>
      </c>
      <c r="HF41" s="4">
        <v>1.5400000000000002E-5</v>
      </c>
      <c r="HG41" s="4">
        <v>1.52E-5</v>
      </c>
      <c r="HH41" s="4">
        <v>1.5E-5</v>
      </c>
      <c r="HI41" s="4">
        <v>1.4800000000000001E-5</v>
      </c>
      <c r="HJ41" s="4">
        <v>1.4600000000000001E-5</v>
      </c>
      <c r="HK41" s="4">
        <v>1.4399999999999999E-5</v>
      </c>
      <c r="HL41" s="4">
        <v>1.42E-5</v>
      </c>
      <c r="HM41" s="4">
        <v>1.4E-5</v>
      </c>
      <c r="HN41" s="4">
        <v>1.3900000000000001E-5</v>
      </c>
      <c r="HO41" s="4">
        <v>1.3699999999999999E-5</v>
      </c>
      <c r="HP41" s="4">
        <v>1.3499999999999999E-5</v>
      </c>
      <c r="HQ41" s="4">
        <v>1.33E-5</v>
      </c>
      <c r="HR41" s="4">
        <v>1.31E-5</v>
      </c>
      <c r="HS41" s="4">
        <v>1.29E-5</v>
      </c>
      <c r="HT41" s="4">
        <v>1.2799999999999999E-5</v>
      </c>
      <c r="HU41" s="4">
        <v>1.26E-5</v>
      </c>
      <c r="HV41" s="4">
        <v>1.24E-5</v>
      </c>
      <c r="HW41" s="4">
        <v>1.2300000000000001E-5</v>
      </c>
      <c r="HX41" s="4">
        <v>1.2099999999999999E-5</v>
      </c>
      <c r="HY41" s="4">
        <v>1.19E-5</v>
      </c>
      <c r="HZ41" s="4">
        <v>1.1800000000000001E-5</v>
      </c>
      <c r="IA41" s="4">
        <v>1.1600000000000001E-5</v>
      </c>
      <c r="IB41" s="4">
        <v>1.1399999999999999E-5</v>
      </c>
      <c r="IC41" s="4">
        <v>1.13E-5</v>
      </c>
      <c r="ID41" s="4">
        <v>1.11E-5</v>
      </c>
      <c r="IE41" s="4">
        <v>1.1E-5</v>
      </c>
      <c r="IF41" s="4">
        <v>1.08E-5</v>
      </c>
      <c r="IG41" s="4">
        <v>7.5469999999999997E-4</v>
      </c>
      <c r="IH41" s="4"/>
      <c r="II41" s="4">
        <f t="shared" si="245"/>
        <v>0.11561758140687117</v>
      </c>
      <c r="IJ41">
        <f t="shared" si="246"/>
        <v>0.35917461249999988</v>
      </c>
      <c r="IN41" s="4"/>
      <c r="IO41" s="4"/>
      <c r="IP41" s="4"/>
      <c r="IQ41" s="4"/>
      <c r="IR41" s="4"/>
      <c r="IS41" s="4"/>
      <c r="IT41" s="4"/>
      <c r="IU41" s="4"/>
      <c r="IV41" s="4"/>
    </row>
    <row r="42" spans="1:256" x14ac:dyDescent="0.35">
      <c r="A42" s="1">
        <v>34</v>
      </c>
      <c r="B42" s="4">
        <v>1.0734799999999999E-2</v>
      </c>
      <c r="C42" s="4">
        <v>1.0734799999999999E-2</v>
      </c>
      <c r="D42" s="4">
        <v>1.0684600000000001E-2</v>
      </c>
      <c r="E42" s="4">
        <v>1.0511100000000001E-2</v>
      </c>
      <c r="F42" s="4">
        <v>9.8181999999999992E-3</v>
      </c>
      <c r="G42" s="4">
        <v>9.2003999999999992E-3</v>
      </c>
      <c r="H42" s="4">
        <v>8.6234999999999992E-3</v>
      </c>
      <c r="I42" s="4">
        <v>8.0242999999999998E-3</v>
      </c>
      <c r="J42" s="4">
        <v>7.4944E-3</v>
      </c>
      <c r="K42" s="4">
        <v>7.0104E-3</v>
      </c>
      <c r="L42" s="4">
        <v>6.5816E-3</v>
      </c>
      <c r="M42" s="4">
        <v>6.1990999999999999E-3</v>
      </c>
      <c r="N42" s="4">
        <v>5.8586000000000003E-3</v>
      </c>
      <c r="O42" s="4">
        <v>5.5538999999999996E-3</v>
      </c>
      <c r="P42" s="4">
        <v>5.2805999999999999E-3</v>
      </c>
      <c r="Q42" s="4">
        <v>5.0344999999999999E-3</v>
      </c>
      <c r="R42" s="4">
        <v>4.9002000000000004E-3</v>
      </c>
      <c r="S42" s="4">
        <v>4.6933000000000001E-3</v>
      </c>
      <c r="T42" s="4">
        <v>4.5053999999999997E-3</v>
      </c>
      <c r="U42" s="4">
        <v>4.3340999999999996E-3</v>
      </c>
      <c r="V42" s="4">
        <v>4.1776000000000001E-3</v>
      </c>
      <c r="W42" s="4">
        <v>4.0340000000000003E-3</v>
      </c>
      <c r="X42" s="4">
        <v>3.9026E-3</v>
      </c>
      <c r="Y42" s="4">
        <v>3.7808999999999998E-3</v>
      </c>
      <c r="Z42" s="4">
        <v>3.6681000000000001E-3</v>
      </c>
      <c r="AA42" s="4">
        <v>3.5631999999999999E-3</v>
      </c>
      <c r="AB42" s="4">
        <v>3.4648999999999999E-3</v>
      </c>
      <c r="AC42" s="4">
        <v>3.3739E-3</v>
      </c>
      <c r="AD42" s="4">
        <v>3.2835999999999998E-3</v>
      </c>
      <c r="AE42" s="4">
        <v>3.1930000000000001E-3</v>
      </c>
      <c r="AF42" s="4">
        <v>3.0466E-3</v>
      </c>
      <c r="AG42" s="4">
        <v>2.8744E-3</v>
      </c>
      <c r="AH42" s="4">
        <v>2.6724000000000001E-3</v>
      </c>
      <c r="AI42" s="4">
        <v>2.2686E-3</v>
      </c>
      <c r="AJ42" s="4">
        <v>2.4689999999999998E-3</v>
      </c>
      <c r="AK42" s="4">
        <v>2.4317000000000002E-3</v>
      </c>
      <c r="AL42" s="4">
        <v>2.3952999999999999E-3</v>
      </c>
      <c r="AM42" s="4">
        <v>2.3647999999999998E-3</v>
      </c>
      <c r="AN42" s="4">
        <v>2.3338E-3</v>
      </c>
      <c r="AO42" s="4">
        <v>2.3019999999999998E-3</v>
      </c>
      <c r="AP42" s="4">
        <v>2.2707999999999999E-3</v>
      </c>
      <c r="AQ42" s="4">
        <v>2.2396E-3</v>
      </c>
      <c r="AR42" s="4">
        <v>2.2085999999999998E-3</v>
      </c>
      <c r="AS42" s="4">
        <v>2.1778000000000001E-3</v>
      </c>
      <c r="AT42" s="4">
        <v>2.1473E-3</v>
      </c>
      <c r="AU42" s="4">
        <v>2.1172000000000001E-3</v>
      </c>
      <c r="AV42" s="4">
        <v>2.0874999999999999E-3</v>
      </c>
      <c r="AW42" s="4">
        <v>2.0581000000000002E-3</v>
      </c>
      <c r="AX42" s="4">
        <v>2.0292000000000001E-3</v>
      </c>
      <c r="AY42" s="4">
        <v>2.0008000000000001E-3</v>
      </c>
      <c r="AZ42" s="4">
        <v>1.9727999999999998E-3</v>
      </c>
      <c r="BA42" s="4">
        <v>1.9452E-3</v>
      </c>
      <c r="BB42" s="4">
        <v>1.9181000000000001E-3</v>
      </c>
      <c r="BC42" s="4">
        <v>1.8913000000000001E-3</v>
      </c>
      <c r="BD42" s="4">
        <v>1.8651E-3</v>
      </c>
      <c r="BE42" s="4">
        <v>1.8392E-3</v>
      </c>
      <c r="BF42" s="4">
        <v>1.8138E-3</v>
      </c>
      <c r="BG42" s="4">
        <v>1.7887000000000001E-3</v>
      </c>
      <c r="BH42" s="4">
        <v>1.7641E-3</v>
      </c>
      <c r="BI42" s="4">
        <v>1.7397999999999999E-3</v>
      </c>
      <c r="BJ42" s="4">
        <v>1.7159E-3</v>
      </c>
      <c r="BK42" s="4">
        <v>1.6923000000000001E-3</v>
      </c>
      <c r="BL42" s="4">
        <v>1.6691E-3</v>
      </c>
      <c r="BM42" s="4">
        <v>1.6463000000000001E-3</v>
      </c>
      <c r="BN42" s="4">
        <v>1.6237999999999999E-3</v>
      </c>
      <c r="BO42" s="4">
        <v>1.6015999999999999E-3</v>
      </c>
      <c r="BP42" s="4">
        <v>1.5797000000000001E-3</v>
      </c>
      <c r="BQ42" s="4">
        <v>1.5582E-3</v>
      </c>
      <c r="BR42" s="4">
        <v>1.5368999999999999E-3</v>
      </c>
      <c r="BS42" s="4">
        <v>1.5158999999999999E-3</v>
      </c>
      <c r="BT42" s="4">
        <v>1.4953E-3</v>
      </c>
      <c r="BU42" s="4">
        <v>1.4748999999999999E-3</v>
      </c>
      <c r="BV42" s="4">
        <v>1.4548E-3</v>
      </c>
      <c r="BW42" s="4">
        <v>1.4349E-3</v>
      </c>
      <c r="BX42" s="4">
        <v>1.4153E-3</v>
      </c>
      <c r="BY42" s="4">
        <v>1.3960000000000001E-3</v>
      </c>
      <c r="BZ42" s="4">
        <v>1.3768999999999999E-3</v>
      </c>
      <c r="CA42" s="4">
        <v>1.3581000000000001E-3</v>
      </c>
      <c r="CB42" s="4">
        <v>1.3396E-3</v>
      </c>
      <c r="CC42" s="4">
        <v>1.3212E-3</v>
      </c>
      <c r="CD42" s="4">
        <v>1.3031E-3</v>
      </c>
      <c r="CE42" s="4">
        <v>1.2853000000000001E-3</v>
      </c>
      <c r="CF42" s="4">
        <v>1.2677000000000001E-3</v>
      </c>
      <c r="CG42" s="4">
        <v>1.2503E-3</v>
      </c>
      <c r="CH42" s="4">
        <v>1.2331E-3</v>
      </c>
      <c r="CI42" s="4">
        <v>1.2160999999999999E-3</v>
      </c>
      <c r="CJ42" s="4">
        <v>1.1994E-3</v>
      </c>
      <c r="CK42" s="4">
        <v>1.1829E-3</v>
      </c>
      <c r="CL42" s="4">
        <v>1.1666000000000001E-3</v>
      </c>
      <c r="CM42" s="4">
        <v>1.1505E-3</v>
      </c>
      <c r="CN42" s="4">
        <v>1.1345999999999999E-3</v>
      </c>
      <c r="CO42" s="4">
        <v>1.1188999999999999E-3</v>
      </c>
      <c r="CP42" s="4">
        <v>1.1034E-3</v>
      </c>
      <c r="CQ42" s="4">
        <v>1.0881E-3</v>
      </c>
      <c r="CR42" s="4">
        <v>1.073E-3</v>
      </c>
      <c r="CS42" s="4">
        <v>1.0582E-3</v>
      </c>
      <c r="CT42" s="4">
        <v>1.0434999999999999E-3</v>
      </c>
      <c r="CU42" s="4">
        <v>1.029E-3</v>
      </c>
      <c r="CV42" s="4">
        <v>1.0146000000000001E-3</v>
      </c>
      <c r="CW42" s="4">
        <v>1.0005000000000001E-3</v>
      </c>
      <c r="CX42" s="4">
        <v>9.8660000000000002E-4</v>
      </c>
      <c r="CY42" s="4">
        <v>9.7280000000000001E-4</v>
      </c>
      <c r="CZ42" s="4">
        <v>9.592E-4</v>
      </c>
      <c r="DA42" s="4">
        <v>9.458E-4</v>
      </c>
      <c r="DB42" s="4">
        <v>9.3260000000000001E-4</v>
      </c>
      <c r="DC42" s="4">
        <v>9.1960000000000002E-4</v>
      </c>
      <c r="DD42" s="4">
        <v>9.0669999999999998E-4</v>
      </c>
      <c r="DE42" s="4">
        <v>8.9400000000000005E-4</v>
      </c>
      <c r="DF42" s="4">
        <v>8.8150000000000001E-4</v>
      </c>
      <c r="DG42" s="4">
        <v>8.6910000000000004E-4</v>
      </c>
      <c r="DH42" s="4">
        <v>8.5689999999999996E-4</v>
      </c>
      <c r="DI42" s="4">
        <v>8.4489999999999999E-4</v>
      </c>
      <c r="DJ42" s="4">
        <v>8.3299999999999997E-4</v>
      </c>
      <c r="DK42" s="4">
        <v>8.2129999999999996E-4</v>
      </c>
      <c r="DL42" s="4">
        <v>8.0979999999999995E-4</v>
      </c>
      <c r="DM42" s="4">
        <v>7.984E-4</v>
      </c>
      <c r="DN42" s="4">
        <v>7.871E-4</v>
      </c>
      <c r="DO42" s="4">
        <v>7.7610000000000005E-4</v>
      </c>
      <c r="DP42" s="4">
        <v>7.651E-4</v>
      </c>
      <c r="DQ42" s="4">
        <v>5.3158999999999998E-2</v>
      </c>
      <c r="DR42" s="4">
        <v>0</v>
      </c>
      <c r="DS42" s="4">
        <v>5.02E-5</v>
      </c>
      <c r="DT42" s="4">
        <v>1.7359999999999999E-4</v>
      </c>
      <c r="DU42" s="4">
        <v>6.9309999999999999E-4</v>
      </c>
      <c r="DV42" s="4">
        <v>6.1810000000000001E-4</v>
      </c>
      <c r="DW42" s="4">
        <v>5.7740000000000005E-4</v>
      </c>
      <c r="DX42" s="4">
        <v>5.9980000000000005E-4</v>
      </c>
      <c r="DY42" s="4">
        <v>5.3070000000000005E-4</v>
      </c>
      <c r="DZ42" s="4">
        <v>4.8500000000000003E-4</v>
      </c>
      <c r="EA42" s="4">
        <v>4.2979999999999998E-4</v>
      </c>
      <c r="EB42" s="4">
        <v>3.838E-4</v>
      </c>
      <c r="EC42" s="4">
        <v>3.4180000000000001E-4</v>
      </c>
      <c r="ED42" s="4">
        <v>3.0590000000000001E-4</v>
      </c>
      <c r="EE42" s="4">
        <v>2.744E-4</v>
      </c>
      <c r="EF42" s="4">
        <v>2.4729999999999999E-4</v>
      </c>
      <c r="EG42" s="4">
        <v>2.2359999999999999E-4</v>
      </c>
      <c r="EH42" s="4">
        <v>2.0799999999999999E-4</v>
      </c>
      <c r="EI42" s="4">
        <v>1.894E-4</v>
      </c>
      <c r="EJ42" s="4">
        <v>1.7310000000000001E-4</v>
      </c>
      <c r="EK42" s="4">
        <v>1.5880000000000001E-4</v>
      </c>
      <c r="EL42" s="4">
        <v>1.461E-4</v>
      </c>
      <c r="EM42" s="4">
        <v>1.349E-4</v>
      </c>
      <c r="EN42" s="4">
        <v>1.25E-4</v>
      </c>
      <c r="EO42" s="4">
        <v>1.1620000000000001E-4</v>
      </c>
      <c r="EP42" s="4">
        <v>1.083E-4</v>
      </c>
      <c r="EQ42" s="4">
        <v>1.0119999999999999E-4</v>
      </c>
      <c r="ER42" s="4">
        <v>9.4900000000000003E-5</v>
      </c>
      <c r="ES42" s="4">
        <v>8.9300000000000002E-5</v>
      </c>
      <c r="ET42" s="4">
        <v>8.4099999999999998E-5</v>
      </c>
      <c r="EU42" s="4">
        <v>7.9300000000000003E-5</v>
      </c>
      <c r="EV42" s="4">
        <v>7.3200000000000004E-5</v>
      </c>
      <c r="EW42" s="4">
        <v>6.7000000000000002E-5</v>
      </c>
      <c r="EX42" s="4">
        <v>6.0699999999999998E-5</v>
      </c>
      <c r="EY42" s="4">
        <v>5.0000000000000002E-5</v>
      </c>
      <c r="EZ42" s="4">
        <v>5.3999999999999998E-5</v>
      </c>
      <c r="FA42" s="4">
        <v>5.1799999999999999E-5</v>
      </c>
      <c r="FB42" s="4">
        <v>4.9700000000000002E-5</v>
      </c>
      <c r="FC42" s="4">
        <v>4.7899999999999999E-5</v>
      </c>
      <c r="FD42" s="4">
        <v>4.6199999999999998E-5</v>
      </c>
      <c r="FE42" s="4">
        <v>4.4499999999999997E-5</v>
      </c>
      <c r="FF42" s="4">
        <v>4.3000000000000002E-5</v>
      </c>
      <c r="FG42" s="4">
        <v>4.1499999999999999E-5</v>
      </c>
      <c r="FH42" s="4">
        <v>4.0099999999999999E-5</v>
      </c>
      <c r="FI42" s="4">
        <v>3.8800000000000001E-5</v>
      </c>
      <c r="FJ42" s="4">
        <v>3.7599999999999999E-5</v>
      </c>
      <c r="FK42" s="4">
        <v>3.6399999999999997E-5</v>
      </c>
      <c r="FL42" s="4">
        <v>3.5299999999999997E-5</v>
      </c>
      <c r="FM42" s="4">
        <v>3.4199999999999998E-5</v>
      </c>
      <c r="FN42" s="4">
        <v>3.3300000000000003E-5</v>
      </c>
      <c r="FO42" s="4">
        <v>3.2400000000000001E-5</v>
      </c>
      <c r="FP42" s="4">
        <v>3.15E-5</v>
      </c>
      <c r="FQ42" s="4">
        <v>3.0700000000000001E-5</v>
      </c>
      <c r="FR42" s="4">
        <v>2.9899999999999998E-5</v>
      </c>
      <c r="FS42" s="4">
        <v>2.9200000000000002E-5</v>
      </c>
      <c r="FT42" s="4">
        <v>2.8500000000000002E-5</v>
      </c>
      <c r="FU42" s="4">
        <v>2.7800000000000001E-5</v>
      </c>
      <c r="FV42" s="4">
        <v>2.72E-5</v>
      </c>
      <c r="FW42" s="4">
        <v>2.6599999999999999E-5</v>
      </c>
      <c r="FX42" s="4">
        <v>2.6100000000000001E-5</v>
      </c>
      <c r="FY42" s="4">
        <v>2.5599999999999999E-5</v>
      </c>
      <c r="FZ42" s="4">
        <v>2.51E-5</v>
      </c>
      <c r="GA42" s="4">
        <v>2.4600000000000002E-5</v>
      </c>
      <c r="GB42" s="4">
        <v>2.41E-5</v>
      </c>
      <c r="GC42" s="4">
        <v>2.37E-5</v>
      </c>
      <c r="GD42" s="4">
        <v>2.3300000000000001E-5</v>
      </c>
      <c r="GE42" s="4">
        <v>2.2900000000000001E-5</v>
      </c>
      <c r="GF42" s="4">
        <v>2.2500000000000001E-5</v>
      </c>
      <c r="GG42" s="4">
        <v>2.2099999999999998E-5</v>
      </c>
      <c r="GH42" s="4">
        <v>2.1800000000000001E-5</v>
      </c>
      <c r="GI42" s="4">
        <v>2.1399999999999998E-5</v>
      </c>
      <c r="GJ42" s="4">
        <v>2.1100000000000001E-5</v>
      </c>
      <c r="GK42" s="4">
        <v>2.0699999999999998E-5</v>
      </c>
      <c r="GL42" s="4">
        <v>2.0400000000000001E-5</v>
      </c>
      <c r="GM42" s="4">
        <v>2.0100000000000001E-5</v>
      </c>
      <c r="GN42" s="4">
        <v>1.98E-5</v>
      </c>
      <c r="GO42" s="4">
        <v>1.95E-5</v>
      </c>
      <c r="GP42" s="4">
        <v>1.9300000000000002E-5</v>
      </c>
      <c r="GQ42" s="4">
        <v>1.9000000000000001E-5</v>
      </c>
      <c r="GR42" s="4">
        <v>1.8700000000000001E-5</v>
      </c>
      <c r="GS42" s="4">
        <v>1.8499999999999999E-5</v>
      </c>
      <c r="GT42" s="4">
        <v>1.8199999999999999E-5</v>
      </c>
      <c r="GU42" s="4">
        <v>1.7900000000000001E-5</v>
      </c>
      <c r="GV42" s="4">
        <v>1.77E-5</v>
      </c>
      <c r="GW42" s="4">
        <v>1.7499999999999998E-5</v>
      </c>
      <c r="GX42" s="4">
        <v>1.7200000000000001E-5</v>
      </c>
      <c r="GY42" s="4">
        <v>1.7E-5</v>
      </c>
      <c r="GZ42" s="4">
        <v>1.6799999999999998E-5</v>
      </c>
      <c r="HA42" s="4">
        <v>1.6500000000000001E-5</v>
      </c>
      <c r="HB42" s="4">
        <v>1.63E-5</v>
      </c>
      <c r="HC42" s="4">
        <v>1.6099999999999998E-5</v>
      </c>
      <c r="HD42" s="4">
        <v>1.59E-5</v>
      </c>
      <c r="HE42" s="4">
        <v>1.5699999999999999E-5</v>
      </c>
      <c r="HF42" s="4">
        <v>1.5400000000000002E-5</v>
      </c>
      <c r="HG42" s="4">
        <v>1.52E-5</v>
      </c>
      <c r="HH42" s="4">
        <v>1.5E-5</v>
      </c>
      <c r="HI42" s="4">
        <v>1.4800000000000001E-5</v>
      </c>
      <c r="HJ42" s="4">
        <v>1.4600000000000001E-5</v>
      </c>
      <c r="HK42" s="4">
        <v>1.4399999999999999E-5</v>
      </c>
      <c r="HL42" s="4">
        <v>1.42E-5</v>
      </c>
      <c r="HM42" s="4">
        <v>1.4E-5</v>
      </c>
      <c r="HN42" s="4">
        <v>1.3900000000000001E-5</v>
      </c>
      <c r="HO42" s="4">
        <v>1.3699999999999999E-5</v>
      </c>
      <c r="HP42" s="4">
        <v>1.3499999999999999E-5</v>
      </c>
      <c r="HQ42" s="4">
        <v>1.33E-5</v>
      </c>
      <c r="HR42" s="4">
        <v>1.31E-5</v>
      </c>
      <c r="HS42" s="4">
        <v>1.29E-5</v>
      </c>
      <c r="HT42" s="4">
        <v>1.2799999999999999E-5</v>
      </c>
      <c r="HU42" s="4">
        <v>1.26E-5</v>
      </c>
      <c r="HV42" s="4">
        <v>1.24E-5</v>
      </c>
      <c r="HW42" s="4">
        <v>1.22E-5</v>
      </c>
      <c r="HX42" s="4">
        <v>1.2099999999999999E-5</v>
      </c>
      <c r="HY42" s="4">
        <v>1.19E-5</v>
      </c>
      <c r="HZ42" s="4">
        <v>1.1800000000000001E-5</v>
      </c>
      <c r="IA42" s="4">
        <v>1.1600000000000001E-5</v>
      </c>
      <c r="IB42" s="4">
        <v>1.1399999999999999E-5</v>
      </c>
      <c r="IC42" s="4">
        <v>1.13E-5</v>
      </c>
      <c r="ID42" s="4">
        <v>1.11E-5</v>
      </c>
      <c r="IE42" s="4">
        <v>1.1E-5</v>
      </c>
      <c r="IF42" s="4">
        <v>1.08E-5</v>
      </c>
      <c r="IG42" s="4">
        <v>7.5469999999999997E-4</v>
      </c>
      <c r="IH42" s="4"/>
      <c r="II42" s="4">
        <f t="shared" si="245"/>
        <v>0.11560525489819466</v>
      </c>
      <c r="IJ42">
        <f t="shared" si="246"/>
        <v>0.35922674999999976</v>
      </c>
      <c r="IN42" s="4"/>
      <c r="IO42" s="4"/>
      <c r="IP42" s="4"/>
      <c r="IQ42" s="4"/>
      <c r="IR42" s="4"/>
      <c r="IS42" s="4"/>
      <c r="IT42" s="4"/>
      <c r="IU42" s="4"/>
      <c r="IV42" s="4"/>
    </row>
    <row r="43" spans="1:256" x14ac:dyDescent="0.35">
      <c r="A43" s="1">
        <v>35</v>
      </c>
      <c r="B43" s="4">
        <v>1.0654E-2</v>
      </c>
      <c r="C43" s="4">
        <v>1.0734799999999999E-2</v>
      </c>
      <c r="D43" s="4">
        <v>1.0684600000000001E-2</v>
      </c>
      <c r="E43" s="4">
        <v>1.0511E-2</v>
      </c>
      <c r="F43" s="4">
        <v>9.8180000000000003E-3</v>
      </c>
      <c r="G43" s="4">
        <v>9.1999999999999998E-3</v>
      </c>
      <c r="H43" s="4">
        <v>8.6230000000000005E-3</v>
      </c>
      <c r="I43" s="4">
        <v>8.0236999999999999E-3</v>
      </c>
      <c r="J43" s="4">
        <v>7.4935999999999996E-3</v>
      </c>
      <c r="K43" s="4">
        <v>7.0095000000000001E-3</v>
      </c>
      <c r="L43" s="4">
        <v>6.5805999999999998E-3</v>
      </c>
      <c r="M43" s="4">
        <v>6.1977999999999998E-3</v>
      </c>
      <c r="N43" s="4">
        <v>5.8573000000000002E-3</v>
      </c>
      <c r="O43" s="4">
        <v>5.5526999999999998E-3</v>
      </c>
      <c r="P43" s="4">
        <v>5.2795000000000003E-3</v>
      </c>
      <c r="Q43" s="4">
        <v>5.0334000000000004E-3</v>
      </c>
      <c r="R43" s="4">
        <v>4.8108999999999999E-3</v>
      </c>
      <c r="S43" s="4">
        <v>4.6921999999999997E-3</v>
      </c>
      <c r="T43" s="4">
        <v>4.5040000000000002E-3</v>
      </c>
      <c r="U43" s="4">
        <v>4.3322999999999999E-3</v>
      </c>
      <c r="V43" s="4">
        <v>4.1754000000000001E-3</v>
      </c>
      <c r="W43" s="4">
        <v>4.0314000000000001E-3</v>
      </c>
      <c r="X43" s="4">
        <v>3.8991E-3</v>
      </c>
      <c r="Y43" s="4">
        <v>3.7775999999999999E-3</v>
      </c>
      <c r="Z43" s="4">
        <v>3.6646999999999999E-3</v>
      </c>
      <c r="AA43" s="4">
        <v>3.5598000000000001E-3</v>
      </c>
      <c r="AB43" s="4">
        <v>3.4619999999999998E-3</v>
      </c>
      <c r="AC43" s="4">
        <v>3.3698999999999999E-3</v>
      </c>
      <c r="AD43" s="4">
        <v>3.2845999999999999E-3</v>
      </c>
      <c r="AE43" s="4">
        <v>3.1995000000000001E-3</v>
      </c>
      <c r="AF43" s="4">
        <v>3.1137999999999999E-3</v>
      </c>
      <c r="AG43" s="4">
        <v>2.9734000000000002E-3</v>
      </c>
      <c r="AH43" s="4">
        <v>2.8073999999999998E-3</v>
      </c>
      <c r="AI43" s="4">
        <v>2.6116999999999998E-3</v>
      </c>
      <c r="AJ43" s="4">
        <v>2.2185999999999998E-3</v>
      </c>
      <c r="AK43" s="4">
        <v>2.4150999999999999E-3</v>
      </c>
      <c r="AL43" s="4">
        <v>2.3798999999999999E-3</v>
      </c>
      <c r="AM43" s="4">
        <v>2.3456000000000002E-3</v>
      </c>
      <c r="AN43" s="4">
        <v>2.3169000000000002E-3</v>
      </c>
      <c r="AO43" s="4">
        <v>2.2877000000000002E-3</v>
      </c>
      <c r="AP43" s="4">
        <v>2.2575E-3</v>
      </c>
      <c r="AQ43" s="4">
        <v>2.2277999999999998E-3</v>
      </c>
      <c r="AR43" s="4">
        <v>2.1981000000000001E-3</v>
      </c>
      <c r="AS43" s="4">
        <v>2.1684999999999999E-3</v>
      </c>
      <c r="AT43" s="4">
        <v>2.1389999999999998E-3</v>
      </c>
      <c r="AU43" s="4">
        <v>2.1098000000000002E-3</v>
      </c>
      <c r="AV43" s="4">
        <v>2.0807999999999998E-3</v>
      </c>
      <c r="AW43" s="4">
        <v>2.0522000000000001E-3</v>
      </c>
      <c r="AX43" s="4">
        <v>2.0238999999999999E-3</v>
      </c>
      <c r="AY43" s="4">
        <v>1.9959999999999999E-3</v>
      </c>
      <c r="AZ43" s="4">
        <v>1.9683999999999999E-3</v>
      </c>
      <c r="BA43" s="4">
        <v>1.9413E-3</v>
      </c>
      <c r="BB43" s="4">
        <v>1.9145E-3</v>
      </c>
      <c r="BC43" s="4">
        <v>1.8882E-3</v>
      </c>
      <c r="BD43" s="4">
        <v>1.8622000000000001E-3</v>
      </c>
      <c r="BE43" s="4">
        <v>1.8366000000000001E-3</v>
      </c>
      <c r="BF43" s="4">
        <v>1.8113999999999999E-3</v>
      </c>
      <c r="BG43" s="4">
        <v>1.7864999999999999E-3</v>
      </c>
      <c r="BH43" s="4">
        <v>1.7621E-3</v>
      </c>
      <c r="BI43" s="4">
        <v>1.738E-3</v>
      </c>
      <c r="BJ43" s="4">
        <v>1.7141999999999999E-3</v>
      </c>
      <c r="BK43" s="4">
        <v>1.6907999999999999E-3</v>
      </c>
      <c r="BL43" s="4">
        <v>1.6678000000000001E-3</v>
      </c>
      <c r="BM43" s="4">
        <v>1.645E-3</v>
      </c>
      <c r="BN43" s="4">
        <v>1.6226000000000001E-3</v>
      </c>
      <c r="BO43" s="4">
        <v>1.6004999999999999E-3</v>
      </c>
      <c r="BP43" s="4">
        <v>1.5786999999999999E-3</v>
      </c>
      <c r="BQ43" s="4">
        <v>1.5571999999999999E-3</v>
      </c>
      <c r="BR43" s="4">
        <v>1.5361000000000001E-3</v>
      </c>
      <c r="BS43" s="4">
        <v>1.5152E-3</v>
      </c>
      <c r="BT43" s="4">
        <v>1.4945E-3</v>
      </c>
      <c r="BU43" s="4">
        <v>1.4741999999999999E-3</v>
      </c>
      <c r="BV43" s="4">
        <v>1.4541000000000001E-3</v>
      </c>
      <c r="BW43" s="4">
        <v>1.4342999999999999E-3</v>
      </c>
      <c r="BX43" s="4">
        <v>1.4147999999999999E-3</v>
      </c>
      <c r="BY43" s="4">
        <v>1.3955E-3</v>
      </c>
      <c r="BZ43" s="4">
        <v>1.3764999999999999E-3</v>
      </c>
      <c r="CA43" s="4">
        <v>1.3577000000000001E-3</v>
      </c>
      <c r="CB43" s="4">
        <v>1.3391E-3</v>
      </c>
      <c r="CC43" s="4">
        <v>1.3208E-3</v>
      </c>
      <c r="CD43" s="4">
        <v>1.3028E-3</v>
      </c>
      <c r="CE43" s="4">
        <v>1.2849000000000001E-3</v>
      </c>
      <c r="CF43" s="4">
        <v>1.2673000000000001E-3</v>
      </c>
      <c r="CG43" s="4">
        <v>1.25E-3</v>
      </c>
      <c r="CH43" s="4">
        <v>1.2328E-3</v>
      </c>
      <c r="CI43" s="4">
        <v>1.2159E-3</v>
      </c>
      <c r="CJ43" s="4">
        <v>1.1991E-3</v>
      </c>
      <c r="CK43" s="4">
        <v>1.1826E-3</v>
      </c>
      <c r="CL43" s="4">
        <v>1.1663000000000001E-3</v>
      </c>
      <c r="CM43" s="4">
        <v>1.1502999999999999E-3</v>
      </c>
      <c r="CN43" s="4">
        <v>1.1344E-3</v>
      </c>
      <c r="CO43" s="4">
        <v>1.1187E-3</v>
      </c>
      <c r="CP43" s="4">
        <v>1.1031999999999999E-3</v>
      </c>
      <c r="CQ43" s="4">
        <v>1.088E-3</v>
      </c>
      <c r="CR43" s="4">
        <v>1.0728999999999999E-3</v>
      </c>
      <c r="CS43" s="4">
        <v>1.0579999999999999E-3</v>
      </c>
      <c r="CT43" s="4">
        <v>1.0433E-3</v>
      </c>
      <c r="CU43" s="4">
        <v>1.0288000000000001E-3</v>
      </c>
      <c r="CV43" s="4">
        <v>1.0145E-3</v>
      </c>
      <c r="CW43" s="4">
        <v>1.0004E-3</v>
      </c>
      <c r="CX43" s="4">
        <v>9.8649999999999996E-4</v>
      </c>
      <c r="CY43" s="4">
        <v>9.7269999999999995E-4</v>
      </c>
      <c r="CZ43" s="4">
        <v>9.5909999999999995E-4</v>
      </c>
      <c r="DA43" s="4">
        <v>9.458E-4</v>
      </c>
      <c r="DB43" s="4">
        <v>9.3249999999999995E-4</v>
      </c>
      <c r="DC43" s="4">
        <v>9.1949999999999996E-4</v>
      </c>
      <c r="DD43" s="4">
        <v>9.0660000000000003E-4</v>
      </c>
      <c r="DE43" s="4">
        <v>8.9389999999999999E-4</v>
      </c>
      <c r="DF43" s="4">
        <v>8.8139999999999996E-4</v>
      </c>
      <c r="DG43" s="4">
        <v>8.6910000000000004E-4</v>
      </c>
      <c r="DH43" s="4">
        <v>8.5689999999999996E-4</v>
      </c>
      <c r="DI43" s="4">
        <v>8.4480000000000004E-4</v>
      </c>
      <c r="DJ43" s="4">
        <v>8.3299999999999997E-4</v>
      </c>
      <c r="DK43" s="4">
        <v>8.2129999999999996E-4</v>
      </c>
      <c r="DL43" s="4">
        <v>8.097E-4</v>
      </c>
      <c r="DM43" s="4">
        <v>7.9830000000000005E-4</v>
      </c>
      <c r="DN43" s="4">
        <v>7.871E-4</v>
      </c>
      <c r="DO43" s="4">
        <v>7.76E-4</v>
      </c>
      <c r="DP43" s="4">
        <v>7.651E-4</v>
      </c>
      <c r="DQ43" s="4">
        <v>5.31586E-2</v>
      </c>
      <c r="DR43" s="4">
        <v>0</v>
      </c>
      <c r="DS43" s="4">
        <v>5.02E-5</v>
      </c>
      <c r="DT43" s="4">
        <v>1.7359999999999999E-4</v>
      </c>
      <c r="DU43" s="4">
        <v>6.9320000000000004E-4</v>
      </c>
      <c r="DV43" s="4">
        <v>6.1830000000000001E-4</v>
      </c>
      <c r="DW43" s="4">
        <v>5.7760000000000005E-4</v>
      </c>
      <c r="DX43" s="4">
        <v>5.9999999999999995E-4</v>
      </c>
      <c r="DY43" s="4">
        <v>5.308E-4</v>
      </c>
      <c r="DZ43" s="4">
        <v>4.8509999999999997E-4</v>
      </c>
      <c r="EA43" s="4">
        <v>4.3009999999999999E-4</v>
      </c>
      <c r="EB43" s="4">
        <v>3.8430000000000002E-4</v>
      </c>
      <c r="EC43" s="4">
        <v>3.4289999999999999E-4</v>
      </c>
      <c r="ED43" s="4">
        <v>3.0739999999999999E-4</v>
      </c>
      <c r="EE43" s="4">
        <v>2.7629999999999999E-4</v>
      </c>
      <c r="EF43" s="4">
        <v>2.4939999999999999E-4</v>
      </c>
      <c r="EG43" s="4">
        <v>2.2589999999999999E-4</v>
      </c>
      <c r="EH43" s="4">
        <v>2.053E-4</v>
      </c>
      <c r="EI43" s="4">
        <v>1.918E-4</v>
      </c>
      <c r="EJ43" s="4">
        <v>1.7540000000000001E-4</v>
      </c>
      <c r="EK43" s="4">
        <v>1.6100000000000001E-4</v>
      </c>
      <c r="EL43" s="4">
        <v>1.482E-4</v>
      </c>
      <c r="EM43" s="4">
        <v>1.3689999999999999E-4</v>
      </c>
      <c r="EN43" s="4">
        <v>1.2669999999999999E-4</v>
      </c>
      <c r="EO43" s="4">
        <v>1.178E-4</v>
      </c>
      <c r="EP43" s="4">
        <v>1.097E-4</v>
      </c>
      <c r="EQ43" s="4">
        <v>1.025E-4</v>
      </c>
      <c r="ER43" s="4">
        <v>9.6100000000000005E-5</v>
      </c>
      <c r="ES43" s="4">
        <v>9.0299999999999999E-5</v>
      </c>
      <c r="ET43" s="4">
        <v>8.5099999999999995E-5</v>
      </c>
      <c r="EU43" s="4">
        <v>8.03E-5</v>
      </c>
      <c r="EV43" s="4">
        <v>7.5799999999999999E-5</v>
      </c>
      <c r="EW43" s="4">
        <v>7.0099999999999996E-5</v>
      </c>
      <c r="EX43" s="4">
        <v>6.4300000000000004E-5</v>
      </c>
      <c r="EY43" s="4">
        <v>5.8199999999999998E-5</v>
      </c>
      <c r="EZ43" s="4">
        <v>4.8099999999999997E-5</v>
      </c>
      <c r="FA43" s="4">
        <v>5.1799999999999999E-5</v>
      </c>
      <c r="FB43" s="4">
        <v>4.9799999999999998E-5</v>
      </c>
      <c r="FC43" s="4">
        <v>4.7800000000000003E-5</v>
      </c>
      <c r="FD43" s="4">
        <v>4.6100000000000002E-5</v>
      </c>
      <c r="FE43" s="4">
        <v>4.4499999999999997E-5</v>
      </c>
      <c r="FF43" s="4">
        <v>4.2899999999999999E-5</v>
      </c>
      <c r="FG43" s="4">
        <v>4.1499999999999999E-5</v>
      </c>
      <c r="FH43" s="4">
        <v>4.0099999999999999E-5</v>
      </c>
      <c r="FI43" s="4">
        <v>3.8800000000000001E-5</v>
      </c>
      <c r="FJ43" s="4">
        <v>3.7499999999999997E-5</v>
      </c>
      <c r="FK43" s="4">
        <v>3.6399999999999997E-5</v>
      </c>
      <c r="FL43" s="4">
        <v>3.5299999999999997E-5</v>
      </c>
      <c r="FM43" s="4">
        <v>3.4199999999999998E-5</v>
      </c>
      <c r="FN43" s="4">
        <v>3.3300000000000003E-5</v>
      </c>
      <c r="FO43" s="4">
        <v>3.2299999999999999E-5</v>
      </c>
      <c r="FP43" s="4">
        <v>3.15E-5</v>
      </c>
      <c r="FQ43" s="4">
        <v>3.0700000000000001E-5</v>
      </c>
      <c r="FR43" s="4">
        <v>2.9899999999999998E-5</v>
      </c>
      <c r="FS43" s="4">
        <v>2.9200000000000002E-5</v>
      </c>
      <c r="FT43" s="4">
        <v>2.8500000000000002E-5</v>
      </c>
      <c r="FU43" s="4">
        <v>2.7800000000000001E-5</v>
      </c>
      <c r="FV43" s="4">
        <v>2.72E-5</v>
      </c>
      <c r="FW43" s="4">
        <v>2.6599999999999999E-5</v>
      </c>
      <c r="FX43" s="4">
        <v>2.6100000000000001E-5</v>
      </c>
      <c r="FY43" s="4">
        <v>2.55E-5</v>
      </c>
      <c r="FZ43" s="4">
        <v>2.5000000000000001E-5</v>
      </c>
      <c r="GA43" s="4">
        <v>2.4600000000000002E-5</v>
      </c>
      <c r="GB43" s="4">
        <v>2.41E-5</v>
      </c>
      <c r="GC43" s="4">
        <v>2.37E-5</v>
      </c>
      <c r="GD43" s="4">
        <v>2.3300000000000001E-5</v>
      </c>
      <c r="GE43" s="4">
        <v>2.2900000000000001E-5</v>
      </c>
      <c r="GF43" s="4">
        <v>2.2500000000000001E-5</v>
      </c>
      <c r="GG43" s="4">
        <v>2.2099999999999998E-5</v>
      </c>
      <c r="GH43" s="4">
        <v>2.1699999999999999E-5</v>
      </c>
      <c r="GI43" s="4">
        <v>2.1399999999999998E-5</v>
      </c>
      <c r="GJ43" s="4">
        <v>2.1100000000000001E-5</v>
      </c>
      <c r="GK43" s="4">
        <v>2.0699999999999998E-5</v>
      </c>
      <c r="GL43" s="4">
        <v>2.0400000000000001E-5</v>
      </c>
      <c r="GM43" s="4">
        <v>2.0100000000000001E-5</v>
      </c>
      <c r="GN43" s="4">
        <v>1.98E-5</v>
      </c>
      <c r="GO43" s="4">
        <v>1.95E-5</v>
      </c>
      <c r="GP43" s="4">
        <v>1.9300000000000002E-5</v>
      </c>
      <c r="GQ43" s="4">
        <v>1.9000000000000001E-5</v>
      </c>
      <c r="GR43" s="4">
        <v>1.8700000000000001E-5</v>
      </c>
      <c r="GS43" s="4">
        <v>1.8499999999999999E-5</v>
      </c>
      <c r="GT43" s="4">
        <v>1.8199999999999999E-5</v>
      </c>
      <c r="GU43" s="4">
        <v>1.7900000000000001E-5</v>
      </c>
      <c r="GV43" s="4">
        <v>1.77E-5</v>
      </c>
      <c r="GW43" s="4">
        <v>1.7499999999999998E-5</v>
      </c>
      <c r="GX43" s="4">
        <v>1.7200000000000001E-5</v>
      </c>
      <c r="GY43" s="4">
        <v>1.7E-5</v>
      </c>
      <c r="GZ43" s="4">
        <v>1.6799999999999998E-5</v>
      </c>
      <c r="HA43" s="4">
        <v>1.6500000000000001E-5</v>
      </c>
      <c r="HB43" s="4">
        <v>1.63E-5</v>
      </c>
      <c r="HC43" s="4">
        <v>1.6099999999999998E-5</v>
      </c>
      <c r="HD43" s="4">
        <v>1.59E-5</v>
      </c>
      <c r="HE43" s="4">
        <v>1.5699999999999999E-5</v>
      </c>
      <c r="HF43" s="4">
        <v>1.5400000000000002E-5</v>
      </c>
      <c r="HG43" s="4">
        <v>1.52E-5</v>
      </c>
      <c r="HH43" s="4">
        <v>1.5E-5</v>
      </c>
      <c r="HI43" s="4">
        <v>1.4800000000000001E-5</v>
      </c>
      <c r="HJ43" s="4">
        <v>1.4600000000000001E-5</v>
      </c>
      <c r="HK43" s="4">
        <v>1.4399999999999999E-5</v>
      </c>
      <c r="HL43" s="4">
        <v>1.42E-5</v>
      </c>
      <c r="HM43" s="4">
        <v>1.4E-5</v>
      </c>
      <c r="HN43" s="4">
        <v>1.3900000000000001E-5</v>
      </c>
      <c r="HO43" s="4">
        <v>1.3699999999999999E-5</v>
      </c>
      <c r="HP43" s="4">
        <v>1.3499999999999999E-5</v>
      </c>
      <c r="HQ43" s="4">
        <v>1.33E-5</v>
      </c>
      <c r="HR43" s="4">
        <v>1.31E-5</v>
      </c>
      <c r="HS43" s="4">
        <v>1.29E-5</v>
      </c>
      <c r="HT43" s="4">
        <v>1.2799999999999999E-5</v>
      </c>
      <c r="HU43" s="4">
        <v>1.26E-5</v>
      </c>
      <c r="HV43" s="4">
        <v>1.24E-5</v>
      </c>
      <c r="HW43" s="4">
        <v>1.22E-5</v>
      </c>
      <c r="HX43" s="4">
        <v>1.2099999999999999E-5</v>
      </c>
      <c r="HY43" s="4">
        <v>1.19E-5</v>
      </c>
      <c r="HZ43" s="4">
        <v>1.1800000000000001E-5</v>
      </c>
      <c r="IA43" s="4">
        <v>1.1600000000000001E-5</v>
      </c>
      <c r="IB43" s="4">
        <v>1.1399999999999999E-5</v>
      </c>
      <c r="IC43" s="4">
        <v>1.13E-5</v>
      </c>
      <c r="ID43" s="4">
        <v>1.11E-5</v>
      </c>
      <c r="IE43" s="4">
        <v>1.1E-5</v>
      </c>
      <c r="IF43" s="4">
        <v>1.08E-5</v>
      </c>
      <c r="IG43" s="4">
        <v>7.5469999999999997E-4</v>
      </c>
      <c r="IH43" s="4"/>
      <c r="II43" s="4">
        <f t="shared" si="245"/>
        <v>0.11570359157160713</v>
      </c>
      <c r="IJ43">
        <f t="shared" si="246"/>
        <v>0.3592654250000003</v>
      </c>
      <c r="IN43" s="4"/>
      <c r="IO43" s="4"/>
      <c r="IP43" s="4"/>
      <c r="IQ43" s="4"/>
      <c r="IR43" s="4"/>
      <c r="IS43" s="4"/>
      <c r="IT43" s="4"/>
      <c r="IU43" s="4"/>
      <c r="IV43" s="4"/>
    </row>
    <row r="44" spans="1:256" x14ac:dyDescent="0.35">
      <c r="A44" s="1">
        <v>36</v>
      </c>
      <c r="B44" s="4">
        <v>1.0654E-2</v>
      </c>
      <c r="C44" s="4">
        <v>1.0654E-2</v>
      </c>
      <c r="D44" s="4">
        <v>1.0684600000000001E-2</v>
      </c>
      <c r="E44" s="4">
        <v>1.0511E-2</v>
      </c>
      <c r="F44" s="4">
        <v>9.8177999999999998E-3</v>
      </c>
      <c r="G44" s="4">
        <v>9.1996999999999999E-3</v>
      </c>
      <c r="H44" s="4">
        <v>8.6225E-3</v>
      </c>
      <c r="I44" s="4">
        <v>8.0230000000000006E-3</v>
      </c>
      <c r="J44" s="4">
        <v>7.4928E-3</v>
      </c>
      <c r="K44" s="4">
        <v>7.0085E-3</v>
      </c>
      <c r="L44" s="4">
        <v>6.5792999999999997E-3</v>
      </c>
      <c r="M44" s="4">
        <v>6.1961999999999998E-3</v>
      </c>
      <c r="N44" s="4">
        <v>5.8548999999999997E-3</v>
      </c>
      <c r="O44" s="4">
        <v>5.5499E-3</v>
      </c>
      <c r="P44" s="4">
        <v>5.2763999999999997E-3</v>
      </c>
      <c r="Q44" s="4">
        <v>5.0301E-3</v>
      </c>
      <c r="R44" s="4">
        <v>4.8075000000000001E-3</v>
      </c>
      <c r="S44" s="4">
        <v>4.6055999999999996E-3</v>
      </c>
      <c r="T44" s="4">
        <v>4.5005000000000002E-3</v>
      </c>
      <c r="U44" s="4">
        <v>4.3284999999999999E-3</v>
      </c>
      <c r="V44" s="4">
        <v>4.1713000000000002E-3</v>
      </c>
      <c r="W44" s="4">
        <v>4.0271999999999999E-3</v>
      </c>
      <c r="X44" s="4">
        <v>3.8945999999999998E-3</v>
      </c>
      <c r="Y44" s="4">
        <v>3.7723000000000001E-3</v>
      </c>
      <c r="Z44" s="4">
        <v>3.6597999999999999E-3</v>
      </c>
      <c r="AA44" s="4">
        <v>3.555E-3</v>
      </c>
      <c r="AB44" s="4">
        <v>3.4573E-3</v>
      </c>
      <c r="AC44" s="4">
        <v>3.3658999999999998E-3</v>
      </c>
      <c r="AD44" s="4">
        <v>3.2797E-3</v>
      </c>
      <c r="AE44" s="4">
        <v>3.1995000000000001E-3</v>
      </c>
      <c r="AF44" s="4">
        <v>3.1191999999999999E-3</v>
      </c>
      <c r="AG44" s="4">
        <v>3.0379999999999999E-3</v>
      </c>
      <c r="AH44" s="4">
        <v>2.9033000000000002E-3</v>
      </c>
      <c r="AI44" s="4">
        <v>2.7431000000000001E-3</v>
      </c>
      <c r="AJ44" s="4">
        <v>2.5535000000000002E-3</v>
      </c>
      <c r="AK44" s="4">
        <v>2.1705000000000001E-3</v>
      </c>
      <c r="AL44" s="4">
        <v>2.3632000000000002E-3</v>
      </c>
      <c r="AM44" s="4">
        <v>2.3300999999999999E-3</v>
      </c>
      <c r="AN44" s="4">
        <v>2.2978E-3</v>
      </c>
      <c r="AO44" s="4">
        <v>2.2707999999999999E-3</v>
      </c>
      <c r="AP44" s="4">
        <v>2.2431999999999999E-3</v>
      </c>
      <c r="AQ44" s="4">
        <v>2.2144999999999999E-3</v>
      </c>
      <c r="AR44" s="4">
        <v>2.1863999999999998E-3</v>
      </c>
      <c r="AS44" s="4">
        <v>2.1580000000000002E-3</v>
      </c>
      <c r="AT44" s="4">
        <v>2.1297E-3</v>
      </c>
      <c r="AU44" s="4">
        <v>2.1015000000000001E-3</v>
      </c>
      <c r="AV44" s="4">
        <v>2.0734E-3</v>
      </c>
      <c r="AW44" s="4">
        <v>2.0455999999999998E-3</v>
      </c>
      <c r="AX44" s="4">
        <v>2.0179999999999998E-3</v>
      </c>
      <c r="AY44" s="4">
        <v>1.9905999999999999E-3</v>
      </c>
      <c r="AZ44" s="4">
        <v>1.9635999999999998E-3</v>
      </c>
      <c r="BA44" s="4">
        <v>1.9369999999999999E-3</v>
      </c>
      <c r="BB44" s="4">
        <v>1.9105999999999999E-3</v>
      </c>
      <c r="BC44" s="4">
        <v>1.8845999999999999E-3</v>
      </c>
      <c r="BD44" s="4">
        <v>1.859E-3</v>
      </c>
      <c r="BE44" s="4">
        <v>1.8337E-3</v>
      </c>
      <c r="BF44" s="4">
        <v>1.8087999999999999E-3</v>
      </c>
      <c r="BG44" s="4">
        <v>1.7841999999999999E-3</v>
      </c>
      <c r="BH44" s="4">
        <v>1.7599E-3</v>
      </c>
      <c r="BI44" s="4">
        <v>1.7359999999999999E-3</v>
      </c>
      <c r="BJ44" s="4">
        <v>1.7124E-3</v>
      </c>
      <c r="BK44" s="4">
        <v>1.6892000000000001E-3</v>
      </c>
      <c r="BL44" s="4">
        <v>1.6662999999999999E-3</v>
      </c>
      <c r="BM44" s="4">
        <v>1.6436999999999999E-3</v>
      </c>
      <c r="BN44" s="4">
        <v>1.6214000000000001E-3</v>
      </c>
      <c r="BO44" s="4">
        <v>1.5994E-3</v>
      </c>
      <c r="BP44" s="4">
        <v>1.5777E-3</v>
      </c>
      <c r="BQ44" s="4">
        <v>1.5563E-3</v>
      </c>
      <c r="BR44" s="4">
        <v>1.5351E-3</v>
      </c>
      <c r="BS44" s="4">
        <v>1.5143000000000001E-3</v>
      </c>
      <c r="BT44" s="4">
        <v>1.4938E-3</v>
      </c>
      <c r="BU44" s="4">
        <v>1.4735E-3</v>
      </c>
      <c r="BV44" s="4">
        <v>1.4534999999999999E-3</v>
      </c>
      <c r="BW44" s="4">
        <v>1.4337E-3</v>
      </c>
      <c r="BX44" s="4">
        <v>1.4142E-3</v>
      </c>
      <c r="BY44" s="4">
        <v>1.395E-3</v>
      </c>
      <c r="BZ44" s="4">
        <v>1.3760000000000001E-3</v>
      </c>
      <c r="CA44" s="4">
        <v>1.3572E-3</v>
      </c>
      <c r="CB44" s="4">
        <v>1.3387E-3</v>
      </c>
      <c r="CC44" s="4">
        <v>1.3204E-3</v>
      </c>
      <c r="CD44" s="4">
        <v>1.3024E-3</v>
      </c>
      <c r="CE44" s="4">
        <v>1.2846000000000001E-3</v>
      </c>
      <c r="CF44" s="4">
        <v>1.2669999999999999E-3</v>
      </c>
      <c r="CG44" s="4">
        <v>1.2496E-3</v>
      </c>
      <c r="CH44" s="4">
        <v>1.2325000000000001E-3</v>
      </c>
      <c r="CI44" s="4">
        <v>1.2156000000000001E-3</v>
      </c>
      <c r="CJ44" s="4">
        <v>1.1988999999999999E-3</v>
      </c>
      <c r="CK44" s="4">
        <v>1.1823999999999999E-3</v>
      </c>
      <c r="CL44" s="4">
        <v>1.1661E-3</v>
      </c>
      <c r="CM44" s="4">
        <v>1.15E-3</v>
      </c>
      <c r="CN44" s="4">
        <v>1.1341999999999999E-3</v>
      </c>
      <c r="CO44" s="4">
        <v>1.1184999999999999E-3</v>
      </c>
      <c r="CP44" s="4">
        <v>1.1031000000000001E-3</v>
      </c>
      <c r="CQ44" s="4">
        <v>1.0878000000000001E-3</v>
      </c>
      <c r="CR44" s="4">
        <v>1.0727E-3</v>
      </c>
      <c r="CS44" s="4">
        <v>1.0579000000000001E-3</v>
      </c>
      <c r="CT44" s="4">
        <v>1.0432E-3</v>
      </c>
      <c r="CU44" s="4">
        <v>1.0287E-3</v>
      </c>
      <c r="CV44" s="4">
        <v>1.0143999999999999E-3</v>
      </c>
      <c r="CW44" s="4">
        <v>1.0003E-3</v>
      </c>
      <c r="CX44" s="4">
        <v>9.8639999999999991E-4</v>
      </c>
      <c r="CY44" s="4">
        <v>9.7260000000000001E-4</v>
      </c>
      <c r="CZ44" s="4">
        <v>9.5909999999999995E-4</v>
      </c>
      <c r="DA44" s="4">
        <v>9.4569999999999995E-4</v>
      </c>
      <c r="DB44" s="4">
        <v>9.3249999999999995E-4</v>
      </c>
      <c r="DC44" s="4">
        <v>9.1940000000000001E-4</v>
      </c>
      <c r="DD44" s="4">
        <v>9.0660000000000003E-4</v>
      </c>
      <c r="DE44" s="4">
        <v>8.9389999999999999E-4</v>
      </c>
      <c r="DF44" s="4">
        <v>8.8139999999999996E-4</v>
      </c>
      <c r="DG44" s="4">
        <v>8.6899999999999998E-4</v>
      </c>
      <c r="DH44" s="4">
        <v>8.5680000000000001E-4</v>
      </c>
      <c r="DI44" s="4">
        <v>8.4480000000000004E-4</v>
      </c>
      <c r="DJ44" s="4">
        <v>8.3290000000000002E-4</v>
      </c>
      <c r="DK44" s="4">
        <v>8.2120000000000001E-4</v>
      </c>
      <c r="DL44" s="4">
        <v>8.097E-4</v>
      </c>
      <c r="DM44" s="4">
        <v>7.9830000000000005E-4</v>
      </c>
      <c r="DN44" s="4">
        <v>7.871E-4</v>
      </c>
      <c r="DO44" s="4">
        <v>7.76E-4</v>
      </c>
      <c r="DP44" s="4">
        <v>7.651E-4</v>
      </c>
      <c r="DQ44" s="4">
        <v>5.3158200000000003E-2</v>
      </c>
      <c r="DR44" s="4">
        <v>0</v>
      </c>
      <c r="DS44" s="4">
        <v>4.8199999999999999E-5</v>
      </c>
      <c r="DT44" s="4">
        <v>1.7369999999999999E-4</v>
      </c>
      <c r="DU44" s="4">
        <v>6.9329999999999999E-4</v>
      </c>
      <c r="DV44" s="4">
        <v>6.1850000000000002E-4</v>
      </c>
      <c r="DW44" s="4">
        <v>5.777E-4</v>
      </c>
      <c r="DX44" s="4">
        <v>6.001E-4</v>
      </c>
      <c r="DY44" s="4">
        <v>5.31E-4</v>
      </c>
      <c r="DZ44" s="4">
        <v>4.8519999999999998E-4</v>
      </c>
      <c r="EA44" s="4">
        <v>4.3019999999999999E-4</v>
      </c>
      <c r="EB44" s="4">
        <v>3.8430000000000002E-4</v>
      </c>
      <c r="EC44" s="4">
        <v>3.4269999999999998E-4</v>
      </c>
      <c r="ED44" s="4">
        <v>3.0699999999999998E-4</v>
      </c>
      <c r="EE44" s="4">
        <v>2.7569999999999998E-4</v>
      </c>
      <c r="EF44" s="4">
        <v>2.4860000000000003E-4</v>
      </c>
      <c r="EG44" s="4">
        <v>2.2489999999999999E-4</v>
      </c>
      <c r="EH44" s="4">
        <v>2.0430000000000001E-4</v>
      </c>
      <c r="EI44" s="4">
        <v>1.862E-4</v>
      </c>
      <c r="EJ44" s="4">
        <v>1.7430000000000001E-4</v>
      </c>
      <c r="EK44" s="4">
        <v>1.5990000000000001E-4</v>
      </c>
      <c r="EL44" s="4">
        <v>1.471E-4</v>
      </c>
      <c r="EM44" s="4">
        <v>1.3579999999999999E-4</v>
      </c>
      <c r="EN44" s="4">
        <v>1.2579999999999999E-4</v>
      </c>
      <c r="EO44" s="4">
        <v>1.1680000000000001E-4</v>
      </c>
      <c r="EP44" s="4">
        <v>1.089E-4</v>
      </c>
      <c r="EQ44" s="4">
        <v>1.0179999999999999E-4</v>
      </c>
      <c r="ER44" s="4">
        <v>9.5400000000000001E-5</v>
      </c>
      <c r="ES44" s="4">
        <v>8.9699999999999998E-5</v>
      </c>
      <c r="ET44" s="4">
        <v>8.4499999999999994E-5</v>
      </c>
      <c r="EU44" s="4">
        <v>7.9800000000000002E-5</v>
      </c>
      <c r="EV44" s="4">
        <v>7.5500000000000006E-5</v>
      </c>
      <c r="EW44" s="4">
        <v>7.1400000000000001E-5</v>
      </c>
      <c r="EX44" s="4">
        <v>6.6199999999999996E-5</v>
      </c>
      <c r="EY44" s="4">
        <v>6.0800000000000001E-5</v>
      </c>
      <c r="EZ44" s="4">
        <v>5.52E-5</v>
      </c>
      <c r="FA44" s="4">
        <v>4.57E-5</v>
      </c>
      <c r="FB44" s="4">
        <v>4.9299999999999999E-5</v>
      </c>
      <c r="FC44" s="4">
        <v>4.74E-5</v>
      </c>
      <c r="FD44" s="4">
        <v>4.5599999999999997E-5</v>
      </c>
      <c r="FE44" s="4">
        <v>4.3999999999999999E-5</v>
      </c>
      <c r="FF44" s="4">
        <v>4.2599999999999999E-5</v>
      </c>
      <c r="FG44" s="4">
        <v>4.1100000000000003E-5</v>
      </c>
      <c r="FH44" s="4">
        <v>3.9799999999999998E-5</v>
      </c>
      <c r="FI44" s="4">
        <v>3.8500000000000001E-5</v>
      </c>
      <c r="FJ44" s="4">
        <v>3.7299999999999999E-5</v>
      </c>
      <c r="FK44" s="4">
        <v>3.6199999999999999E-5</v>
      </c>
      <c r="FL44" s="4">
        <v>3.5099999999999999E-5</v>
      </c>
      <c r="FM44" s="4">
        <v>3.4100000000000002E-5</v>
      </c>
      <c r="FN44" s="4">
        <v>3.3099999999999998E-5</v>
      </c>
      <c r="FO44" s="4">
        <v>3.2199999999999997E-5</v>
      </c>
      <c r="FP44" s="4">
        <v>3.1399999999999998E-5</v>
      </c>
      <c r="FQ44" s="4">
        <v>3.0599999999999998E-5</v>
      </c>
      <c r="FR44" s="4">
        <v>2.9799999999999999E-5</v>
      </c>
      <c r="FS44" s="4">
        <v>2.9099999999999999E-5</v>
      </c>
      <c r="FT44" s="4">
        <v>2.8399999999999999E-5</v>
      </c>
      <c r="FU44" s="4">
        <v>2.7800000000000001E-5</v>
      </c>
      <c r="FV44" s="4">
        <v>2.7100000000000001E-5</v>
      </c>
      <c r="FW44" s="4">
        <v>2.6599999999999999E-5</v>
      </c>
      <c r="FX44" s="4">
        <v>2.5999999999999998E-5</v>
      </c>
      <c r="FY44" s="4">
        <v>2.55E-5</v>
      </c>
      <c r="FZ44" s="4">
        <v>2.5000000000000001E-5</v>
      </c>
      <c r="GA44" s="4">
        <v>2.4499999999999999E-5</v>
      </c>
      <c r="GB44" s="4">
        <v>2.41E-5</v>
      </c>
      <c r="GC44" s="4">
        <v>2.3600000000000001E-5</v>
      </c>
      <c r="GD44" s="4">
        <v>2.3200000000000001E-5</v>
      </c>
      <c r="GE44" s="4">
        <v>2.2799999999999999E-5</v>
      </c>
      <c r="GF44" s="4">
        <v>2.2399999999999999E-5</v>
      </c>
      <c r="GG44" s="4">
        <v>2.2099999999999998E-5</v>
      </c>
      <c r="GH44" s="4">
        <v>2.1699999999999999E-5</v>
      </c>
      <c r="GI44" s="4">
        <v>2.1399999999999998E-5</v>
      </c>
      <c r="GJ44" s="4">
        <v>2.0999999999999999E-5</v>
      </c>
      <c r="GK44" s="4">
        <v>2.0699999999999998E-5</v>
      </c>
      <c r="GL44" s="4">
        <v>2.0400000000000001E-5</v>
      </c>
      <c r="GM44" s="4">
        <v>2.0100000000000001E-5</v>
      </c>
      <c r="GN44" s="4">
        <v>1.98E-5</v>
      </c>
      <c r="GO44" s="4">
        <v>1.95E-5</v>
      </c>
      <c r="GP44" s="4">
        <v>1.9199999999999999E-5</v>
      </c>
      <c r="GQ44" s="4">
        <v>1.9000000000000001E-5</v>
      </c>
      <c r="GR44" s="4">
        <v>1.8700000000000001E-5</v>
      </c>
      <c r="GS44" s="4">
        <v>1.84E-5</v>
      </c>
      <c r="GT44" s="4">
        <v>1.8199999999999999E-5</v>
      </c>
      <c r="GU44" s="4">
        <v>1.7900000000000001E-5</v>
      </c>
      <c r="GV44" s="4">
        <v>1.77E-5</v>
      </c>
      <c r="GW44" s="4">
        <v>1.7399999999999999E-5</v>
      </c>
      <c r="GX44" s="4">
        <v>1.7200000000000001E-5</v>
      </c>
      <c r="GY44" s="4">
        <v>1.7E-5</v>
      </c>
      <c r="GZ44" s="4">
        <v>1.6699999999999999E-5</v>
      </c>
      <c r="HA44" s="4">
        <v>1.6500000000000001E-5</v>
      </c>
      <c r="HB44" s="4">
        <v>1.63E-5</v>
      </c>
      <c r="HC44" s="4">
        <v>1.6099999999999998E-5</v>
      </c>
      <c r="HD44" s="4">
        <v>1.59E-5</v>
      </c>
      <c r="HE44" s="4">
        <v>1.56E-5</v>
      </c>
      <c r="HF44" s="4">
        <v>1.5400000000000002E-5</v>
      </c>
      <c r="HG44" s="4">
        <v>1.52E-5</v>
      </c>
      <c r="HH44" s="4">
        <v>1.5E-5</v>
      </c>
      <c r="HI44" s="4">
        <v>1.4800000000000001E-5</v>
      </c>
      <c r="HJ44" s="4">
        <v>1.4600000000000001E-5</v>
      </c>
      <c r="HK44" s="4">
        <v>1.4399999999999999E-5</v>
      </c>
      <c r="HL44" s="4">
        <v>1.42E-5</v>
      </c>
      <c r="HM44" s="4">
        <v>1.4E-5</v>
      </c>
      <c r="HN44" s="4">
        <v>1.3900000000000001E-5</v>
      </c>
      <c r="HO44" s="4">
        <v>1.3699999999999999E-5</v>
      </c>
      <c r="HP44" s="4">
        <v>1.3499999999999999E-5</v>
      </c>
      <c r="HQ44" s="4">
        <v>1.33E-5</v>
      </c>
      <c r="HR44" s="4">
        <v>1.31E-5</v>
      </c>
      <c r="HS44" s="4">
        <v>1.29E-5</v>
      </c>
      <c r="HT44" s="4">
        <v>1.2799999999999999E-5</v>
      </c>
      <c r="HU44" s="4">
        <v>1.26E-5</v>
      </c>
      <c r="HV44" s="4">
        <v>1.24E-5</v>
      </c>
      <c r="HW44" s="4">
        <v>1.22E-5</v>
      </c>
      <c r="HX44" s="4">
        <v>1.2099999999999999E-5</v>
      </c>
      <c r="HY44" s="4">
        <v>1.19E-5</v>
      </c>
      <c r="HZ44" s="4">
        <v>1.1800000000000001E-5</v>
      </c>
      <c r="IA44" s="4">
        <v>1.1600000000000001E-5</v>
      </c>
      <c r="IB44" s="4">
        <v>1.1399999999999999E-5</v>
      </c>
      <c r="IC44" s="4">
        <v>1.13E-5</v>
      </c>
      <c r="ID44" s="4">
        <v>1.11E-5</v>
      </c>
      <c r="IE44" s="4">
        <v>1.1E-5</v>
      </c>
      <c r="IF44" s="4">
        <v>1.08E-5</v>
      </c>
      <c r="IG44" s="4">
        <v>7.5469999999999997E-4</v>
      </c>
      <c r="IH44" s="4"/>
      <c r="II44" s="4">
        <f t="shared" si="245"/>
        <v>0.11576874139888645</v>
      </c>
      <c r="IJ44">
        <f t="shared" si="246"/>
        <v>0.35929215000000059</v>
      </c>
      <c r="IN44" s="4"/>
      <c r="IO44" s="4"/>
      <c r="IP44" s="4"/>
      <c r="IQ44" s="4"/>
      <c r="IR44" s="4"/>
      <c r="IS44" s="4"/>
      <c r="IT44" s="4"/>
      <c r="IU44" s="4"/>
      <c r="IV44" s="4"/>
    </row>
    <row r="45" spans="1:256" x14ac:dyDescent="0.35">
      <c r="A45" s="1">
        <v>37</v>
      </c>
      <c r="B45" s="4">
        <v>1.0654E-2</v>
      </c>
      <c r="C45" s="4">
        <v>1.0654E-2</v>
      </c>
      <c r="D45" s="4">
        <v>1.06058E-2</v>
      </c>
      <c r="E45" s="4">
        <v>1.05109E-2</v>
      </c>
      <c r="F45" s="4">
        <v>9.8177000000000004E-3</v>
      </c>
      <c r="G45" s="4">
        <v>9.1993999999999999E-3</v>
      </c>
      <c r="H45" s="4">
        <v>8.6219999999999995E-3</v>
      </c>
      <c r="I45" s="4">
        <v>8.0222999999999996E-3</v>
      </c>
      <c r="J45" s="4">
        <v>7.4920000000000004E-3</v>
      </c>
      <c r="K45" s="4">
        <v>7.0076000000000001E-3</v>
      </c>
      <c r="L45" s="4">
        <v>6.5782999999999996E-3</v>
      </c>
      <c r="M45" s="4">
        <v>6.195E-3</v>
      </c>
      <c r="N45" s="4">
        <v>5.8535000000000002E-3</v>
      </c>
      <c r="O45" s="4">
        <v>5.548E-3</v>
      </c>
      <c r="P45" s="4">
        <v>5.2741999999999997E-3</v>
      </c>
      <c r="Q45" s="4">
        <v>5.0277999999999998E-3</v>
      </c>
      <c r="R45" s="4">
        <v>4.8050999999999996E-3</v>
      </c>
      <c r="S45" s="4">
        <v>4.6032E-3</v>
      </c>
      <c r="T45" s="4">
        <v>4.4194000000000004E-3</v>
      </c>
      <c r="U45" s="4">
        <v>4.3261999999999997E-3</v>
      </c>
      <c r="V45" s="4">
        <v>4.1685999999999997E-3</v>
      </c>
      <c r="W45" s="4">
        <v>4.0242000000000003E-3</v>
      </c>
      <c r="X45" s="4">
        <v>3.8912999999999999E-3</v>
      </c>
      <c r="Y45" s="4">
        <v>3.7688000000000001E-3</v>
      </c>
      <c r="Z45" s="4">
        <v>3.6554999999999999E-3</v>
      </c>
      <c r="AA45" s="4">
        <v>3.5509000000000001E-3</v>
      </c>
      <c r="AB45" s="4">
        <v>3.4532E-3</v>
      </c>
      <c r="AC45" s="4">
        <v>3.3619000000000001E-3</v>
      </c>
      <c r="AD45" s="4">
        <v>3.2761999999999999E-3</v>
      </c>
      <c r="AE45" s="4">
        <v>3.1952E-3</v>
      </c>
      <c r="AF45" s="4">
        <v>3.1196000000000002E-3</v>
      </c>
      <c r="AG45" s="4">
        <v>3.0436999999999999E-3</v>
      </c>
      <c r="AH45" s="4">
        <v>2.9665999999999998E-3</v>
      </c>
      <c r="AI45" s="4">
        <v>2.8370000000000001E-3</v>
      </c>
      <c r="AJ45" s="4">
        <v>2.6822999999999999E-3</v>
      </c>
      <c r="AK45" s="4">
        <v>2.4983000000000002E-3</v>
      </c>
      <c r="AL45" s="4">
        <v>2.1248E-3</v>
      </c>
      <c r="AM45" s="4">
        <v>2.3140000000000001E-3</v>
      </c>
      <c r="AN45" s="4">
        <v>2.2828000000000002E-3</v>
      </c>
      <c r="AO45" s="4">
        <v>2.2522000000000002E-3</v>
      </c>
      <c r="AP45" s="4">
        <v>2.2266999999999999E-3</v>
      </c>
      <c r="AQ45" s="4">
        <v>2.2006E-3</v>
      </c>
      <c r="AR45" s="4">
        <v>2.1733999999999998E-3</v>
      </c>
      <c r="AS45" s="4">
        <v>2.1465999999999998E-3</v>
      </c>
      <c r="AT45" s="4">
        <v>2.1194999999999999E-3</v>
      </c>
      <c r="AU45" s="4">
        <v>2.0923999999999999E-3</v>
      </c>
      <c r="AV45" s="4">
        <v>2.0652999999999999E-3</v>
      </c>
      <c r="AW45" s="4">
        <v>2.0382999999999998E-3</v>
      </c>
      <c r="AX45" s="4">
        <v>2.0114999999999998E-3</v>
      </c>
      <c r="AY45" s="4">
        <v>1.9848000000000001E-3</v>
      </c>
      <c r="AZ45" s="4">
        <v>1.9583999999999999E-3</v>
      </c>
      <c r="BA45" s="4">
        <v>1.9323000000000001E-3</v>
      </c>
      <c r="BB45" s="4">
        <v>1.9063999999999999E-3</v>
      </c>
      <c r="BC45" s="4">
        <v>1.8808E-3</v>
      </c>
      <c r="BD45" s="4">
        <v>1.8556E-3</v>
      </c>
      <c r="BE45" s="4">
        <v>1.8305999999999999E-3</v>
      </c>
      <c r="BF45" s="4">
        <v>1.8059E-3</v>
      </c>
      <c r="BG45" s="4">
        <v>1.7815999999999999E-3</v>
      </c>
      <c r="BH45" s="4">
        <v>1.7576E-3</v>
      </c>
      <c r="BI45" s="4">
        <v>1.7339E-3</v>
      </c>
      <c r="BJ45" s="4">
        <v>1.7105E-3</v>
      </c>
      <c r="BK45" s="4">
        <v>1.6873999999999999E-3</v>
      </c>
      <c r="BL45" s="4">
        <v>1.6647000000000001E-3</v>
      </c>
      <c r="BM45" s="4">
        <v>1.6421999999999999E-3</v>
      </c>
      <c r="BN45" s="4">
        <v>1.6199999999999999E-3</v>
      </c>
      <c r="BO45" s="4">
        <v>1.5981000000000001E-3</v>
      </c>
      <c r="BP45" s="4">
        <v>1.5765E-3</v>
      </c>
      <c r="BQ45" s="4">
        <v>1.5552000000000001E-3</v>
      </c>
      <c r="BR45" s="4">
        <v>1.5342000000000001E-3</v>
      </c>
      <c r="BS45" s="4">
        <v>1.5134E-3</v>
      </c>
      <c r="BT45" s="4">
        <v>1.4928999999999999E-3</v>
      </c>
      <c r="BU45" s="4">
        <v>1.4727E-3</v>
      </c>
      <c r="BV45" s="4">
        <v>1.4526999999999999E-3</v>
      </c>
      <c r="BW45" s="4">
        <v>1.433E-3</v>
      </c>
      <c r="BX45" s="4">
        <v>1.4136000000000001E-3</v>
      </c>
      <c r="BY45" s="4">
        <v>1.3944000000000001E-3</v>
      </c>
      <c r="BZ45" s="4">
        <v>1.3753999999999999E-3</v>
      </c>
      <c r="CA45" s="4">
        <v>1.3567E-3</v>
      </c>
      <c r="CB45" s="4">
        <v>1.3381999999999999E-3</v>
      </c>
      <c r="CC45" s="4">
        <v>1.32E-3</v>
      </c>
      <c r="CD45" s="4">
        <v>1.302E-3</v>
      </c>
      <c r="CE45" s="4">
        <v>1.2842000000000001E-3</v>
      </c>
      <c r="CF45" s="4">
        <v>1.2666000000000001E-3</v>
      </c>
      <c r="CG45" s="4">
        <v>1.2493000000000001E-3</v>
      </c>
      <c r="CH45" s="4">
        <v>1.2321999999999999E-3</v>
      </c>
      <c r="CI45" s="4">
        <v>1.2153000000000001E-3</v>
      </c>
      <c r="CJ45" s="4">
        <v>1.1986E-3</v>
      </c>
      <c r="CK45" s="4">
        <v>1.1820999999999999E-3</v>
      </c>
      <c r="CL45" s="4">
        <v>1.1659000000000001E-3</v>
      </c>
      <c r="CM45" s="4">
        <v>1.1498000000000001E-3</v>
      </c>
      <c r="CN45" s="4">
        <v>1.134E-3</v>
      </c>
      <c r="CO45" s="4">
        <v>1.1183E-3</v>
      </c>
      <c r="CP45" s="4">
        <v>1.1029E-3</v>
      </c>
      <c r="CQ45" s="4">
        <v>1.0876E-3</v>
      </c>
      <c r="CR45" s="4">
        <v>1.0725999999999999E-3</v>
      </c>
      <c r="CS45" s="4">
        <v>1.0577E-3</v>
      </c>
      <c r="CT45" s="4">
        <v>1.0430000000000001E-3</v>
      </c>
      <c r="CU45" s="4">
        <v>1.0286E-3</v>
      </c>
      <c r="CV45" s="4">
        <v>1.0143000000000001E-3</v>
      </c>
      <c r="CW45" s="4">
        <v>1.0001999999999999E-3</v>
      </c>
      <c r="CX45" s="4">
        <v>9.8620000000000001E-4</v>
      </c>
      <c r="CY45" s="4">
        <v>9.7249999999999995E-4</v>
      </c>
      <c r="CZ45" s="4">
        <v>9.59E-4</v>
      </c>
      <c r="DA45" s="4">
        <v>9.456E-4</v>
      </c>
      <c r="DB45" s="4">
        <v>9.324E-4</v>
      </c>
      <c r="DC45" s="4">
        <v>9.1929999999999996E-4</v>
      </c>
      <c r="DD45" s="4">
        <v>9.0649999999999997E-4</v>
      </c>
      <c r="DE45" s="4">
        <v>8.9380000000000004E-4</v>
      </c>
      <c r="DF45" s="4">
        <v>8.8130000000000001E-4</v>
      </c>
      <c r="DG45" s="4">
        <v>8.6890000000000003E-4</v>
      </c>
      <c r="DH45" s="4">
        <v>8.5680000000000001E-4</v>
      </c>
      <c r="DI45" s="4">
        <v>8.4469999999999999E-4</v>
      </c>
      <c r="DJ45" s="4">
        <v>8.3290000000000002E-4</v>
      </c>
      <c r="DK45" s="4">
        <v>8.2120000000000001E-4</v>
      </c>
      <c r="DL45" s="4">
        <v>8.0959999999999995E-4</v>
      </c>
      <c r="DM45" s="4">
        <v>7.9830000000000005E-4</v>
      </c>
      <c r="DN45" s="4">
        <v>7.8700000000000005E-4</v>
      </c>
      <c r="DO45" s="4">
        <v>7.7590000000000005E-4</v>
      </c>
      <c r="DP45" s="4">
        <v>7.6499999999999995E-4</v>
      </c>
      <c r="DQ45" s="4">
        <v>5.3157700000000002E-2</v>
      </c>
      <c r="DR45" s="4">
        <v>0</v>
      </c>
      <c r="DS45" s="4">
        <v>4.8199999999999999E-5</v>
      </c>
      <c r="DT45" s="4">
        <v>1.6909999999999999E-4</v>
      </c>
      <c r="DU45" s="4">
        <v>6.9340000000000005E-4</v>
      </c>
      <c r="DV45" s="4">
        <v>6.1850000000000002E-4</v>
      </c>
      <c r="DW45" s="4">
        <v>5.7779999999999995E-4</v>
      </c>
      <c r="DX45" s="4">
        <v>6.0019999999999995E-4</v>
      </c>
      <c r="DY45" s="4">
        <v>5.31E-4</v>
      </c>
      <c r="DZ45" s="4">
        <v>4.8529999999999998E-4</v>
      </c>
      <c r="EA45" s="4">
        <v>4.3019999999999999E-4</v>
      </c>
      <c r="EB45" s="4">
        <v>3.8430000000000002E-4</v>
      </c>
      <c r="EC45" s="4">
        <v>3.4269999999999998E-4</v>
      </c>
      <c r="ED45" s="4">
        <v>3.0689999999999998E-4</v>
      </c>
      <c r="EE45" s="4">
        <v>2.7549999999999997E-4</v>
      </c>
      <c r="EF45" s="4">
        <v>2.4830000000000002E-4</v>
      </c>
      <c r="EG45" s="4">
        <v>2.2450000000000001E-4</v>
      </c>
      <c r="EH45" s="4">
        <v>2.0379999999999999E-4</v>
      </c>
      <c r="EI45" s="4">
        <v>1.8569999999999999E-4</v>
      </c>
      <c r="EJ45" s="4">
        <v>1.6980000000000001E-4</v>
      </c>
      <c r="EK45" s="4">
        <v>1.593E-4</v>
      </c>
      <c r="EL45" s="4">
        <v>1.4660000000000001E-4</v>
      </c>
      <c r="EM45" s="4">
        <v>1.3530000000000001E-4</v>
      </c>
      <c r="EN45" s="4">
        <v>1.2530000000000001E-4</v>
      </c>
      <c r="EO45" s="4">
        <v>1.164E-4</v>
      </c>
      <c r="EP45" s="4">
        <v>1.0840000000000001E-4</v>
      </c>
      <c r="EQ45" s="4">
        <v>1.013E-4</v>
      </c>
      <c r="ER45" s="4">
        <v>9.5000000000000005E-5</v>
      </c>
      <c r="ES45" s="4">
        <v>8.9300000000000002E-5</v>
      </c>
      <c r="ET45" s="4">
        <v>8.42E-5</v>
      </c>
      <c r="EU45" s="4">
        <v>7.9499999999999994E-5</v>
      </c>
      <c r="EV45" s="4">
        <v>7.5300000000000001E-5</v>
      </c>
      <c r="EW45" s="4">
        <v>7.1400000000000001E-5</v>
      </c>
      <c r="EX45" s="4">
        <v>6.7600000000000003E-5</v>
      </c>
      <c r="EY45" s="4">
        <v>6.2799999999999995E-5</v>
      </c>
      <c r="EZ45" s="4">
        <v>5.7800000000000002E-5</v>
      </c>
      <c r="FA45" s="4">
        <v>5.2599999999999998E-5</v>
      </c>
      <c r="FB45" s="4">
        <v>4.35E-5</v>
      </c>
      <c r="FC45" s="4">
        <v>4.6999999999999997E-5</v>
      </c>
      <c r="FD45" s="4">
        <v>4.5300000000000003E-5</v>
      </c>
      <c r="FE45" s="4">
        <v>4.3600000000000003E-5</v>
      </c>
      <c r="FF45" s="4">
        <v>4.2200000000000003E-5</v>
      </c>
      <c r="FG45" s="4">
        <v>4.0800000000000002E-5</v>
      </c>
      <c r="FH45" s="4">
        <v>3.9499999999999998E-5</v>
      </c>
      <c r="FI45" s="4">
        <v>3.8300000000000003E-5</v>
      </c>
      <c r="FJ45" s="4">
        <v>3.7100000000000001E-5</v>
      </c>
      <c r="FK45" s="4">
        <v>3.6000000000000001E-5</v>
      </c>
      <c r="FL45" s="4">
        <v>3.4900000000000001E-5</v>
      </c>
      <c r="FM45" s="4">
        <v>3.3899999999999997E-5</v>
      </c>
      <c r="FN45" s="4">
        <v>3.3000000000000003E-5</v>
      </c>
      <c r="FO45" s="4">
        <v>3.2100000000000001E-5</v>
      </c>
      <c r="FP45" s="4">
        <v>3.1300000000000002E-5</v>
      </c>
      <c r="FQ45" s="4">
        <v>3.0499999999999999E-5</v>
      </c>
      <c r="FR45" s="4">
        <v>2.97E-5</v>
      </c>
      <c r="FS45" s="4">
        <v>2.9E-5</v>
      </c>
      <c r="FT45" s="4">
        <v>2.83E-5</v>
      </c>
      <c r="FU45" s="4">
        <v>2.7699999999999999E-5</v>
      </c>
      <c r="FV45" s="4">
        <v>2.7100000000000001E-5</v>
      </c>
      <c r="FW45" s="4">
        <v>2.65E-5</v>
      </c>
      <c r="FX45" s="4">
        <v>2.5999999999999998E-5</v>
      </c>
      <c r="FY45" s="4">
        <v>2.55E-5</v>
      </c>
      <c r="FZ45" s="4">
        <v>2.5000000000000001E-5</v>
      </c>
      <c r="GA45" s="4">
        <v>2.4499999999999999E-5</v>
      </c>
      <c r="GB45" s="4">
        <v>2.4000000000000001E-5</v>
      </c>
      <c r="GC45" s="4">
        <v>2.3600000000000001E-5</v>
      </c>
      <c r="GD45" s="4">
        <v>2.3200000000000001E-5</v>
      </c>
      <c r="GE45" s="4">
        <v>2.2799999999999999E-5</v>
      </c>
      <c r="GF45" s="4">
        <v>2.2399999999999999E-5</v>
      </c>
      <c r="GG45" s="4">
        <v>2.2099999999999998E-5</v>
      </c>
      <c r="GH45" s="4">
        <v>2.1699999999999999E-5</v>
      </c>
      <c r="GI45" s="4">
        <v>2.1399999999999998E-5</v>
      </c>
      <c r="GJ45" s="4">
        <v>2.0999999999999999E-5</v>
      </c>
      <c r="GK45" s="4">
        <v>2.0699999999999998E-5</v>
      </c>
      <c r="GL45" s="4">
        <v>2.0400000000000001E-5</v>
      </c>
      <c r="GM45" s="4">
        <v>2.0100000000000001E-5</v>
      </c>
      <c r="GN45" s="4">
        <v>1.98E-5</v>
      </c>
      <c r="GO45" s="4">
        <v>1.95E-5</v>
      </c>
      <c r="GP45" s="4">
        <v>1.9199999999999999E-5</v>
      </c>
      <c r="GQ45" s="4">
        <v>1.9000000000000001E-5</v>
      </c>
      <c r="GR45" s="4">
        <v>1.8700000000000001E-5</v>
      </c>
      <c r="GS45" s="4">
        <v>1.84E-5</v>
      </c>
      <c r="GT45" s="4">
        <v>1.8199999999999999E-5</v>
      </c>
      <c r="GU45" s="4">
        <v>1.7900000000000001E-5</v>
      </c>
      <c r="GV45" s="4">
        <v>1.77E-5</v>
      </c>
      <c r="GW45" s="4">
        <v>1.7399999999999999E-5</v>
      </c>
      <c r="GX45" s="4">
        <v>1.7200000000000001E-5</v>
      </c>
      <c r="GY45" s="4">
        <v>1.7E-5</v>
      </c>
      <c r="GZ45" s="4">
        <v>1.6699999999999999E-5</v>
      </c>
      <c r="HA45" s="4">
        <v>1.6500000000000001E-5</v>
      </c>
      <c r="HB45" s="4">
        <v>1.63E-5</v>
      </c>
      <c r="HC45" s="4">
        <v>1.6099999999999998E-5</v>
      </c>
      <c r="HD45" s="4">
        <v>1.59E-5</v>
      </c>
      <c r="HE45" s="4">
        <v>1.56E-5</v>
      </c>
      <c r="HF45" s="4">
        <v>1.5400000000000002E-5</v>
      </c>
      <c r="HG45" s="4">
        <v>1.52E-5</v>
      </c>
      <c r="HH45" s="4">
        <v>1.5E-5</v>
      </c>
      <c r="HI45" s="4">
        <v>1.4800000000000001E-5</v>
      </c>
      <c r="HJ45" s="4">
        <v>1.4600000000000001E-5</v>
      </c>
      <c r="HK45" s="4">
        <v>1.4399999999999999E-5</v>
      </c>
      <c r="HL45" s="4">
        <v>1.42E-5</v>
      </c>
      <c r="HM45" s="4">
        <v>1.4E-5</v>
      </c>
      <c r="HN45" s="4">
        <v>1.38E-5</v>
      </c>
      <c r="HO45" s="4">
        <v>1.3699999999999999E-5</v>
      </c>
      <c r="HP45" s="4">
        <v>1.3499999999999999E-5</v>
      </c>
      <c r="HQ45" s="4">
        <v>1.33E-5</v>
      </c>
      <c r="HR45" s="4">
        <v>1.31E-5</v>
      </c>
      <c r="HS45" s="4">
        <v>1.29E-5</v>
      </c>
      <c r="HT45" s="4">
        <v>1.2799999999999999E-5</v>
      </c>
      <c r="HU45" s="4">
        <v>1.26E-5</v>
      </c>
      <c r="HV45" s="4">
        <v>1.24E-5</v>
      </c>
      <c r="HW45" s="4">
        <v>1.22E-5</v>
      </c>
      <c r="HX45" s="4">
        <v>1.2099999999999999E-5</v>
      </c>
      <c r="HY45" s="4">
        <v>1.19E-5</v>
      </c>
      <c r="HZ45" s="4">
        <v>1.1800000000000001E-5</v>
      </c>
      <c r="IA45" s="4">
        <v>1.1600000000000001E-5</v>
      </c>
      <c r="IB45" s="4">
        <v>1.1399999999999999E-5</v>
      </c>
      <c r="IC45" s="4">
        <v>1.13E-5</v>
      </c>
      <c r="ID45" s="4">
        <v>1.11E-5</v>
      </c>
      <c r="IE45" s="4">
        <v>1.1E-5</v>
      </c>
      <c r="IF45" s="4">
        <v>1.08E-5</v>
      </c>
      <c r="IG45" s="4">
        <v>7.5469999999999997E-4</v>
      </c>
      <c r="IH45" s="4"/>
      <c r="II45" s="4">
        <f t="shared" si="245"/>
        <v>0.11580004919871829</v>
      </c>
      <c r="IJ45">
        <f t="shared" si="246"/>
        <v>0.35930813750000024</v>
      </c>
      <c r="IN45" s="4"/>
      <c r="IO45" s="4"/>
      <c r="IP45" s="4"/>
      <c r="IQ45" s="4"/>
      <c r="IR45" s="4"/>
      <c r="IS45" s="4"/>
      <c r="IT45" s="4"/>
      <c r="IU45" s="4"/>
      <c r="IV45" s="4"/>
    </row>
    <row r="46" spans="1:256" x14ac:dyDescent="0.35">
      <c r="A46" s="1">
        <v>38</v>
      </c>
      <c r="B46" s="4">
        <v>1.0654E-2</v>
      </c>
      <c r="C46" s="4">
        <v>1.0654E-2</v>
      </c>
      <c r="D46" s="4">
        <v>1.06058E-2</v>
      </c>
      <c r="E46" s="4">
        <v>1.0436600000000001E-2</v>
      </c>
      <c r="F46" s="4">
        <v>9.8175999999999992E-3</v>
      </c>
      <c r="G46" s="4">
        <v>9.1991E-3</v>
      </c>
      <c r="H46" s="4">
        <v>8.6215000000000007E-3</v>
      </c>
      <c r="I46" s="4">
        <v>8.0218000000000008E-3</v>
      </c>
      <c r="J46" s="4">
        <v>7.4913000000000002E-3</v>
      </c>
      <c r="K46" s="4">
        <v>7.0067999999999997E-3</v>
      </c>
      <c r="L46" s="4">
        <v>6.5773999999999997E-3</v>
      </c>
      <c r="M46" s="4">
        <v>6.1939999999999999E-3</v>
      </c>
      <c r="N46" s="4">
        <v>5.8523000000000004E-3</v>
      </c>
      <c r="O46" s="4">
        <v>5.5465999999999996E-3</v>
      </c>
      <c r="P46" s="4">
        <v>5.2725000000000003E-3</v>
      </c>
      <c r="Q46" s="4">
        <v>5.0258999999999998E-3</v>
      </c>
      <c r="R46" s="4">
        <v>4.8032999999999999E-3</v>
      </c>
      <c r="S46" s="4">
        <v>4.6013E-3</v>
      </c>
      <c r="T46" s="4">
        <v>4.4175000000000004E-3</v>
      </c>
      <c r="U46" s="4">
        <v>4.2496000000000001E-3</v>
      </c>
      <c r="V46" s="4">
        <v>4.1668E-3</v>
      </c>
      <c r="W46" s="4">
        <v>4.0220000000000004E-3</v>
      </c>
      <c r="X46" s="4">
        <v>3.8888999999999998E-3</v>
      </c>
      <c r="Y46" s="4">
        <v>3.7661000000000001E-3</v>
      </c>
      <c r="Z46" s="4">
        <v>3.6524000000000001E-3</v>
      </c>
      <c r="AA46" s="4">
        <v>3.5471000000000001E-3</v>
      </c>
      <c r="AB46" s="4">
        <v>3.4496000000000001E-3</v>
      </c>
      <c r="AC46" s="4">
        <v>3.3582E-3</v>
      </c>
      <c r="AD46" s="4">
        <v>3.2726000000000001E-3</v>
      </c>
      <c r="AE46" s="4">
        <v>3.192E-3</v>
      </c>
      <c r="AF46" s="4">
        <v>3.1156999999999999E-3</v>
      </c>
      <c r="AG46" s="4">
        <v>3.0442999999999998E-3</v>
      </c>
      <c r="AH46" s="4">
        <v>2.9724E-3</v>
      </c>
      <c r="AI46" s="4">
        <v>2.8988999999999998E-3</v>
      </c>
      <c r="AJ46" s="4">
        <v>2.7742000000000001E-3</v>
      </c>
      <c r="AK46" s="4">
        <v>2.6245000000000001E-3</v>
      </c>
      <c r="AL46" s="4">
        <v>2.4456999999999999E-3</v>
      </c>
      <c r="AM46" s="4">
        <v>2.0812999999999999E-3</v>
      </c>
      <c r="AN46" s="4">
        <v>2.2669999999999999E-3</v>
      </c>
      <c r="AO46" s="4">
        <v>2.2374999999999999E-3</v>
      </c>
      <c r="AP46" s="4">
        <v>2.2085999999999998E-3</v>
      </c>
      <c r="AQ46" s="4">
        <v>2.1844999999999998E-3</v>
      </c>
      <c r="AR46" s="4">
        <v>2.1597999999999999E-3</v>
      </c>
      <c r="AS46" s="4">
        <v>2.1339000000000002E-3</v>
      </c>
      <c r="AT46" s="4">
        <v>2.1083E-3</v>
      </c>
      <c r="AU46" s="4">
        <v>2.0823999999999999E-3</v>
      </c>
      <c r="AV46" s="4">
        <v>2.0563999999999999E-3</v>
      </c>
      <c r="AW46" s="4">
        <v>2.0303999999999999E-3</v>
      </c>
      <c r="AX46" s="4">
        <v>2.0043999999999999E-3</v>
      </c>
      <c r="AY46" s="4">
        <v>1.9784999999999998E-3</v>
      </c>
      <c r="AZ46" s="4">
        <v>1.9526999999999999E-3</v>
      </c>
      <c r="BA46" s="4">
        <v>1.9272E-3</v>
      </c>
      <c r="BB46" s="4">
        <v>1.9017999999999999E-3</v>
      </c>
      <c r="BC46" s="4">
        <v>1.8767E-3</v>
      </c>
      <c r="BD46" s="4">
        <v>1.8518E-3</v>
      </c>
      <c r="BE46" s="4">
        <v>1.8272E-3</v>
      </c>
      <c r="BF46" s="4">
        <v>1.8029000000000001E-3</v>
      </c>
      <c r="BG46" s="4">
        <v>1.7788999999999999E-3</v>
      </c>
      <c r="BH46" s="4">
        <v>1.7551000000000001E-3</v>
      </c>
      <c r="BI46" s="4">
        <v>1.7316E-3</v>
      </c>
      <c r="BJ46" s="4">
        <v>1.7083999999999999E-3</v>
      </c>
      <c r="BK46" s="4">
        <v>1.6854999999999999E-3</v>
      </c>
      <c r="BL46" s="4">
        <v>1.6628999999999999E-3</v>
      </c>
      <c r="BM46" s="4">
        <v>1.6406000000000001E-3</v>
      </c>
      <c r="BN46" s="4">
        <v>1.6186E-3</v>
      </c>
      <c r="BO46" s="4">
        <v>1.5968E-3</v>
      </c>
      <c r="BP46" s="4">
        <v>1.5753E-3</v>
      </c>
      <c r="BQ46" s="4">
        <v>1.5541000000000001E-3</v>
      </c>
      <c r="BR46" s="4">
        <v>1.5332E-3</v>
      </c>
      <c r="BS46" s="4">
        <v>1.5125E-3</v>
      </c>
      <c r="BT46" s="4">
        <v>1.4920999999999999E-3</v>
      </c>
      <c r="BU46" s="4">
        <v>1.4718999999999999E-3</v>
      </c>
      <c r="BV46" s="4">
        <v>1.4519999999999999E-3</v>
      </c>
      <c r="BW46" s="4">
        <v>1.4323000000000001E-3</v>
      </c>
      <c r="BX46" s="4">
        <v>1.4128999999999999E-3</v>
      </c>
      <c r="BY46" s="4">
        <v>1.3937999999999999E-3</v>
      </c>
      <c r="BZ46" s="4">
        <v>1.3749000000000001E-3</v>
      </c>
      <c r="CA46" s="4">
        <v>1.3561999999999999E-3</v>
      </c>
      <c r="CB46" s="4">
        <v>1.3377E-3</v>
      </c>
      <c r="CC46" s="4">
        <v>1.3194999999999999E-3</v>
      </c>
      <c r="CD46" s="4">
        <v>1.3016E-3</v>
      </c>
      <c r="CE46" s="4">
        <v>1.2838000000000001E-3</v>
      </c>
      <c r="CF46" s="4">
        <v>1.2662999999999999E-3</v>
      </c>
      <c r="CG46" s="4">
        <v>1.2489999999999999E-3</v>
      </c>
      <c r="CH46" s="4">
        <v>1.2319E-3</v>
      </c>
      <c r="CI46" s="4">
        <v>1.2149999999999999E-3</v>
      </c>
      <c r="CJ46" s="4">
        <v>1.1983E-3</v>
      </c>
      <c r="CK46" s="4">
        <v>1.1819000000000001E-3</v>
      </c>
      <c r="CL46" s="4">
        <v>1.1655999999999999E-3</v>
      </c>
      <c r="CM46" s="4">
        <v>1.1496E-3</v>
      </c>
      <c r="CN46" s="4">
        <v>1.1337000000000001E-3</v>
      </c>
      <c r="CO46" s="4">
        <v>1.1180999999999999E-3</v>
      </c>
      <c r="CP46" s="4">
        <v>1.1027000000000001E-3</v>
      </c>
      <c r="CQ46" s="4">
        <v>1.0874000000000001E-3</v>
      </c>
      <c r="CR46" s="4">
        <v>1.0724E-3</v>
      </c>
      <c r="CS46" s="4">
        <v>1.0575000000000001E-3</v>
      </c>
      <c r="CT46" s="4">
        <v>1.0429E-3</v>
      </c>
      <c r="CU46" s="4">
        <v>1.0284000000000001E-3</v>
      </c>
      <c r="CV46" s="4">
        <v>1.0141E-3</v>
      </c>
      <c r="CW46" s="4">
        <v>1E-3</v>
      </c>
      <c r="CX46" s="4">
        <v>9.8609999999999995E-4</v>
      </c>
      <c r="CY46" s="4">
        <v>9.724E-4</v>
      </c>
      <c r="CZ46" s="4">
        <v>9.588E-4</v>
      </c>
      <c r="DA46" s="4">
        <v>9.4550000000000005E-4</v>
      </c>
      <c r="DB46" s="4">
        <v>9.3229999999999995E-4</v>
      </c>
      <c r="DC46" s="4">
        <v>9.1929999999999996E-4</v>
      </c>
      <c r="DD46" s="4">
        <v>9.0640000000000002E-4</v>
      </c>
      <c r="DE46" s="4">
        <v>8.9369999999999998E-4</v>
      </c>
      <c r="DF46" s="4">
        <v>8.8119999999999995E-4</v>
      </c>
      <c r="DG46" s="4">
        <v>8.6890000000000003E-4</v>
      </c>
      <c r="DH46" s="4">
        <v>8.5669999999999995E-4</v>
      </c>
      <c r="DI46" s="4">
        <v>8.4469999999999999E-4</v>
      </c>
      <c r="DJ46" s="4">
        <v>8.3279999999999997E-4</v>
      </c>
      <c r="DK46" s="4">
        <v>8.2109999999999995E-4</v>
      </c>
      <c r="DL46" s="4">
        <v>8.0959999999999995E-4</v>
      </c>
      <c r="DM46" s="4">
        <v>7.9819999999999999E-4</v>
      </c>
      <c r="DN46" s="4">
        <v>7.8700000000000005E-4</v>
      </c>
      <c r="DO46" s="4">
        <v>7.7590000000000005E-4</v>
      </c>
      <c r="DP46" s="4">
        <v>7.6499999999999995E-4</v>
      </c>
      <c r="DQ46" s="4">
        <v>5.3157299999999998E-2</v>
      </c>
      <c r="DR46" s="4">
        <v>0</v>
      </c>
      <c r="DS46" s="4">
        <v>4.8199999999999999E-5</v>
      </c>
      <c r="DT46" s="4">
        <v>1.6909999999999999E-4</v>
      </c>
      <c r="DU46" s="4">
        <v>6.8130000000000003E-4</v>
      </c>
      <c r="DV46" s="4">
        <v>6.1859999999999997E-4</v>
      </c>
      <c r="DW46" s="4">
        <v>5.7790000000000001E-4</v>
      </c>
      <c r="DX46" s="4">
        <v>6.0030000000000001E-4</v>
      </c>
      <c r="DY46" s="4">
        <v>5.3109999999999995E-4</v>
      </c>
      <c r="DZ46" s="4">
        <v>4.8529999999999998E-4</v>
      </c>
      <c r="EA46" s="4">
        <v>4.303E-4</v>
      </c>
      <c r="EB46" s="4">
        <v>3.8440000000000002E-4</v>
      </c>
      <c r="EC46" s="4">
        <v>3.4269999999999998E-4</v>
      </c>
      <c r="ED46" s="4">
        <v>3.0689999999999998E-4</v>
      </c>
      <c r="EE46" s="4">
        <v>2.7549999999999997E-4</v>
      </c>
      <c r="EF46" s="4">
        <v>2.4820000000000002E-4</v>
      </c>
      <c r="EG46" s="4">
        <v>2.2440000000000001E-4</v>
      </c>
      <c r="EH46" s="4">
        <v>2.0369999999999999E-4</v>
      </c>
      <c r="EI46" s="4">
        <v>1.8560000000000001E-4</v>
      </c>
      <c r="EJ46" s="4">
        <v>1.697E-4</v>
      </c>
      <c r="EK46" s="4">
        <v>1.5569999999999999E-4</v>
      </c>
      <c r="EL46" s="4">
        <v>1.4650000000000001E-4</v>
      </c>
      <c r="EM46" s="4">
        <v>1.3520000000000001E-4</v>
      </c>
      <c r="EN46" s="4">
        <v>1.2510000000000001E-4</v>
      </c>
      <c r="EO46" s="4">
        <v>1.1620000000000001E-4</v>
      </c>
      <c r="EP46" s="4">
        <v>1.083E-4</v>
      </c>
      <c r="EQ46" s="4">
        <v>1.0119999999999999E-4</v>
      </c>
      <c r="ER46" s="4">
        <v>9.48E-5</v>
      </c>
      <c r="ES46" s="4">
        <v>8.9099999999999997E-5</v>
      </c>
      <c r="ET46" s="4">
        <v>8.3999999999999995E-5</v>
      </c>
      <c r="EU46" s="4">
        <v>7.9400000000000006E-5</v>
      </c>
      <c r="EV46" s="4">
        <v>7.5199999999999998E-5</v>
      </c>
      <c r="EW46" s="4">
        <v>7.1299999999999998E-5</v>
      </c>
      <c r="EX46" s="4">
        <v>6.7700000000000006E-5</v>
      </c>
      <c r="EY46" s="4">
        <v>6.4300000000000004E-5</v>
      </c>
      <c r="EZ46" s="4">
        <v>5.9799999999999997E-5</v>
      </c>
      <c r="FA46" s="4">
        <v>5.5099999999999998E-5</v>
      </c>
      <c r="FB46" s="4">
        <v>5.02E-5</v>
      </c>
      <c r="FC46" s="4">
        <v>4.1600000000000002E-5</v>
      </c>
      <c r="FD46" s="4">
        <v>4.5000000000000003E-5</v>
      </c>
      <c r="FE46" s="4">
        <v>4.3399999999999998E-5</v>
      </c>
      <c r="FF46" s="4">
        <v>4.18E-5</v>
      </c>
      <c r="FG46" s="4">
        <v>4.0500000000000002E-5</v>
      </c>
      <c r="FH46" s="4">
        <v>3.93E-5</v>
      </c>
      <c r="FI46" s="4">
        <v>3.8000000000000002E-5</v>
      </c>
      <c r="FJ46" s="4">
        <v>3.6900000000000002E-5</v>
      </c>
      <c r="FK46" s="4">
        <v>3.5800000000000003E-5</v>
      </c>
      <c r="FL46" s="4">
        <v>3.4799999999999999E-5</v>
      </c>
      <c r="FM46" s="4">
        <v>3.3800000000000002E-5</v>
      </c>
      <c r="FN46" s="4">
        <v>3.29E-5</v>
      </c>
      <c r="FO46" s="4">
        <v>3.1999999999999999E-5</v>
      </c>
      <c r="FP46" s="4">
        <v>3.1199999999999999E-5</v>
      </c>
      <c r="FQ46" s="4">
        <v>3.04E-5</v>
      </c>
      <c r="FR46" s="4">
        <v>2.9600000000000001E-5</v>
      </c>
      <c r="FS46" s="4">
        <v>2.8900000000000001E-5</v>
      </c>
      <c r="FT46" s="4">
        <v>2.83E-5</v>
      </c>
      <c r="FU46" s="4">
        <v>2.76E-5</v>
      </c>
      <c r="FV46" s="4">
        <v>2.6999999999999999E-5</v>
      </c>
      <c r="FW46" s="4">
        <v>2.65E-5</v>
      </c>
      <c r="FX46" s="4">
        <v>2.5899999999999999E-5</v>
      </c>
      <c r="FY46" s="4">
        <v>2.5400000000000001E-5</v>
      </c>
      <c r="FZ46" s="4">
        <v>2.4899999999999999E-5</v>
      </c>
      <c r="GA46" s="4">
        <v>2.4499999999999999E-5</v>
      </c>
      <c r="GB46" s="4">
        <v>2.4000000000000001E-5</v>
      </c>
      <c r="GC46" s="4">
        <v>2.3600000000000001E-5</v>
      </c>
      <c r="GD46" s="4">
        <v>2.3200000000000001E-5</v>
      </c>
      <c r="GE46" s="4">
        <v>2.2799999999999999E-5</v>
      </c>
      <c r="GF46" s="4">
        <v>2.2399999999999999E-5</v>
      </c>
      <c r="GG46" s="4">
        <v>2.1999999999999999E-5</v>
      </c>
      <c r="GH46" s="4">
        <v>2.1699999999999999E-5</v>
      </c>
      <c r="GI46" s="4">
        <v>2.1299999999999999E-5</v>
      </c>
      <c r="GJ46" s="4">
        <v>2.0999999999999999E-5</v>
      </c>
      <c r="GK46" s="4">
        <v>2.0699999999999998E-5</v>
      </c>
      <c r="GL46" s="4">
        <v>2.0400000000000001E-5</v>
      </c>
      <c r="GM46" s="4">
        <v>2.0100000000000001E-5</v>
      </c>
      <c r="GN46" s="4">
        <v>1.98E-5</v>
      </c>
      <c r="GO46" s="4">
        <v>1.95E-5</v>
      </c>
      <c r="GP46" s="4">
        <v>1.9199999999999999E-5</v>
      </c>
      <c r="GQ46" s="4">
        <v>1.9000000000000001E-5</v>
      </c>
      <c r="GR46" s="4">
        <v>1.8700000000000001E-5</v>
      </c>
      <c r="GS46" s="4">
        <v>1.84E-5</v>
      </c>
      <c r="GT46" s="4">
        <v>1.8199999999999999E-5</v>
      </c>
      <c r="GU46" s="4">
        <v>1.7900000000000001E-5</v>
      </c>
      <c r="GV46" s="4">
        <v>1.77E-5</v>
      </c>
      <c r="GW46" s="4">
        <v>1.7399999999999999E-5</v>
      </c>
      <c r="GX46" s="4">
        <v>1.7200000000000001E-5</v>
      </c>
      <c r="GY46" s="4">
        <v>1.7E-5</v>
      </c>
      <c r="GZ46" s="4">
        <v>1.6699999999999999E-5</v>
      </c>
      <c r="HA46" s="4">
        <v>1.6500000000000001E-5</v>
      </c>
      <c r="HB46" s="4">
        <v>1.63E-5</v>
      </c>
      <c r="HC46" s="4">
        <v>1.6099999999999998E-5</v>
      </c>
      <c r="HD46" s="4">
        <v>1.59E-5</v>
      </c>
      <c r="HE46" s="4">
        <v>1.56E-5</v>
      </c>
      <c r="HF46" s="4">
        <v>1.5400000000000002E-5</v>
      </c>
      <c r="HG46" s="4">
        <v>1.52E-5</v>
      </c>
      <c r="HH46" s="4">
        <v>1.5E-5</v>
      </c>
      <c r="HI46" s="4">
        <v>1.4800000000000001E-5</v>
      </c>
      <c r="HJ46" s="4">
        <v>1.4600000000000001E-5</v>
      </c>
      <c r="HK46" s="4">
        <v>1.4399999999999999E-5</v>
      </c>
      <c r="HL46" s="4">
        <v>1.42E-5</v>
      </c>
      <c r="HM46" s="4">
        <v>1.4E-5</v>
      </c>
      <c r="HN46" s="4">
        <v>1.38E-5</v>
      </c>
      <c r="HO46" s="4">
        <v>1.3699999999999999E-5</v>
      </c>
      <c r="HP46" s="4">
        <v>1.3499999999999999E-5</v>
      </c>
      <c r="HQ46" s="4">
        <v>1.33E-5</v>
      </c>
      <c r="HR46" s="4">
        <v>1.31E-5</v>
      </c>
      <c r="HS46" s="4">
        <v>1.29E-5</v>
      </c>
      <c r="HT46" s="4">
        <v>1.2799999999999999E-5</v>
      </c>
      <c r="HU46" s="4">
        <v>1.26E-5</v>
      </c>
      <c r="HV46" s="4">
        <v>1.24E-5</v>
      </c>
      <c r="HW46" s="4">
        <v>1.22E-5</v>
      </c>
      <c r="HX46" s="4">
        <v>1.2099999999999999E-5</v>
      </c>
      <c r="HY46" s="4">
        <v>1.19E-5</v>
      </c>
      <c r="HZ46" s="4">
        <v>1.17E-5</v>
      </c>
      <c r="IA46" s="4">
        <v>1.1600000000000001E-5</v>
      </c>
      <c r="IB46" s="4">
        <v>1.1399999999999999E-5</v>
      </c>
      <c r="IC46" s="4">
        <v>1.13E-5</v>
      </c>
      <c r="ID46" s="4">
        <v>1.11E-5</v>
      </c>
      <c r="IE46" s="4">
        <v>1.1E-5</v>
      </c>
      <c r="IF46" s="4">
        <v>1.08E-5</v>
      </c>
      <c r="IG46" s="4">
        <v>7.5469999999999997E-4</v>
      </c>
      <c r="IH46" s="4"/>
      <c r="II46" s="4">
        <f t="shared" si="245"/>
        <v>0.11233198105053771</v>
      </c>
      <c r="IJ46">
        <f t="shared" si="246"/>
        <v>0.35946931249999986</v>
      </c>
      <c r="IN46" s="4"/>
      <c r="IO46" s="4"/>
      <c r="IP46" s="4"/>
      <c r="IQ46" s="4"/>
      <c r="IR46" s="4"/>
      <c r="IS46" s="4"/>
      <c r="IT46" s="4"/>
      <c r="IU46" s="4"/>
      <c r="IV46" s="4"/>
    </row>
    <row r="47" spans="1:256" x14ac:dyDescent="0.35">
      <c r="A47" s="1">
        <v>39</v>
      </c>
      <c r="B47" s="4">
        <v>1.0654E-2</v>
      </c>
      <c r="C47" s="4">
        <v>1.0654E-2</v>
      </c>
      <c r="D47" s="4">
        <v>1.06058E-2</v>
      </c>
      <c r="E47" s="4">
        <v>1.04361E-2</v>
      </c>
      <c r="F47" s="4">
        <v>9.7535E-3</v>
      </c>
      <c r="G47" s="4">
        <v>9.1403999999999999E-3</v>
      </c>
      <c r="H47" s="4">
        <v>8.5669000000000006E-3</v>
      </c>
      <c r="I47" s="4">
        <v>7.9711000000000001E-3</v>
      </c>
      <c r="J47" s="4">
        <v>7.4428000000000003E-3</v>
      </c>
      <c r="K47" s="4">
        <v>6.9601000000000003E-3</v>
      </c>
      <c r="L47" s="4">
        <v>6.5317999999999999E-3</v>
      </c>
      <c r="M47" s="4">
        <v>6.1491999999999996E-3</v>
      </c>
      <c r="N47" s="4">
        <v>5.8079999999999998E-3</v>
      </c>
      <c r="O47" s="4">
        <v>5.5024999999999996E-3</v>
      </c>
      <c r="P47" s="4">
        <v>5.2283E-3</v>
      </c>
      <c r="Q47" s="4">
        <v>4.9813000000000001E-3</v>
      </c>
      <c r="R47" s="4">
        <v>4.7580000000000001E-3</v>
      </c>
      <c r="S47" s="4">
        <v>4.5554000000000002E-3</v>
      </c>
      <c r="T47" s="4">
        <v>4.3709999999999999E-3</v>
      </c>
      <c r="U47" s="4">
        <v>4.2025999999999999E-3</v>
      </c>
      <c r="V47" s="4">
        <v>4.0480999999999998E-3</v>
      </c>
      <c r="W47" s="4">
        <v>3.9061E-3</v>
      </c>
      <c r="X47" s="4">
        <v>3.7750000000000001E-3</v>
      </c>
      <c r="Y47" s="4">
        <v>3.6537000000000002E-3</v>
      </c>
      <c r="Z47" s="4">
        <v>3.5412E-3</v>
      </c>
      <c r="AA47" s="4">
        <v>3.4364E-3</v>
      </c>
      <c r="AB47" s="4">
        <v>3.3384999999999999E-3</v>
      </c>
      <c r="AC47" s="4">
        <v>3.2468000000000002E-3</v>
      </c>
      <c r="AD47" s="4">
        <v>3.1606999999999998E-3</v>
      </c>
      <c r="AE47" s="4">
        <v>3.0796999999999999E-3</v>
      </c>
      <c r="AF47" s="4">
        <v>3.0030999999999999E-3</v>
      </c>
      <c r="AG47" s="4">
        <v>2.9307000000000001E-3</v>
      </c>
      <c r="AH47" s="4">
        <v>2.8620999999999998E-3</v>
      </c>
      <c r="AI47" s="4">
        <v>2.7969000000000002E-3</v>
      </c>
      <c r="AJ47" s="4">
        <v>2.7349000000000002E-3</v>
      </c>
      <c r="AK47" s="4">
        <v>2.6759000000000002E-3</v>
      </c>
      <c r="AL47" s="4">
        <v>2.6194999999999999E-3</v>
      </c>
      <c r="AM47" s="4">
        <v>2.5657000000000002E-3</v>
      </c>
      <c r="AN47" s="4">
        <v>2.5143000000000001E-3</v>
      </c>
      <c r="AO47" s="4">
        <v>2.4650000000000002E-3</v>
      </c>
      <c r="AP47" s="4">
        <v>2.4177000000000001E-3</v>
      </c>
      <c r="AQ47" s="4">
        <v>2.3722999999999999E-3</v>
      </c>
      <c r="AR47" s="4">
        <v>2.3287E-3</v>
      </c>
      <c r="AS47" s="4">
        <v>2.2867E-3</v>
      </c>
      <c r="AT47" s="4">
        <v>2.2461999999999998E-3</v>
      </c>
      <c r="AU47" s="4">
        <v>2.2071999999999999E-3</v>
      </c>
      <c r="AV47" s="4">
        <v>2.1695E-3</v>
      </c>
      <c r="AW47" s="4">
        <v>2.1329999999999999E-3</v>
      </c>
      <c r="AX47" s="4">
        <v>2.0977000000000001E-3</v>
      </c>
      <c r="AY47" s="4">
        <v>2.0634E-3</v>
      </c>
      <c r="AZ47" s="4">
        <v>2.0301999999999998E-3</v>
      </c>
      <c r="BA47" s="4">
        <v>1.9980000000000002E-3</v>
      </c>
      <c r="BB47" s="4">
        <v>1.9666000000000002E-3</v>
      </c>
      <c r="BC47" s="4">
        <v>1.9361000000000001E-3</v>
      </c>
      <c r="BD47" s="4">
        <v>1.9063000000000001E-3</v>
      </c>
      <c r="BE47" s="4">
        <v>1.8772999999999999E-3</v>
      </c>
      <c r="BF47" s="4">
        <v>1.8489999999999999E-3</v>
      </c>
      <c r="BG47" s="4">
        <v>1.8213000000000001E-3</v>
      </c>
      <c r="BH47" s="4">
        <v>1.7943E-3</v>
      </c>
      <c r="BI47" s="4">
        <v>1.7677999999999999E-3</v>
      </c>
      <c r="BJ47" s="4">
        <v>1.7419E-3</v>
      </c>
      <c r="BK47" s="4">
        <v>1.7166E-3</v>
      </c>
      <c r="BL47" s="4">
        <v>1.6917E-3</v>
      </c>
      <c r="BM47" s="4">
        <v>1.6673E-3</v>
      </c>
      <c r="BN47" s="4">
        <v>1.6433999999999999E-3</v>
      </c>
      <c r="BO47" s="4">
        <v>1.6199000000000001E-3</v>
      </c>
      <c r="BP47" s="4">
        <v>1.5968E-3</v>
      </c>
      <c r="BQ47" s="4">
        <v>1.5740999999999999E-3</v>
      </c>
      <c r="BR47" s="4">
        <v>1.5518000000000001E-3</v>
      </c>
      <c r="BS47" s="4">
        <v>1.5299000000000001E-3</v>
      </c>
      <c r="BT47" s="4">
        <v>1.5083E-3</v>
      </c>
      <c r="BU47" s="4">
        <v>1.4871000000000001E-3</v>
      </c>
      <c r="BV47" s="4">
        <v>1.4662E-3</v>
      </c>
      <c r="BW47" s="4">
        <v>1.4457000000000001E-3</v>
      </c>
      <c r="BX47" s="4">
        <v>1.4254000000000001E-3</v>
      </c>
      <c r="BY47" s="4">
        <v>1.4055000000000001E-3</v>
      </c>
      <c r="BZ47" s="4">
        <v>1.3858E-3</v>
      </c>
      <c r="CA47" s="4">
        <v>1.3664E-3</v>
      </c>
      <c r="CB47" s="4">
        <v>1.3473999999999999E-3</v>
      </c>
      <c r="CC47" s="4">
        <v>1.3285E-3</v>
      </c>
      <c r="CD47" s="4">
        <v>1.31E-3</v>
      </c>
      <c r="CE47" s="4">
        <v>1.2917E-3</v>
      </c>
      <c r="CF47" s="4">
        <v>1.2737E-3</v>
      </c>
      <c r="CG47" s="4">
        <v>1.2558999999999999E-3</v>
      </c>
      <c r="CH47" s="4">
        <v>1.2384E-3</v>
      </c>
      <c r="CI47" s="4">
        <v>1.2210999999999999E-3</v>
      </c>
      <c r="CJ47" s="4">
        <v>1.2041E-3</v>
      </c>
      <c r="CK47" s="4">
        <v>1.1873000000000001E-3</v>
      </c>
      <c r="CL47" s="4">
        <v>1.1707E-3</v>
      </c>
      <c r="CM47" s="4">
        <v>1.1543E-3</v>
      </c>
      <c r="CN47" s="4">
        <v>1.1382E-3</v>
      </c>
      <c r="CO47" s="4">
        <v>1.1222999999999999E-3</v>
      </c>
      <c r="CP47" s="4">
        <v>1.1065999999999999E-3</v>
      </c>
      <c r="CQ47" s="4">
        <v>1.0911E-3</v>
      </c>
      <c r="CR47" s="4">
        <v>1.0759000000000001E-3</v>
      </c>
      <c r="CS47" s="4">
        <v>1.0608E-3</v>
      </c>
      <c r="CT47" s="4">
        <v>1.0459E-3</v>
      </c>
      <c r="CU47" s="4">
        <v>1.0313E-3</v>
      </c>
      <c r="CV47" s="4">
        <v>1.0168E-3</v>
      </c>
      <c r="CW47" s="4">
        <v>1.0026E-3</v>
      </c>
      <c r="CX47" s="4">
        <v>9.8850000000000001E-4</v>
      </c>
      <c r="CY47" s="4">
        <v>9.7460000000000005E-4</v>
      </c>
      <c r="CZ47" s="4">
        <v>9.6089999999999999E-4</v>
      </c>
      <c r="DA47" s="4">
        <v>9.4740000000000004E-4</v>
      </c>
      <c r="DB47" s="4">
        <v>9.3409999999999999E-4</v>
      </c>
      <c r="DC47" s="4">
        <v>9.2100000000000005E-4</v>
      </c>
      <c r="DD47" s="4">
        <v>9.0799999999999995E-4</v>
      </c>
      <c r="DE47" s="4">
        <v>8.9519999999999997E-4</v>
      </c>
      <c r="DF47" s="4">
        <v>8.8259999999999999E-4</v>
      </c>
      <c r="DG47" s="4">
        <v>8.7020000000000001E-4</v>
      </c>
      <c r="DH47" s="4">
        <v>8.5789999999999998E-4</v>
      </c>
      <c r="DI47" s="4">
        <v>8.4579999999999996E-4</v>
      </c>
      <c r="DJ47" s="4">
        <v>8.3390000000000005E-4</v>
      </c>
      <c r="DK47" s="4">
        <v>8.2209999999999998E-4</v>
      </c>
      <c r="DL47" s="4">
        <v>8.1050000000000002E-4</v>
      </c>
      <c r="DM47" s="4">
        <v>7.9909999999999996E-4</v>
      </c>
      <c r="DN47" s="4">
        <v>7.8779999999999996E-4</v>
      </c>
      <c r="DO47" s="4">
        <v>7.7669999999999996E-4</v>
      </c>
      <c r="DP47" s="4">
        <v>7.6570000000000002E-4</v>
      </c>
      <c r="DQ47" s="4">
        <v>5.3164200000000002E-2</v>
      </c>
      <c r="DR47" s="4">
        <v>0</v>
      </c>
      <c r="DS47" s="4">
        <v>4.8199999999999999E-5</v>
      </c>
      <c r="DT47" s="4">
        <v>1.697E-4</v>
      </c>
      <c r="DU47" s="4">
        <v>6.826E-4</v>
      </c>
      <c r="DV47" s="4">
        <v>6.1309999999999999E-4</v>
      </c>
      <c r="DW47" s="4">
        <v>5.7359999999999996E-4</v>
      </c>
      <c r="DX47" s="4">
        <v>5.9579999999999995E-4</v>
      </c>
      <c r="DY47" s="4">
        <v>5.2820000000000005E-4</v>
      </c>
      <c r="DZ47" s="4">
        <v>4.8280000000000003E-4</v>
      </c>
      <c r="EA47" s="4">
        <v>4.283E-4</v>
      </c>
      <c r="EB47" s="4">
        <v>3.8259999999999998E-4</v>
      </c>
      <c r="EC47" s="4">
        <v>3.412E-4</v>
      </c>
      <c r="ED47" s="4">
        <v>3.055E-4</v>
      </c>
      <c r="EE47" s="4">
        <v>2.742E-4</v>
      </c>
      <c r="EF47" s="4">
        <v>2.4699999999999999E-4</v>
      </c>
      <c r="EG47" s="4">
        <v>2.2330000000000001E-4</v>
      </c>
      <c r="EH47" s="4">
        <v>2.0259999999999999E-4</v>
      </c>
      <c r="EI47" s="4">
        <v>1.8440000000000001E-4</v>
      </c>
      <c r="EJ47" s="4">
        <v>1.685E-4</v>
      </c>
      <c r="EK47" s="4">
        <v>1.5440000000000001E-4</v>
      </c>
      <c r="EL47" s="4">
        <v>1.4200000000000001E-4</v>
      </c>
      <c r="EM47" s="4">
        <v>1.3100000000000001E-4</v>
      </c>
      <c r="EN47" s="4">
        <v>1.2129999999999999E-4</v>
      </c>
      <c r="EO47" s="4">
        <v>1.126E-4</v>
      </c>
      <c r="EP47" s="4">
        <v>1.048E-4</v>
      </c>
      <c r="EQ47" s="4">
        <v>9.7899999999999994E-5</v>
      </c>
      <c r="ER47" s="4">
        <v>9.1700000000000006E-5</v>
      </c>
      <c r="ES47" s="4">
        <v>8.6100000000000006E-5</v>
      </c>
      <c r="ET47" s="4">
        <v>8.1100000000000006E-5</v>
      </c>
      <c r="EU47" s="4">
        <v>7.6500000000000003E-5</v>
      </c>
      <c r="EV47" s="4">
        <v>7.2399999999999998E-5</v>
      </c>
      <c r="EW47" s="4">
        <v>6.86E-5</v>
      </c>
      <c r="EX47" s="4">
        <v>6.5199999999999999E-5</v>
      </c>
      <c r="EY47" s="4">
        <v>6.2000000000000003E-5</v>
      </c>
      <c r="EZ47" s="4">
        <v>5.8999999999999998E-5</v>
      </c>
      <c r="FA47" s="4">
        <v>5.63E-5</v>
      </c>
      <c r="FB47" s="4">
        <v>5.38E-5</v>
      </c>
      <c r="FC47" s="4">
        <v>5.1499999999999998E-5</v>
      </c>
      <c r="FD47" s="4">
        <v>4.9299999999999999E-5</v>
      </c>
      <c r="FE47" s="4">
        <v>4.7299999999999998E-5</v>
      </c>
      <c r="FF47" s="4">
        <v>4.5399999999999999E-5</v>
      </c>
      <c r="FG47" s="4">
        <v>4.3600000000000003E-5</v>
      </c>
      <c r="FH47" s="4">
        <v>4.1999999999999998E-5</v>
      </c>
      <c r="FI47" s="4">
        <v>4.0500000000000002E-5</v>
      </c>
      <c r="FJ47" s="4">
        <v>3.8999999999999999E-5</v>
      </c>
      <c r="FK47" s="4">
        <v>3.7700000000000002E-5</v>
      </c>
      <c r="FL47" s="4">
        <v>3.65E-5</v>
      </c>
      <c r="FM47" s="4">
        <v>3.5299999999999997E-5</v>
      </c>
      <c r="FN47" s="4">
        <v>3.4199999999999998E-5</v>
      </c>
      <c r="FO47" s="4">
        <v>3.3200000000000001E-5</v>
      </c>
      <c r="FP47" s="4">
        <v>3.2299999999999999E-5</v>
      </c>
      <c r="FQ47" s="4">
        <v>3.1399999999999998E-5</v>
      </c>
      <c r="FR47" s="4">
        <v>3.0499999999999999E-5</v>
      </c>
      <c r="FS47" s="4">
        <v>2.9799999999999999E-5</v>
      </c>
      <c r="FT47" s="4">
        <v>2.9E-5</v>
      </c>
      <c r="FU47" s="4">
        <v>2.83E-5</v>
      </c>
      <c r="FV47" s="4">
        <v>2.7699999999999999E-5</v>
      </c>
      <c r="FW47" s="4">
        <v>2.6999999999999999E-5</v>
      </c>
      <c r="FX47" s="4">
        <v>2.65E-5</v>
      </c>
      <c r="FY47" s="4">
        <v>2.5899999999999999E-5</v>
      </c>
      <c r="FZ47" s="4">
        <v>2.5400000000000001E-5</v>
      </c>
      <c r="GA47" s="4">
        <v>2.4899999999999999E-5</v>
      </c>
      <c r="GB47" s="4">
        <v>2.44E-5</v>
      </c>
      <c r="GC47" s="4">
        <v>2.3900000000000002E-5</v>
      </c>
      <c r="GD47" s="4">
        <v>2.3499999999999999E-5</v>
      </c>
      <c r="GE47" s="4">
        <v>2.3099999999999999E-5</v>
      </c>
      <c r="GF47" s="4">
        <v>2.27E-5</v>
      </c>
      <c r="GG47" s="4">
        <v>2.23E-5</v>
      </c>
      <c r="GH47" s="4">
        <v>2.19E-5</v>
      </c>
      <c r="GI47" s="4">
        <v>2.16E-5</v>
      </c>
      <c r="GJ47" s="4">
        <v>2.12E-5</v>
      </c>
      <c r="GK47" s="4">
        <v>2.09E-5</v>
      </c>
      <c r="GL47" s="4">
        <v>2.0599999999999999E-5</v>
      </c>
      <c r="GM47" s="4">
        <v>2.0299999999999999E-5</v>
      </c>
      <c r="GN47" s="4">
        <v>1.9899999999999999E-5</v>
      </c>
      <c r="GO47" s="4">
        <v>1.9700000000000001E-5</v>
      </c>
      <c r="GP47" s="4">
        <v>1.9400000000000001E-5</v>
      </c>
      <c r="GQ47" s="4">
        <v>1.91E-5</v>
      </c>
      <c r="GR47" s="4">
        <v>1.88E-5</v>
      </c>
      <c r="GS47" s="4">
        <v>1.8499999999999999E-5</v>
      </c>
      <c r="GT47" s="4">
        <v>1.8300000000000001E-5</v>
      </c>
      <c r="GU47" s="4">
        <v>1.8E-5</v>
      </c>
      <c r="GV47" s="4">
        <v>1.7799999999999999E-5</v>
      </c>
      <c r="GW47" s="4">
        <v>1.7499999999999998E-5</v>
      </c>
      <c r="GX47" s="4">
        <v>1.73E-5</v>
      </c>
      <c r="GY47" s="4">
        <v>1.7E-5</v>
      </c>
      <c r="GZ47" s="4">
        <v>1.6799999999999998E-5</v>
      </c>
      <c r="HA47" s="4">
        <v>1.66E-5</v>
      </c>
      <c r="HB47" s="4">
        <v>1.6399999999999999E-5</v>
      </c>
      <c r="HC47" s="4">
        <v>1.6099999999999998E-5</v>
      </c>
      <c r="HD47" s="4">
        <v>1.59E-5</v>
      </c>
      <c r="HE47" s="4">
        <v>1.5699999999999999E-5</v>
      </c>
      <c r="HF47" s="4">
        <v>1.5500000000000001E-5</v>
      </c>
      <c r="HG47" s="4">
        <v>1.5299999999999999E-5</v>
      </c>
      <c r="HH47" s="4">
        <v>1.5099999999999999E-5</v>
      </c>
      <c r="HI47" s="4">
        <v>1.49E-5</v>
      </c>
      <c r="HJ47" s="4">
        <v>1.47E-5</v>
      </c>
      <c r="HK47" s="4">
        <v>1.45E-5</v>
      </c>
      <c r="HL47" s="4">
        <v>1.43E-5</v>
      </c>
      <c r="HM47" s="4">
        <v>1.4100000000000001E-5</v>
      </c>
      <c r="HN47" s="4">
        <v>1.3900000000000001E-5</v>
      </c>
      <c r="HO47" s="4">
        <v>1.3699999999999999E-5</v>
      </c>
      <c r="HP47" s="4">
        <v>1.3499999999999999E-5</v>
      </c>
      <c r="HQ47" s="4">
        <v>1.33E-5</v>
      </c>
      <c r="HR47" s="4">
        <v>1.31E-5</v>
      </c>
      <c r="HS47" s="4">
        <v>1.2999999999999999E-5</v>
      </c>
      <c r="HT47" s="4">
        <v>1.2799999999999999E-5</v>
      </c>
      <c r="HU47" s="4">
        <v>1.26E-5</v>
      </c>
      <c r="HV47" s="4">
        <v>1.24E-5</v>
      </c>
      <c r="HW47" s="4">
        <v>1.2300000000000001E-5</v>
      </c>
      <c r="HX47" s="4">
        <v>1.2099999999999999E-5</v>
      </c>
      <c r="HY47" s="4">
        <v>1.19E-5</v>
      </c>
      <c r="HZ47" s="4">
        <v>1.1800000000000001E-5</v>
      </c>
      <c r="IA47" s="4">
        <v>1.1600000000000001E-5</v>
      </c>
      <c r="IB47" s="4">
        <v>1.1399999999999999E-5</v>
      </c>
      <c r="IC47" s="4">
        <v>1.13E-5</v>
      </c>
      <c r="ID47" s="4">
        <v>1.11E-5</v>
      </c>
      <c r="IE47" s="4">
        <v>1.1E-5</v>
      </c>
      <c r="IF47" s="4">
        <v>1.08E-5</v>
      </c>
      <c r="IG47" s="4">
        <v>7.5480000000000002E-4</v>
      </c>
      <c r="IH47" s="4"/>
      <c r="II47" s="4">
        <f t="shared" si="245"/>
        <v>1.1423844685996676</v>
      </c>
      <c r="IJ47">
        <f t="shared" si="246"/>
        <v>0.31456274999999989</v>
      </c>
      <c r="IN47" s="4"/>
      <c r="IO47" s="4"/>
      <c r="IP47" s="4"/>
      <c r="IQ47" s="4"/>
      <c r="IR47" s="4"/>
      <c r="IS47" s="4"/>
      <c r="IT47" s="4"/>
      <c r="IU47" s="4"/>
      <c r="IV47" s="4"/>
    </row>
    <row r="48" spans="1:256" x14ac:dyDescent="0.3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</row>
    <row r="49" spans="2:243" x14ac:dyDescent="0.3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</row>
    <row r="50" spans="2:243" x14ac:dyDescent="0.3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</row>
    <row r="51" spans="2:243" x14ac:dyDescent="0.3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</row>
    <row r="52" spans="2:243" x14ac:dyDescent="0.3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</row>
    <row r="53" spans="2:243" x14ac:dyDescent="0.3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</row>
    <row r="54" spans="2:243" x14ac:dyDescent="0.3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</row>
    <row r="55" spans="2:243" x14ac:dyDescent="0.3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</row>
    <row r="56" spans="2:243" x14ac:dyDescent="0.3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</row>
    <row r="57" spans="2:243" x14ac:dyDescent="0.35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</row>
    <row r="58" spans="2:243" x14ac:dyDescent="0.3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</row>
    <row r="59" spans="2:243" x14ac:dyDescent="0.35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</row>
    <row r="60" spans="2:243" x14ac:dyDescent="0.35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</row>
    <row r="61" spans="2:243" x14ac:dyDescent="0.35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</row>
    <row r="62" spans="2:243" x14ac:dyDescent="0.35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</row>
    <row r="63" spans="2:243" x14ac:dyDescent="0.35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</row>
    <row r="64" spans="2:243" x14ac:dyDescent="0.35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</row>
    <row r="65" spans="2:242" x14ac:dyDescent="0.35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</row>
    <row r="66" spans="2:242" x14ac:dyDescent="0.35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</row>
    <row r="67" spans="2:242" x14ac:dyDescent="0.35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42"/>
  <sheetViews>
    <sheetView tabSelected="1" zoomScale="60" zoomScaleNormal="60" workbookViewId="0">
      <selection activeCell="A2" sqref="A2:L42"/>
    </sheetView>
  </sheetViews>
  <sheetFormatPr defaultRowHeight="14.5" x14ac:dyDescent="0.35"/>
  <sheetData>
    <row r="1" spans="1:12" x14ac:dyDescent="0.35">
      <c r="A1" t="s">
        <v>56</v>
      </c>
      <c r="B1" t="s">
        <v>290</v>
      </c>
      <c r="C1" t="s">
        <v>293</v>
      </c>
      <c r="D1" t="s">
        <v>294</v>
      </c>
      <c r="E1" t="s">
        <v>295</v>
      </c>
      <c r="F1" t="s">
        <v>296</v>
      </c>
      <c r="G1" t="s">
        <v>297</v>
      </c>
      <c r="H1" t="s">
        <v>298</v>
      </c>
      <c r="I1" t="s">
        <v>299</v>
      </c>
      <c r="J1" t="s">
        <v>288</v>
      </c>
      <c r="K1" s="6" t="s">
        <v>300</v>
      </c>
      <c r="L1" t="s">
        <v>57</v>
      </c>
    </row>
    <row r="2" spans="1:12" x14ac:dyDescent="0.35">
      <c r="A2" s="11">
        <v>2020</v>
      </c>
      <c r="B2" s="12">
        <v>0</v>
      </c>
      <c r="C2" s="12">
        <f>aggregates_normalized!R2</f>
        <v>0</v>
      </c>
      <c r="D2" s="11">
        <f>aggregates_normalized!K2</f>
        <v>0</v>
      </c>
      <c r="E2" s="12">
        <f>aggregates_normalized!AA2</f>
        <v>0</v>
      </c>
      <c r="F2" s="13">
        <f>100*(output_transition_aggregates!AM2-output_transition_aggregates!AM$2)</f>
        <v>0</v>
      </c>
      <c r="G2" s="11">
        <f>100*(output_transition_firms_age!II8-output_transition_firms_age!II$8)</f>
        <v>0</v>
      </c>
      <c r="H2" s="12">
        <f>aggregates_normalized!J2</f>
        <v>0</v>
      </c>
      <c r="I2" s="12">
        <f>aggregates_normalized!S2</f>
        <v>0</v>
      </c>
      <c r="J2" s="12">
        <f>aggregates_normalized!C2</f>
        <v>0</v>
      </c>
      <c r="K2" s="12">
        <f>output_transition_aggregates!AL2</f>
        <v>0</v>
      </c>
      <c r="L2" s="11">
        <v>0</v>
      </c>
    </row>
    <row r="3" spans="1:12" x14ac:dyDescent="0.35">
      <c r="A3" s="11">
        <f>A2+0.25</f>
        <v>2020.25</v>
      </c>
      <c r="B3" s="12">
        <v>0</v>
      </c>
      <c r="C3" s="12">
        <f>aggregates_normalized!R3</f>
        <v>-9.5145118661798413</v>
      </c>
      <c r="D3" s="11">
        <f>aggregates_normalized!K3</f>
        <v>-13.597709999999996</v>
      </c>
      <c r="E3" s="12">
        <f>aggregates_normalized!AA3</f>
        <v>0</v>
      </c>
      <c r="F3" s="13">
        <f>100*(output_transition_aggregates!AM3-output_transition_aggregates!AM$2)</f>
        <v>-1.1118381034215628</v>
      </c>
      <c r="G3" s="11">
        <f>100*(output_transition_firms_age!II9-output_transition_firms_age!II$8)</f>
        <v>2.7283374321694907</v>
      </c>
      <c r="H3" s="12">
        <f>aggregates_normalized!J3</f>
        <v>-1.0421622343292691</v>
      </c>
      <c r="I3" s="12">
        <f>aggregates_normalized!S3</f>
        <v>-46.805924915929218</v>
      </c>
      <c r="J3" s="12">
        <f>aggregates_normalized!C3</f>
        <v>18.842231689916055</v>
      </c>
      <c r="K3" s="12">
        <f>output_transition_aggregates!AL3</f>
        <v>14.767253863454899</v>
      </c>
      <c r="L3" s="11">
        <v>0</v>
      </c>
    </row>
    <row r="4" spans="1:12" x14ac:dyDescent="0.35">
      <c r="A4" s="11">
        <f t="shared" ref="A4:A42" si="0">A3+0.25</f>
        <v>2020.5</v>
      </c>
      <c r="B4" s="12">
        <v>0</v>
      </c>
      <c r="C4" s="12">
        <f>aggregates_normalized!R4</f>
        <v>-5.5760533063896283</v>
      </c>
      <c r="D4" s="11">
        <f>aggregates_normalized!K4</f>
        <v>-7.6838799999999985</v>
      </c>
      <c r="E4" s="12">
        <f>aggregates_normalized!AA4</f>
        <v>-0.74103980337867359</v>
      </c>
      <c r="F4" s="13">
        <f>100*(output_transition_aggregates!AM4-output_transition_aggregates!AM$2)</f>
        <v>-1.1502879431095028</v>
      </c>
      <c r="G4" s="11">
        <f>100*(output_transition_firms_age!II10-output_transition_firms_age!II$8)</f>
        <v>2.1615709821345184</v>
      </c>
      <c r="H4" s="12">
        <f>aggregates_normalized!J4</f>
        <v>-1.1568669928624042</v>
      </c>
      <c r="I4" s="12">
        <f>aggregates_normalized!S4</f>
        <v>-24.281119382132644</v>
      </c>
      <c r="J4" s="12">
        <f>aggregates_normalized!C4</f>
        <v>9.4211221530158262</v>
      </c>
      <c r="K4" s="12">
        <f>output_transition_aggregates!AL4</f>
        <v>7.138978607365809</v>
      </c>
      <c r="L4" s="11">
        <v>0</v>
      </c>
    </row>
    <row r="5" spans="1:12" x14ac:dyDescent="0.35">
      <c r="A5" s="11">
        <f t="shared" si="0"/>
        <v>2020.75</v>
      </c>
      <c r="B5" s="12">
        <v>0</v>
      </c>
      <c r="C5" s="12">
        <f>aggregates_normalized!R5</f>
        <v>-3.5193808090966283</v>
      </c>
      <c r="D5" s="11">
        <f>aggregates_normalized!K5</f>
        <v>-4.3624899999999966</v>
      </c>
      <c r="E5" s="12">
        <f>aggregates_normalized!AA5</f>
        <v>-1.3962401395012258</v>
      </c>
      <c r="F5" s="13">
        <f>100*(output_transition_aggregates!AM5-output_transition_aggregates!AM$2)</f>
        <v>-0.96756496944132575</v>
      </c>
      <c r="G5" s="11">
        <f>100*(output_transition_firms_age!II11-output_transition_firms_age!II$8)</f>
        <v>1.8456514742244565</v>
      </c>
      <c r="H5" s="12">
        <f>aggregates_normalized!J5</f>
        <v>-1.1892437505976461</v>
      </c>
      <c r="I5" s="12">
        <f>aggregates_normalized!S5</f>
        <v>-12.64439696228229</v>
      </c>
      <c r="J5" s="12">
        <f>aggregates_normalized!C5</f>
        <v>4.7105673845656781</v>
      </c>
      <c r="K5" s="12">
        <f>output_transition_aggregates!AL5</f>
        <v>2.7663479672242364</v>
      </c>
      <c r="L5" s="11">
        <v>0</v>
      </c>
    </row>
    <row r="6" spans="1:12" x14ac:dyDescent="0.35">
      <c r="A6" s="11">
        <f t="shared" si="0"/>
        <v>2021</v>
      </c>
      <c r="B6" s="12">
        <v>0</v>
      </c>
      <c r="C6" s="12">
        <f>aggregates_normalized!R6</f>
        <v>-2.4531889531254958</v>
      </c>
      <c r="D6" s="11">
        <f>aggregates_normalized!K6</f>
        <v>-2.5869699999999995</v>
      </c>
      <c r="E6" s="12">
        <f>aggregates_normalized!AA6</f>
        <v>-1.8915137249314484</v>
      </c>
      <c r="F6" s="13">
        <f>100*(output_transition_aggregates!AM6-output_transition_aggregates!AM$2)</f>
        <v>-0.72637996396309468</v>
      </c>
      <c r="G6" s="11">
        <f>100*(output_transition_firms_age!II12-output_transition_firms_age!II$8)</f>
        <v>1.8182455501271442</v>
      </c>
      <c r="H6" s="12">
        <f>aggregates_normalized!J6</f>
        <v>-1.1918419587119811</v>
      </c>
      <c r="I6" s="12">
        <f>aggregates_normalized!S6</f>
        <v>-6.6766820210532156</v>
      </c>
      <c r="J6" s="12">
        <f>aggregates_normalized!C6</f>
        <v>2.3552900003406263</v>
      </c>
      <c r="K6" s="12">
        <f>output_transition_aggregates!AL6</f>
        <v>0.44572746821938125</v>
      </c>
      <c r="L6" s="11">
        <v>0</v>
      </c>
    </row>
    <row r="7" spans="1:12" x14ac:dyDescent="0.35">
      <c r="A7" s="11">
        <f t="shared" si="0"/>
        <v>2021.25</v>
      </c>
      <c r="B7" s="12">
        <v>0</v>
      </c>
      <c r="C7" s="12">
        <f>aggregates_normalized!R7</f>
        <v>-1.8768130651931059</v>
      </c>
      <c r="D7" s="11">
        <f>aggregates_normalized!K7</f>
        <v>-1.6114899999999932</v>
      </c>
      <c r="E7" s="12">
        <f>aggregates_normalized!AA7</f>
        <v>-2.2250065078783354</v>
      </c>
      <c r="F7" s="13">
        <f>100*(output_transition_aggregates!AM7-output_transition_aggregates!AM$2)</f>
        <v>5.4736161703294872E-2</v>
      </c>
      <c r="G7" s="11">
        <f>100*(output_transition_firms_age!II13-output_transition_firms_age!II$8)</f>
        <v>-1.6110655488118879</v>
      </c>
      <c r="H7" s="12">
        <f>aggregates_normalized!J7</f>
        <v>-1.1780481232435025</v>
      </c>
      <c r="I7" s="12">
        <f>aggregates_normalized!S7</f>
        <v>-3.5200379985822927</v>
      </c>
      <c r="J7" s="12">
        <f>aggregates_normalized!C7</f>
        <v>1.177638692112537</v>
      </c>
      <c r="K7" s="12">
        <f>output_transition_aggregates!AL7</f>
        <v>-0.82308388344314309</v>
      </c>
      <c r="L7" s="11">
        <v>0</v>
      </c>
    </row>
    <row r="8" spans="1:12" x14ac:dyDescent="0.35">
      <c r="A8" s="11">
        <f t="shared" si="0"/>
        <v>2021.5</v>
      </c>
      <c r="B8" s="12">
        <v>0</v>
      </c>
      <c r="C8" s="12">
        <f>aggregates_normalized!R8</f>
        <v>-1.5716774570246561</v>
      </c>
      <c r="D8" s="11">
        <f>aggregates_normalized!K8</f>
        <v>-1.0986700000000016</v>
      </c>
      <c r="E8" s="12">
        <f>aggregates_normalized!AA8</f>
        <v>-2.3556075857294245</v>
      </c>
      <c r="F8" s="13">
        <f>100*(output_transition_aggregates!AM8-output_transition_aggregates!AM$2)</f>
        <v>0.42216119483189235</v>
      </c>
      <c r="G8" s="11">
        <f>100*(output_transition_firms_age!II14-output_transition_firms_age!II$8)</f>
        <v>-0.96406387158616957</v>
      </c>
      <c r="H8" s="12">
        <f>aggregates_normalized!J8</f>
        <v>-1.1602719505282244</v>
      </c>
      <c r="I8" s="12">
        <f>aggregates_normalized!S8</f>
        <v>-1.8967481064871228</v>
      </c>
      <c r="J8" s="12">
        <f>aggregates_normalized!C8</f>
        <v>0.58881934605625741</v>
      </c>
      <c r="K8" s="12">
        <f>output_transition_aggregates!AL8</f>
        <v>-1.4733796034939406</v>
      </c>
      <c r="L8" s="11">
        <v>0</v>
      </c>
    </row>
    <row r="9" spans="1:12" x14ac:dyDescent="0.35">
      <c r="A9" s="11">
        <f t="shared" si="0"/>
        <v>2021.75</v>
      </c>
      <c r="B9" s="12">
        <v>0</v>
      </c>
      <c r="C9" s="12">
        <f>aggregates_normalized!R9</f>
        <v>-1.3983020109998634</v>
      </c>
      <c r="D9" s="11">
        <f>aggregates_normalized!K9</f>
        <v>-0.81356000000000206</v>
      </c>
      <c r="E9" s="12">
        <f>aggregates_normalized!AA9</f>
        <v>-2.4020997606133965</v>
      </c>
      <c r="F9" s="13">
        <f>100*(output_transition_aggregates!AM9-output_transition_aggregates!AM$2)</f>
        <v>0.659391364395294</v>
      </c>
      <c r="G9" s="11">
        <f>100*(output_transition_firms_age!II15-output_transition_firms_age!II$8)</f>
        <v>-0.44388780913461878</v>
      </c>
      <c r="H9" s="12">
        <f>aggregates_normalized!J9</f>
        <v>-1.1275590471465313</v>
      </c>
      <c r="I9" s="12">
        <f>aggregates_normalized!S9</f>
        <v>-1.0777832280648658</v>
      </c>
      <c r="J9" s="12">
        <f>aggregates_normalized!C9</f>
        <v>0.2944096730281176</v>
      </c>
      <c r="K9" s="12">
        <f>output_transition_aggregates!AL9</f>
        <v>-1.8203517624817422</v>
      </c>
      <c r="L9" s="11">
        <v>0</v>
      </c>
    </row>
    <row r="10" spans="1:12" x14ac:dyDescent="0.35">
      <c r="A10" s="11">
        <f t="shared" si="0"/>
        <v>2022</v>
      </c>
      <c r="B10" s="12">
        <v>0</v>
      </c>
      <c r="C10" s="12">
        <f>aggregates_normalized!R10</f>
        <v>-1.2918889281537393</v>
      </c>
      <c r="D10" s="11">
        <f>aggregates_normalized!K10</f>
        <v>-0.64836999999999811</v>
      </c>
      <c r="E10" s="12">
        <f>aggregates_normalized!AA10</f>
        <v>-2.4028180752378892</v>
      </c>
      <c r="F10" s="13">
        <f>100*(output_transition_aggregates!AM10-output_transition_aggregates!AM$2)</f>
        <v>0.76783089968067286</v>
      </c>
      <c r="G10" s="11">
        <f>100*(output_transition_firms_age!II16-output_transition_firms_age!II$8)</f>
        <v>-0.24220543516268317</v>
      </c>
      <c r="H10" s="12">
        <f>aggregates_normalized!J10</f>
        <v>-1.0951822894112895</v>
      </c>
      <c r="I10" s="12">
        <f>aggregates_normalized!S10</f>
        <v>-0.63132157493134278</v>
      </c>
      <c r="J10" s="12">
        <f>aggregates_normalized!C10</f>
        <v>0.1472048365140477</v>
      </c>
      <c r="K10" s="12">
        <f>output_transition_aggregates!AL10</f>
        <v>-2.0018809916814817</v>
      </c>
      <c r="L10" s="11">
        <v>0</v>
      </c>
    </row>
    <row r="11" spans="1:12" x14ac:dyDescent="0.35">
      <c r="A11" s="11">
        <f t="shared" si="0"/>
        <v>2022.25</v>
      </c>
      <c r="B11" s="12">
        <v>0</v>
      </c>
      <c r="C11" s="12">
        <f>aggregates_normalized!R11</f>
        <v>-1.2185719997797273</v>
      </c>
      <c r="D11" s="11">
        <f>aggregates_normalized!K11</f>
        <v>-0.54105999999999321</v>
      </c>
      <c r="E11" s="12">
        <f>aggregates_normalized!AA11</f>
        <v>-2.3795311151719845</v>
      </c>
      <c r="F11" s="13">
        <f>100*(output_transition_aggregates!AM11-output_transition_aggregates!AM$2)</f>
        <v>0.73120586237508389</v>
      </c>
      <c r="G11" s="11">
        <f>100*(output_transition_firms_age!II17-output_transition_firms_age!II$8)</f>
        <v>-0.12285547763781351</v>
      </c>
      <c r="H11" s="12">
        <f>aggregates_normalized!J11</f>
        <v>-1.0625207965402228</v>
      </c>
      <c r="I11" s="12">
        <f>aggregates_normalized!S11</f>
        <v>-0.3710392388137973</v>
      </c>
      <c r="J11" s="12">
        <f>aggregates_normalized!C11</f>
        <v>7.3602418257023849E-2</v>
      </c>
      <c r="K11" s="12">
        <f>output_transition_aggregates!AL11</f>
        <v>-2.1064308216962147</v>
      </c>
      <c r="L11" s="11">
        <v>0</v>
      </c>
    </row>
    <row r="12" spans="1:12" x14ac:dyDescent="0.35">
      <c r="A12" s="11">
        <f t="shared" si="0"/>
        <v>2022.5</v>
      </c>
      <c r="B12" s="12">
        <v>0</v>
      </c>
      <c r="C12" s="12">
        <f>aggregates_normalized!R12</f>
        <v>-1.1619050675845455</v>
      </c>
      <c r="D12" s="11">
        <f>aggregates_normalized!K12</f>
        <v>-0.46334000000000097</v>
      </c>
      <c r="E12" s="12">
        <f>aggregates_normalized!AA12</f>
        <v>-2.3382236761126718</v>
      </c>
      <c r="F12" s="13">
        <f>100*(output_transition_aggregates!AM12-output_transition_aggregates!AM$2)</f>
        <v>0.69949446367296719</v>
      </c>
      <c r="G12" s="11">
        <f>100*(output_transition_firms_age!II18-output_transition_firms_age!II$8)</f>
        <v>-4.8433375612333407E-2</v>
      </c>
      <c r="H12" s="12">
        <f>aggregates_normalized!J12</f>
        <v>-1.0260114246809615</v>
      </c>
      <c r="I12" s="12">
        <f>aggregates_normalized!S12</f>
        <v>-0.22135114022857616</v>
      </c>
      <c r="J12" s="12">
        <f>aggregates_normalized!C12</f>
        <v>3.6801209128523027E-2</v>
      </c>
      <c r="K12" s="12">
        <f>output_transition_aggregates!AL12</f>
        <v>-2.1709086116849186</v>
      </c>
      <c r="L12" s="11">
        <v>0</v>
      </c>
    </row>
    <row r="13" spans="1:12" x14ac:dyDescent="0.35">
      <c r="A13" s="11">
        <f t="shared" si="0"/>
        <v>2022.75</v>
      </c>
      <c r="B13" s="12">
        <v>0</v>
      </c>
      <c r="C13" s="12">
        <f>aggregates_normalized!R13</f>
        <v>-1.1171351497596849</v>
      </c>
      <c r="D13" s="11">
        <f>aggregates_normalized!K13</f>
        <v>-0.40858999999999757</v>
      </c>
      <c r="E13" s="12">
        <f>aggregates_normalized!AA13</f>
        <v>-2.2991529261746302</v>
      </c>
      <c r="F13" s="13">
        <f>100*(output_transition_aggregates!AM13-output_transition_aggregates!AM$2)</f>
        <v>0.65995341718893408</v>
      </c>
      <c r="G13" s="11">
        <f>100*(output_transition_firms_age!II19-output_transition_firms_age!II$8)</f>
        <v>1.2575504054457287E-2</v>
      </c>
      <c r="H13" s="12">
        <f>aggregates_normalized!J13</f>
        <v>-1.0093860564729606</v>
      </c>
      <c r="I13" s="12">
        <f>aggregates_normalized!S13</f>
        <v>-4.7245193154032972E-2</v>
      </c>
      <c r="J13" s="12">
        <f>aggregates_normalized!C13</f>
        <v>1.8406912622026539E-2</v>
      </c>
      <c r="K13" s="12">
        <f>output_transition_aggregates!AL13</f>
        <v>-2.2011786306973313</v>
      </c>
      <c r="L13" s="11">
        <v>0</v>
      </c>
    </row>
    <row r="14" spans="1:12" x14ac:dyDescent="0.35">
      <c r="A14" s="11">
        <f t="shared" si="0"/>
        <v>2023</v>
      </c>
      <c r="B14" s="12">
        <v>0</v>
      </c>
      <c r="C14" s="12">
        <f>aggregates_normalized!R14</f>
        <v>-1.0766199433563495</v>
      </c>
      <c r="D14" s="11">
        <f>aggregates_normalized!K14</f>
        <v>-0.36037999999999348</v>
      </c>
      <c r="E14" s="12">
        <f>aggregates_normalized!AA14</f>
        <v>-2.2498483669134428</v>
      </c>
      <c r="F14" s="13">
        <f>100*(output_transition_aggregates!AM14-output_transition_aggregates!AM$2)</f>
        <v>0.6357193775938963</v>
      </c>
      <c r="G14" s="11">
        <f>100*(output_transition_firms_age!II20-output_transition_firms_age!II$8)</f>
        <v>4.2961903317685624E-2</v>
      </c>
      <c r="H14" s="12">
        <f>aggregates_normalized!J14</f>
        <v>-0.9742370858181415</v>
      </c>
      <c r="I14" s="12">
        <f>aggregates_normalized!S14</f>
        <v>1.8453459146994255E-2</v>
      </c>
      <c r="J14" s="12">
        <f>aggregates_normalized!C14</f>
        <v>9.2097643688004993E-3</v>
      </c>
      <c r="K14" s="12">
        <f>output_transition_aggregates!AL14</f>
        <v>-2.2244060682243383</v>
      </c>
      <c r="L14" s="11">
        <v>0</v>
      </c>
    </row>
    <row r="15" spans="1:12" x14ac:dyDescent="0.35">
      <c r="A15" s="11">
        <f t="shared" si="0"/>
        <v>2023.25</v>
      </c>
      <c r="B15" s="12">
        <v>0</v>
      </c>
      <c r="C15" s="12">
        <f>aggregates_normalized!R15</f>
        <v>-1.0396961663658777</v>
      </c>
      <c r="D15" s="11">
        <f>aggregates_normalized!K15</f>
        <v>-0.31801999999999664</v>
      </c>
      <c r="E15" s="12">
        <f>aggregates_normalized!AA15</f>
        <v>-2.198378428215253</v>
      </c>
      <c r="F15" s="13">
        <f>100*(output_transition_aggregates!AM15-output_transition_aggregates!AM$2)</f>
        <v>0.61454896934038661</v>
      </c>
      <c r="G15" s="11">
        <f>100*(output_transition_firms_age!II21-output_transition_firms_age!II$8)</f>
        <v>7.2939079056945355E-2</v>
      </c>
      <c r="H15" s="12">
        <f>aggregates_normalized!J15</f>
        <v>-0.94296763138885797</v>
      </c>
      <c r="I15" s="12">
        <f>aggregates_normalized!S15</f>
        <v>8.1784429618214638E-2</v>
      </c>
      <c r="J15" s="12">
        <f>aggregates_normalized!C15</f>
        <v>4.6048821844113519E-3</v>
      </c>
      <c r="K15" s="12">
        <f>output_transition_aggregates!AL15</f>
        <v>-2.2406785127193629</v>
      </c>
      <c r="L15" s="11">
        <v>0</v>
      </c>
    </row>
    <row r="16" spans="1:12" x14ac:dyDescent="0.35">
      <c r="A16" s="11">
        <f t="shared" si="0"/>
        <v>2023.5</v>
      </c>
      <c r="B16" s="12">
        <v>0</v>
      </c>
      <c r="C16" s="12">
        <f>aggregates_normalized!R16</f>
        <v>-1.0050146061169385</v>
      </c>
      <c r="D16" s="11">
        <f>aggregates_normalized!K16</f>
        <v>-0.2786499999999914</v>
      </c>
      <c r="E16" s="12">
        <f>aggregates_normalized!AA16</f>
        <v>-2.149126046771821</v>
      </c>
      <c r="F16" s="13">
        <f>100*(output_transition_aggregates!AM16-output_transition_aggregates!AM$2)</f>
        <v>0.59558367649465849</v>
      </c>
      <c r="G16" s="11">
        <f>100*(output_transition_firms_age!II22-output_transition_firms_age!II$8)</f>
        <v>0.10019416891655503</v>
      </c>
      <c r="H16" s="12">
        <f>aggregates_normalized!J16</f>
        <v>-0.91201059467804768</v>
      </c>
      <c r="I16" s="12">
        <f>aggregates_normalized!S16</f>
        <v>0.13405416894547439</v>
      </c>
      <c r="J16" s="12">
        <f>aggregates_normalized!C16</f>
        <v>2.3087491499707014E-3</v>
      </c>
      <c r="K16" s="12">
        <f>output_transition_aggregates!AL16</f>
        <v>-2.2546587989729527</v>
      </c>
      <c r="L16" s="11">
        <v>0</v>
      </c>
    </row>
    <row r="17" spans="1:12" x14ac:dyDescent="0.35">
      <c r="A17" s="11">
        <f t="shared" si="0"/>
        <v>2023.75</v>
      </c>
      <c r="B17" s="12">
        <v>0</v>
      </c>
      <c r="C17" s="12">
        <f>aggregates_normalized!R17</f>
        <v>-0.97135870633994204</v>
      </c>
      <c r="D17" s="11">
        <f>aggregates_normalized!K17</f>
        <v>-0.24108999999999936</v>
      </c>
      <c r="E17" s="12">
        <f>aggregates_normalized!AA17</f>
        <v>-2.0966125517184464</v>
      </c>
      <c r="F17" s="13">
        <f>100*(output_transition_aggregates!AM17-output_transition_aggregates!AM$2)</f>
        <v>0.57840067734211553</v>
      </c>
      <c r="G17" s="11">
        <f>100*(output_transition_firms_age!II23-output_transition_firms_age!II$8)</f>
        <v>0.10150153074944268</v>
      </c>
      <c r="H17" s="12">
        <f>aggregates_normalized!J17</f>
        <v>-0.88148856998027103</v>
      </c>
      <c r="I17" s="12">
        <f>aggregates_normalized!S17</f>
        <v>0.18254646168927025</v>
      </c>
      <c r="J17" s="12">
        <f>aggregates_normalized!C17</f>
        <v>1.1606826327836828E-3</v>
      </c>
      <c r="K17" s="12">
        <f>output_transition_aggregates!AL17</f>
        <v>-2.2662194954072401</v>
      </c>
      <c r="L17" s="11">
        <v>0</v>
      </c>
    </row>
    <row r="18" spans="1:12" x14ac:dyDescent="0.35">
      <c r="A18" s="11">
        <f t="shared" si="0"/>
        <v>2024</v>
      </c>
      <c r="B18" s="12">
        <v>0</v>
      </c>
      <c r="C18" s="12">
        <f>aggregates_normalized!R18</f>
        <v>-0.9395632317092506</v>
      </c>
      <c r="D18" s="11">
        <f>aggregates_normalized!K18</f>
        <v>-0.2076599999999984</v>
      </c>
      <c r="E18" s="12">
        <f>aggregates_normalized!AA18</f>
        <v>-2.0443077679361044</v>
      </c>
      <c r="F18" s="13">
        <f>100*(output_transition_aggregates!AM18-output_transition_aggregates!AM$2)</f>
        <v>0.56256936088068388</v>
      </c>
      <c r="G18" s="11">
        <f>100*(output_transition_firms_age!II24-output_transition_firms_age!II$8)</f>
        <v>0.12160824674988385</v>
      </c>
      <c r="H18" s="12">
        <f>aggregates_normalized!J18</f>
        <v>-0.84874007470658874</v>
      </c>
      <c r="I18" s="12">
        <f>aggregates_normalized!S18</f>
        <v>0.21050679596981148</v>
      </c>
      <c r="J18" s="12">
        <f>aggregates_normalized!C18</f>
        <v>5.8034131638073916E-4</v>
      </c>
      <c r="K18" s="12">
        <f>output_transition_aggregates!AL18</f>
        <v>-2.2707880434787331</v>
      </c>
      <c r="L18" s="11">
        <v>0</v>
      </c>
    </row>
    <row r="19" spans="1:12" x14ac:dyDescent="0.35">
      <c r="A19" s="11">
        <f t="shared" si="0"/>
        <v>2024.25</v>
      </c>
      <c r="B19" s="12">
        <v>0</v>
      </c>
      <c r="C19" s="12">
        <f>aggregates_normalized!R19</f>
        <v>-0.91067325582877556</v>
      </c>
      <c r="D19" s="11">
        <f>aggregates_normalized!K19</f>
        <v>-0.17887999999999238</v>
      </c>
      <c r="E19" s="12">
        <f>aggregates_normalized!AA19</f>
        <v>-1.9948640678275509</v>
      </c>
      <c r="F19" s="13">
        <f>100*(output_transition_aggregates!AM19-output_transition_aggregates!AM$2)</f>
        <v>0.54817433955909045</v>
      </c>
      <c r="G19" s="11">
        <f>100*(output_transition_firms_age!II25-output_transition_firms_age!II$8)</f>
        <v>0.14871617179736396</v>
      </c>
      <c r="H19" s="12">
        <f>aggregates_normalized!J19</f>
        <v>-0.8210614467123345</v>
      </c>
      <c r="I19" s="12">
        <f>aggregates_normalized!S19</f>
        <v>0.2453713627617482</v>
      </c>
      <c r="J19" s="12">
        <f>aggregates_normalized!C19</f>
        <v>2.9017065819036958E-4</v>
      </c>
      <c r="K19" s="12">
        <f>output_transition_aggregates!AL19</f>
        <v>-2.2700096842291018</v>
      </c>
      <c r="L19" s="11">
        <v>0</v>
      </c>
    </row>
    <row r="20" spans="1:12" x14ac:dyDescent="0.35">
      <c r="A20" s="11">
        <f t="shared" si="0"/>
        <v>2024.5</v>
      </c>
      <c r="B20" s="12">
        <v>0</v>
      </c>
      <c r="C20" s="12">
        <f>aggregates_normalized!R20</f>
        <v>-0.87187287608203601</v>
      </c>
      <c r="D20" s="11">
        <f>aggregates_normalized!K20</f>
        <v>-0.13377999999999446</v>
      </c>
      <c r="E20" s="12">
        <f>aggregates_normalized!AA20</f>
        <v>-1.9441733178745646</v>
      </c>
      <c r="F20" s="13">
        <f>100*(output_transition_aggregates!AM20-output_transition_aggregates!AM$2)</f>
        <v>0.53504960063004703</v>
      </c>
      <c r="G20" s="11">
        <f>100*(output_transition_firms_age!II26-output_transition_firms_age!II$8)</f>
        <v>0.16936571290259855</v>
      </c>
      <c r="H20" s="12">
        <f>aggregates_normalized!J20</f>
        <v>-0.86261695792304582</v>
      </c>
      <c r="I20" s="12">
        <f>aggregates_normalized!S20</f>
        <v>0.65205234637268905</v>
      </c>
      <c r="J20" s="12">
        <f>aggregates_normalized!C20</f>
        <v>1.5139338687131243E-4</v>
      </c>
      <c r="K20" s="12">
        <f>output_transition_aggregates!AL20</f>
        <v>-2.2888697157841698</v>
      </c>
      <c r="L20" s="11">
        <v>0</v>
      </c>
    </row>
    <row r="21" spans="1:12" x14ac:dyDescent="0.35">
      <c r="A21" s="11">
        <f t="shared" si="0"/>
        <v>2024.75</v>
      </c>
      <c r="B21" s="12">
        <v>0</v>
      </c>
      <c r="C21" s="12">
        <f>aggregates_normalized!R21</f>
        <v>-0.88115882420353175</v>
      </c>
      <c r="D21" s="11">
        <f>aggregates_normalized!K21</f>
        <v>-0.16686000000000201</v>
      </c>
      <c r="E21" s="12">
        <f>aggregates_normalized!AA21</f>
        <v>-1.8850715036987986</v>
      </c>
      <c r="F21" s="13">
        <f>100*(output_transition_aggregates!AM21-output_transition_aggregates!AM$2)</f>
        <v>0.4223642623762805</v>
      </c>
      <c r="G21" s="11">
        <f>100*(output_transition_firms_age!II27-output_transition_firms_age!II$8)</f>
        <v>0.18948676456210234</v>
      </c>
      <c r="H21" s="12">
        <f>aggregates_normalized!J21</f>
        <v>-0.75602319610602597</v>
      </c>
      <c r="I21" s="12">
        <f>aggregates_normalized!S21</f>
        <v>0.11299806717637306</v>
      </c>
      <c r="J21" s="12">
        <f>aggregates_normalized!C21</f>
        <v>7.5696693446758445E-5</v>
      </c>
      <c r="K21" s="12">
        <f>output_transition_aggregates!AL21</f>
        <v>-2.2155338339111985</v>
      </c>
      <c r="L21" s="11">
        <v>0</v>
      </c>
    </row>
    <row r="22" spans="1:12" x14ac:dyDescent="0.35">
      <c r="A22" s="11">
        <f t="shared" si="0"/>
        <v>2025</v>
      </c>
      <c r="B22" s="12">
        <v>0</v>
      </c>
      <c r="C22" s="12">
        <f>aggregates_normalized!R22</f>
        <v>-0.87078574069219261</v>
      </c>
      <c r="D22" s="11">
        <f>aggregates_normalized!K22</f>
        <v>-0.16969000000000012</v>
      </c>
      <c r="E22" s="12">
        <f>aggregates_normalized!AA22</f>
        <v>-1.8423465672570249</v>
      </c>
      <c r="F22" s="13">
        <f>100*(output_transition_aggregates!AM22-output_transition_aggregates!AM$2)</f>
        <v>0.31474052802012431</v>
      </c>
      <c r="G22" s="11">
        <f>100*(output_transition_firms_age!II28-output_transition_firms_age!II$8)</f>
        <v>0.19868932495785974</v>
      </c>
      <c r="H22" s="12">
        <f>aggregates_normalized!J22</f>
        <v>-0.72039966689153578</v>
      </c>
      <c r="I22" s="12">
        <f>aggregates_normalized!S22</f>
        <v>8.1332581940651849E-3</v>
      </c>
      <c r="J22" s="12">
        <f>aggregates_normalized!C22</f>
        <v>3.7848346723379223E-5</v>
      </c>
      <c r="K22" s="12">
        <f>output_transition_aggregates!AL22</f>
        <v>-2.1745986906966053</v>
      </c>
      <c r="L22" s="11">
        <v>0</v>
      </c>
    </row>
    <row r="23" spans="1:12" x14ac:dyDescent="0.35">
      <c r="A23" s="11">
        <f t="shared" si="0"/>
        <v>2025.25</v>
      </c>
      <c r="B23" s="12">
        <v>0</v>
      </c>
      <c r="C23" s="12">
        <f>aggregates_normalized!R23</f>
        <v>-0.86240897425087226</v>
      </c>
      <c r="D23" s="11">
        <f>aggregates_normalized!K23</f>
        <v>-0.17364999999999187</v>
      </c>
      <c r="E23" s="12">
        <f>aggregates_normalized!AA23</f>
        <v>-1.8084414212771516</v>
      </c>
      <c r="F23" s="13">
        <f>100*(output_transition_aggregates!AM23-output_transition_aggregates!AM$2)</f>
        <v>0.21537936544071962</v>
      </c>
      <c r="G23" s="11">
        <f>100*(output_transition_firms_age!II29-output_transition_firms_age!II$8)</f>
        <v>0.20161200060277856</v>
      </c>
      <c r="H23" s="12">
        <f>aggregates_normalized!J23</f>
        <v>-0.67887974757282477</v>
      </c>
      <c r="I23" s="12">
        <f>aggregates_normalized!S23</f>
        <v>-0.13483134695070342</v>
      </c>
      <c r="J23" s="12">
        <f>aggregates_normalized!C23</f>
        <v>2.5232231148919482E-5</v>
      </c>
      <c r="K23" s="12">
        <f>output_transition_aggregates!AL23</f>
        <v>-2.1363655950042304</v>
      </c>
      <c r="L23" s="11">
        <v>0</v>
      </c>
    </row>
    <row r="24" spans="1:12" x14ac:dyDescent="0.35">
      <c r="A24" s="11">
        <f t="shared" si="0"/>
        <v>2025.5</v>
      </c>
      <c r="B24" s="12">
        <v>0</v>
      </c>
      <c r="C24" s="12">
        <f>aggregates_normalized!R24</f>
        <v>-0.85544936644272873</v>
      </c>
      <c r="D24" s="11">
        <f>aggregates_normalized!K24</f>
        <v>-0.17783999999999578</v>
      </c>
      <c r="E24" s="12">
        <f>aggregates_normalized!AA24</f>
        <v>-1.7785870132159709</v>
      </c>
      <c r="F24" s="13">
        <f>100*(output_transition_aggregates!AM24-output_transition_aggregates!AM$2)</f>
        <v>0.13343140740239151</v>
      </c>
      <c r="G24" s="11">
        <f>100*(output_transition_firms_age!II30-output_transition_firms_age!II$8)</f>
        <v>0.21951710934035584</v>
      </c>
      <c r="H24" s="12">
        <f>aggregates_normalized!J24</f>
        <v>-0.67492904756334404</v>
      </c>
      <c r="I24" s="12">
        <f>aggregates_normalized!S24</f>
        <v>-0.11401020597386902</v>
      </c>
      <c r="J24" s="12">
        <f>aggregates_normalized!C24</f>
        <v>1.2616115574459741E-5</v>
      </c>
      <c r="K24" s="12">
        <f>output_transition_aggregates!AL24</f>
        <v>-2.10181726976435</v>
      </c>
      <c r="L24" s="11">
        <v>0</v>
      </c>
    </row>
    <row r="25" spans="1:12" x14ac:dyDescent="0.35">
      <c r="A25" s="11">
        <f t="shared" si="0"/>
        <v>2025.75</v>
      </c>
      <c r="B25" s="12">
        <v>0</v>
      </c>
      <c r="C25" s="12">
        <f>aggregates_normalized!R25</f>
        <v>-0.84528659186097199</v>
      </c>
      <c r="D25" s="11">
        <f>aggregates_normalized!K25</f>
        <v>-0.17657999999999285</v>
      </c>
      <c r="E25" s="12">
        <f>aggregates_normalized!AA25</f>
        <v>-1.7495848428448646</v>
      </c>
      <c r="F25" s="13">
        <f>100*(output_transition_aggregates!AM25-output_transition_aggregates!AM$2)</f>
        <v>0.13102753769720227</v>
      </c>
      <c r="G25" s="11">
        <f>100*(output_transition_firms_age!II31-output_transition_firms_age!II$8)</f>
        <v>0.20007700761058705</v>
      </c>
      <c r="H25" s="12">
        <f>aggregates_normalized!J25</f>
        <v>-0.64321271715701567</v>
      </c>
      <c r="I25" s="12">
        <f>aggregates_normalized!S25</f>
        <v>-0.20219279870475892</v>
      </c>
      <c r="J25" s="12">
        <f>aggregates_normalized!C25</f>
        <v>1.2616115574459741E-5</v>
      </c>
      <c r="K25" s="12">
        <f>output_transition_aggregates!AL25</f>
        <v>-2.0741680827209397</v>
      </c>
      <c r="L25" s="11">
        <v>0</v>
      </c>
    </row>
    <row r="26" spans="1:12" x14ac:dyDescent="0.35">
      <c r="A26" s="11">
        <f t="shared" si="0"/>
        <v>2026</v>
      </c>
      <c r="B26" s="12">
        <v>0</v>
      </c>
      <c r="C26" s="12">
        <f>aggregates_normalized!R26</f>
        <v>-0.83497821878948386</v>
      </c>
      <c r="D26" s="11">
        <f>aggregates_normalized!K26</f>
        <v>-0.17364999999999187</v>
      </c>
      <c r="E26" s="12">
        <f>aggregates_normalized!AA26</f>
        <v>-1.7197234777412973</v>
      </c>
      <c r="F26" s="13">
        <f>100*(output_transition_aggregates!AM26-output_transition_aggregates!AM$2)</f>
        <v>0.12989863640211763</v>
      </c>
      <c r="G26" s="11">
        <f>100*(output_transition_firms_age!II32-output_transition_firms_age!II$8)</f>
        <v>0.17390362052365493</v>
      </c>
      <c r="H26" s="12">
        <f>aggregates_normalized!J26</f>
        <v>-0.62692349459545493</v>
      </c>
      <c r="I26" s="12">
        <f>aggregates_normalized!S26</f>
        <v>-0.21905575402713096</v>
      </c>
      <c r="J26" s="12">
        <f>aggregates_normalized!C26</f>
        <v>1.2616115574459741E-5</v>
      </c>
      <c r="K26" s="12">
        <f>output_transition_aggregates!AL26</f>
        <v>-2.0512292568608981</v>
      </c>
      <c r="L26" s="11">
        <v>0</v>
      </c>
    </row>
    <row r="27" spans="1:12" x14ac:dyDescent="0.35">
      <c r="A27" s="11">
        <f t="shared" si="0"/>
        <v>2026.25</v>
      </c>
      <c r="B27" s="12">
        <v>0</v>
      </c>
      <c r="C27" s="12">
        <f>aggregates_normalized!R27</f>
        <v>-0.82400332818732824</v>
      </c>
      <c r="D27" s="11">
        <f>aggregates_normalized!K27</f>
        <v>-0.16912000000000038</v>
      </c>
      <c r="E27" s="12">
        <f>aggregates_normalized!AA27</f>
        <v>-1.6884167870858335</v>
      </c>
      <c r="F27" s="13">
        <f>100*(output_transition_aggregates!AM27-output_transition_aggregates!AM$2)</f>
        <v>0.12989426471571308</v>
      </c>
      <c r="G27" s="11">
        <f>100*(output_transition_firms_age!II33-output_transition_firms_age!II$8)</f>
        <v>0.1452681889458185</v>
      </c>
      <c r="H27" s="12">
        <f>aggregates_normalized!J27</f>
        <v>-0.59668225037884381</v>
      </c>
      <c r="I27" s="12">
        <f>aggregates_normalized!S27</f>
        <v>-0.2959602287288976</v>
      </c>
      <c r="J27" s="12">
        <f>aggregates_normalized!C27</f>
        <v>1.2616115574459741E-5</v>
      </c>
      <c r="K27" s="12">
        <f>output_transition_aggregates!AL27</f>
        <v>-2.0311684848243861</v>
      </c>
      <c r="L27" s="11">
        <v>0</v>
      </c>
    </row>
    <row r="28" spans="1:12" x14ac:dyDescent="0.35">
      <c r="A28" s="11">
        <f t="shared" si="0"/>
        <v>2026.5</v>
      </c>
      <c r="B28" s="12">
        <v>0</v>
      </c>
      <c r="C28" s="12">
        <f>aggregates_normalized!R28</f>
        <v>-0.81317727159688769</v>
      </c>
      <c r="D28" s="11">
        <f>aggregates_normalized!K28</f>
        <v>-0.16389999999999461</v>
      </c>
      <c r="E28" s="12">
        <f>aggregates_normalized!AA28</f>
        <v>-1.6571483601633741</v>
      </c>
      <c r="F28" s="13">
        <f>100*(output_transition_aggregates!AM28-output_transition_aggregates!AM$2)</f>
        <v>0.13092155388049337</v>
      </c>
      <c r="G28" s="11">
        <f>100*(output_transition_firms_age!II34-output_transition_firms_age!II$8)</f>
        <v>0.11936218289694822</v>
      </c>
      <c r="H28" s="12">
        <f>aggregates_normalized!J28</f>
        <v>-0.57650955693711037</v>
      </c>
      <c r="I28" s="12">
        <f>aggregates_normalized!S28</f>
        <v>-0.32767993568579845</v>
      </c>
      <c r="J28" s="12">
        <f>aggregates_normalized!C28</f>
        <v>1.2616115574459741E-5</v>
      </c>
      <c r="K28" s="12">
        <f>output_transition_aggregates!AL28</f>
        <v>-2.0137040801694983</v>
      </c>
      <c r="L28" s="11">
        <v>0</v>
      </c>
    </row>
    <row r="29" spans="1:12" x14ac:dyDescent="0.35">
      <c r="A29" s="11">
        <f t="shared" si="0"/>
        <v>2026.75</v>
      </c>
      <c r="B29" s="12">
        <v>0</v>
      </c>
      <c r="C29" s="12">
        <f>aggregates_normalized!R29</f>
        <v>-0.80224120725866932</v>
      </c>
      <c r="D29" s="11">
        <f>aggregates_normalized!K29</f>
        <v>-0.15790999999999444</v>
      </c>
      <c r="E29" s="12">
        <f>aggregates_normalized!AA29</f>
        <v>-1.6234814928845931</v>
      </c>
      <c r="F29" s="13">
        <f>100*(output_transition_aggregates!AM29-output_transition_aggregates!AM$2)</f>
        <v>0.13145782905306241</v>
      </c>
      <c r="G29" s="11">
        <f>100*(output_transition_firms_age!II35-output_transition_firms_age!II$8)</f>
        <v>0.10312896464225729</v>
      </c>
      <c r="H29" s="12">
        <f>aggregates_normalized!J29</f>
        <v>-0.55565666289314475</v>
      </c>
      <c r="I29" s="12">
        <f>aggregates_normalized!S29</f>
        <v>-0.36189384182222506</v>
      </c>
      <c r="J29" s="12">
        <f>aggregates_normalized!C29</f>
        <v>0</v>
      </c>
      <c r="K29" s="12">
        <f>output_transition_aggregates!AL29</f>
        <v>-1.9982800213658614</v>
      </c>
      <c r="L29" s="11">
        <v>0</v>
      </c>
    </row>
    <row r="30" spans="1:12" x14ac:dyDescent="0.35">
      <c r="A30" s="11">
        <f t="shared" si="0"/>
        <v>2027</v>
      </c>
      <c r="B30" s="12">
        <v>0</v>
      </c>
      <c r="C30" s="12">
        <f>aggregates_normalized!R30</f>
        <v>-0.79161898855382162</v>
      </c>
      <c r="D30" s="11">
        <f>aggregates_normalized!K30</f>
        <v>-0.1515500000000003</v>
      </c>
      <c r="E30" s="12">
        <f>aggregates_normalized!AA30</f>
        <v>-1.5904877194549027</v>
      </c>
      <c r="F30" s="13">
        <f>100*(output_transition_aggregates!AM30-output_transition_aggregates!AM$2)</f>
        <v>0.13143297834739137</v>
      </c>
      <c r="G30" s="11">
        <f>100*(output_transition_firms_age!II36-output_transition_firms_age!II$8)</f>
        <v>9.1460386731821719E-2</v>
      </c>
      <c r="H30" s="12">
        <f>aggregates_normalized!J30</f>
        <v>-0.53254566103595469</v>
      </c>
      <c r="I30" s="12">
        <f>aggregates_normalized!S30</f>
        <v>-0.40818111790007494</v>
      </c>
      <c r="J30" s="12">
        <f>aggregates_normalized!C30</f>
        <v>0</v>
      </c>
      <c r="K30" s="12">
        <f>output_transition_aggregates!AL30</f>
        <v>-1.9849752389301756</v>
      </c>
      <c r="L30" s="11">
        <v>0</v>
      </c>
    </row>
    <row r="31" spans="1:12" x14ac:dyDescent="0.35">
      <c r="A31" s="11">
        <f t="shared" si="0"/>
        <v>2027.25</v>
      </c>
      <c r="B31" s="12">
        <v>0</v>
      </c>
      <c r="C31" s="12">
        <f>aggregates_normalized!R31</f>
        <v>-0.78117472355860862</v>
      </c>
      <c r="D31" s="11">
        <f>aggregates_normalized!K31</f>
        <v>-0.1449099999999981</v>
      </c>
      <c r="E31" s="12">
        <f>aggregates_normalized!AA31</f>
        <v>-1.5557181609608173</v>
      </c>
      <c r="F31" s="13">
        <f>100*(output_transition_aggregates!AM31-output_transition_aggregates!AM$2)</f>
        <v>0.13089622694386766</v>
      </c>
      <c r="G31" s="11">
        <f>100*(output_transition_firms_age!II37-output_transition_firms_age!II$8)</f>
        <v>8.2429723477960015E-2</v>
      </c>
      <c r="H31" s="12">
        <f>aggregates_normalized!J31</f>
        <v>-0.51625643847439395</v>
      </c>
      <c r="I31" s="12">
        <f>aggregates_normalized!S31</f>
        <v>-0.42426689521725125</v>
      </c>
      <c r="J31" s="12">
        <f>aggregates_normalized!C31</f>
        <v>0</v>
      </c>
      <c r="K31" s="12">
        <f>output_transition_aggregates!AL31</f>
        <v>-1.9730896785991714</v>
      </c>
      <c r="L31" s="11">
        <v>0</v>
      </c>
    </row>
    <row r="32" spans="1:12" x14ac:dyDescent="0.35">
      <c r="A32" s="11">
        <f t="shared" si="0"/>
        <v>2027.5</v>
      </c>
      <c r="B32" s="12">
        <v>0</v>
      </c>
      <c r="C32" s="12">
        <f>aggregates_normalized!R32</f>
        <v>-0.77072075199743351</v>
      </c>
      <c r="D32" s="11">
        <f>aggregates_normalized!K32</f>
        <v>-0.13796999999999837</v>
      </c>
      <c r="E32" s="12">
        <f>aggregates_normalized!AA32</f>
        <v>-1.5183988464388953</v>
      </c>
      <c r="F32" s="13">
        <f>100*(output_transition_aggregates!AM32-output_transition_aggregates!AM$2)</f>
        <v>0.1298462562222838</v>
      </c>
      <c r="G32" s="11">
        <f>100*(output_transition_firms_age!II38-output_transition_firms_age!II$8)</f>
        <v>7.4922117056144821E-2</v>
      </c>
      <c r="H32" s="12">
        <f>aggregates_normalized!J32</f>
        <v>-0.49381377325545817</v>
      </c>
      <c r="I32" s="12">
        <f>aggregates_normalized!S32</f>
        <v>-0.46845759807172538</v>
      </c>
      <c r="J32" s="12">
        <f>aggregates_normalized!C32</f>
        <v>0</v>
      </c>
      <c r="K32" s="12">
        <f>output_transition_aggregates!AL32</f>
        <v>-1.9621027373266653</v>
      </c>
      <c r="L32" s="11">
        <v>0</v>
      </c>
    </row>
    <row r="33" spans="1:12" x14ac:dyDescent="0.35">
      <c r="A33" s="11">
        <f t="shared" si="0"/>
        <v>2027.75</v>
      </c>
      <c r="B33" s="12">
        <v>0</v>
      </c>
      <c r="C33" s="12">
        <f>aggregates_normalized!R33</f>
        <v>-0.7608977072249945</v>
      </c>
      <c r="D33" s="11">
        <f>aggregates_normalized!K33</f>
        <v>-0.13132000000000144</v>
      </c>
      <c r="E33" s="12">
        <f>aggregates_normalized!AA33</f>
        <v>-1.4813125928363036</v>
      </c>
      <c r="F33" s="13">
        <f>100*(output_transition_aggregates!AM33-output_transition_aggregates!AM$2)</f>
        <v>0.12852762813092139</v>
      </c>
      <c r="G33" s="11">
        <f>100*(output_transition_firms_age!II39-output_transition_firms_age!II$8)</f>
        <v>6.9961238930565939E-2</v>
      </c>
      <c r="H33" s="12">
        <f>aggregates_normalized!J33</f>
        <v>-0.47520712306071689</v>
      </c>
      <c r="I33" s="12">
        <f>aggregates_normalized!S33</f>
        <v>-0.49862294901820148</v>
      </c>
      <c r="J33" s="12">
        <f>aggregates_normalized!C33</f>
        <v>0</v>
      </c>
      <c r="K33" s="12">
        <f>output_transition_aggregates!AL33</f>
        <v>-1.952178476358446</v>
      </c>
      <c r="L33" s="11">
        <v>0</v>
      </c>
    </row>
    <row r="34" spans="1:12" x14ac:dyDescent="0.35">
      <c r="A34" s="11">
        <f t="shared" si="0"/>
        <v>2028</v>
      </c>
      <c r="B34" s="12">
        <v>0</v>
      </c>
      <c r="C34" s="12">
        <f>aggregates_normalized!R34</f>
        <v>-0.75137556599794708</v>
      </c>
      <c r="D34" s="11">
        <f>aggregates_normalized!K34</f>
        <v>-0.12477999999999101</v>
      </c>
      <c r="E34" s="12">
        <f>aggregates_normalized!AA34</f>
        <v>-1.4428140596330241</v>
      </c>
      <c r="F34" s="13">
        <f>100*(output_transition_aggregates!AM34-output_transition_aggregates!AM$2)</f>
        <v>0.12700008638672627</v>
      </c>
      <c r="G34" s="11">
        <f>100*(output_transition_firms_age!II40-output_transition_firms_age!II$8)</f>
        <v>6.5684411986215163E-2</v>
      </c>
      <c r="H34" s="12">
        <f>aggregates_normalized!J34</f>
        <v>-0.45697616505906424</v>
      </c>
      <c r="I34" s="12">
        <f>aggregates_normalized!S34</f>
        <v>-0.52875215215049121</v>
      </c>
      <c r="J34" s="12">
        <f>aggregates_normalized!C34</f>
        <v>0</v>
      </c>
      <c r="K34" s="12">
        <f>output_transition_aggregates!AL34</f>
        <v>-1.9428490601192117</v>
      </c>
      <c r="L34" s="11">
        <v>0</v>
      </c>
    </row>
    <row r="35" spans="1:12" x14ac:dyDescent="0.35">
      <c r="A35" s="11">
        <f t="shared" si="0"/>
        <v>2028.25</v>
      </c>
      <c r="B35" s="12">
        <v>0</v>
      </c>
      <c r="C35" s="12">
        <f>aggregates_normalized!R35</f>
        <v>-0.74229992680601153</v>
      </c>
      <c r="D35" s="11">
        <f>aggregates_normalized!K35</f>
        <v>-0.1185899999999962</v>
      </c>
      <c r="E35" s="12">
        <f>aggregates_normalized!AA35</f>
        <v>-1.4038407082881399</v>
      </c>
      <c r="F35" s="13">
        <f>100*(output_transition_aggregates!AM35-output_transition_aggregates!AM$2)</f>
        <v>0.12534307846270715</v>
      </c>
      <c r="G35" s="11">
        <f>100*(output_transition_firms_age!II41-output_transition_firms_age!II$8)</f>
        <v>6.3590384290936053E-2</v>
      </c>
      <c r="H35" s="12">
        <f>aggregates_normalized!J35</f>
        <v>-0.43160310073399044</v>
      </c>
      <c r="I35" s="12">
        <f>aggregates_normalized!S35</f>
        <v>-0.59401703068118206</v>
      </c>
      <c r="J35" s="12">
        <f>aggregates_normalized!C35</f>
        <v>0</v>
      </c>
      <c r="K35" s="12">
        <f>output_transition_aggregates!AL35</f>
        <v>-1.9338243413512313</v>
      </c>
      <c r="L35" s="11">
        <v>0</v>
      </c>
    </row>
    <row r="36" spans="1:12" x14ac:dyDescent="0.35">
      <c r="A36" s="11">
        <f t="shared" si="0"/>
        <v>2028.5</v>
      </c>
      <c r="B36" s="12">
        <v>0</v>
      </c>
      <c r="C36" s="12">
        <f>aggregates_normalized!R36</f>
        <v>-0.73411405616231606</v>
      </c>
      <c r="D36" s="11">
        <f>aggregates_normalized!K36</f>
        <v>-0.11295000000000055</v>
      </c>
      <c r="E36" s="12">
        <f>aggregates_normalized!AA36</f>
        <v>-1.3657856865358253</v>
      </c>
      <c r="F36" s="13">
        <f>100*(output_transition_aggregates!AM36-output_transition_aggregates!AM$2)</f>
        <v>0.12357255108368798</v>
      </c>
      <c r="G36" s="11">
        <f>100*(output_transition_firms_age!II42-output_transition_firms_age!II$8)</f>
        <v>6.2357733423284989E-2</v>
      </c>
      <c r="H36" s="12">
        <f>aggregates_normalized!J36</f>
        <v>-0.42077921091827619</v>
      </c>
      <c r="I36" s="12">
        <f>aggregates_normalized!S36</f>
        <v>-0.59775832945045959</v>
      </c>
      <c r="J36" s="12">
        <f>aggregates_normalized!C36</f>
        <v>0</v>
      </c>
      <c r="K36" s="12">
        <f>output_transition_aggregates!AL36</f>
        <v>-1.9258610711380353</v>
      </c>
      <c r="L36" s="11">
        <v>0</v>
      </c>
    </row>
    <row r="37" spans="1:12" x14ac:dyDescent="0.35">
      <c r="A37" s="11">
        <f t="shared" si="0"/>
        <v>2028.75</v>
      </c>
      <c r="B37" s="12">
        <v>0</v>
      </c>
      <c r="C37" s="12">
        <f>aggregates_normalized!R37</f>
        <v>-0.73570916850513868</v>
      </c>
      <c r="D37" s="11">
        <f>aggregates_normalized!K37</f>
        <v>-0.12337000000000042</v>
      </c>
      <c r="E37" s="12">
        <f>aggregates_normalized!AA37</f>
        <v>-1.3317187893208793</v>
      </c>
      <c r="F37" s="13">
        <f>100*(output_transition_aggregates!AM37-output_transition_aggregates!AM$2)</f>
        <v>9.9775463439091827E-2</v>
      </c>
      <c r="G37" s="11">
        <f>100*(output_transition_firms_age!II43-output_transition_firms_age!II$8)</f>
        <v>7.2191400764531899E-2</v>
      </c>
      <c r="H37" s="12">
        <f>aggregates_normalized!J37</f>
        <v>-0.39965740035715625</v>
      </c>
      <c r="I37" s="12">
        <f>aggregates_normalized!S37</f>
        <v>-0.70318342955278945</v>
      </c>
      <c r="J37" s="12">
        <f>aggregates_normalized!C37</f>
        <v>0</v>
      </c>
      <c r="K37" s="12">
        <f>output_transition_aggregates!AL37</f>
        <v>-1.8986073103661738</v>
      </c>
      <c r="L37" s="11">
        <v>0</v>
      </c>
    </row>
    <row r="38" spans="1:12" x14ac:dyDescent="0.35">
      <c r="A38" s="11">
        <f t="shared" si="0"/>
        <v>2029</v>
      </c>
      <c r="B38" s="12">
        <v>0</v>
      </c>
      <c r="C38" s="12">
        <f>aggregates_normalized!R38</f>
        <v>-0.73260306739132419</v>
      </c>
      <c r="D38" s="11">
        <f>aggregates_normalized!K38</f>
        <v>-0.12601999999999336</v>
      </c>
      <c r="E38" s="12">
        <f>aggregates_normalized!AA38</f>
        <v>-1.2988119789207997</v>
      </c>
      <c r="F38" s="13">
        <f>100*(output_transition_aggregates!AM38-output_transition_aggregates!AM$2)</f>
        <v>7.6925103272432183E-2</v>
      </c>
      <c r="G38" s="11">
        <f>100*(output_transition_firms_age!II44-output_transition_firms_age!II$8)</f>
        <v>7.8706383492463394E-2</v>
      </c>
      <c r="H38" s="12">
        <f>aggregates_normalized!J38</f>
        <v>-0.38381900842729966</v>
      </c>
      <c r="I38" s="12">
        <f>aggregates_normalized!S38</f>
        <v>-0.75823655057313255</v>
      </c>
      <c r="J38" s="12">
        <f>aggregates_normalized!C38</f>
        <v>0</v>
      </c>
      <c r="K38" s="12">
        <f>output_transition_aggregates!AL38</f>
        <v>-1.8807810627657684</v>
      </c>
      <c r="L38" s="11">
        <v>0</v>
      </c>
    </row>
    <row r="39" spans="1:12" x14ac:dyDescent="0.35">
      <c r="A39" s="11">
        <f t="shared" si="0"/>
        <v>2029.25</v>
      </c>
      <c r="B39" s="12">
        <v>0</v>
      </c>
      <c r="C39" s="12">
        <f>aggregates_normalized!R39</f>
        <v>-0.72992405518066406</v>
      </c>
      <c r="D39" s="11">
        <f>aggregates_normalized!K39</f>
        <v>-0.128269999999997</v>
      </c>
      <c r="E39" s="12">
        <f>aggregates_normalized!AA39</f>
        <v>-1.271147299944908</v>
      </c>
      <c r="F39" s="13">
        <f>100*(output_transition_aggregates!AM39-output_transition_aggregates!AM$2)</f>
        <v>5.5703605618236118E-2</v>
      </c>
      <c r="G39" s="11">
        <f>100*(output_transition_firms_age!II45-output_transition_firms_age!II$8)</f>
        <v>8.1837163475648178E-2</v>
      </c>
      <c r="H39" s="12">
        <f>aggregates_normalized!J39</f>
        <v>-0.36675467355156144</v>
      </c>
      <c r="I39" s="12">
        <f>aggregates_normalized!S39</f>
        <v>-0.82126026462370216</v>
      </c>
      <c r="J39" s="12">
        <f>aggregates_normalized!C39</f>
        <v>0</v>
      </c>
      <c r="K39" s="12">
        <f>output_transition_aggregates!AL39</f>
        <v>-1.8655152850948209</v>
      </c>
      <c r="L39" s="11">
        <v>0</v>
      </c>
    </row>
    <row r="40" spans="1:12" x14ac:dyDescent="0.35">
      <c r="A40" s="11">
        <f t="shared" si="0"/>
        <v>2029.5</v>
      </c>
      <c r="B40" s="12">
        <v>0</v>
      </c>
      <c r="C40" s="12">
        <f>aggregates_normalized!R40</f>
        <v>-0.72840335984368787</v>
      </c>
      <c r="D40" s="11">
        <f>aggregates_normalized!K40</f>
        <v>-0.13128999999999502</v>
      </c>
      <c r="E40" s="12">
        <f>aggregates_normalized!AA40</f>
        <v>-1.2466428574646193</v>
      </c>
      <c r="F40" s="13">
        <f>100*(output_transition_aggregates!AM40-output_transition_aggregates!AM$2)</f>
        <v>3.2552268557249631E-2</v>
      </c>
      <c r="G40" s="11">
        <f>100*(output_transition_firms_age!II46-output_transition_firms_age!II$8)</f>
        <v>-0.26496965134241018</v>
      </c>
      <c r="H40" s="12">
        <f>aggregates_normalized!J40</f>
        <v>-0.34080422964553048</v>
      </c>
      <c r="I40" s="12">
        <f>aggregates_normalized!S40</f>
        <v>0.68060911958744974</v>
      </c>
      <c r="J40" s="12">
        <f>aggregates_normalized!C40</f>
        <v>0</v>
      </c>
      <c r="K40" s="12">
        <f>output_transition_aggregates!AL40</f>
        <v>-1.8514619535904941</v>
      </c>
      <c r="L40" s="11">
        <v>0</v>
      </c>
    </row>
    <row r="41" spans="1:12" x14ac:dyDescent="0.35">
      <c r="A41" s="11">
        <f t="shared" si="0"/>
        <v>2029.75</v>
      </c>
      <c r="B41" s="12">
        <v>0</v>
      </c>
      <c r="C41" s="12">
        <f>aggregates_normalized!R41</f>
        <v>0</v>
      </c>
      <c r="D41" s="11">
        <f>aggregates_normalized!K41</f>
        <v>0</v>
      </c>
      <c r="E41" s="12">
        <f>aggregates_normalized!AA41</f>
        <v>0</v>
      </c>
      <c r="F41" s="13">
        <f>100*(output_transition_aggregates!AM41-output_transition_aggregates!AM$2)</f>
        <v>-11.498167756396205</v>
      </c>
      <c r="G41" s="11">
        <f>100*(output_transition_firms_age!II47-output_transition_firms_age!II$8)</f>
        <v>102.74027910357057</v>
      </c>
      <c r="H41" s="12">
        <f>aggregates_normalized!J41</f>
        <v>0</v>
      </c>
      <c r="I41" s="12">
        <f>aggregates_normalized!S41</f>
        <v>0</v>
      </c>
      <c r="J41" s="12">
        <f>aggregates_normalized!C41</f>
        <v>0</v>
      </c>
      <c r="K41" s="12">
        <f>output_transition_aggregates!AL41</f>
        <v>0</v>
      </c>
      <c r="L41" s="11">
        <v>0</v>
      </c>
    </row>
    <row r="42" spans="1:12" x14ac:dyDescent="0.35">
      <c r="A42" s="11">
        <f t="shared" si="0"/>
        <v>2030</v>
      </c>
      <c r="B42" s="12">
        <v>0</v>
      </c>
      <c r="C42" s="12">
        <f>aggregates_normalized!R42</f>
        <v>-100</v>
      </c>
      <c r="D42" s="11">
        <f>aggregates_normalized!K42</f>
        <v>-99.755099999999999</v>
      </c>
      <c r="E42" s="12">
        <f>aggregates_normalized!AA42</f>
        <v>-100</v>
      </c>
      <c r="F42" s="13">
        <f>100*(output_transition_aggregates!AM42-output_transition_aggregates!AM$2)</f>
        <v>-11.498167756396205</v>
      </c>
      <c r="G42" s="11">
        <f>100*(output_transition_firms_age!II48-output_transition_firms_age!II$8)</f>
        <v>-11.498167756396182</v>
      </c>
      <c r="H42" s="12">
        <f>aggregates_normalized!J42</f>
        <v>-100</v>
      </c>
      <c r="I42" s="12">
        <f>aggregates_normalized!S42</f>
        <v>-100</v>
      </c>
      <c r="J42" s="12">
        <f>aggregates_normalized!C42</f>
        <v>0</v>
      </c>
      <c r="K42" s="12">
        <f>output_transition_aggregates!AL42</f>
        <v>0</v>
      </c>
      <c r="L42" s="1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for_matlab_figure_14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2021-11-25T14:51:27Z</dcterms:modified>
</cp:coreProperties>
</file>