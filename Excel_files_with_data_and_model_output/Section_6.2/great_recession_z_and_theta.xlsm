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Section_6.2\"/>
    </mc:Choice>
  </mc:AlternateContent>
  <xr:revisionPtr revIDLastSave="0" documentId="13_ncr:1_{2685D374-E83B-4BC0-9A65-7EAE05F2957D}" xr6:coauthVersionLast="47" xr6:coauthVersionMax="47" xr10:uidLastSave="{00000000-0000-0000-0000-000000000000}"/>
  <bookViews>
    <workbookView xWindow="-110" yWindow="-110" windowWidth="19420" windowHeight="10300" tabRatio="752" firstSheet="1" activeTab="4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decomposition_aggregates" sheetId="76" r:id="rId4"/>
    <sheet name="for_matlab_figures_8_12" sheetId="5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4" i="76" l="1"/>
  <c r="AT13" i="76"/>
  <c r="AS13" i="76"/>
  <c r="AR13" i="76"/>
  <c r="AQ13" i="76"/>
  <c r="AP13" i="76"/>
  <c r="AO13" i="76"/>
  <c r="AN13" i="76"/>
  <c r="AT11" i="76"/>
  <c r="AS11" i="76"/>
  <c r="AR11" i="76"/>
  <c r="AQ11" i="76"/>
  <c r="AP11" i="76"/>
  <c r="AO11" i="76"/>
  <c r="AN11" i="76"/>
  <c r="AM11" i="76"/>
  <c r="AM13" i="76" s="1"/>
  <c r="AT10" i="76"/>
  <c r="AS10" i="76"/>
  <c r="AR10" i="76"/>
  <c r="AQ10" i="76"/>
  <c r="AP10" i="76"/>
  <c r="AO10" i="76"/>
  <c r="AN10" i="76"/>
  <c r="AM10" i="76"/>
  <c r="AT9" i="76"/>
  <c r="AS9" i="76"/>
  <c r="AR9" i="76"/>
  <c r="AQ9" i="76"/>
  <c r="AP9" i="76"/>
  <c r="AO9" i="76"/>
  <c r="AN9" i="76"/>
  <c r="AM9" i="76"/>
  <c r="AT8" i="76"/>
  <c r="AS8" i="76"/>
  <c r="AR8" i="76"/>
  <c r="AQ8" i="76"/>
  <c r="AP8" i="76"/>
  <c r="AO8" i="76"/>
  <c r="AN8" i="76"/>
  <c r="AM8" i="76"/>
  <c r="AT7" i="76"/>
  <c r="AS7" i="76"/>
  <c r="AR7" i="76"/>
  <c r="AQ7" i="76"/>
  <c r="AP7" i="76"/>
  <c r="AO7" i="76"/>
  <c r="AN7" i="76"/>
  <c r="AM7" i="76"/>
  <c r="AT6" i="76"/>
  <c r="AS6" i="76"/>
  <c r="AR6" i="76"/>
  <c r="AQ6" i="76"/>
  <c r="AP6" i="76"/>
  <c r="AO6" i="76"/>
  <c r="AN6" i="76"/>
  <c r="AM6" i="76"/>
  <c r="AT5" i="76"/>
  <c r="AS5" i="76"/>
  <c r="AR5" i="76"/>
  <c r="AQ5" i="76"/>
  <c r="AP5" i="76"/>
  <c r="AO5" i="76"/>
  <c r="AN5" i="76"/>
  <c r="AM5" i="76"/>
  <c r="AR4" i="76"/>
  <c r="AQ4" i="76"/>
  <c r="AM4" i="76"/>
  <c r="IT8" i="18"/>
  <c r="IR8" i="18"/>
  <c r="IQ8" i="18"/>
  <c r="IP8" i="18"/>
  <c r="AO14" i="76" l="1"/>
  <c r="AN14" i="76"/>
  <c r="AP14" i="76"/>
  <c r="JV8" i="18"/>
  <c r="JV9" i="18" s="1"/>
  <c r="JV10" i="18" s="1"/>
  <c r="JV11" i="18" s="1"/>
  <c r="JV12" i="18" s="1"/>
  <c r="JV13" i="18" s="1"/>
  <c r="JV14" i="18" s="1"/>
  <c r="JV15" i="18" s="1"/>
  <c r="JV16" i="18" s="1"/>
  <c r="JV17" i="18" s="1"/>
  <c r="JV18" i="18" s="1"/>
  <c r="JV19" i="18" s="1"/>
  <c r="JV20" i="18" s="1"/>
  <c r="JV21" i="18" s="1"/>
  <c r="JV22" i="18" s="1"/>
  <c r="JV23" i="18" s="1"/>
  <c r="JV24" i="18" s="1"/>
  <c r="JV25" i="18" s="1"/>
  <c r="JV26" i="18" s="1"/>
  <c r="JV27" i="18" s="1"/>
  <c r="JK9" i="18"/>
  <c r="JK10" i="18" s="1"/>
  <c r="JK11" i="18" s="1"/>
  <c r="JK12" i="18" s="1"/>
  <c r="JK13" i="18" s="1"/>
  <c r="JK14" i="18" s="1"/>
  <c r="JK15" i="18" s="1"/>
  <c r="JK16" i="18" s="1"/>
  <c r="JK17" i="18" s="1"/>
  <c r="JK18" i="18" s="1"/>
  <c r="JK19" i="18" s="1"/>
  <c r="JK20" i="18" s="1"/>
  <c r="JK21" i="18" s="1"/>
  <c r="JK22" i="18" s="1"/>
  <c r="JK23" i="18" s="1"/>
  <c r="JK24" i="18" s="1"/>
  <c r="JK25" i="18" s="1"/>
  <c r="JK26" i="18" s="1"/>
  <c r="JK27" i="18" s="1"/>
  <c r="IX65" i="18"/>
  <c r="IW65" i="18"/>
  <c r="IV65" i="18"/>
  <c r="IU65" i="18"/>
  <c r="IT65" i="18"/>
  <c r="IS65" i="18"/>
  <c r="IR65" i="18"/>
  <c r="IQ65" i="18"/>
  <c r="IP65" i="18"/>
  <c r="IX64" i="18"/>
  <c r="IW64" i="18"/>
  <c r="IV64" i="18"/>
  <c r="IU64" i="18"/>
  <c r="IT64" i="18"/>
  <c r="IS64" i="18"/>
  <c r="IR64" i="18"/>
  <c r="IQ64" i="18"/>
  <c r="IP64" i="18"/>
  <c r="IX63" i="18"/>
  <c r="IW63" i="18"/>
  <c r="IV63" i="18"/>
  <c r="IU63" i="18"/>
  <c r="IT63" i="18"/>
  <c r="IS63" i="18"/>
  <c r="IR63" i="18"/>
  <c r="IQ63" i="18"/>
  <c r="IP63" i="18"/>
  <c r="IX62" i="18"/>
  <c r="IW62" i="18"/>
  <c r="IV62" i="18"/>
  <c r="IU62" i="18"/>
  <c r="IT62" i="18"/>
  <c r="IS62" i="18"/>
  <c r="IR62" i="18"/>
  <c r="IQ62" i="18"/>
  <c r="IP62" i="18"/>
  <c r="IX61" i="18"/>
  <c r="IW61" i="18"/>
  <c r="IV61" i="18"/>
  <c r="IU61" i="18"/>
  <c r="IT61" i="18"/>
  <c r="IS61" i="18"/>
  <c r="IR61" i="18"/>
  <c r="IQ61" i="18"/>
  <c r="IP61" i="18"/>
  <c r="IX60" i="18"/>
  <c r="IW60" i="18"/>
  <c r="IV60" i="18"/>
  <c r="IU60" i="18"/>
  <c r="IT60" i="18"/>
  <c r="IS60" i="18"/>
  <c r="IR60" i="18"/>
  <c r="IQ60" i="18"/>
  <c r="IP60" i="18"/>
  <c r="IX59" i="18"/>
  <c r="IW59" i="18"/>
  <c r="IV59" i="18"/>
  <c r="IU59" i="18"/>
  <c r="IT59" i="18"/>
  <c r="IS59" i="18"/>
  <c r="IR59" i="18"/>
  <c r="IQ59" i="18"/>
  <c r="IP59" i="18"/>
  <c r="IX58" i="18"/>
  <c r="IW58" i="18"/>
  <c r="IV58" i="18"/>
  <c r="IU58" i="18"/>
  <c r="IT58" i="18"/>
  <c r="IS58" i="18"/>
  <c r="IR58" i="18"/>
  <c r="IQ58" i="18"/>
  <c r="IP58" i="18"/>
  <c r="IX57" i="18"/>
  <c r="IW57" i="18"/>
  <c r="IV57" i="18"/>
  <c r="IU57" i="18"/>
  <c r="IT57" i="18"/>
  <c r="IS57" i="18"/>
  <c r="IR57" i="18"/>
  <c r="IQ57" i="18"/>
  <c r="IP57" i="18"/>
  <c r="IX56" i="18"/>
  <c r="IW56" i="18"/>
  <c r="IV56" i="18"/>
  <c r="IU56" i="18"/>
  <c r="IT56" i="18"/>
  <c r="IS56" i="18"/>
  <c r="IR56" i="18"/>
  <c r="IQ56" i="18"/>
  <c r="IP56" i="18"/>
  <c r="IX55" i="18"/>
  <c r="IW55" i="18"/>
  <c r="IV55" i="18"/>
  <c r="IU55" i="18"/>
  <c r="IT55" i="18"/>
  <c r="IS55" i="18"/>
  <c r="IR55" i="18"/>
  <c r="IQ55" i="18"/>
  <c r="IP55" i="18"/>
  <c r="IX54" i="18"/>
  <c r="IW54" i="18"/>
  <c r="IV54" i="18"/>
  <c r="IU54" i="18"/>
  <c r="IT54" i="18"/>
  <c r="IS54" i="18"/>
  <c r="IR54" i="18"/>
  <c r="IQ54" i="18"/>
  <c r="IP54" i="18"/>
  <c r="IX53" i="18"/>
  <c r="IW53" i="18"/>
  <c r="IV53" i="18"/>
  <c r="IU53" i="18"/>
  <c r="IT53" i="18"/>
  <c r="IS53" i="18"/>
  <c r="IR53" i="18"/>
  <c r="IQ53" i="18"/>
  <c r="IP53" i="18"/>
  <c r="IX52" i="18"/>
  <c r="IW52" i="18"/>
  <c r="IV52" i="18"/>
  <c r="IU52" i="18"/>
  <c r="IT52" i="18"/>
  <c r="IS52" i="18"/>
  <c r="IR52" i="18"/>
  <c r="IQ52" i="18"/>
  <c r="IP52" i="18"/>
  <c r="IX51" i="18"/>
  <c r="IW51" i="18"/>
  <c r="IV51" i="18"/>
  <c r="IU51" i="18"/>
  <c r="IT51" i="18"/>
  <c r="IS51" i="18"/>
  <c r="IR51" i="18"/>
  <c r="IQ51" i="18"/>
  <c r="IP51" i="18"/>
  <c r="IX50" i="18"/>
  <c r="IW50" i="18"/>
  <c r="IV50" i="18"/>
  <c r="IU50" i="18"/>
  <c r="IT50" i="18"/>
  <c r="IS50" i="18"/>
  <c r="IR50" i="18"/>
  <c r="IQ50" i="18"/>
  <c r="IP50" i="18"/>
  <c r="IX49" i="18"/>
  <c r="IW49" i="18"/>
  <c r="IV49" i="18"/>
  <c r="IU49" i="18"/>
  <c r="IT49" i="18"/>
  <c r="IS49" i="18"/>
  <c r="IR49" i="18"/>
  <c r="IQ49" i="18"/>
  <c r="IP49" i="18"/>
  <c r="IX48" i="18"/>
  <c r="IW48" i="18"/>
  <c r="IV48" i="18"/>
  <c r="IU48" i="18"/>
  <c r="IT48" i="18"/>
  <c r="IS48" i="18"/>
  <c r="IR48" i="18"/>
  <c r="IQ48" i="18"/>
  <c r="IP48" i="18"/>
  <c r="IX47" i="18"/>
  <c r="IW47" i="18"/>
  <c r="IV47" i="18"/>
  <c r="IU47" i="18"/>
  <c r="IT47" i="18"/>
  <c r="IS47" i="18"/>
  <c r="IR47" i="18"/>
  <c r="IQ47" i="18"/>
  <c r="IP47" i="18"/>
  <c r="IX46" i="18"/>
  <c r="IW46" i="18"/>
  <c r="IV46" i="18"/>
  <c r="IU46" i="18"/>
  <c r="IT46" i="18"/>
  <c r="IS46" i="18"/>
  <c r="IR46" i="18"/>
  <c r="IQ46" i="18"/>
  <c r="IP46" i="18"/>
  <c r="IX45" i="18"/>
  <c r="IW45" i="18"/>
  <c r="IV45" i="18"/>
  <c r="IU45" i="18"/>
  <c r="IT45" i="18"/>
  <c r="IS45" i="18"/>
  <c r="IR45" i="18"/>
  <c r="IQ45" i="18"/>
  <c r="IP45" i="18"/>
  <c r="IX44" i="18"/>
  <c r="IW44" i="18"/>
  <c r="IV44" i="18"/>
  <c r="IU44" i="18"/>
  <c r="IT44" i="18"/>
  <c r="IS44" i="18"/>
  <c r="IR44" i="18"/>
  <c r="IQ44" i="18"/>
  <c r="IP44" i="18"/>
  <c r="IX43" i="18"/>
  <c r="IW43" i="18"/>
  <c r="IV43" i="18"/>
  <c r="IU43" i="18"/>
  <c r="IT43" i="18"/>
  <c r="IS43" i="18"/>
  <c r="IR43" i="18"/>
  <c r="IQ43" i="18"/>
  <c r="IP43" i="18"/>
  <c r="IX42" i="18"/>
  <c r="IW42" i="18"/>
  <c r="IV42" i="18"/>
  <c r="IU42" i="18"/>
  <c r="IT42" i="18"/>
  <c r="IS42" i="18"/>
  <c r="IR42" i="18"/>
  <c r="IQ42" i="18"/>
  <c r="IP42" i="18"/>
  <c r="IX41" i="18"/>
  <c r="IW41" i="18"/>
  <c r="IV41" i="18"/>
  <c r="IU41" i="18"/>
  <c r="IT41" i="18"/>
  <c r="IS41" i="18"/>
  <c r="IR41" i="18"/>
  <c r="IQ41" i="18"/>
  <c r="IP41" i="18"/>
  <c r="IX40" i="18"/>
  <c r="IW40" i="18"/>
  <c r="IV40" i="18"/>
  <c r="IU40" i="18"/>
  <c r="IT40" i="18"/>
  <c r="IS40" i="18"/>
  <c r="IR40" i="18"/>
  <c r="IQ40" i="18"/>
  <c r="IP40" i="18"/>
  <c r="IX39" i="18"/>
  <c r="IW39" i="18"/>
  <c r="IV39" i="18"/>
  <c r="IU39" i="18"/>
  <c r="IT39" i="18"/>
  <c r="IS39" i="18"/>
  <c r="IR39" i="18"/>
  <c r="IQ39" i="18"/>
  <c r="IP39" i="18"/>
  <c r="IX38" i="18"/>
  <c r="IW38" i="18"/>
  <c r="IV38" i="18"/>
  <c r="IU38" i="18"/>
  <c r="IT38" i="18"/>
  <c r="IS38" i="18"/>
  <c r="IR38" i="18"/>
  <c r="IQ38" i="18"/>
  <c r="IP38" i="18"/>
  <c r="IX37" i="18"/>
  <c r="IW37" i="18"/>
  <c r="IV37" i="18"/>
  <c r="IU37" i="18"/>
  <c r="IT37" i="18"/>
  <c r="IS37" i="18"/>
  <c r="IR37" i="18"/>
  <c r="IQ37" i="18"/>
  <c r="IP37" i="18"/>
  <c r="IX36" i="18"/>
  <c r="IW36" i="18"/>
  <c r="IV36" i="18"/>
  <c r="IU36" i="18"/>
  <c r="IT36" i="18"/>
  <c r="IS36" i="18"/>
  <c r="IR36" i="18"/>
  <c r="IQ36" i="18"/>
  <c r="IP36" i="18"/>
  <c r="IX35" i="18"/>
  <c r="IW35" i="18"/>
  <c r="IV35" i="18"/>
  <c r="IU35" i="18"/>
  <c r="IT35" i="18"/>
  <c r="IS35" i="18"/>
  <c r="IR35" i="18"/>
  <c r="IQ35" i="18"/>
  <c r="IP35" i="18"/>
  <c r="IX34" i="18"/>
  <c r="IW34" i="18"/>
  <c r="IV34" i="18"/>
  <c r="IU34" i="18"/>
  <c r="IT34" i="18"/>
  <c r="IS34" i="18"/>
  <c r="IR34" i="18"/>
  <c r="IQ34" i="18"/>
  <c r="IP34" i="18"/>
  <c r="IX33" i="18"/>
  <c r="IW33" i="18"/>
  <c r="IV33" i="18"/>
  <c r="IU33" i="18"/>
  <c r="IT33" i="18"/>
  <c r="IS33" i="18"/>
  <c r="IR33" i="18"/>
  <c r="IQ33" i="18"/>
  <c r="IP33" i="18"/>
  <c r="IX32" i="18"/>
  <c r="IW32" i="18"/>
  <c r="IV32" i="18"/>
  <c r="IU32" i="18"/>
  <c r="IT32" i="18"/>
  <c r="IS32" i="18"/>
  <c r="IR32" i="18"/>
  <c r="IQ32" i="18"/>
  <c r="IP32" i="18"/>
  <c r="IX31" i="18"/>
  <c r="IW31" i="18"/>
  <c r="IV31" i="18"/>
  <c r="IU31" i="18"/>
  <c r="IT31" i="18"/>
  <c r="IS31" i="18"/>
  <c r="IR31" i="18"/>
  <c r="IQ31" i="18"/>
  <c r="IP31" i="18"/>
  <c r="IX30" i="18"/>
  <c r="IW30" i="18"/>
  <c r="IV30" i="18"/>
  <c r="IU30" i="18"/>
  <c r="IT30" i="18"/>
  <c r="IS30" i="18"/>
  <c r="IR30" i="18"/>
  <c r="IQ30" i="18"/>
  <c r="IP30" i="18"/>
  <c r="IX29" i="18"/>
  <c r="IW29" i="18"/>
  <c r="IV29" i="18"/>
  <c r="IU29" i="18"/>
  <c r="IT29" i="18"/>
  <c r="IS29" i="18"/>
  <c r="IR29" i="18"/>
  <c r="IQ29" i="18"/>
  <c r="IP29" i="18"/>
  <c r="IX28" i="18"/>
  <c r="IW28" i="18"/>
  <c r="IV28" i="18"/>
  <c r="IU28" i="18"/>
  <c r="IT28" i="18"/>
  <c r="IS28" i="18"/>
  <c r="IR28" i="18"/>
  <c r="IQ28" i="18"/>
  <c r="IP28" i="18"/>
  <c r="IX27" i="18"/>
  <c r="IW27" i="18"/>
  <c r="IV27" i="18"/>
  <c r="IU27" i="18"/>
  <c r="IT27" i="18"/>
  <c r="IS27" i="18"/>
  <c r="IR27" i="18"/>
  <c r="IQ27" i="18"/>
  <c r="IP27" i="18"/>
  <c r="IX26" i="18"/>
  <c r="IW26" i="18"/>
  <c r="IV26" i="18"/>
  <c r="IU26" i="18"/>
  <c r="IT26" i="18"/>
  <c r="IS26" i="18"/>
  <c r="IR26" i="18"/>
  <c r="IQ26" i="18"/>
  <c r="IP26" i="18"/>
  <c r="IX25" i="18"/>
  <c r="IW25" i="18"/>
  <c r="IV25" i="18"/>
  <c r="IU25" i="18"/>
  <c r="IT25" i="18"/>
  <c r="IS25" i="18"/>
  <c r="IR25" i="18"/>
  <c r="IQ25" i="18"/>
  <c r="IP25" i="18"/>
  <c r="IX24" i="18"/>
  <c r="IW24" i="18"/>
  <c r="IV24" i="18"/>
  <c r="IU24" i="18"/>
  <c r="IT24" i="18"/>
  <c r="IS24" i="18"/>
  <c r="IR24" i="18"/>
  <c r="IQ24" i="18"/>
  <c r="IP24" i="18"/>
  <c r="IX23" i="18"/>
  <c r="IW23" i="18"/>
  <c r="IV23" i="18"/>
  <c r="IU23" i="18"/>
  <c r="IT23" i="18"/>
  <c r="IS23" i="18"/>
  <c r="IR23" i="18"/>
  <c r="IQ23" i="18"/>
  <c r="IP23" i="18"/>
  <c r="IX22" i="18"/>
  <c r="IW22" i="18"/>
  <c r="IV22" i="18"/>
  <c r="IU22" i="18"/>
  <c r="IT22" i="18"/>
  <c r="IS22" i="18"/>
  <c r="IR22" i="18"/>
  <c r="IQ22" i="18"/>
  <c r="IP22" i="18"/>
  <c r="IX21" i="18"/>
  <c r="IW21" i="18"/>
  <c r="IV21" i="18"/>
  <c r="IU21" i="18"/>
  <c r="IT21" i="18"/>
  <c r="IS21" i="18"/>
  <c r="IR21" i="18"/>
  <c r="IQ21" i="18"/>
  <c r="IP21" i="18"/>
  <c r="IX20" i="18"/>
  <c r="IW20" i="18"/>
  <c r="IV20" i="18"/>
  <c r="IU20" i="18"/>
  <c r="IT20" i="18"/>
  <c r="IS20" i="18"/>
  <c r="IR20" i="18"/>
  <c r="IQ20" i="18"/>
  <c r="IP20" i="18"/>
  <c r="IX19" i="18"/>
  <c r="IW19" i="18"/>
  <c r="IV19" i="18"/>
  <c r="IU19" i="18"/>
  <c r="IT19" i="18"/>
  <c r="IS19" i="18"/>
  <c r="IR19" i="18"/>
  <c r="IQ19" i="18"/>
  <c r="IP19" i="18"/>
  <c r="IX18" i="18"/>
  <c r="IW18" i="18"/>
  <c r="IV18" i="18"/>
  <c r="IU18" i="18"/>
  <c r="IT18" i="18"/>
  <c r="IS18" i="18"/>
  <c r="IR18" i="18"/>
  <c r="IQ18" i="18"/>
  <c r="IP18" i="18"/>
  <c r="IX17" i="18"/>
  <c r="IW17" i="18"/>
  <c r="IV17" i="18"/>
  <c r="IU17" i="18"/>
  <c r="IT17" i="18"/>
  <c r="IS17" i="18"/>
  <c r="IR17" i="18"/>
  <c r="IQ17" i="18"/>
  <c r="IP17" i="18"/>
  <c r="IX16" i="18"/>
  <c r="IW16" i="18"/>
  <c r="IV16" i="18"/>
  <c r="IU16" i="18"/>
  <c r="IT16" i="18"/>
  <c r="IS16" i="18"/>
  <c r="IR16" i="18"/>
  <c r="IQ16" i="18"/>
  <c r="IP16" i="18"/>
  <c r="IX15" i="18"/>
  <c r="IW15" i="18"/>
  <c r="IV15" i="18"/>
  <c r="IU15" i="18"/>
  <c r="IT15" i="18"/>
  <c r="IS15" i="18"/>
  <c r="IR15" i="18"/>
  <c r="IQ15" i="18"/>
  <c r="IP15" i="18"/>
  <c r="IX14" i="18"/>
  <c r="IW14" i="18"/>
  <c r="IV14" i="18"/>
  <c r="IU14" i="18"/>
  <c r="IT14" i="18"/>
  <c r="IS14" i="18"/>
  <c r="IR14" i="18"/>
  <c r="IQ14" i="18"/>
  <c r="IP14" i="18"/>
  <c r="IX13" i="18"/>
  <c r="IW13" i="18"/>
  <c r="IV13" i="18"/>
  <c r="IU13" i="18"/>
  <c r="IT13" i="18"/>
  <c r="IS13" i="18"/>
  <c r="IR13" i="18"/>
  <c r="IQ13" i="18"/>
  <c r="IP13" i="18"/>
  <c r="IX12" i="18"/>
  <c r="IW12" i="18"/>
  <c r="IV12" i="18"/>
  <c r="IU12" i="18"/>
  <c r="IT12" i="18"/>
  <c r="IS12" i="18"/>
  <c r="IR12" i="18"/>
  <c r="IQ12" i="18"/>
  <c r="IP12" i="18"/>
  <c r="IX11" i="18"/>
  <c r="IW11" i="18"/>
  <c r="IV11" i="18"/>
  <c r="IU11" i="18"/>
  <c r="IT11" i="18"/>
  <c r="IS11" i="18"/>
  <c r="IR11" i="18"/>
  <c r="IQ11" i="18"/>
  <c r="IP11" i="18"/>
  <c r="IX10" i="18"/>
  <c r="IW10" i="18"/>
  <c r="IV10" i="18"/>
  <c r="IU10" i="18"/>
  <c r="IT10" i="18"/>
  <c r="IS10" i="18"/>
  <c r="IR10" i="18"/>
  <c r="IQ10" i="18"/>
  <c r="IP10" i="18"/>
  <c r="IX9" i="18"/>
  <c r="IW9" i="18"/>
  <c r="IV9" i="18"/>
  <c r="IU9" i="18"/>
  <c r="IT9" i="18"/>
  <c r="IS9" i="18"/>
  <c r="IR9" i="18"/>
  <c r="IQ9" i="18"/>
  <c r="IP9" i="18"/>
  <c r="IX8" i="18"/>
  <c r="IW8" i="18"/>
  <c r="IV8" i="18"/>
  <c r="IU8" i="18"/>
  <c r="IS8" i="18"/>
  <c r="A4" i="1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3" i="11"/>
  <c r="AE3" i="76"/>
  <c r="AA3" i="76"/>
  <c r="AI3" i="76" l="1"/>
  <c r="AT4" i="76"/>
  <c r="AS4" i="76"/>
  <c r="BI3" i="76"/>
  <c r="K2" i="11"/>
  <c r="AW3" i="76" l="1"/>
  <c r="AV4" i="76"/>
  <c r="AV5" i="76" s="1"/>
  <c r="AV6" i="76" s="1"/>
  <c r="AV7" i="76" s="1"/>
  <c r="AV8" i="76" s="1"/>
  <c r="AV9" i="76" s="1"/>
  <c r="AV10" i="76" s="1"/>
  <c r="AV11" i="76" s="1"/>
  <c r="AV12" i="76" s="1"/>
  <c r="AV13" i="76" s="1"/>
  <c r="AV14" i="76" s="1"/>
  <c r="AV15" i="76" s="1"/>
  <c r="AV16" i="76" s="1"/>
  <c r="AV17" i="76" s="1"/>
  <c r="AV18" i="76" s="1"/>
  <c r="AV19" i="76" s="1"/>
  <c r="AV20" i="76" s="1"/>
  <c r="AV21" i="76" s="1"/>
  <c r="AV22" i="76" s="1"/>
  <c r="AV23" i="76" s="1"/>
  <c r="AV24" i="76" s="1"/>
  <c r="AV25" i="76" s="1"/>
  <c r="AV26" i="76" s="1"/>
  <c r="AV27" i="76" s="1"/>
  <c r="AV28" i="76" s="1"/>
  <c r="AV29" i="76" s="1"/>
  <c r="AV30" i="76" s="1"/>
  <c r="AV31" i="76" s="1"/>
  <c r="AV32" i="76" s="1"/>
  <c r="AV33" i="76" s="1"/>
  <c r="AV34" i="76" s="1"/>
  <c r="AV35" i="76" s="1"/>
  <c r="AV36" i="76" s="1"/>
  <c r="AV37" i="76" s="1"/>
  <c r="AV38" i="76" s="1"/>
  <c r="AV39" i="76" s="1"/>
  <c r="AV40" i="76" s="1"/>
  <c r="AV41" i="76" s="1"/>
  <c r="AV42" i="76" s="1"/>
  <c r="AV43" i="76" s="1"/>
  <c r="AV44" i="76" s="1"/>
  <c r="AV45" i="76" s="1"/>
  <c r="AV46" i="76" s="1"/>
  <c r="AV47" i="76" s="1"/>
  <c r="AV48" i="76" s="1"/>
  <c r="AV49" i="76" s="1"/>
  <c r="AV50" i="76" s="1"/>
  <c r="AV51" i="76" s="1"/>
  <c r="AV52" i="76" s="1"/>
  <c r="AV53" i="76" s="1"/>
  <c r="AV54" i="76" s="1"/>
  <c r="AV55" i="76" s="1"/>
  <c r="AV56" i="76" s="1"/>
  <c r="AV57" i="76" s="1"/>
  <c r="AV58" i="76" s="1"/>
  <c r="AV59" i="76" s="1"/>
  <c r="AV60" i="76" s="1"/>
  <c r="AV61" i="76" s="1"/>
  <c r="AV62" i="76" s="1"/>
  <c r="AV63" i="76" s="1"/>
  <c r="AV64" i="76" s="1"/>
  <c r="AV65" i="76" s="1"/>
  <c r="AV66" i="76" s="1"/>
  <c r="AV67" i="76" s="1"/>
  <c r="AV68" i="76" s="1"/>
  <c r="AV69" i="76" s="1"/>
  <c r="AV70" i="76" s="1"/>
  <c r="AV71" i="76" s="1"/>
  <c r="AV72" i="76" s="1"/>
  <c r="AV73" i="76" s="1"/>
  <c r="AV74" i="76" s="1"/>
  <c r="AV75" i="76" s="1"/>
  <c r="AV76" i="76" s="1"/>
  <c r="AV77" i="76" s="1"/>
  <c r="AV78" i="76" s="1"/>
  <c r="AV79" i="76" s="1"/>
  <c r="AV80" i="76" s="1"/>
  <c r="AV81" i="76" s="1"/>
  <c r="AV82" i="76" s="1"/>
  <c r="AV83" i="76" s="1"/>
  <c r="AV84" i="76" s="1"/>
  <c r="AV85" i="76" s="1"/>
  <c r="AV86" i="76" s="1"/>
  <c r="AV87" i="76" s="1"/>
  <c r="AV88" i="76" s="1"/>
  <c r="AV89" i="76" s="1"/>
  <c r="AV90" i="76" s="1"/>
  <c r="AV91" i="76" s="1"/>
  <c r="AV92" i="76" s="1"/>
  <c r="AV93" i="76" s="1"/>
  <c r="AV94" i="76" s="1"/>
  <c r="AV95" i="76" s="1"/>
  <c r="AV96" i="76" s="1"/>
  <c r="AV97" i="76" s="1"/>
  <c r="AV98" i="76" s="1"/>
  <c r="AV99" i="76" s="1"/>
  <c r="AV100" i="76" s="1"/>
  <c r="AV101" i="76" s="1"/>
  <c r="AV102" i="76" s="1"/>
  <c r="AV103" i="76" s="1"/>
  <c r="AV104" i="76" s="1"/>
  <c r="AV105" i="76" s="1"/>
  <c r="AV106" i="76" s="1"/>
  <c r="AV107" i="76" s="1"/>
  <c r="AV108" i="76" s="1"/>
  <c r="AV109" i="76" s="1"/>
  <c r="AV110" i="76" s="1"/>
  <c r="AV111" i="76" s="1"/>
  <c r="AV112" i="76" s="1"/>
  <c r="AV113" i="76" s="1"/>
  <c r="AV114" i="76" s="1"/>
  <c r="AV115" i="76" s="1"/>
  <c r="AV116" i="76" s="1"/>
  <c r="AV117" i="76" s="1"/>
  <c r="AV118" i="76" s="1"/>
  <c r="AV119" i="76" s="1"/>
  <c r="AV120" i="76" s="1"/>
  <c r="BD120" i="76"/>
  <c r="BC120" i="76"/>
  <c r="BB120" i="76"/>
  <c r="BA120" i="76"/>
  <c r="AH120" i="76"/>
  <c r="BL120" i="76" s="1"/>
  <c r="AG120" i="76"/>
  <c r="BK120" i="76" s="1"/>
  <c r="AF120" i="76"/>
  <c r="BJ120" i="76" s="1"/>
  <c r="AE120" i="76"/>
  <c r="BI120" i="76" s="1"/>
  <c r="AD120" i="76"/>
  <c r="AC120" i="76"/>
  <c r="AB120" i="76"/>
  <c r="AA120" i="76"/>
  <c r="BD119" i="76"/>
  <c r="BC119" i="76"/>
  <c r="BB119" i="76"/>
  <c r="BA119" i="76"/>
  <c r="AH119" i="76"/>
  <c r="BL119" i="76" s="1"/>
  <c r="AG119" i="76"/>
  <c r="BK119" i="76" s="1"/>
  <c r="AF119" i="76"/>
  <c r="BJ119" i="76" s="1"/>
  <c r="AE119" i="76"/>
  <c r="BI119" i="76" s="1"/>
  <c r="AD119" i="76"/>
  <c r="AC119" i="76"/>
  <c r="AB119" i="76"/>
  <c r="AA119" i="76"/>
  <c r="BD118" i="76"/>
  <c r="BC118" i="76"/>
  <c r="BB118" i="76"/>
  <c r="BA118" i="76"/>
  <c r="AH118" i="76"/>
  <c r="BL118" i="76" s="1"/>
  <c r="AG118" i="76"/>
  <c r="AF118" i="76"/>
  <c r="AE118" i="76"/>
  <c r="BI118" i="76" s="1"/>
  <c r="AD118" i="76"/>
  <c r="AC118" i="76"/>
  <c r="AB118" i="76"/>
  <c r="AA118" i="76"/>
  <c r="BD117" i="76"/>
  <c r="BC117" i="76"/>
  <c r="BB117" i="76"/>
  <c r="BA117" i="76"/>
  <c r="AH117" i="76"/>
  <c r="AG117" i="76"/>
  <c r="BK117" i="76" s="1"/>
  <c r="AF117" i="76"/>
  <c r="AE117" i="76"/>
  <c r="BI117" i="76" s="1"/>
  <c r="AD117" i="76"/>
  <c r="AC117" i="76"/>
  <c r="AB117" i="76"/>
  <c r="AA117" i="76"/>
  <c r="BD116" i="76"/>
  <c r="BC116" i="76"/>
  <c r="BB116" i="76"/>
  <c r="BA116" i="76"/>
  <c r="AH116" i="76"/>
  <c r="BL116" i="76" s="1"/>
  <c r="AG116" i="76"/>
  <c r="BK116" i="76" s="1"/>
  <c r="AF116" i="76"/>
  <c r="BJ116" i="76" s="1"/>
  <c r="AE116" i="76"/>
  <c r="AD116" i="76"/>
  <c r="AC116" i="76"/>
  <c r="AB116" i="76"/>
  <c r="AA116" i="76"/>
  <c r="BD115" i="76"/>
  <c r="BC115" i="76"/>
  <c r="BB115" i="76"/>
  <c r="BA115" i="76"/>
  <c r="AH115" i="76"/>
  <c r="BL115" i="76" s="1"/>
  <c r="AG115" i="76"/>
  <c r="BK115" i="76" s="1"/>
  <c r="AF115" i="76"/>
  <c r="BJ115" i="76" s="1"/>
  <c r="AE115" i="76"/>
  <c r="AD115" i="76"/>
  <c r="AC115" i="76"/>
  <c r="AB115" i="76"/>
  <c r="AA115" i="76"/>
  <c r="BD114" i="76"/>
  <c r="BC114" i="76"/>
  <c r="BB114" i="76"/>
  <c r="BA114" i="76"/>
  <c r="AH114" i="76"/>
  <c r="BL114" i="76" s="1"/>
  <c r="AG114" i="76"/>
  <c r="BK114" i="76" s="1"/>
  <c r="AF114" i="76"/>
  <c r="AE114" i="76"/>
  <c r="BI114" i="76" s="1"/>
  <c r="AD114" i="76"/>
  <c r="AC114" i="76"/>
  <c r="AB114" i="76"/>
  <c r="AA114" i="76"/>
  <c r="BD113" i="76"/>
  <c r="BC113" i="76"/>
  <c r="BB113" i="76"/>
  <c r="BA113" i="76"/>
  <c r="AH113" i="76"/>
  <c r="AG113" i="76"/>
  <c r="BK113" i="76" s="1"/>
  <c r="AF113" i="76"/>
  <c r="BJ113" i="76" s="1"/>
  <c r="AE113" i="76"/>
  <c r="BI113" i="76" s="1"/>
  <c r="AD113" i="76"/>
  <c r="AC113" i="76"/>
  <c r="AB113" i="76"/>
  <c r="AA113" i="76"/>
  <c r="BD112" i="76"/>
  <c r="BC112" i="76"/>
  <c r="BB112" i="76"/>
  <c r="BA112" i="76"/>
  <c r="AH112" i="76"/>
  <c r="BL112" i="76" s="1"/>
  <c r="AG112" i="76"/>
  <c r="BK112" i="76" s="1"/>
  <c r="AF112" i="76"/>
  <c r="BJ112" i="76" s="1"/>
  <c r="AE112" i="76"/>
  <c r="AD112" i="76"/>
  <c r="AC112" i="76"/>
  <c r="AB112" i="76"/>
  <c r="AA112" i="76"/>
  <c r="BD111" i="76"/>
  <c r="BC111" i="76"/>
  <c r="BB111" i="76"/>
  <c r="BA111" i="76"/>
  <c r="AH111" i="76"/>
  <c r="BL111" i="76" s="1"/>
  <c r="AG111" i="76"/>
  <c r="BK111" i="76" s="1"/>
  <c r="AF111" i="76"/>
  <c r="BJ111" i="76" s="1"/>
  <c r="AE111" i="76"/>
  <c r="AD111" i="76"/>
  <c r="AC111" i="76"/>
  <c r="AB111" i="76"/>
  <c r="AA111" i="76"/>
  <c r="BD110" i="76"/>
  <c r="BC110" i="76"/>
  <c r="BB110" i="76"/>
  <c r="BA110" i="76"/>
  <c r="AH110" i="76"/>
  <c r="BL110" i="76" s="1"/>
  <c r="AG110" i="76"/>
  <c r="BK110" i="76" s="1"/>
  <c r="AF110" i="76"/>
  <c r="AE110" i="76"/>
  <c r="BI110" i="76" s="1"/>
  <c r="AD110" i="76"/>
  <c r="AC110" i="76"/>
  <c r="AB110" i="76"/>
  <c r="AA110" i="76"/>
  <c r="BD109" i="76"/>
  <c r="BC109" i="76"/>
  <c r="BB109" i="76"/>
  <c r="BA109" i="76"/>
  <c r="AH109" i="76"/>
  <c r="AG109" i="76"/>
  <c r="BK109" i="76" s="1"/>
  <c r="AF109" i="76"/>
  <c r="BJ109" i="76" s="1"/>
  <c r="AE109" i="76"/>
  <c r="BI109" i="76" s="1"/>
  <c r="AD109" i="76"/>
  <c r="AC109" i="76"/>
  <c r="AB109" i="76"/>
  <c r="AA109" i="76"/>
  <c r="BD108" i="76"/>
  <c r="BC108" i="76"/>
  <c r="BB108" i="76"/>
  <c r="BA108" i="76"/>
  <c r="AH108" i="76"/>
  <c r="BL108" i="76" s="1"/>
  <c r="AG108" i="76"/>
  <c r="BK108" i="76" s="1"/>
  <c r="AF108" i="76"/>
  <c r="BJ108" i="76" s="1"/>
  <c r="AE108" i="76"/>
  <c r="BI108" i="76" s="1"/>
  <c r="AD108" i="76"/>
  <c r="AC108" i="76"/>
  <c r="AB108" i="76"/>
  <c r="AA108" i="76"/>
  <c r="BD107" i="76"/>
  <c r="BC107" i="76"/>
  <c r="BB107" i="76"/>
  <c r="BA107" i="76"/>
  <c r="AH107" i="76"/>
  <c r="BL107" i="76" s="1"/>
  <c r="AG107" i="76"/>
  <c r="BK107" i="76" s="1"/>
  <c r="AF107" i="76"/>
  <c r="BJ107" i="76" s="1"/>
  <c r="AE107" i="76"/>
  <c r="BI107" i="76" s="1"/>
  <c r="AD107" i="76"/>
  <c r="AC107" i="76"/>
  <c r="AB107" i="76"/>
  <c r="AA107" i="76"/>
  <c r="BD106" i="76"/>
  <c r="BC106" i="76"/>
  <c r="BB106" i="76"/>
  <c r="BA106" i="76"/>
  <c r="AH106" i="76"/>
  <c r="BL106" i="76" s="1"/>
  <c r="AG106" i="76"/>
  <c r="BK106" i="76" s="1"/>
  <c r="AF106" i="76"/>
  <c r="AE106" i="76"/>
  <c r="BI106" i="76" s="1"/>
  <c r="AD106" i="76"/>
  <c r="AC106" i="76"/>
  <c r="AB106" i="76"/>
  <c r="BF106" i="76" s="1"/>
  <c r="AA106" i="76"/>
  <c r="BD105" i="76"/>
  <c r="BC105" i="76"/>
  <c r="BB105" i="76"/>
  <c r="BA105" i="76"/>
  <c r="AH105" i="76"/>
  <c r="AG105" i="76"/>
  <c r="BK105" i="76" s="1"/>
  <c r="AF105" i="76"/>
  <c r="AE105" i="76"/>
  <c r="BI105" i="76" s="1"/>
  <c r="AD105" i="76"/>
  <c r="AC105" i="76"/>
  <c r="AB105" i="76"/>
  <c r="AA105" i="76"/>
  <c r="BD104" i="76"/>
  <c r="BC104" i="76"/>
  <c r="BB104" i="76"/>
  <c r="BA104" i="76"/>
  <c r="AH104" i="76"/>
  <c r="BL104" i="76" s="1"/>
  <c r="AG104" i="76"/>
  <c r="BK104" i="76" s="1"/>
  <c r="AF104" i="76"/>
  <c r="BJ104" i="76" s="1"/>
  <c r="AE104" i="76"/>
  <c r="BI104" i="76" s="1"/>
  <c r="AD104" i="76"/>
  <c r="AC104" i="76"/>
  <c r="AB104" i="76"/>
  <c r="AA104" i="76"/>
  <c r="BD103" i="76"/>
  <c r="BC103" i="76"/>
  <c r="BB103" i="76"/>
  <c r="BA103" i="76"/>
  <c r="AH103" i="76"/>
  <c r="BL103" i="76" s="1"/>
  <c r="AG103" i="76"/>
  <c r="BK103" i="76" s="1"/>
  <c r="AF103" i="76"/>
  <c r="BJ103" i="76" s="1"/>
  <c r="AE103" i="76"/>
  <c r="BI103" i="76" s="1"/>
  <c r="AD103" i="76"/>
  <c r="AC103" i="76"/>
  <c r="AB103" i="76"/>
  <c r="AA103" i="76"/>
  <c r="BD102" i="76"/>
  <c r="BC102" i="76"/>
  <c r="BB102" i="76"/>
  <c r="BA102" i="76"/>
  <c r="AH102" i="76"/>
  <c r="BL102" i="76" s="1"/>
  <c r="AG102" i="76"/>
  <c r="AF102" i="76"/>
  <c r="AE102" i="76"/>
  <c r="BI102" i="76" s="1"/>
  <c r="AD102" i="76"/>
  <c r="BH102" i="76" s="1"/>
  <c r="AC102" i="76"/>
  <c r="AB102" i="76"/>
  <c r="AA102" i="76"/>
  <c r="BD101" i="76"/>
  <c r="BC101" i="76"/>
  <c r="BB101" i="76"/>
  <c r="BA101" i="76"/>
  <c r="AH101" i="76"/>
  <c r="BL101" i="76" s="1"/>
  <c r="AG101" i="76"/>
  <c r="BK101" i="76" s="1"/>
  <c r="AF101" i="76"/>
  <c r="AE101" i="76"/>
  <c r="BI101" i="76" s="1"/>
  <c r="AD101" i="76"/>
  <c r="AC101" i="76"/>
  <c r="AB101" i="76"/>
  <c r="AA101" i="76"/>
  <c r="BD100" i="76"/>
  <c r="BC100" i="76"/>
  <c r="BB100" i="76"/>
  <c r="BA100" i="76"/>
  <c r="AH100" i="76"/>
  <c r="BL100" i="76" s="1"/>
  <c r="AG100" i="76"/>
  <c r="BK100" i="76" s="1"/>
  <c r="AF100" i="76"/>
  <c r="BJ100" i="76" s="1"/>
  <c r="AE100" i="76"/>
  <c r="AD100" i="76"/>
  <c r="AC100" i="76"/>
  <c r="AB100" i="76"/>
  <c r="AA100" i="76"/>
  <c r="BD99" i="76"/>
  <c r="BC99" i="76"/>
  <c r="BB99" i="76"/>
  <c r="BA99" i="76"/>
  <c r="AH99" i="76"/>
  <c r="BL99" i="76" s="1"/>
  <c r="AG99" i="76"/>
  <c r="BK99" i="76" s="1"/>
  <c r="AF99" i="76"/>
  <c r="BJ99" i="76" s="1"/>
  <c r="AE99" i="76"/>
  <c r="AD99" i="76"/>
  <c r="AC99" i="76"/>
  <c r="AB99" i="76"/>
  <c r="AA99" i="76"/>
  <c r="BD98" i="76"/>
  <c r="BC98" i="76"/>
  <c r="BB98" i="76"/>
  <c r="BA98" i="76"/>
  <c r="AH98" i="76"/>
  <c r="BL98" i="76" s="1"/>
  <c r="AG98" i="76"/>
  <c r="BK98" i="76" s="1"/>
  <c r="AF98" i="76"/>
  <c r="BJ98" i="76" s="1"/>
  <c r="AE98" i="76"/>
  <c r="BI98" i="76" s="1"/>
  <c r="AD98" i="76"/>
  <c r="AC98" i="76"/>
  <c r="AB98" i="76"/>
  <c r="AA98" i="76"/>
  <c r="BD97" i="76"/>
  <c r="BC97" i="76"/>
  <c r="BB97" i="76"/>
  <c r="BA97" i="76"/>
  <c r="AH97" i="76"/>
  <c r="BL97" i="76" s="1"/>
  <c r="AG97" i="76"/>
  <c r="BK97" i="76" s="1"/>
  <c r="AF97" i="76"/>
  <c r="BJ97" i="76" s="1"/>
  <c r="AE97" i="76"/>
  <c r="BI97" i="76" s="1"/>
  <c r="AD97" i="76"/>
  <c r="AC97" i="76"/>
  <c r="AB97" i="76"/>
  <c r="AA97" i="76"/>
  <c r="BD96" i="76"/>
  <c r="BC96" i="76"/>
  <c r="BB96" i="76"/>
  <c r="BA96" i="76"/>
  <c r="AH96" i="76"/>
  <c r="BL96" i="76" s="1"/>
  <c r="AG96" i="76"/>
  <c r="BK96" i="76" s="1"/>
  <c r="AF96" i="76"/>
  <c r="BJ96" i="76" s="1"/>
  <c r="AE96" i="76"/>
  <c r="AD96" i="76"/>
  <c r="AC96" i="76"/>
  <c r="AB96" i="76"/>
  <c r="AA96" i="76"/>
  <c r="BD95" i="76"/>
  <c r="BC95" i="76"/>
  <c r="BB95" i="76"/>
  <c r="BA95" i="76"/>
  <c r="AH95" i="76"/>
  <c r="BL95" i="76" s="1"/>
  <c r="AG95" i="76"/>
  <c r="BK95" i="76" s="1"/>
  <c r="AF95" i="76"/>
  <c r="BJ95" i="76" s="1"/>
  <c r="AE95" i="76"/>
  <c r="AD95" i="76"/>
  <c r="AC95" i="76"/>
  <c r="AB95" i="76"/>
  <c r="AA95" i="76"/>
  <c r="BD94" i="76"/>
  <c r="BC94" i="76"/>
  <c r="BB94" i="76"/>
  <c r="BA94" i="76"/>
  <c r="AH94" i="76"/>
  <c r="BL94" i="76" s="1"/>
  <c r="AG94" i="76"/>
  <c r="BK94" i="76" s="1"/>
  <c r="AF94" i="76"/>
  <c r="BJ94" i="76" s="1"/>
  <c r="AE94" i="76"/>
  <c r="BI94" i="76" s="1"/>
  <c r="AD94" i="76"/>
  <c r="AC94" i="76"/>
  <c r="AB94" i="76"/>
  <c r="AA94" i="76"/>
  <c r="BD93" i="76"/>
  <c r="BC93" i="76"/>
  <c r="BB93" i="76"/>
  <c r="BA93" i="76"/>
  <c r="AH93" i="76"/>
  <c r="BL93" i="76" s="1"/>
  <c r="AG93" i="76"/>
  <c r="BK93" i="76" s="1"/>
  <c r="AF93" i="76"/>
  <c r="BJ93" i="76" s="1"/>
  <c r="AE93" i="76"/>
  <c r="BI93" i="76" s="1"/>
  <c r="AD93" i="76"/>
  <c r="AC93" i="76"/>
  <c r="AB93" i="76"/>
  <c r="AA93" i="76"/>
  <c r="BD92" i="76"/>
  <c r="BC92" i="76"/>
  <c r="BB92" i="76"/>
  <c r="BA92" i="76"/>
  <c r="AH92" i="76"/>
  <c r="BL92" i="76" s="1"/>
  <c r="AG92" i="76"/>
  <c r="AF92" i="76"/>
  <c r="BJ92" i="76" s="1"/>
  <c r="AE92" i="76"/>
  <c r="BI92" i="76" s="1"/>
  <c r="AD92" i="76"/>
  <c r="AC92" i="76"/>
  <c r="AB92" i="76"/>
  <c r="AA92" i="76"/>
  <c r="BD91" i="76"/>
  <c r="BC91" i="76"/>
  <c r="BB91" i="76"/>
  <c r="BA91" i="76"/>
  <c r="AH91" i="76"/>
  <c r="BL91" i="76" s="1"/>
  <c r="AG91" i="76"/>
  <c r="BK91" i="76" s="1"/>
  <c r="AF91" i="76"/>
  <c r="BJ91" i="76" s="1"/>
  <c r="AE91" i="76"/>
  <c r="BI91" i="76" s="1"/>
  <c r="AD91" i="76"/>
  <c r="AC91" i="76"/>
  <c r="AB91" i="76"/>
  <c r="AA91" i="76"/>
  <c r="BD90" i="76"/>
  <c r="BC90" i="76"/>
  <c r="BB90" i="76"/>
  <c r="BA90" i="76"/>
  <c r="AH90" i="76"/>
  <c r="BL90" i="76" s="1"/>
  <c r="AG90" i="76"/>
  <c r="BK90" i="76" s="1"/>
  <c r="AF90" i="76"/>
  <c r="BJ90" i="76" s="1"/>
  <c r="AE90" i="76"/>
  <c r="BI90" i="76" s="1"/>
  <c r="AD90" i="76"/>
  <c r="AC90" i="76"/>
  <c r="AB90" i="76"/>
  <c r="AA90" i="76"/>
  <c r="BD89" i="76"/>
  <c r="BC89" i="76"/>
  <c r="BB89" i="76"/>
  <c r="BA89" i="76"/>
  <c r="AH89" i="76"/>
  <c r="BL89" i="76" s="1"/>
  <c r="AG89" i="76"/>
  <c r="BK89" i="76" s="1"/>
  <c r="AF89" i="76"/>
  <c r="BJ89" i="76" s="1"/>
  <c r="AE89" i="76"/>
  <c r="BI89" i="76" s="1"/>
  <c r="AD89" i="76"/>
  <c r="AC89" i="76"/>
  <c r="AB89" i="76"/>
  <c r="AA89" i="76"/>
  <c r="BD88" i="76"/>
  <c r="BC88" i="76"/>
  <c r="BB88" i="76"/>
  <c r="BA88" i="76"/>
  <c r="AH88" i="76"/>
  <c r="BL88" i="76" s="1"/>
  <c r="AG88" i="76"/>
  <c r="BK88" i="76" s="1"/>
  <c r="AF88" i="76"/>
  <c r="BJ88" i="76" s="1"/>
  <c r="AE88" i="76"/>
  <c r="BI88" i="76" s="1"/>
  <c r="AD88" i="76"/>
  <c r="AC88" i="76"/>
  <c r="AB88" i="76"/>
  <c r="AA88" i="76"/>
  <c r="BD87" i="76"/>
  <c r="BC87" i="76"/>
  <c r="BB87" i="76"/>
  <c r="BA87" i="76"/>
  <c r="AH87" i="76"/>
  <c r="BL87" i="76" s="1"/>
  <c r="AG87" i="76"/>
  <c r="BK87" i="76" s="1"/>
  <c r="AF87" i="76"/>
  <c r="BJ87" i="76" s="1"/>
  <c r="AE87" i="76"/>
  <c r="BI87" i="76" s="1"/>
  <c r="AD87" i="76"/>
  <c r="AC87" i="76"/>
  <c r="AB87" i="76"/>
  <c r="AA87" i="76"/>
  <c r="BD86" i="76"/>
  <c r="BC86" i="76"/>
  <c r="BB86" i="76"/>
  <c r="BA86" i="76"/>
  <c r="AH86" i="76"/>
  <c r="BL86" i="76" s="1"/>
  <c r="AG86" i="76"/>
  <c r="AF86" i="76"/>
  <c r="BJ86" i="76" s="1"/>
  <c r="AE86" i="76"/>
  <c r="BI86" i="76" s="1"/>
  <c r="AD86" i="76"/>
  <c r="AC86" i="76"/>
  <c r="AB86" i="76"/>
  <c r="AA86" i="76"/>
  <c r="BD85" i="76"/>
  <c r="BC85" i="76"/>
  <c r="BB85" i="76"/>
  <c r="BA85" i="76"/>
  <c r="AH85" i="76"/>
  <c r="BL85" i="76" s="1"/>
  <c r="AG85" i="76"/>
  <c r="BK85" i="76" s="1"/>
  <c r="AF85" i="76"/>
  <c r="AE85" i="76"/>
  <c r="BI85" i="76" s="1"/>
  <c r="AD85" i="76"/>
  <c r="AC85" i="76"/>
  <c r="AB85" i="76"/>
  <c r="AA85" i="76"/>
  <c r="BD84" i="76"/>
  <c r="BC84" i="76"/>
  <c r="BB84" i="76"/>
  <c r="BA84" i="76"/>
  <c r="AH84" i="76"/>
  <c r="BL84" i="76" s="1"/>
  <c r="AG84" i="76"/>
  <c r="BK84" i="76" s="1"/>
  <c r="AF84" i="76"/>
  <c r="BJ84" i="76" s="1"/>
  <c r="AE84" i="76"/>
  <c r="AD84" i="76"/>
  <c r="AC84" i="76"/>
  <c r="AB84" i="76"/>
  <c r="AA84" i="76"/>
  <c r="BD83" i="76"/>
  <c r="BC83" i="76"/>
  <c r="BB83" i="76"/>
  <c r="BA83" i="76"/>
  <c r="AH83" i="76"/>
  <c r="BL83" i="76" s="1"/>
  <c r="AG83" i="76"/>
  <c r="BK83" i="76" s="1"/>
  <c r="AF83" i="76"/>
  <c r="BJ83" i="76" s="1"/>
  <c r="AE83" i="76"/>
  <c r="AD83" i="76"/>
  <c r="AC83" i="76"/>
  <c r="AB83" i="76"/>
  <c r="AA83" i="76"/>
  <c r="BD82" i="76"/>
  <c r="BC82" i="76"/>
  <c r="BB82" i="76"/>
  <c r="BA82" i="76"/>
  <c r="AH82" i="76"/>
  <c r="BL82" i="76" s="1"/>
  <c r="AG82" i="76"/>
  <c r="BK82" i="76" s="1"/>
  <c r="AF82" i="76"/>
  <c r="BJ82" i="76" s="1"/>
  <c r="AE82" i="76"/>
  <c r="BI82" i="76" s="1"/>
  <c r="AD82" i="76"/>
  <c r="AC82" i="76"/>
  <c r="AB82" i="76"/>
  <c r="AA82" i="76"/>
  <c r="BD81" i="76"/>
  <c r="BC81" i="76"/>
  <c r="BB81" i="76"/>
  <c r="BA81" i="76"/>
  <c r="AH81" i="76"/>
  <c r="BL81" i="76" s="1"/>
  <c r="AG81" i="76"/>
  <c r="BK81" i="76" s="1"/>
  <c r="AF81" i="76"/>
  <c r="BJ81" i="76" s="1"/>
  <c r="AE81" i="76"/>
  <c r="BI81" i="76" s="1"/>
  <c r="AD81" i="76"/>
  <c r="AC81" i="76"/>
  <c r="AB81" i="76"/>
  <c r="AA81" i="76"/>
  <c r="BD80" i="76"/>
  <c r="BC80" i="76"/>
  <c r="BB80" i="76"/>
  <c r="BA80" i="76"/>
  <c r="AH80" i="76"/>
  <c r="BL80" i="76" s="1"/>
  <c r="AG80" i="76"/>
  <c r="BK80" i="76" s="1"/>
  <c r="AF80" i="76"/>
  <c r="BJ80" i="76" s="1"/>
  <c r="AE80" i="76"/>
  <c r="AD80" i="76"/>
  <c r="AC80" i="76"/>
  <c r="AB80" i="76"/>
  <c r="AA80" i="76"/>
  <c r="BD79" i="76"/>
  <c r="BC79" i="76"/>
  <c r="BB79" i="76"/>
  <c r="BA79" i="76"/>
  <c r="AH79" i="76"/>
  <c r="BL79" i="76" s="1"/>
  <c r="AG79" i="76"/>
  <c r="BK79" i="76" s="1"/>
  <c r="AF79" i="76"/>
  <c r="BJ79" i="76" s="1"/>
  <c r="AE79" i="76"/>
  <c r="AD79" i="76"/>
  <c r="AC79" i="76"/>
  <c r="AB79" i="76"/>
  <c r="AA79" i="76"/>
  <c r="BD78" i="76"/>
  <c r="BC78" i="76"/>
  <c r="BB78" i="76"/>
  <c r="BA78" i="76"/>
  <c r="AH78" i="76"/>
  <c r="BL78" i="76" s="1"/>
  <c r="AG78" i="76"/>
  <c r="BK78" i="76" s="1"/>
  <c r="AF78" i="76"/>
  <c r="BJ78" i="76" s="1"/>
  <c r="AE78" i="76"/>
  <c r="BI78" i="76" s="1"/>
  <c r="AD78" i="76"/>
  <c r="BH78" i="76" s="1"/>
  <c r="AC78" i="76"/>
  <c r="AB78" i="76"/>
  <c r="AA78" i="76"/>
  <c r="BD77" i="76"/>
  <c r="BC77" i="76"/>
  <c r="BB77" i="76"/>
  <c r="BA77" i="76"/>
  <c r="AH77" i="76"/>
  <c r="AG77" i="76"/>
  <c r="BK77" i="76" s="1"/>
  <c r="AF77" i="76"/>
  <c r="BJ77" i="76" s="1"/>
  <c r="AE77" i="76"/>
  <c r="BI77" i="76" s="1"/>
  <c r="AD77" i="76"/>
  <c r="AC77" i="76"/>
  <c r="AB77" i="76"/>
  <c r="AA77" i="76"/>
  <c r="BD76" i="76"/>
  <c r="BC76" i="76"/>
  <c r="BB76" i="76"/>
  <c r="BA76" i="76"/>
  <c r="AH76" i="76"/>
  <c r="AG76" i="76"/>
  <c r="BK76" i="76" s="1"/>
  <c r="AF76" i="76"/>
  <c r="BJ76" i="76" s="1"/>
  <c r="AE76" i="76"/>
  <c r="BI76" i="76" s="1"/>
  <c r="AD76" i="76"/>
  <c r="AC76" i="76"/>
  <c r="AB76" i="76"/>
  <c r="BF76" i="76" s="1"/>
  <c r="AA76" i="76"/>
  <c r="BD75" i="76"/>
  <c r="BC75" i="76"/>
  <c r="BB75" i="76"/>
  <c r="BA75" i="76"/>
  <c r="AH75" i="76"/>
  <c r="BL75" i="76" s="1"/>
  <c r="AG75" i="76"/>
  <c r="BK75" i="76" s="1"/>
  <c r="AF75" i="76"/>
  <c r="BJ75" i="76" s="1"/>
  <c r="AE75" i="76"/>
  <c r="BI75" i="76" s="1"/>
  <c r="AD75" i="76"/>
  <c r="AC75" i="76"/>
  <c r="AB75" i="76"/>
  <c r="AA75" i="76"/>
  <c r="BD74" i="76"/>
  <c r="BC74" i="76"/>
  <c r="BB74" i="76"/>
  <c r="BA74" i="76"/>
  <c r="AH74" i="76"/>
  <c r="BL74" i="76" s="1"/>
  <c r="AG74" i="76"/>
  <c r="BK74" i="76" s="1"/>
  <c r="AF74" i="76"/>
  <c r="BJ74" i="76" s="1"/>
  <c r="AE74" i="76"/>
  <c r="BI74" i="76" s="1"/>
  <c r="AD74" i="76"/>
  <c r="AC74" i="76"/>
  <c r="AB74" i="76"/>
  <c r="AA74" i="76"/>
  <c r="BD73" i="76"/>
  <c r="BC73" i="76"/>
  <c r="BB73" i="76"/>
  <c r="BA73" i="76"/>
  <c r="AH73" i="76"/>
  <c r="AG73" i="76"/>
  <c r="BK73" i="76" s="1"/>
  <c r="AF73" i="76"/>
  <c r="BJ73" i="76" s="1"/>
  <c r="AE73" i="76"/>
  <c r="BI73" i="76" s="1"/>
  <c r="AD73" i="76"/>
  <c r="AC73" i="76"/>
  <c r="AB73" i="76"/>
  <c r="AA73" i="76"/>
  <c r="BD72" i="76"/>
  <c r="BC72" i="76"/>
  <c r="BB72" i="76"/>
  <c r="BA72" i="76"/>
  <c r="AH72" i="76"/>
  <c r="AG72" i="76"/>
  <c r="BK72" i="76" s="1"/>
  <c r="AF72" i="76"/>
  <c r="BJ72" i="76" s="1"/>
  <c r="AE72" i="76"/>
  <c r="BI72" i="76" s="1"/>
  <c r="AD72" i="76"/>
  <c r="AC72" i="76"/>
  <c r="AB72" i="76"/>
  <c r="AA72" i="76"/>
  <c r="BD71" i="76"/>
  <c r="BC71" i="76"/>
  <c r="BB71" i="76"/>
  <c r="BA71" i="76"/>
  <c r="AH71" i="76"/>
  <c r="BL71" i="76" s="1"/>
  <c r="AG71" i="76"/>
  <c r="BK71" i="76" s="1"/>
  <c r="AF71" i="76"/>
  <c r="BJ71" i="76" s="1"/>
  <c r="AE71" i="76"/>
  <c r="BI71" i="76" s="1"/>
  <c r="AD71" i="76"/>
  <c r="AC71" i="76"/>
  <c r="AB71" i="76"/>
  <c r="AA71" i="76"/>
  <c r="BD70" i="76"/>
  <c r="BC70" i="76"/>
  <c r="BB70" i="76"/>
  <c r="BA70" i="76"/>
  <c r="AH70" i="76"/>
  <c r="BL70" i="76" s="1"/>
  <c r="AG70" i="76"/>
  <c r="BK70" i="76" s="1"/>
  <c r="AF70" i="76"/>
  <c r="AE70" i="76"/>
  <c r="BI70" i="76" s="1"/>
  <c r="AD70" i="76"/>
  <c r="AC70" i="76"/>
  <c r="AB70" i="76"/>
  <c r="AA70" i="76"/>
  <c r="BD69" i="76"/>
  <c r="BC69" i="76"/>
  <c r="BB69" i="76"/>
  <c r="BA69" i="76"/>
  <c r="AH69" i="76"/>
  <c r="AG69" i="76"/>
  <c r="BK69" i="76" s="1"/>
  <c r="AF69" i="76"/>
  <c r="AE69" i="76"/>
  <c r="BI69" i="76" s="1"/>
  <c r="AD69" i="76"/>
  <c r="AC69" i="76"/>
  <c r="AB69" i="76"/>
  <c r="AA69" i="76"/>
  <c r="BD68" i="76"/>
  <c r="BC68" i="76"/>
  <c r="BB68" i="76"/>
  <c r="BA68" i="76"/>
  <c r="AH68" i="76"/>
  <c r="AG68" i="76"/>
  <c r="BK68" i="76" s="1"/>
  <c r="AF68" i="76"/>
  <c r="BJ68" i="76" s="1"/>
  <c r="AE68" i="76"/>
  <c r="BI68" i="76" s="1"/>
  <c r="AD68" i="76"/>
  <c r="AC68" i="76"/>
  <c r="AB68" i="76"/>
  <c r="AA68" i="76"/>
  <c r="BD67" i="76"/>
  <c r="BC67" i="76"/>
  <c r="BB67" i="76"/>
  <c r="BA67" i="76"/>
  <c r="AH67" i="76"/>
  <c r="BL67" i="76" s="1"/>
  <c r="AG67" i="76"/>
  <c r="BK67" i="76" s="1"/>
  <c r="AF67" i="76"/>
  <c r="BJ67" i="76" s="1"/>
  <c r="AE67" i="76"/>
  <c r="BI67" i="76" s="1"/>
  <c r="AD67" i="76"/>
  <c r="AC67" i="76"/>
  <c r="AB67" i="76"/>
  <c r="AA67" i="76"/>
  <c r="BD66" i="76"/>
  <c r="BC66" i="76"/>
  <c r="BB66" i="76"/>
  <c r="BA66" i="76"/>
  <c r="AH66" i="76"/>
  <c r="BL66" i="76" s="1"/>
  <c r="AG66" i="76"/>
  <c r="BK66" i="76" s="1"/>
  <c r="AF66" i="76"/>
  <c r="BJ66" i="76" s="1"/>
  <c r="AE66" i="76"/>
  <c r="BI66" i="76" s="1"/>
  <c r="AD66" i="76"/>
  <c r="AC66" i="76"/>
  <c r="AB66" i="76"/>
  <c r="AA66" i="76"/>
  <c r="BD65" i="76"/>
  <c r="BC65" i="76"/>
  <c r="BB65" i="76"/>
  <c r="BA65" i="76"/>
  <c r="AH65" i="76"/>
  <c r="BL65" i="76" s="1"/>
  <c r="AG65" i="76"/>
  <c r="BK65" i="76" s="1"/>
  <c r="AF65" i="76"/>
  <c r="AE65" i="76"/>
  <c r="BI65" i="76" s="1"/>
  <c r="AD65" i="76"/>
  <c r="AC65" i="76"/>
  <c r="AB65" i="76"/>
  <c r="AA65" i="76"/>
  <c r="BD64" i="76"/>
  <c r="BC64" i="76"/>
  <c r="BB64" i="76"/>
  <c r="BA64" i="76"/>
  <c r="AH64" i="76"/>
  <c r="BL64" i="76" s="1"/>
  <c r="AG64" i="76"/>
  <c r="BK64" i="76" s="1"/>
  <c r="AF64" i="76"/>
  <c r="BJ64" i="76" s="1"/>
  <c r="AE64" i="76"/>
  <c r="BI64" i="76" s="1"/>
  <c r="AD64" i="76"/>
  <c r="AC64" i="76"/>
  <c r="AB64" i="76"/>
  <c r="AA64" i="76"/>
  <c r="BD63" i="76"/>
  <c r="BC63" i="76"/>
  <c r="BB63" i="76"/>
  <c r="BA63" i="76"/>
  <c r="AH63" i="76"/>
  <c r="BL63" i="76" s="1"/>
  <c r="AG63" i="76"/>
  <c r="BK63" i="76" s="1"/>
  <c r="AF63" i="76"/>
  <c r="BJ63" i="76" s="1"/>
  <c r="AE63" i="76"/>
  <c r="BI63" i="76" s="1"/>
  <c r="AD63" i="76"/>
  <c r="AC63" i="76"/>
  <c r="AB63" i="76"/>
  <c r="AA63" i="76"/>
  <c r="BD62" i="76"/>
  <c r="BC62" i="76"/>
  <c r="BB62" i="76"/>
  <c r="BA62" i="76"/>
  <c r="AH62" i="76"/>
  <c r="BL62" i="76" s="1"/>
  <c r="AG62" i="76"/>
  <c r="BK62" i="76" s="1"/>
  <c r="AF62" i="76"/>
  <c r="BJ62" i="76" s="1"/>
  <c r="AE62" i="76"/>
  <c r="BI62" i="76" s="1"/>
  <c r="AD62" i="76"/>
  <c r="AC62" i="76"/>
  <c r="AB62" i="76"/>
  <c r="AA62" i="76"/>
  <c r="BD61" i="76"/>
  <c r="BC61" i="76"/>
  <c r="BB61" i="76"/>
  <c r="BA61" i="76"/>
  <c r="AH61" i="76"/>
  <c r="AG61" i="76"/>
  <c r="BK61" i="76" s="1"/>
  <c r="AF61" i="76"/>
  <c r="BJ61" i="76" s="1"/>
  <c r="AE61" i="76"/>
  <c r="BI61" i="76" s="1"/>
  <c r="AD61" i="76"/>
  <c r="AC61" i="76"/>
  <c r="AB61" i="76"/>
  <c r="AA61" i="76"/>
  <c r="BD60" i="76"/>
  <c r="BC60" i="76"/>
  <c r="BB60" i="76"/>
  <c r="BA60" i="76"/>
  <c r="AH60" i="76"/>
  <c r="AG60" i="76"/>
  <c r="BK60" i="76" s="1"/>
  <c r="AF60" i="76"/>
  <c r="BJ60" i="76" s="1"/>
  <c r="AE60" i="76"/>
  <c r="BI60" i="76" s="1"/>
  <c r="AD60" i="76"/>
  <c r="AC60" i="76"/>
  <c r="AB60" i="76"/>
  <c r="AA60" i="76"/>
  <c r="BD59" i="76"/>
  <c r="BC59" i="76"/>
  <c r="BB59" i="76"/>
  <c r="BA59" i="76"/>
  <c r="AH59" i="76"/>
  <c r="BL59" i="76" s="1"/>
  <c r="AG59" i="76"/>
  <c r="BK59" i="76" s="1"/>
  <c r="AF59" i="76"/>
  <c r="BJ59" i="76" s="1"/>
  <c r="AE59" i="76"/>
  <c r="BI59" i="76" s="1"/>
  <c r="AD59" i="76"/>
  <c r="AC59" i="76"/>
  <c r="BG59" i="76" s="1"/>
  <c r="AB59" i="76"/>
  <c r="AA59" i="76"/>
  <c r="BD58" i="76"/>
  <c r="BC58" i="76"/>
  <c r="BB58" i="76"/>
  <c r="BA58" i="76"/>
  <c r="AH58" i="76"/>
  <c r="BL58" i="76" s="1"/>
  <c r="AG58" i="76"/>
  <c r="BK58" i="76" s="1"/>
  <c r="AF58" i="76"/>
  <c r="BJ58" i="76" s="1"/>
  <c r="AE58" i="76"/>
  <c r="BI58" i="76" s="1"/>
  <c r="AD58" i="76"/>
  <c r="AC58" i="76"/>
  <c r="AB58" i="76"/>
  <c r="AA58" i="76"/>
  <c r="BD57" i="76"/>
  <c r="BC57" i="76"/>
  <c r="BB57" i="76"/>
  <c r="BA57" i="76"/>
  <c r="AH57" i="76"/>
  <c r="BL57" i="76" s="1"/>
  <c r="AG57" i="76"/>
  <c r="BK57" i="76" s="1"/>
  <c r="AF57" i="76"/>
  <c r="BJ57" i="76" s="1"/>
  <c r="AE57" i="76"/>
  <c r="BI57" i="76" s="1"/>
  <c r="AD57" i="76"/>
  <c r="AC57" i="76"/>
  <c r="AB57" i="76"/>
  <c r="AA57" i="76"/>
  <c r="BD56" i="76"/>
  <c r="BC56" i="76"/>
  <c r="BB56" i="76"/>
  <c r="BA56" i="76"/>
  <c r="AH56" i="76"/>
  <c r="BL56" i="76" s="1"/>
  <c r="AG56" i="76"/>
  <c r="BK56" i="76" s="1"/>
  <c r="AF56" i="76"/>
  <c r="BJ56" i="76" s="1"/>
  <c r="AE56" i="76"/>
  <c r="BI56" i="76" s="1"/>
  <c r="AD56" i="76"/>
  <c r="AC56" i="76"/>
  <c r="AB56" i="76"/>
  <c r="AA56" i="76"/>
  <c r="BD55" i="76"/>
  <c r="BC55" i="76"/>
  <c r="BB55" i="76"/>
  <c r="BA55" i="76"/>
  <c r="AH55" i="76"/>
  <c r="BL55" i="76" s="1"/>
  <c r="AG55" i="76"/>
  <c r="BK55" i="76" s="1"/>
  <c r="AF55" i="76"/>
  <c r="BJ55" i="76" s="1"/>
  <c r="AE55" i="76"/>
  <c r="AD55" i="76"/>
  <c r="AC55" i="76"/>
  <c r="AB55" i="76"/>
  <c r="AA55" i="76"/>
  <c r="BD54" i="76"/>
  <c r="BC54" i="76"/>
  <c r="BB54" i="76"/>
  <c r="BA54" i="76"/>
  <c r="AH54" i="76"/>
  <c r="BL54" i="76" s="1"/>
  <c r="AG54" i="76"/>
  <c r="AF54" i="76"/>
  <c r="BJ54" i="76" s="1"/>
  <c r="AE54" i="76"/>
  <c r="BI54" i="76" s="1"/>
  <c r="AD54" i="76"/>
  <c r="AC54" i="76"/>
  <c r="AB54" i="76"/>
  <c r="AA54" i="76"/>
  <c r="BD53" i="76"/>
  <c r="BC53" i="76"/>
  <c r="BB53" i="76"/>
  <c r="BA53" i="76"/>
  <c r="AH53" i="76"/>
  <c r="BL53" i="76" s="1"/>
  <c r="AG53" i="76"/>
  <c r="BK53" i="76" s="1"/>
  <c r="AF53" i="76"/>
  <c r="BJ53" i="76" s="1"/>
  <c r="AE53" i="76"/>
  <c r="BI53" i="76" s="1"/>
  <c r="AD53" i="76"/>
  <c r="AC53" i="76"/>
  <c r="AB53" i="76"/>
  <c r="AA53" i="76"/>
  <c r="BD52" i="76"/>
  <c r="BC52" i="76"/>
  <c r="BB52" i="76"/>
  <c r="BA52" i="76"/>
  <c r="AH52" i="76"/>
  <c r="BL52" i="76" s="1"/>
  <c r="AG52" i="76"/>
  <c r="BK52" i="76" s="1"/>
  <c r="AF52" i="76"/>
  <c r="BJ52" i="76" s="1"/>
  <c r="AE52" i="76"/>
  <c r="BI52" i="76" s="1"/>
  <c r="AD52" i="76"/>
  <c r="AC52" i="76"/>
  <c r="AB52" i="76"/>
  <c r="AA52" i="76"/>
  <c r="BD51" i="76"/>
  <c r="BC51" i="76"/>
  <c r="BB51" i="76"/>
  <c r="BA51" i="76"/>
  <c r="AH51" i="76"/>
  <c r="BL51" i="76" s="1"/>
  <c r="AG51" i="76"/>
  <c r="BK51" i="76" s="1"/>
  <c r="AF51" i="76"/>
  <c r="BJ51" i="76" s="1"/>
  <c r="AE51" i="76"/>
  <c r="AD51" i="76"/>
  <c r="AC51" i="76"/>
  <c r="AB51" i="76"/>
  <c r="AX51" i="76" s="1"/>
  <c r="AA51" i="76"/>
  <c r="BD50" i="76"/>
  <c r="BC50" i="76"/>
  <c r="BB50" i="76"/>
  <c r="BA50" i="76"/>
  <c r="AH50" i="76"/>
  <c r="BL50" i="76" s="1"/>
  <c r="AG50" i="76"/>
  <c r="AF50" i="76"/>
  <c r="BJ50" i="76" s="1"/>
  <c r="AE50" i="76"/>
  <c r="BI50" i="76" s="1"/>
  <c r="AD50" i="76"/>
  <c r="AC50" i="76"/>
  <c r="AB50" i="76"/>
  <c r="AA50" i="76"/>
  <c r="BD49" i="76"/>
  <c r="BC49" i="76"/>
  <c r="BB49" i="76"/>
  <c r="BA49" i="76"/>
  <c r="AH49" i="76"/>
  <c r="BL49" i="76" s="1"/>
  <c r="AG49" i="76"/>
  <c r="BK49" i="76" s="1"/>
  <c r="AF49" i="76"/>
  <c r="BJ49" i="76" s="1"/>
  <c r="AE49" i="76"/>
  <c r="BI49" i="76" s="1"/>
  <c r="AD49" i="76"/>
  <c r="AC49" i="76"/>
  <c r="AB49" i="76"/>
  <c r="BF49" i="76" s="1"/>
  <c r="AA49" i="76"/>
  <c r="BD48" i="76"/>
  <c r="BC48" i="76"/>
  <c r="BB48" i="76"/>
  <c r="BA48" i="76"/>
  <c r="AH48" i="76"/>
  <c r="BL48" i="76" s="1"/>
  <c r="AG48" i="76"/>
  <c r="BK48" i="76" s="1"/>
  <c r="AF48" i="76"/>
  <c r="BJ48" i="76" s="1"/>
  <c r="AE48" i="76"/>
  <c r="BI48" i="76" s="1"/>
  <c r="AD48" i="76"/>
  <c r="AC48" i="76"/>
  <c r="AB48" i="76"/>
  <c r="AA48" i="76"/>
  <c r="BD47" i="76"/>
  <c r="BC47" i="76"/>
  <c r="BB47" i="76"/>
  <c r="BA47" i="76"/>
  <c r="AH47" i="76"/>
  <c r="BL47" i="76" s="1"/>
  <c r="AG47" i="76"/>
  <c r="BK47" i="76" s="1"/>
  <c r="AF47" i="76"/>
  <c r="BJ47" i="76" s="1"/>
  <c r="AE47" i="76"/>
  <c r="AD47" i="76"/>
  <c r="AC47" i="76"/>
  <c r="AB47" i="76"/>
  <c r="BF47" i="76" s="1"/>
  <c r="AA47" i="76"/>
  <c r="BD46" i="76"/>
  <c r="BC46" i="76"/>
  <c r="BB46" i="76"/>
  <c r="BA46" i="76"/>
  <c r="AH46" i="76"/>
  <c r="BL46" i="76" s="1"/>
  <c r="AG46" i="76"/>
  <c r="AF46" i="76"/>
  <c r="BJ46" i="76" s="1"/>
  <c r="AE46" i="76"/>
  <c r="BI46" i="76" s="1"/>
  <c r="AD46" i="76"/>
  <c r="AC46" i="76"/>
  <c r="AB46" i="76"/>
  <c r="AA46" i="76"/>
  <c r="BD45" i="76"/>
  <c r="BC45" i="76"/>
  <c r="BB45" i="76"/>
  <c r="BA45" i="76"/>
  <c r="AH45" i="76"/>
  <c r="BL45" i="76" s="1"/>
  <c r="AG45" i="76"/>
  <c r="BK45" i="76" s="1"/>
  <c r="AF45" i="76"/>
  <c r="BJ45" i="76" s="1"/>
  <c r="AE45" i="76"/>
  <c r="BI45" i="76" s="1"/>
  <c r="AD45" i="76"/>
  <c r="AC45" i="76"/>
  <c r="AB45" i="76"/>
  <c r="AA45" i="76"/>
  <c r="BD44" i="76"/>
  <c r="BC44" i="76"/>
  <c r="BB44" i="76"/>
  <c r="BA44" i="76"/>
  <c r="AH44" i="76"/>
  <c r="BL44" i="76" s="1"/>
  <c r="AG44" i="76"/>
  <c r="BK44" i="76" s="1"/>
  <c r="AF44" i="76"/>
  <c r="BJ44" i="76" s="1"/>
  <c r="AE44" i="76"/>
  <c r="BI44" i="76" s="1"/>
  <c r="AD44" i="76"/>
  <c r="AC44" i="76"/>
  <c r="AB44" i="76"/>
  <c r="AA44" i="76"/>
  <c r="BD43" i="76"/>
  <c r="BC43" i="76"/>
  <c r="BB43" i="76"/>
  <c r="BA43" i="76"/>
  <c r="AH43" i="76"/>
  <c r="BL43" i="76" s="1"/>
  <c r="AG43" i="76"/>
  <c r="BK43" i="76" s="1"/>
  <c r="AF43" i="76"/>
  <c r="BJ43" i="76" s="1"/>
  <c r="AE43" i="76"/>
  <c r="AD43" i="76"/>
  <c r="AC43" i="76"/>
  <c r="AB43" i="76"/>
  <c r="AA43" i="76"/>
  <c r="BD42" i="76"/>
  <c r="BC42" i="76"/>
  <c r="BB42" i="76"/>
  <c r="BA42" i="76"/>
  <c r="AH42" i="76"/>
  <c r="BL42" i="76" s="1"/>
  <c r="AG42" i="76"/>
  <c r="AF42" i="76"/>
  <c r="BJ42" i="76" s="1"/>
  <c r="AE42" i="76"/>
  <c r="BI42" i="76" s="1"/>
  <c r="AD42" i="76"/>
  <c r="AC42" i="76"/>
  <c r="AB42" i="76"/>
  <c r="AA42" i="76"/>
  <c r="BD41" i="76"/>
  <c r="BC41" i="76"/>
  <c r="BB41" i="76"/>
  <c r="BA41" i="76"/>
  <c r="AH41" i="76"/>
  <c r="BL41" i="76" s="1"/>
  <c r="AG41" i="76"/>
  <c r="BK41" i="76" s="1"/>
  <c r="AF41" i="76"/>
  <c r="BJ41" i="76" s="1"/>
  <c r="AE41" i="76"/>
  <c r="BI41" i="76" s="1"/>
  <c r="AD41" i="76"/>
  <c r="AC41" i="76"/>
  <c r="AB41" i="76"/>
  <c r="AA41" i="76"/>
  <c r="BD40" i="76"/>
  <c r="BC40" i="76"/>
  <c r="BB40" i="76"/>
  <c r="BA40" i="76"/>
  <c r="AH40" i="76"/>
  <c r="BL40" i="76" s="1"/>
  <c r="AG40" i="76"/>
  <c r="BK40" i="76" s="1"/>
  <c r="AF40" i="76"/>
  <c r="BJ40" i="76" s="1"/>
  <c r="AE40" i="76"/>
  <c r="BI40" i="76" s="1"/>
  <c r="AD40" i="76"/>
  <c r="AC40" i="76"/>
  <c r="AB40" i="76"/>
  <c r="AA40" i="76"/>
  <c r="BD39" i="76"/>
  <c r="BC39" i="76"/>
  <c r="BB39" i="76"/>
  <c r="BA39" i="76"/>
  <c r="AH39" i="76"/>
  <c r="BL39" i="76" s="1"/>
  <c r="AG39" i="76"/>
  <c r="BK39" i="76" s="1"/>
  <c r="AF39" i="76"/>
  <c r="BJ39" i="76" s="1"/>
  <c r="AE39" i="76"/>
  <c r="AD39" i="76"/>
  <c r="AC39" i="76"/>
  <c r="AB39" i="76"/>
  <c r="AA39" i="76"/>
  <c r="BD38" i="76"/>
  <c r="BC38" i="76"/>
  <c r="BB38" i="76"/>
  <c r="BA38" i="76"/>
  <c r="AH38" i="76"/>
  <c r="BL38" i="76" s="1"/>
  <c r="AG38" i="76"/>
  <c r="AF38" i="76"/>
  <c r="BJ38" i="76" s="1"/>
  <c r="AE38" i="76"/>
  <c r="BI38" i="76" s="1"/>
  <c r="AD38" i="76"/>
  <c r="AC38" i="76"/>
  <c r="AB38" i="76"/>
  <c r="AA38" i="76"/>
  <c r="BD37" i="76"/>
  <c r="BC37" i="76"/>
  <c r="BB37" i="76"/>
  <c r="BA37" i="76"/>
  <c r="AH37" i="76"/>
  <c r="BL37" i="76" s="1"/>
  <c r="AG37" i="76"/>
  <c r="BK37" i="76" s="1"/>
  <c r="AF37" i="76"/>
  <c r="BJ37" i="76" s="1"/>
  <c r="AE37" i="76"/>
  <c r="BI37" i="76" s="1"/>
  <c r="AD37" i="76"/>
  <c r="AC37" i="76"/>
  <c r="AB37" i="76"/>
  <c r="AA37" i="76"/>
  <c r="BD36" i="76"/>
  <c r="BC36" i="76"/>
  <c r="BB36" i="76"/>
  <c r="BA36" i="76"/>
  <c r="AH36" i="76"/>
  <c r="BL36" i="76" s="1"/>
  <c r="AG36" i="76"/>
  <c r="BK36" i="76" s="1"/>
  <c r="AF36" i="76"/>
  <c r="BJ36" i="76" s="1"/>
  <c r="AE36" i="76"/>
  <c r="BI36" i="76" s="1"/>
  <c r="AD36" i="76"/>
  <c r="AC36" i="76"/>
  <c r="AB36" i="76"/>
  <c r="AA36" i="76"/>
  <c r="BD35" i="76"/>
  <c r="BC35" i="76"/>
  <c r="BB35" i="76"/>
  <c r="BA35" i="76"/>
  <c r="AH35" i="76"/>
  <c r="BL35" i="76" s="1"/>
  <c r="AG35" i="76"/>
  <c r="BK35" i="76" s="1"/>
  <c r="AF35" i="76"/>
  <c r="BJ35" i="76" s="1"/>
  <c r="AE35" i="76"/>
  <c r="BI35" i="76" s="1"/>
  <c r="AD35" i="76"/>
  <c r="AC35" i="76"/>
  <c r="AB35" i="76"/>
  <c r="AA35" i="76"/>
  <c r="BD34" i="76"/>
  <c r="BC34" i="76"/>
  <c r="BB34" i="76"/>
  <c r="BA34" i="76"/>
  <c r="AH34" i="76"/>
  <c r="BL34" i="76" s="1"/>
  <c r="AG34" i="76"/>
  <c r="BK34" i="76" s="1"/>
  <c r="AF34" i="76"/>
  <c r="BJ34" i="76" s="1"/>
  <c r="AE34" i="76"/>
  <c r="BI34" i="76" s="1"/>
  <c r="AD34" i="76"/>
  <c r="AC34" i="76"/>
  <c r="AB34" i="76"/>
  <c r="AA34" i="76"/>
  <c r="BD33" i="76"/>
  <c r="BC33" i="76"/>
  <c r="BB33" i="76"/>
  <c r="BA33" i="76"/>
  <c r="AH33" i="76"/>
  <c r="BL33" i="76" s="1"/>
  <c r="AG33" i="76"/>
  <c r="BK33" i="76" s="1"/>
  <c r="AF33" i="76"/>
  <c r="BJ33" i="76" s="1"/>
  <c r="AE33" i="76"/>
  <c r="BI33" i="76" s="1"/>
  <c r="AD33" i="76"/>
  <c r="AC33" i="76"/>
  <c r="AB33" i="76"/>
  <c r="AA33" i="76"/>
  <c r="BD32" i="76"/>
  <c r="BC32" i="76"/>
  <c r="BB32" i="76"/>
  <c r="BA32" i="76"/>
  <c r="AH32" i="76"/>
  <c r="AG32" i="76"/>
  <c r="BK32" i="76" s="1"/>
  <c r="AF32" i="76"/>
  <c r="BJ32" i="76" s="1"/>
  <c r="AE32" i="76"/>
  <c r="BI32" i="76" s="1"/>
  <c r="AD32" i="76"/>
  <c r="AC32" i="76"/>
  <c r="AB32" i="76"/>
  <c r="AA32" i="76"/>
  <c r="BD31" i="76"/>
  <c r="BC31" i="76"/>
  <c r="BB31" i="76"/>
  <c r="BA31" i="76"/>
  <c r="AH31" i="76"/>
  <c r="BL31" i="76" s="1"/>
  <c r="AG31" i="76"/>
  <c r="BK31" i="76" s="1"/>
  <c r="AF31" i="76"/>
  <c r="BJ31" i="76" s="1"/>
  <c r="AE31" i="76"/>
  <c r="BI31" i="76" s="1"/>
  <c r="AD31" i="76"/>
  <c r="AC31" i="76"/>
  <c r="AB31" i="76"/>
  <c r="AA31" i="76"/>
  <c r="BD30" i="76"/>
  <c r="BC30" i="76"/>
  <c r="BB30" i="76"/>
  <c r="BA30" i="76"/>
  <c r="AH30" i="76"/>
  <c r="BL30" i="76" s="1"/>
  <c r="AG30" i="76"/>
  <c r="BK30" i="76" s="1"/>
  <c r="AF30" i="76"/>
  <c r="BJ30" i="76" s="1"/>
  <c r="AE30" i="76"/>
  <c r="BI30" i="76" s="1"/>
  <c r="AD30" i="76"/>
  <c r="AC30" i="76"/>
  <c r="AB30" i="76"/>
  <c r="AA30" i="76"/>
  <c r="BD29" i="76"/>
  <c r="BC29" i="76"/>
  <c r="BB29" i="76"/>
  <c r="BA29" i="76"/>
  <c r="AH29" i="76"/>
  <c r="BL29" i="76" s="1"/>
  <c r="AG29" i="76"/>
  <c r="BK29" i="76" s="1"/>
  <c r="AF29" i="76"/>
  <c r="BJ29" i="76" s="1"/>
  <c r="AE29" i="76"/>
  <c r="BI29" i="76" s="1"/>
  <c r="AD29" i="76"/>
  <c r="AC29" i="76"/>
  <c r="AB29" i="76"/>
  <c r="AA29" i="76"/>
  <c r="BD28" i="76"/>
  <c r="BC28" i="76"/>
  <c r="BB28" i="76"/>
  <c r="BA28" i="76"/>
  <c r="AH28" i="76"/>
  <c r="BL28" i="76" s="1"/>
  <c r="AG28" i="76"/>
  <c r="BK28" i="76" s="1"/>
  <c r="AF28" i="76"/>
  <c r="BJ28" i="76" s="1"/>
  <c r="AE28" i="76"/>
  <c r="BI28" i="76" s="1"/>
  <c r="AD28" i="76"/>
  <c r="AC28" i="76"/>
  <c r="AB28" i="76"/>
  <c r="AA28" i="76"/>
  <c r="BD27" i="76"/>
  <c r="BC27" i="76"/>
  <c r="BB27" i="76"/>
  <c r="BA27" i="76"/>
  <c r="AH27" i="76"/>
  <c r="BL27" i="76" s="1"/>
  <c r="AG27" i="76"/>
  <c r="BK27" i="76" s="1"/>
  <c r="AF27" i="76"/>
  <c r="BJ27" i="76" s="1"/>
  <c r="AE27" i="76"/>
  <c r="BI27" i="76" s="1"/>
  <c r="AD27" i="76"/>
  <c r="AC27" i="76"/>
  <c r="AB27" i="76"/>
  <c r="AA27" i="76"/>
  <c r="BD26" i="76"/>
  <c r="BC26" i="76"/>
  <c r="BB26" i="76"/>
  <c r="BA26" i="76"/>
  <c r="AH26" i="76"/>
  <c r="BL26" i="76" s="1"/>
  <c r="AG26" i="76"/>
  <c r="BK26" i="76" s="1"/>
  <c r="AF26" i="76"/>
  <c r="AE26" i="76"/>
  <c r="BI26" i="76" s="1"/>
  <c r="AD26" i="76"/>
  <c r="AC26" i="76"/>
  <c r="AB26" i="76"/>
  <c r="AA26" i="76"/>
  <c r="BD25" i="76"/>
  <c r="BC25" i="76"/>
  <c r="BB25" i="76"/>
  <c r="BA25" i="76"/>
  <c r="AH25" i="76"/>
  <c r="AG25" i="76"/>
  <c r="BK25" i="76" s="1"/>
  <c r="AF25" i="76"/>
  <c r="BJ25" i="76" s="1"/>
  <c r="AE25" i="76"/>
  <c r="BI25" i="76" s="1"/>
  <c r="AD25" i="76"/>
  <c r="AC25" i="76"/>
  <c r="AB25" i="76"/>
  <c r="AA25" i="76"/>
  <c r="BD24" i="76"/>
  <c r="BC24" i="76"/>
  <c r="BB24" i="76"/>
  <c r="BA24" i="76"/>
  <c r="AH24" i="76"/>
  <c r="BL24" i="76" s="1"/>
  <c r="AG24" i="76"/>
  <c r="BK24" i="76" s="1"/>
  <c r="AF24" i="76"/>
  <c r="BJ24" i="76" s="1"/>
  <c r="AE24" i="76"/>
  <c r="BI24" i="76" s="1"/>
  <c r="AD24" i="76"/>
  <c r="AC24" i="76"/>
  <c r="AB24" i="76"/>
  <c r="AA24" i="76"/>
  <c r="BD23" i="76"/>
  <c r="BC23" i="76"/>
  <c r="BB23" i="76"/>
  <c r="BA23" i="76"/>
  <c r="AH23" i="76"/>
  <c r="BL23" i="76" s="1"/>
  <c r="AG23" i="76"/>
  <c r="BK23" i="76" s="1"/>
  <c r="AF23" i="76"/>
  <c r="BJ23" i="76" s="1"/>
  <c r="AE23" i="76"/>
  <c r="BI23" i="76" s="1"/>
  <c r="AD23" i="76"/>
  <c r="AC23" i="76"/>
  <c r="AB23" i="76"/>
  <c r="AA23" i="76"/>
  <c r="BD22" i="76"/>
  <c r="BC22" i="76"/>
  <c r="BB22" i="76"/>
  <c r="BA22" i="76"/>
  <c r="AH22" i="76"/>
  <c r="BL22" i="76" s="1"/>
  <c r="AG22" i="76"/>
  <c r="BK22" i="76" s="1"/>
  <c r="AF22" i="76"/>
  <c r="AE22" i="76"/>
  <c r="BI22" i="76" s="1"/>
  <c r="AD22" i="76"/>
  <c r="AC22" i="76"/>
  <c r="AB22" i="76"/>
  <c r="AA22" i="76"/>
  <c r="BD21" i="76"/>
  <c r="BC21" i="76"/>
  <c r="BB21" i="76"/>
  <c r="BA21" i="76"/>
  <c r="AH21" i="76"/>
  <c r="AG21" i="76"/>
  <c r="BK21" i="76" s="1"/>
  <c r="AF21" i="76"/>
  <c r="BJ21" i="76" s="1"/>
  <c r="AE21" i="76"/>
  <c r="BI21" i="76" s="1"/>
  <c r="AD21" i="76"/>
  <c r="AC21" i="76"/>
  <c r="AB21" i="76"/>
  <c r="AA21" i="76"/>
  <c r="BD20" i="76"/>
  <c r="BC20" i="76"/>
  <c r="BB20" i="76"/>
  <c r="BA20" i="76"/>
  <c r="AH20" i="76"/>
  <c r="BL20" i="76" s="1"/>
  <c r="AG20" i="76"/>
  <c r="BK20" i="76" s="1"/>
  <c r="AF20" i="76"/>
  <c r="BJ20" i="76" s="1"/>
  <c r="AE20" i="76"/>
  <c r="BI20" i="76" s="1"/>
  <c r="AD20" i="76"/>
  <c r="AC20" i="76"/>
  <c r="AB20" i="76"/>
  <c r="AA20" i="76"/>
  <c r="BD19" i="76"/>
  <c r="BC19" i="76"/>
  <c r="BB19" i="76"/>
  <c r="BA19" i="76"/>
  <c r="AH19" i="76"/>
  <c r="BL19" i="76" s="1"/>
  <c r="AG19" i="76"/>
  <c r="BK19" i="76" s="1"/>
  <c r="AF19" i="76"/>
  <c r="BJ19" i="76" s="1"/>
  <c r="AE19" i="76"/>
  <c r="BI19" i="76" s="1"/>
  <c r="AD19" i="76"/>
  <c r="AC19" i="76"/>
  <c r="AB19" i="76"/>
  <c r="AA19" i="76"/>
  <c r="BD18" i="76"/>
  <c r="BC18" i="76"/>
  <c r="BB18" i="76"/>
  <c r="BA18" i="76"/>
  <c r="AH18" i="76"/>
  <c r="BL18" i="76" s="1"/>
  <c r="AG18" i="76"/>
  <c r="BK18" i="76" s="1"/>
  <c r="AF18" i="76"/>
  <c r="AE18" i="76"/>
  <c r="BI18" i="76" s="1"/>
  <c r="AD18" i="76"/>
  <c r="AC18" i="76"/>
  <c r="AB18" i="76"/>
  <c r="AA18" i="76"/>
  <c r="BD17" i="76"/>
  <c r="BC17" i="76"/>
  <c r="BB17" i="76"/>
  <c r="BA17" i="76"/>
  <c r="AH17" i="76"/>
  <c r="AG17" i="76"/>
  <c r="BK17" i="76" s="1"/>
  <c r="AF17" i="76"/>
  <c r="BJ17" i="76" s="1"/>
  <c r="AE17" i="76"/>
  <c r="BI17" i="76" s="1"/>
  <c r="AD17" i="76"/>
  <c r="AC17" i="76"/>
  <c r="AB17" i="76"/>
  <c r="AA17" i="76"/>
  <c r="BD16" i="76"/>
  <c r="BC16" i="76"/>
  <c r="BB16" i="76"/>
  <c r="BA16" i="76"/>
  <c r="AH16" i="76"/>
  <c r="BL16" i="76" s="1"/>
  <c r="AG16" i="76"/>
  <c r="BK16" i="76" s="1"/>
  <c r="AF16" i="76"/>
  <c r="BJ16" i="76" s="1"/>
  <c r="AE16" i="76"/>
  <c r="BI16" i="76" s="1"/>
  <c r="AD16" i="76"/>
  <c r="AC16" i="76"/>
  <c r="AB16" i="76"/>
  <c r="AA16" i="76"/>
  <c r="BD15" i="76"/>
  <c r="BC15" i="76"/>
  <c r="BB15" i="76"/>
  <c r="BA15" i="76"/>
  <c r="AH15" i="76"/>
  <c r="BL15" i="76" s="1"/>
  <c r="AG15" i="76"/>
  <c r="BK15" i="76" s="1"/>
  <c r="AF15" i="76"/>
  <c r="BJ15" i="76" s="1"/>
  <c r="AE15" i="76"/>
  <c r="BI15" i="76" s="1"/>
  <c r="AD15" i="76"/>
  <c r="AC15" i="76"/>
  <c r="AB15" i="76"/>
  <c r="AA15" i="76"/>
  <c r="BD14" i="76"/>
  <c r="BC14" i="76"/>
  <c r="BB14" i="76"/>
  <c r="BA14" i="76"/>
  <c r="AH14" i="76"/>
  <c r="BL14" i="76" s="1"/>
  <c r="AG14" i="76"/>
  <c r="BK14" i="76" s="1"/>
  <c r="AF14" i="76"/>
  <c r="AE14" i="76"/>
  <c r="BI14" i="76" s="1"/>
  <c r="AD14" i="76"/>
  <c r="AC14" i="76"/>
  <c r="AB14" i="76"/>
  <c r="BF14" i="76" s="1"/>
  <c r="AA14" i="76"/>
  <c r="BD13" i="76"/>
  <c r="BC13" i="76"/>
  <c r="BB13" i="76"/>
  <c r="BA13" i="76"/>
  <c r="AH13" i="76"/>
  <c r="AG13" i="76"/>
  <c r="BK13" i="76" s="1"/>
  <c r="AF13" i="76"/>
  <c r="BJ13" i="76" s="1"/>
  <c r="AE13" i="76"/>
  <c r="BI13" i="76" s="1"/>
  <c r="AD13" i="76"/>
  <c r="AC13" i="76"/>
  <c r="AB13" i="76"/>
  <c r="AA13" i="76"/>
  <c r="BD12" i="76"/>
  <c r="BC12" i="76"/>
  <c r="BB12" i="76"/>
  <c r="BA12" i="76"/>
  <c r="AH12" i="76"/>
  <c r="BL12" i="76" s="1"/>
  <c r="AG12" i="76"/>
  <c r="BK12" i="76" s="1"/>
  <c r="AF12" i="76"/>
  <c r="BJ12" i="76" s="1"/>
  <c r="AE12" i="76"/>
  <c r="BI12" i="76" s="1"/>
  <c r="AD12" i="76"/>
  <c r="AC12" i="76"/>
  <c r="AB12" i="76"/>
  <c r="AA12" i="76"/>
  <c r="BD11" i="76"/>
  <c r="BC11" i="76"/>
  <c r="BB11" i="76"/>
  <c r="BA11" i="76"/>
  <c r="AH11" i="76"/>
  <c r="BL11" i="76" s="1"/>
  <c r="AG11" i="76"/>
  <c r="BK11" i="76" s="1"/>
  <c r="AF11" i="76"/>
  <c r="BJ11" i="76" s="1"/>
  <c r="AE11" i="76"/>
  <c r="BI11" i="76" s="1"/>
  <c r="AD11" i="76"/>
  <c r="AC11" i="76"/>
  <c r="AB11" i="76"/>
  <c r="AA11" i="76"/>
  <c r="BD10" i="76"/>
  <c r="BC10" i="76"/>
  <c r="BB10" i="76"/>
  <c r="BA10" i="76"/>
  <c r="AH10" i="76"/>
  <c r="BL10" i="76" s="1"/>
  <c r="AG10" i="76"/>
  <c r="BK10" i="76" s="1"/>
  <c r="AF10" i="76"/>
  <c r="AE10" i="76"/>
  <c r="BI10" i="76" s="1"/>
  <c r="AD10" i="76"/>
  <c r="AC10" i="76"/>
  <c r="AB10" i="76"/>
  <c r="AA10" i="76"/>
  <c r="BD9" i="76"/>
  <c r="BC9" i="76"/>
  <c r="BB9" i="76"/>
  <c r="BA9" i="76"/>
  <c r="AH9" i="76"/>
  <c r="AG9" i="76"/>
  <c r="BK9" i="76" s="1"/>
  <c r="AF9" i="76"/>
  <c r="BJ9" i="76" s="1"/>
  <c r="AE9" i="76"/>
  <c r="BI9" i="76" s="1"/>
  <c r="AD9" i="76"/>
  <c r="AC9" i="76"/>
  <c r="AB9" i="76"/>
  <c r="AA9" i="76"/>
  <c r="BD8" i="76"/>
  <c r="BC8" i="76"/>
  <c r="BB8" i="76"/>
  <c r="BA8" i="76"/>
  <c r="AH8" i="76"/>
  <c r="BL8" i="76" s="1"/>
  <c r="AG8" i="76"/>
  <c r="BK8" i="76" s="1"/>
  <c r="AF8" i="76"/>
  <c r="BJ8" i="76" s="1"/>
  <c r="AE8" i="76"/>
  <c r="BI8" i="76" s="1"/>
  <c r="AD8" i="76"/>
  <c r="AC8" i="76"/>
  <c r="AB8" i="76"/>
  <c r="AA8" i="76"/>
  <c r="BD7" i="76"/>
  <c r="BC7" i="76"/>
  <c r="BB7" i="76"/>
  <c r="BA7" i="76"/>
  <c r="AH7" i="76"/>
  <c r="BL7" i="76" s="1"/>
  <c r="AG7" i="76"/>
  <c r="BK7" i="76" s="1"/>
  <c r="AF7" i="76"/>
  <c r="BJ7" i="76" s="1"/>
  <c r="AE7" i="76"/>
  <c r="BI7" i="76" s="1"/>
  <c r="AD7" i="76"/>
  <c r="AC7" i="76"/>
  <c r="AB7" i="76"/>
  <c r="AA7" i="76"/>
  <c r="BD6" i="76"/>
  <c r="BC6" i="76"/>
  <c r="BB6" i="76"/>
  <c r="BA6" i="76"/>
  <c r="AH6" i="76"/>
  <c r="BL6" i="76" s="1"/>
  <c r="AG6" i="76"/>
  <c r="BK6" i="76" s="1"/>
  <c r="AF6" i="76"/>
  <c r="AE6" i="76"/>
  <c r="BI6" i="76" s="1"/>
  <c r="AD6" i="76"/>
  <c r="AC6" i="76"/>
  <c r="AB6" i="76"/>
  <c r="AA6" i="76"/>
  <c r="BD5" i="76"/>
  <c r="BC5" i="76"/>
  <c r="BB5" i="76"/>
  <c r="BA5" i="76"/>
  <c r="AH5" i="76"/>
  <c r="AG5" i="76"/>
  <c r="BK5" i="76" s="1"/>
  <c r="AF5" i="76"/>
  <c r="BJ5" i="76" s="1"/>
  <c r="AE5" i="76"/>
  <c r="BI5" i="76" s="1"/>
  <c r="AD5" i="76"/>
  <c r="AC5" i="76"/>
  <c r="AB5" i="76"/>
  <c r="AA5" i="76"/>
  <c r="BD4" i="76"/>
  <c r="BC4" i="76"/>
  <c r="BB4" i="76"/>
  <c r="BA4" i="76"/>
  <c r="AH4" i="76"/>
  <c r="BL4" i="76" s="1"/>
  <c r="AG4" i="76"/>
  <c r="BK4" i="76" s="1"/>
  <c r="AF4" i="76"/>
  <c r="BJ4" i="76" s="1"/>
  <c r="AE4" i="76"/>
  <c r="BI4" i="76" s="1"/>
  <c r="AD4" i="76"/>
  <c r="AC4" i="76"/>
  <c r="AB4" i="76"/>
  <c r="AA4" i="76"/>
  <c r="A4" i="76"/>
  <c r="A5" i="76" s="1"/>
  <c r="A6" i="76" s="1"/>
  <c r="A7" i="76" s="1"/>
  <c r="A8" i="76" s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A46" i="76" s="1"/>
  <c r="A47" i="76" s="1"/>
  <c r="A48" i="76" s="1"/>
  <c r="A49" i="76" s="1"/>
  <c r="A50" i="76" s="1"/>
  <c r="A51" i="76" s="1"/>
  <c r="A52" i="76" s="1"/>
  <c r="A53" i="76" s="1"/>
  <c r="A54" i="76" s="1"/>
  <c r="A55" i="76" s="1"/>
  <c r="A56" i="76" s="1"/>
  <c r="A57" i="76" s="1"/>
  <c r="A58" i="76" s="1"/>
  <c r="A59" i="76" s="1"/>
  <c r="A60" i="76" s="1"/>
  <c r="A61" i="76" s="1"/>
  <c r="A62" i="76" s="1"/>
  <c r="A63" i="76" s="1"/>
  <c r="A64" i="76" s="1"/>
  <c r="A65" i="76" s="1"/>
  <c r="A66" i="76" s="1"/>
  <c r="A67" i="76" s="1"/>
  <c r="A68" i="76" s="1"/>
  <c r="A69" i="76" s="1"/>
  <c r="A70" i="76" s="1"/>
  <c r="A71" i="76" s="1"/>
  <c r="A72" i="76" s="1"/>
  <c r="A73" i="76" s="1"/>
  <c r="A74" i="76" s="1"/>
  <c r="A75" i="76" s="1"/>
  <c r="A76" i="76" s="1"/>
  <c r="A77" i="76" s="1"/>
  <c r="A78" i="76" s="1"/>
  <c r="A79" i="76" s="1"/>
  <c r="A80" i="76" s="1"/>
  <c r="A81" i="76" s="1"/>
  <c r="A82" i="76" s="1"/>
  <c r="A83" i="76" s="1"/>
  <c r="A84" i="76" s="1"/>
  <c r="A85" i="76" s="1"/>
  <c r="A86" i="76" s="1"/>
  <c r="A87" i="76" s="1"/>
  <c r="A88" i="76" s="1"/>
  <c r="A89" i="76" s="1"/>
  <c r="A90" i="76" s="1"/>
  <c r="A91" i="76" s="1"/>
  <c r="A92" i="76" s="1"/>
  <c r="A93" i="76" s="1"/>
  <c r="A94" i="76" s="1"/>
  <c r="A95" i="76" s="1"/>
  <c r="A96" i="76" s="1"/>
  <c r="A97" i="76" s="1"/>
  <c r="A98" i="76" s="1"/>
  <c r="A99" i="76" s="1"/>
  <c r="A100" i="76" s="1"/>
  <c r="A101" i="76" s="1"/>
  <c r="A102" i="76" s="1"/>
  <c r="A103" i="76" s="1"/>
  <c r="A104" i="76" s="1"/>
  <c r="A105" i="76" s="1"/>
  <c r="A106" i="76" s="1"/>
  <c r="A107" i="76" s="1"/>
  <c r="A108" i="76" s="1"/>
  <c r="A109" i="76" s="1"/>
  <c r="A110" i="76" s="1"/>
  <c r="A111" i="76" s="1"/>
  <c r="A112" i="76" s="1"/>
  <c r="A113" i="76" s="1"/>
  <c r="A114" i="76" s="1"/>
  <c r="A115" i="76" s="1"/>
  <c r="A116" i="76" s="1"/>
  <c r="A117" i="76" s="1"/>
  <c r="A118" i="76" s="1"/>
  <c r="A119" i="76" s="1"/>
  <c r="A120" i="76" s="1"/>
  <c r="A121" i="76" s="1"/>
  <c r="BD3" i="76"/>
  <c r="BC3" i="76"/>
  <c r="BB3" i="76"/>
  <c r="BA3" i="76"/>
  <c r="AH3" i="76"/>
  <c r="BL3" i="76" s="1"/>
  <c r="AG3" i="76"/>
  <c r="BK3" i="76" s="1"/>
  <c r="AF3" i="76"/>
  <c r="BJ3" i="76" s="1"/>
  <c r="AD3" i="76"/>
  <c r="AC3" i="76"/>
  <c r="AB3" i="76"/>
  <c r="AY27" i="76" l="1"/>
  <c r="AY104" i="76"/>
  <c r="AZ38" i="76"/>
  <c r="AI58" i="76"/>
  <c r="AK65" i="76"/>
  <c r="AI84" i="76"/>
  <c r="AJ99" i="76"/>
  <c r="AJ101" i="76"/>
  <c r="AL45" i="76"/>
  <c r="AL52" i="76"/>
  <c r="AI77" i="76"/>
  <c r="AI88" i="76"/>
  <c r="AL95" i="76"/>
  <c r="AL106" i="76"/>
  <c r="AK108" i="76"/>
  <c r="AL49" i="76"/>
  <c r="AK58" i="76"/>
  <c r="AL110" i="76"/>
  <c r="AL112" i="76"/>
  <c r="AK114" i="76"/>
  <c r="AK116" i="76"/>
  <c r="AK118" i="76"/>
  <c r="AJ3" i="76"/>
  <c r="AJ5" i="76"/>
  <c r="AI7" i="76"/>
  <c r="AI9" i="76"/>
  <c r="AI11" i="76"/>
  <c r="AL12" i="76"/>
  <c r="BG14" i="76"/>
  <c r="AK14" i="76"/>
  <c r="AJ16" i="76"/>
  <c r="AI18" i="76"/>
  <c r="AL21" i="76"/>
  <c r="AL23" i="76"/>
  <c r="AL25" i="76"/>
  <c r="AK27" i="76"/>
  <c r="AI29" i="76"/>
  <c r="AI31" i="76"/>
  <c r="AL34" i="76"/>
  <c r="AL36" i="76"/>
  <c r="AL38" i="76"/>
  <c r="AK40" i="76"/>
  <c r="AJ42" i="76"/>
  <c r="AJ44" i="76"/>
  <c r="AJ46" i="76"/>
  <c r="AI48" i="76"/>
  <c r="AL51" i="76"/>
  <c r="AI53" i="76"/>
  <c r="AI55" i="76"/>
  <c r="AL56" i="76"/>
  <c r="AL58" i="76"/>
  <c r="AK60" i="76"/>
  <c r="AX62" i="76"/>
  <c r="AJ62" i="76"/>
  <c r="AJ64" i="76"/>
  <c r="AJ66" i="76"/>
  <c r="AJ68" i="76"/>
  <c r="AI70" i="76"/>
  <c r="AI72" i="76"/>
  <c r="AI74" i="76"/>
  <c r="AL75" i="76"/>
  <c r="AK77" i="76"/>
  <c r="AJ79" i="76"/>
  <c r="AI81" i="76"/>
  <c r="AI83" i="76"/>
  <c r="AL84" i="76"/>
  <c r="AK86" i="76"/>
  <c r="AK88" i="76"/>
  <c r="AK90" i="76"/>
  <c r="AK92" i="76"/>
  <c r="AK94" i="76"/>
  <c r="AJ96" i="76"/>
  <c r="AI98" i="76"/>
  <c r="AW99" i="76"/>
  <c r="AI100" i="76"/>
  <c r="AI102" i="76"/>
  <c r="AK103" i="76"/>
  <c r="AJ105" i="76"/>
  <c r="AI107" i="76"/>
  <c r="AI109" i="76"/>
  <c r="AI111" i="76"/>
  <c r="AL114" i="76"/>
  <c r="AL116" i="76"/>
  <c r="AL118" i="76"/>
  <c r="AL120" i="76"/>
  <c r="AK15" i="76"/>
  <c r="AI21" i="76"/>
  <c r="AL26" i="76"/>
  <c r="AJ30" i="76"/>
  <c r="AK45" i="76"/>
  <c r="AJ49" i="76"/>
  <c r="AI120" i="76"/>
  <c r="AI14" i="76"/>
  <c r="AL65" i="76"/>
  <c r="AK82" i="76"/>
  <c r="AX84" i="76"/>
  <c r="AJ84" i="76"/>
  <c r="AI90" i="76"/>
  <c r="AI94" i="76"/>
  <c r="AI16" i="76"/>
  <c r="AL32" i="76"/>
  <c r="AK36" i="76"/>
  <c r="AI64" i="76"/>
  <c r="AI66" i="76"/>
  <c r="AL71" i="76"/>
  <c r="AL73" i="76"/>
  <c r="AL97" i="76"/>
  <c r="AL99" i="76"/>
  <c r="AL101" i="76"/>
  <c r="AI105" i="76"/>
  <c r="AJ9" i="76"/>
  <c r="AJ11" i="76"/>
  <c r="AL14" i="76"/>
  <c r="AJ18" i="76"/>
  <c r="AI20" i="76"/>
  <c r="AI22" i="76"/>
  <c r="AI24" i="76"/>
  <c r="AL27" i="76"/>
  <c r="AJ29" i="76"/>
  <c r="AJ31" i="76"/>
  <c r="AI33" i="76"/>
  <c r="AI35" i="76"/>
  <c r="AI37" i="76"/>
  <c r="AL40" i="76"/>
  <c r="AK42" i="76"/>
  <c r="AK44" i="76"/>
  <c r="AK46" i="76"/>
  <c r="AJ48" i="76"/>
  <c r="AI50" i="76"/>
  <c r="AJ53" i="76"/>
  <c r="AJ55" i="76"/>
  <c r="AI57" i="76"/>
  <c r="AI59" i="76"/>
  <c r="AL60" i="76"/>
  <c r="AK62" i="76"/>
  <c r="AK64" i="76"/>
  <c r="AK66" i="76"/>
  <c r="AK68" i="76"/>
  <c r="AJ70" i="76"/>
  <c r="AJ72" i="76"/>
  <c r="AJ74" i="76"/>
  <c r="AI76" i="76"/>
  <c r="AL77" i="76"/>
  <c r="AK79" i="76"/>
  <c r="AJ81" i="76"/>
  <c r="AJ83" i="76"/>
  <c r="AL86" i="76"/>
  <c r="AL88" i="76"/>
  <c r="AL90" i="76"/>
  <c r="AL92" i="76"/>
  <c r="AL94" i="76"/>
  <c r="AK96" i="76"/>
  <c r="AJ98" i="76"/>
  <c r="AJ100" i="76"/>
  <c r="AJ102" i="76"/>
  <c r="AL103" i="76"/>
  <c r="AK105" i="76"/>
  <c r="AJ107" i="76"/>
  <c r="AJ109" i="76"/>
  <c r="AJ111" i="76"/>
  <c r="AI113" i="76"/>
  <c r="AI115" i="76"/>
  <c r="AI117" i="76"/>
  <c r="AI119" i="76"/>
  <c r="AK6" i="76"/>
  <c r="AJ10" i="76"/>
  <c r="AI12" i="76"/>
  <c r="AJ17" i="76"/>
  <c r="AI34" i="76"/>
  <c r="AI36" i="76"/>
  <c r="AI51" i="76"/>
  <c r="AJ73" i="76"/>
  <c r="AL78" i="76"/>
  <c r="AK80" i="76"/>
  <c r="AJ108" i="76"/>
  <c r="AI114" i="76"/>
  <c r="AL6" i="76"/>
  <c r="AK8" i="76"/>
  <c r="AK19" i="76"/>
  <c r="AJ21" i="76"/>
  <c r="AJ23" i="76"/>
  <c r="AL28" i="76"/>
  <c r="AK30" i="76"/>
  <c r="AJ38" i="76"/>
  <c r="AL43" i="76"/>
  <c r="AJ118" i="76"/>
  <c r="AL10" i="76"/>
  <c r="AK12" i="76"/>
  <c r="AL19" i="76"/>
  <c r="AK25" i="76"/>
  <c r="AL30" i="76"/>
  <c r="AK34" i="76"/>
  <c r="AI44" i="76"/>
  <c r="AI46" i="76"/>
  <c r="AK56" i="76"/>
  <c r="AI68" i="76"/>
  <c r="AL82" i="76"/>
  <c r="AK84" i="76"/>
  <c r="AJ88" i="76"/>
  <c r="AJ90" i="76"/>
  <c r="AJ92" i="76"/>
  <c r="AK7" i="76"/>
  <c r="AK11" i="76"/>
  <c r="AI13" i="76"/>
  <c r="AL16" i="76"/>
  <c r="AK18" i="76"/>
  <c r="AJ20" i="76"/>
  <c r="AJ22" i="76"/>
  <c r="AJ24" i="76"/>
  <c r="AI26" i="76"/>
  <c r="AK29" i="76"/>
  <c r="AK31" i="76"/>
  <c r="AJ33" i="76"/>
  <c r="AJ35" i="76"/>
  <c r="AJ37" i="76"/>
  <c r="AI39" i="76"/>
  <c r="AI41" i="76"/>
  <c r="AL42" i="76"/>
  <c r="AL44" i="76"/>
  <c r="AL46" i="76"/>
  <c r="AK48" i="76"/>
  <c r="AJ50" i="76"/>
  <c r="BH51" i="76"/>
  <c r="AK53" i="76"/>
  <c r="AK55" i="76"/>
  <c r="AJ57" i="76"/>
  <c r="AJ59" i="76"/>
  <c r="AI61" i="76"/>
  <c r="AL62" i="76"/>
  <c r="AL64" i="76"/>
  <c r="AL66" i="76"/>
  <c r="AL68" i="76"/>
  <c r="AK70" i="76"/>
  <c r="AK72" i="76"/>
  <c r="AK74" i="76"/>
  <c r="AJ76" i="76"/>
  <c r="AI78" i="76"/>
  <c r="AL79" i="76"/>
  <c r="AK81" i="76"/>
  <c r="AK83" i="76"/>
  <c r="AI85" i="76"/>
  <c r="AI87" i="76"/>
  <c r="AI89" i="76"/>
  <c r="AI91" i="76"/>
  <c r="AI93" i="76"/>
  <c r="BG94" i="76"/>
  <c r="AL96" i="76"/>
  <c r="AK98" i="76"/>
  <c r="AK100" i="76"/>
  <c r="AK102" i="76"/>
  <c r="AI104" i="76"/>
  <c r="AL105" i="76"/>
  <c r="AK107" i="76"/>
  <c r="AK109" i="76"/>
  <c r="AK111" i="76"/>
  <c r="AJ113" i="76"/>
  <c r="AJ115" i="76"/>
  <c r="BF117" i="76"/>
  <c r="AJ117" i="76"/>
  <c r="AJ119" i="76"/>
  <c r="AK4" i="76"/>
  <c r="AO4" i="76" s="1"/>
  <c r="AJ8" i="76"/>
  <c r="AL13" i="76"/>
  <c r="AI25" i="76"/>
  <c r="AL39" i="76"/>
  <c r="AL41" i="76"/>
  <c r="AK43" i="76"/>
  <c r="AK52" i="76"/>
  <c r="AJ54" i="76"/>
  <c r="AI56" i="76"/>
  <c r="AL61" i="76"/>
  <c r="AK63" i="76"/>
  <c r="AJ69" i="76"/>
  <c r="AJ71" i="76"/>
  <c r="AJ82" i="76"/>
  <c r="AL85" i="76"/>
  <c r="AL87" i="76"/>
  <c r="AL89" i="76"/>
  <c r="AL91" i="76"/>
  <c r="AL93" i="76"/>
  <c r="AL104" i="76"/>
  <c r="AJ110" i="76"/>
  <c r="AK10" i="76"/>
  <c r="AJ12" i="76"/>
  <c r="AL15" i="76"/>
  <c r="AI27" i="76"/>
  <c r="AK32" i="76"/>
  <c r="AJ34" i="76"/>
  <c r="AJ36" i="76"/>
  <c r="AI40" i="76"/>
  <c r="AK49" i="76"/>
  <c r="AJ51" i="76"/>
  <c r="AL63" i="76"/>
  <c r="AK69" i="76"/>
  <c r="AJ75" i="76"/>
  <c r="AK97" i="76"/>
  <c r="AK99" i="76"/>
  <c r="AK101" i="76"/>
  <c r="AK112" i="76"/>
  <c r="AJ114" i="76"/>
  <c r="AJ116" i="76"/>
  <c r="AJ120" i="76"/>
  <c r="AI5" i="76"/>
  <c r="AL8" i="76"/>
  <c r="AL17" i="76"/>
  <c r="AK23" i="76"/>
  <c r="BH28" i="76"/>
  <c r="AJ40" i="76"/>
  <c r="AI42" i="76"/>
  <c r="AK51" i="76"/>
  <c r="AL54" i="76"/>
  <c r="AJ60" i="76"/>
  <c r="AL5" i="76"/>
  <c r="AI4" i="76"/>
  <c r="AI6" i="76"/>
  <c r="AL7" i="76"/>
  <c r="AL9" i="76"/>
  <c r="AL11" i="76"/>
  <c r="AJ13" i="76"/>
  <c r="AI15" i="76"/>
  <c r="AL18" i="76"/>
  <c r="AK20" i="76"/>
  <c r="AK22" i="76"/>
  <c r="AK24" i="76"/>
  <c r="AJ26" i="76"/>
  <c r="AI28" i="76"/>
  <c r="AL29" i="76"/>
  <c r="AL31" i="76"/>
  <c r="AK33" i="76"/>
  <c r="AK35" i="76"/>
  <c r="AK37" i="76"/>
  <c r="AJ39" i="76"/>
  <c r="AJ41" i="76"/>
  <c r="AI43" i="76"/>
  <c r="AI45" i="76"/>
  <c r="AI47" i="76"/>
  <c r="AL48" i="76"/>
  <c r="AK50" i="76"/>
  <c r="AI52" i="76"/>
  <c r="AL53" i="76"/>
  <c r="AL55" i="76"/>
  <c r="AK57" i="76"/>
  <c r="AK59" i="76"/>
  <c r="AJ61" i="76"/>
  <c r="AI63" i="76"/>
  <c r="AI65" i="76"/>
  <c r="AI67" i="76"/>
  <c r="AL70" i="76"/>
  <c r="AL72" i="76"/>
  <c r="AZ73" i="76"/>
  <c r="AL74" i="76"/>
  <c r="AK76" i="76"/>
  <c r="AJ78" i="76"/>
  <c r="AI80" i="76"/>
  <c r="AL81" i="76"/>
  <c r="AL83" i="76"/>
  <c r="AJ85" i="76"/>
  <c r="AJ87" i="76"/>
  <c r="AJ89" i="76"/>
  <c r="AJ91" i="76"/>
  <c r="AJ93" i="76"/>
  <c r="AI95" i="76"/>
  <c r="BG96" i="76"/>
  <c r="AL98" i="76"/>
  <c r="AL100" i="76"/>
  <c r="AL102" i="76"/>
  <c r="AJ104" i="76"/>
  <c r="AI106" i="76"/>
  <c r="AL107" i="76"/>
  <c r="AL109" i="76"/>
  <c r="AL111" i="76"/>
  <c r="AK113" i="76"/>
  <c r="AK115" i="76"/>
  <c r="AK117" i="76"/>
  <c r="AK119" i="76"/>
  <c r="AJ19" i="76"/>
  <c r="AI23" i="76"/>
  <c r="AK28" i="76"/>
  <c r="AJ32" i="76"/>
  <c r="AI38" i="76"/>
  <c r="AK47" i="76"/>
  <c r="AK67" i="76"/>
  <c r="AI75" i="76"/>
  <c r="AK95" i="76"/>
  <c r="AJ97" i="76"/>
  <c r="AK106" i="76"/>
  <c r="AJ112" i="76"/>
  <c r="AI116" i="76"/>
  <c r="AI118" i="76"/>
  <c r="AL4" i="76"/>
  <c r="AP4" i="76" s="1"/>
  <c r="AK17" i="76"/>
  <c r="AJ25" i="76"/>
  <c r="AL47" i="76"/>
  <c r="AK54" i="76"/>
  <c r="AJ56" i="76"/>
  <c r="AJ58" i="76"/>
  <c r="AI60" i="76"/>
  <c r="AL67" i="76"/>
  <c r="AK71" i="76"/>
  <c r="AK73" i="76"/>
  <c r="AL80" i="76"/>
  <c r="AI86" i="76"/>
  <c r="AI92" i="76"/>
  <c r="AI103" i="76"/>
  <c r="AK110" i="76"/>
  <c r="AJ14" i="76"/>
  <c r="AK21" i="76"/>
  <c r="AJ27" i="76"/>
  <c r="AK38" i="76"/>
  <c r="AI62" i="76"/>
  <c r="AL69" i="76"/>
  <c r="AK75" i="76"/>
  <c r="AJ77" i="76"/>
  <c r="AI79" i="76"/>
  <c r="BG80" i="76"/>
  <c r="AJ86" i="76"/>
  <c r="AJ94" i="76"/>
  <c r="AI96" i="76"/>
  <c r="AJ103" i="76"/>
  <c r="AL108" i="76"/>
  <c r="AK120" i="76"/>
  <c r="AK3" i="76"/>
  <c r="AK5" i="76"/>
  <c r="AJ7" i="76"/>
  <c r="AK16" i="76"/>
  <c r="AL3" i="76"/>
  <c r="AK9" i="76"/>
  <c r="AJ4" i="76"/>
  <c r="AN4" i="76" s="1"/>
  <c r="AJ6" i="76"/>
  <c r="AI8" i="76"/>
  <c r="AI10" i="76"/>
  <c r="BE11" i="76"/>
  <c r="AK13" i="76"/>
  <c r="AJ15" i="76"/>
  <c r="AI17" i="76"/>
  <c r="AI19" i="76"/>
  <c r="AY19" i="76"/>
  <c r="AL20" i="76"/>
  <c r="AL22" i="76"/>
  <c r="AL24" i="76"/>
  <c r="AK26" i="76"/>
  <c r="AJ28" i="76"/>
  <c r="AI30" i="76"/>
  <c r="AI32" i="76"/>
  <c r="AL33" i="76"/>
  <c r="AL35" i="76"/>
  <c r="AL37" i="76"/>
  <c r="AK39" i="76"/>
  <c r="AK41" i="76"/>
  <c r="AJ43" i="76"/>
  <c r="AJ45" i="76"/>
  <c r="AJ47" i="76"/>
  <c r="AI49" i="76"/>
  <c r="AL50" i="76"/>
  <c r="AX52" i="76"/>
  <c r="AJ52" i="76"/>
  <c r="AI54" i="76"/>
  <c r="AL57" i="76"/>
  <c r="AL59" i="76"/>
  <c r="AK61" i="76"/>
  <c r="AJ63" i="76"/>
  <c r="AJ65" i="76"/>
  <c r="AJ67" i="76"/>
  <c r="AI69" i="76"/>
  <c r="AI71" i="76"/>
  <c r="AI73" i="76"/>
  <c r="BG74" i="76"/>
  <c r="AL76" i="76"/>
  <c r="AK78" i="76"/>
  <c r="AJ80" i="76"/>
  <c r="AI82" i="76"/>
  <c r="BH83" i="76"/>
  <c r="AK85" i="76"/>
  <c r="AK87" i="76"/>
  <c r="AK89" i="76"/>
  <c r="AK91" i="76"/>
  <c r="AY92" i="76"/>
  <c r="AK93" i="76"/>
  <c r="AJ95" i="76"/>
  <c r="AI97" i="76"/>
  <c r="AI99" i="76"/>
  <c r="AI101" i="76"/>
  <c r="BF102" i="76"/>
  <c r="AK104" i="76"/>
  <c r="AJ106" i="76"/>
  <c r="AI108" i="76"/>
  <c r="AI110" i="76"/>
  <c r="AI112" i="76"/>
  <c r="AX112" i="76"/>
  <c r="AL113" i="76"/>
  <c r="AL115" i="76"/>
  <c r="AL117" i="76"/>
  <c r="AL119" i="76"/>
  <c r="BH23" i="76"/>
  <c r="BG25" i="76"/>
  <c r="BF27" i="76"/>
  <c r="BE34" i="76"/>
  <c r="BE38" i="76"/>
  <c r="BG39" i="76"/>
  <c r="BG41" i="76"/>
  <c r="BG46" i="76"/>
  <c r="BF48" i="76"/>
  <c r="BG51" i="76"/>
  <c r="BE54" i="76"/>
  <c r="BF59" i="76"/>
  <c r="BF66" i="76"/>
  <c r="BF68" i="76"/>
  <c r="BH69" i="76"/>
  <c r="BG71" i="76"/>
  <c r="AW75" i="76"/>
  <c r="BG78" i="76"/>
  <c r="BF80" i="76"/>
  <c r="BF85" i="76"/>
  <c r="BE87" i="76"/>
  <c r="BE89" i="76"/>
  <c r="BE91" i="76"/>
  <c r="BE93" i="76"/>
  <c r="AY96" i="76"/>
  <c r="BF98" i="76"/>
  <c r="BF100" i="76"/>
  <c r="BF103" i="76"/>
  <c r="AY110" i="76"/>
  <c r="BG112" i="76"/>
  <c r="BH113" i="76"/>
  <c r="BH115" i="76"/>
  <c r="BH117" i="76"/>
  <c r="BG119" i="76"/>
  <c r="BE4" i="76"/>
  <c r="BG5" i="76"/>
  <c r="BH8" i="76"/>
  <c r="AZ9" i="76"/>
  <c r="AY10" i="76"/>
  <c r="BF12" i="76"/>
  <c r="BG13" i="76"/>
  <c r="BH16" i="76"/>
  <c r="AY18" i="76"/>
  <c r="BF20" i="76"/>
  <c r="BF22" i="76"/>
  <c r="AW24" i="76"/>
  <c r="BH25" i="76"/>
  <c r="BG27" i="76"/>
  <c r="BG30" i="76"/>
  <c r="BF36" i="76"/>
  <c r="BG43" i="76"/>
  <c r="AZ46" i="76"/>
  <c r="BE56" i="76"/>
  <c r="BH57" i="76"/>
  <c r="AY59" i="76"/>
  <c r="BF61" i="76"/>
  <c r="BE70" i="76"/>
  <c r="BH71" i="76"/>
  <c r="BH73" i="76"/>
  <c r="BF75" i="76"/>
  <c r="BE77" i="76"/>
  <c r="BF82" i="76"/>
  <c r="BE84" i="76"/>
  <c r="BF89" i="76"/>
  <c r="BF91" i="76"/>
  <c r="AX93" i="76"/>
  <c r="BH94" i="76"/>
  <c r="BH96" i="76"/>
  <c r="BG98" i="76"/>
  <c r="BG100" i="76"/>
  <c r="AX101" i="76"/>
  <c r="BG103" i="76"/>
  <c r="BF105" i="76"/>
  <c r="AW107" i="76"/>
  <c r="AZ110" i="76"/>
  <c r="AZ112" i="76"/>
  <c r="BE116" i="76"/>
  <c r="BH119" i="76"/>
  <c r="BF13" i="76"/>
  <c r="BH13" i="76"/>
  <c r="BH18" i="76"/>
  <c r="BH32" i="76"/>
  <c r="BH64" i="76"/>
  <c r="BG91" i="76"/>
  <c r="BE95" i="76"/>
  <c r="AZ98" i="76"/>
  <c r="BH100" i="76"/>
  <c r="BH103" i="76"/>
  <c r="BF107" i="76"/>
  <c r="BE109" i="76"/>
  <c r="BE111" i="76"/>
  <c r="BF114" i="76"/>
  <c r="BF116" i="76"/>
  <c r="BE120" i="76"/>
  <c r="BG4" i="76"/>
  <c r="BH5" i="76"/>
  <c r="AY7" i="76"/>
  <c r="BF9" i="76"/>
  <c r="AW11" i="76"/>
  <c r="BF15" i="76"/>
  <c r="BE17" i="76"/>
  <c r="AW19" i="76"/>
  <c r="BH20" i="76"/>
  <c r="BH22" i="76"/>
  <c r="BG24" i="76"/>
  <c r="BE26" i="76"/>
  <c r="BG29" i="76"/>
  <c r="BF31" i="76"/>
  <c r="AZ36" i="76"/>
  <c r="AX40" i="76"/>
  <c r="BH43" i="76"/>
  <c r="BG45" i="76"/>
  <c r="AX47" i="76"/>
  <c r="AX53" i="76"/>
  <c r="AZ54" i="76"/>
  <c r="BH61" i="76"/>
  <c r="AW63" i="76"/>
  <c r="BH68" i="76"/>
  <c r="BG70" i="76"/>
  <c r="BF72" i="76"/>
  <c r="BF74" i="76"/>
  <c r="BH75" i="76"/>
  <c r="BE79" i="76"/>
  <c r="AZ82" i="76"/>
  <c r="AY84" i="76"/>
  <c r="BH87" i="76"/>
  <c r="BH89" i="76"/>
  <c r="BH91" i="76"/>
  <c r="BH93" i="76"/>
  <c r="BF95" i="76"/>
  <c r="BE99" i="76"/>
  <c r="AZ102" i="76"/>
  <c r="AW104" i="76"/>
  <c r="BH105" i="76"/>
  <c r="BG107" i="76"/>
  <c r="BF109" i="76"/>
  <c r="BF111" i="76"/>
  <c r="BF112" i="76"/>
  <c r="BG116" i="76"/>
  <c r="BF118" i="76"/>
  <c r="BF10" i="76"/>
  <c r="BF18" i="76"/>
  <c r="BG47" i="76"/>
  <c r="BG50" i="76"/>
  <c r="BF53" i="76"/>
  <c r="BE55" i="76"/>
  <c r="BF58" i="76"/>
  <c r="BE60" i="76"/>
  <c r="BF65" i="76"/>
  <c r="BF67" i="76"/>
  <c r="AW76" i="76"/>
  <c r="BH77" i="76"/>
  <c r="BF79" i="76"/>
  <c r="AW81" i="76"/>
  <c r="BE83" i="76"/>
  <c r="BH84" i="76"/>
  <c r="BF86" i="76"/>
  <c r="BE88" i="76"/>
  <c r="AW92" i="76"/>
  <c r="BG95" i="76"/>
  <c r="BF99" i="76"/>
  <c r="BE101" i="76"/>
  <c r="BH107" i="76"/>
  <c r="BH112" i="76"/>
  <c r="BH114" i="76"/>
  <c r="AZ116" i="76"/>
  <c r="BG118" i="76"/>
  <c r="BG120" i="76"/>
  <c r="BG8" i="76"/>
  <c r="BG16" i="76"/>
  <c r="BF32" i="76"/>
  <c r="BH10" i="76"/>
  <c r="AW15" i="76"/>
  <c r="BF24" i="76"/>
  <c r="BH27" i="76"/>
  <c r="BG34" i="76"/>
  <c r="BE40" i="76"/>
  <c r="BH48" i="76"/>
  <c r="BF56" i="76"/>
  <c r="BG82" i="76"/>
  <c r="BF84" i="76"/>
  <c r="BH85" i="76"/>
  <c r="BE6" i="76"/>
  <c r="BH7" i="76"/>
  <c r="BG9" i="76"/>
  <c r="BF11" i="76"/>
  <c r="BE12" i="76"/>
  <c r="BE14" i="76"/>
  <c r="AY15" i="76"/>
  <c r="BF17" i="76"/>
  <c r="BF19" i="76"/>
  <c r="BE21" i="76"/>
  <c r="BG22" i="76"/>
  <c r="BH24" i="76"/>
  <c r="BF26" i="76"/>
  <c r="BE28" i="76"/>
  <c r="BG31" i="76"/>
  <c r="BE35" i="76"/>
  <c r="BE44" i="76"/>
  <c r="BH4" i="76"/>
  <c r="BF6" i="76"/>
  <c r="BE7" i="76"/>
  <c r="BH9" i="76"/>
  <c r="BG11" i="76"/>
  <c r="BH12" i="76"/>
  <c r="BH15" i="76"/>
  <c r="BG17" i="76"/>
  <c r="BG19" i="76"/>
  <c r="BF21" i="76"/>
  <c r="AX22" i="76"/>
  <c r="AW23" i="76"/>
  <c r="AY26" i="76"/>
  <c r="BF28" i="76"/>
  <c r="BH31" i="76"/>
  <c r="BF33" i="76"/>
  <c r="BF35" i="76"/>
  <c r="BH38" i="76"/>
  <c r="AZ40" i="76"/>
  <c r="BG42" i="76"/>
  <c r="BF44" i="76"/>
  <c r="AZ47" i="76"/>
  <c r="BE52" i="76"/>
  <c r="AY53" i="76"/>
  <c r="BF55" i="76"/>
  <c r="BH56" i="76"/>
  <c r="AY58" i="76"/>
  <c r="AX61" i="76"/>
  <c r="AY63" i="76"/>
  <c r="BG67" i="76"/>
  <c r="BH70" i="76"/>
  <c r="BH72" i="76"/>
  <c r="AX76" i="76"/>
  <c r="BF77" i="76"/>
  <c r="BG79" i="76"/>
  <c r="BF83" i="76"/>
  <c r="BG86" i="76"/>
  <c r="BF90" i="76"/>
  <c r="BF94" i="76"/>
  <c r="BG99" i="76"/>
  <c r="BF101" i="76"/>
  <c r="BG102" i="76"/>
  <c r="BG104" i="76"/>
  <c r="BE108" i="76"/>
  <c r="BH109" i="76"/>
  <c r="AZ111" i="76"/>
  <c r="BE113" i="76"/>
  <c r="BE115" i="76"/>
  <c r="BH120" i="76"/>
  <c r="BF5" i="76"/>
  <c r="BE20" i="76"/>
  <c r="BE9" i="76"/>
  <c r="AX45" i="76"/>
  <c r="BE47" i="76"/>
  <c r="BG54" i="76"/>
  <c r="BF70" i="76"/>
  <c r="BE72" i="76"/>
  <c r="BH80" i="76"/>
  <c r="BF3" i="76"/>
  <c r="AZ5" i="76"/>
  <c r="AW8" i="76"/>
  <c r="BH11" i="76"/>
  <c r="AW16" i="76"/>
  <c r="BH17" i="76"/>
  <c r="BF23" i="76"/>
  <c r="BG28" i="76"/>
  <c r="BE31" i="76"/>
  <c r="BG35" i="76"/>
  <c r="AY37" i="76"/>
  <c r="BE39" i="76"/>
  <c r="AZ42" i="76"/>
  <c r="AW46" i="76"/>
  <c r="BE51" i="76"/>
  <c r="BF52" i="76"/>
  <c r="BG55" i="76"/>
  <c r="BF62" i="76"/>
  <c r="AZ63" i="76"/>
  <c r="AZ67" i="76"/>
  <c r="AZ68" i="76"/>
  <c r="BF69" i="76"/>
  <c r="BE73" i="76"/>
  <c r="BH79" i="76"/>
  <c r="BG83" i="76"/>
  <c r="BG88" i="76"/>
  <c r="BG90" i="76"/>
  <c r="BG92" i="76"/>
  <c r="BE96" i="76"/>
  <c r="BH97" i="76"/>
  <c r="BH99" i="76"/>
  <c r="AY102" i="76"/>
  <c r="BH104" i="76"/>
  <c r="BF108" i="76"/>
  <c r="AW111" i="76"/>
  <c r="BE112" i="76"/>
  <c r="BF113" i="76"/>
  <c r="BF115" i="76"/>
  <c r="BE119" i="76"/>
  <c r="BH3" i="76"/>
  <c r="BE22" i="76"/>
  <c r="AZ30" i="76"/>
  <c r="BF7" i="76"/>
  <c r="BG12" i="76"/>
  <c r="BG20" i="76"/>
  <c r="BG38" i="76"/>
  <c r="BH62" i="76"/>
  <c r="BG6" i="76"/>
  <c r="BH19" i="76"/>
  <c r="BG21" i="76"/>
  <c r="BE25" i="76"/>
  <c r="BH26" i="76"/>
  <c r="BG3" i="76"/>
  <c r="BE5" i="76"/>
  <c r="BH6" i="76"/>
  <c r="BF8" i="76"/>
  <c r="BE10" i="76"/>
  <c r="BE13" i="76"/>
  <c r="BH14" i="76"/>
  <c r="BF16" i="76"/>
  <c r="BE18" i="76"/>
  <c r="BH21" i="76"/>
  <c r="AY23" i="76"/>
  <c r="BF25" i="76"/>
  <c r="AW27" i="76"/>
  <c r="BE32" i="76"/>
  <c r="BH35" i="76"/>
  <c r="BF39" i="76"/>
  <c r="BE43" i="76"/>
  <c r="BE48" i="76"/>
  <c r="BF51" i="76"/>
  <c r="BH55" i="76"/>
  <c r="BF57" i="76"/>
  <c r="BE59" i="76"/>
  <c r="BH60" i="76"/>
  <c r="BE64" i="76"/>
  <c r="AW68" i="76"/>
  <c r="BG69" i="76"/>
  <c r="BF71" i="76"/>
  <c r="BH76" i="76"/>
  <c r="BF78" i="76"/>
  <c r="BE80" i="76"/>
  <c r="BH81" i="76"/>
  <c r="AZ83" i="76"/>
  <c r="BE85" i="76"/>
  <c r="BH90" i="76"/>
  <c r="BH92" i="76"/>
  <c r="BF96" i="76"/>
  <c r="BE100" i="76"/>
  <c r="AX100" i="76"/>
  <c r="BH101" i="76"/>
  <c r="AW103" i="76"/>
  <c r="AZ106" i="76"/>
  <c r="BF110" i="76"/>
  <c r="BG115" i="76"/>
  <c r="AY11" i="76"/>
  <c r="AY45" i="76"/>
  <c r="BH67" i="76"/>
  <c r="BE27" i="76"/>
  <c r="AX6" i="76"/>
  <c r="AW12" i="76"/>
  <c r="BE15" i="76"/>
  <c r="BE23" i="76"/>
  <c r="BH42" i="76"/>
  <c r="AX57" i="76"/>
  <c r="AX106" i="76"/>
  <c r="BH116" i="76"/>
  <c r="AW7" i="76"/>
  <c r="AX14" i="76"/>
  <c r="BH30" i="76"/>
  <c r="BF40" i="76"/>
  <c r="AX43" i="76"/>
  <c r="BE46" i="76"/>
  <c r="AW50" i="76"/>
  <c r="AZ52" i="76"/>
  <c r="BH54" i="76"/>
  <c r="AY57" i="76"/>
  <c r="AZ62" i="76"/>
  <c r="BG63" i="76"/>
  <c r="AW71" i="76"/>
  <c r="AW73" i="76"/>
  <c r="AW79" i="76"/>
  <c r="AX87" i="76"/>
  <c r="AW97" i="76"/>
  <c r="BG110" i="76"/>
  <c r="AZ118" i="76"/>
  <c r="AZ39" i="76"/>
  <c r="AZ44" i="76"/>
  <c r="AZ48" i="76"/>
  <c r="AW59" i="76"/>
  <c r="AZ60" i="76"/>
  <c r="AW67" i="76"/>
  <c r="AZ76" i="76"/>
  <c r="AZ78" i="76"/>
  <c r="BE81" i="76"/>
  <c r="AX85" i="76"/>
  <c r="AW95" i="76"/>
  <c r="AX97" i="76"/>
  <c r="AX110" i="76"/>
  <c r="AY116" i="76"/>
  <c r="AX69" i="76"/>
  <c r="BG84" i="76"/>
  <c r="AZ94" i="76"/>
  <c r="BE107" i="76"/>
  <c r="AX4" i="76"/>
  <c r="AZ17" i="76"/>
  <c r="AZ25" i="76"/>
  <c r="AW30" i="76"/>
  <c r="AW31" i="76"/>
  <c r="AW36" i="76"/>
  <c r="AX36" i="76"/>
  <c r="AX37" i="76"/>
  <c r="AX41" i="76"/>
  <c r="AY49" i="76"/>
  <c r="AZ50" i="76"/>
  <c r="AX55" i="76"/>
  <c r="AX60" i="76"/>
  <c r="AZ65" i="76"/>
  <c r="AZ72" i="76"/>
  <c r="AW83" i="76"/>
  <c r="BE103" i="76"/>
  <c r="AZ105" i="76"/>
  <c r="AY106" i="76"/>
  <c r="AY111" i="76"/>
  <c r="AY114" i="76"/>
  <c r="AY118" i="76"/>
  <c r="AW4" i="76"/>
  <c r="BE19" i="76"/>
  <c r="AZ90" i="76"/>
  <c r="AW54" i="76"/>
  <c r="AW72" i="76"/>
  <c r="AZ13" i="76"/>
  <c r="AW20" i="76"/>
  <c r="AZ21" i="76"/>
  <c r="AW28" i="76"/>
  <c r="AZ32" i="76"/>
  <c r="BL32" i="76"/>
  <c r="AY41" i="76"/>
  <c r="AW42" i="76"/>
  <c r="BF43" i="76"/>
  <c r="BG49" i="76"/>
  <c r="BH52" i="76"/>
  <c r="AZ57" i="76"/>
  <c r="AW60" i="76"/>
  <c r="BL60" i="76"/>
  <c r="AZ61" i="76"/>
  <c r="BL61" i="76"/>
  <c r="BE63" i="76"/>
  <c r="BE68" i="76"/>
  <c r="AX72" i="76"/>
  <c r="AX73" i="76"/>
  <c r="AX74" i="76"/>
  <c r="BL76" i="76"/>
  <c r="AW87" i="76"/>
  <c r="AX88" i="76"/>
  <c r="AY88" i="76"/>
  <c r="AW91" i="76"/>
  <c r="AZ95" i="76"/>
  <c r="BJ101" i="76"/>
  <c r="AY112" i="76"/>
  <c r="AX117" i="76"/>
  <c r="AY120" i="76"/>
  <c r="AY6" i="76"/>
  <c r="BG7" i="76"/>
  <c r="BE8" i="76"/>
  <c r="AY14" i="76"/>
  <c r="BG15" i="76"/>
  <c r="BE16" i="76"/>
  <c r="AY22" i="76"/>
  <c r="BG23" i="76"/>
  <c r="BE24" i="76"/>
  <c r="AY30" i="76"/>
  <c r="AX32" i="76"/>
  <c r="AX39" i="76"/>
  <c r="BH39" i="76"/>
  <c r="BH46" i="76"/>
  <c r="AX49" i="76"/>
  <c r="AW77" i="76"/>
  <c r="AY78" i="76"/>
  <c r="AY80" i="76"/>
  <c r="AW85" i="76"/>
  <c r="BH98" i="76"/>
  <c r="AW101" i="76"/>
  <c r="AW119" i="76"/>
  <c r="AX10" i="76"/>
  <c r="AX18" i="76"/>
  <c r="AX26" i="76"/>
  <c r="AX29" i="76"/>
  <c r="BH36" i="76"/>
  <c r="BF37" i="76"/>
  <c r="BH44" i="76"/>
  <c r="BE50" i="76"/>
  <c r="AZ58" i="76"/>
  <c r="BH63" i="76"/>
  <c r="AY66" i="76"/>
  <c r="AX70" i="76"/>
  <c r="AX77" i="76"/>
  <c r="AY87" i="76"/>
  <c r="BE97" i="76"/>
  <c r="BK102" i="76"/>
  <c r="BG106" i="76"/>
  <c r="BH110" i="76"/>
  <c r="AX114" i="76"/>
  <c r="AZ117" i="76"/>
  <c r="BL117" i="76"/>
  <c r="AX119" i="76"/>
  <c r="BG10" i="76"/>
  <c r="BG18" i="76"/>
  <c r="BG26" i="76"/>
  <c r="AY29" i="76"/>
  <c r="AY33" i="76"/>
  <c r="AZ34" i="76"/>
  <c r="BG37" i="76"/>
  <c r="BH40" i="76"/>
  <c r="BF41" i="76"/>
  <c r="BG53" i="76"/>
  <c r="AZ55" i="76"/>
  <c r="BG58" i="76"/>
  <c r="AY62" i="76"/>
  <c r="AX65" i="76"/>
  <c r="AZ66" i="76"/>
  <c r="AX68" i="76"/>
  <c r="AZ69" i="76"/>
  <c r="BJ69" i="76"/>
  <c r="AZ74" i="76"/>
  <c r="AY75" i="76"/>
  <c r="AZ79" i="76"/>
  <c r="AX81" i="76"/>
  <c r="AY94" i="76"/>
  <c r="AZ96" i="76"/>
  <c r="AX99" i="76"/>
  <c r="BH106" i="76"/>
  <c r="AW108" i="76"/>
  <c r="AW109" i="76"/>
  <c r="BH111" i="76"/>
  <c r="AZ113" i="76"/>
  <c r="AW115" i="76"/>
  <c r="AW117" i="76"/>
  <c r="BF45" i="76"/>
  <c r="BH47" i="76"/>
  <c r="BH50" i="76"/>
  <c r="BH65" i="76"/>
  <c r="BE71" i="76"/>
  <c r="BK92" i="76"/>
  <c r="AX108" i="76"/>
  <c r="BJ110" i="76"/>
  <c r="BI111" i="76"/>
  <c r="AW113" i="76"/>
  <c r="BG114" i="76"/>
  <c r="BI115" i="76"/>
  <c r="AX67" i="76"/>
  <c r="BF29" i="76"/>
  <c r="BE42" i="76"/>
  <c r="AZ56" i="76"/>
  <c r="AW64" i="76"/>
  <c r="BJ65" i="76"/>
  <c r="BE67" i="76"/>
  <c r="AZ70" i="76"/>
  <c r="BF73" i="76"/>
  <c r="BG75" i="76"/>
  <c r="AZ86" i="76"/>
  <c r="AW93" i="76"/>
  <c r="AX103" i="76"/>
  <c r="AW105" i="76"/>
  <c r="AY108" i="76"/>
  <c r="AW88" i="76"/>
  <c r="AZ64" i="76"/>
  <c r="BL72" i="76"/>
  <c r="BH82" i="76"/>
  <c r="BF87" i="76"/>
  <c r="AX89" i="76"/>
  <c r="AY90" i="76"/>
  <c r="AZ114" i="76"/>
  <c r="BF4" i="76"/>
  <c r="BL5" i="76"/>
  <c r="BJ6" i="76"/>
  <c r="AZ7" i="76"/>
  <c r="AX8" i="76"/>
  <c r="BL9" i="76"/>
  <c r="BJ10" i="76"/>
  <c r="AZ11" i="76"/>
  <c r="AX12" i="76"/>
  <c r="BL13" i="76"/>
  <c r="BJ14" i="76"/>
  <c r="AZ15" i="76"/>
  <c r="AX16" i="76"/>
  <c r="BL17" i="76"/>
  <c r="BJ18" i="76"/>
  <c r="AZ19" i="76"/>
  <c r="AX20" i="76"/>
  <c r="BL21" i="76"/>
  <c r="BJ22" i="76"/>
  <c r="AZ23" i="76"/>
  <c r="AX24" i="76"/>
  <c r="BL25" i="76"/>
  <c r="BJ26" i="76"/>
  <c r="AZ27" i="76"/>
  <c r="AX28" i="76"/>
  <c r="BE29" i="76"/>
  <c r="AW29" i="76"/>
  <c r="BF34" i="76"/>
  <c r="AX34" i="76"/>
  <c r="AW34" i="76"/>
  <c r="AY35" i="76"/>
  <c r="AX44" i="76"/>
  <c r="BF46" i="76"/>
  <c r="AX46" i="76"/>
  <c r="BG48" i="76"/>
  <c r="AY48" i="76"/>
  <c r="AY3" i="76"/>
  <c r="AZ3" i="76"/>
  <c r="AY4" i="76"/>
  <c r="AW5" i="76"/>
  <c r="AY8" i="76"/>
  <c r="AW9" i="76"/>
  <c r="AY12" i="76"/>
  <c r="AW13" i="76"/>
  <c r="AY16" i="76"/>
  <c r="AW17" i="76"/>
  <c r="AY20" i="76"/>
  <c r="AW21" i="76"/>
  <c r="AY24" i="76"/>
  <c r="AW25" i="76"/>
  <c r="AY28" i="76"/>
  <c r="AY34" i="76"/>
  <c r="BH34" i="76"/>
  <c r="AZ35" i="76"/>
  <c r="BF42" i="76"/>
  <c r="AX42" i="76"/>
  <c r="AW43" i="76"/>
  <c r="BI43" i="76"/>
  <c r="BE49" i="76"/>
  <c r="AW49" i="76"/>
  <c r="AY54" i="76"/>
  <c r="BK54" i="76"/>
  <c r="BH59" i="76"/>
  <c r="AZ59" i="76"/>
  <c r="AZ4" i="76"/>
  <c r="AX5" i="76"/>
  <c r="AZ8" i="76"/>
  <c r="AX9" i="76"/>
  <c r="AZ12" i="76"/>
  <c r="AX13" i="76"/>
  <c r="AZ16" i="76"/>
  <c r="AX17" i="76"/>
  <c r="AZ20" i="76"/>
  <c r="AX21" i="76"/>
  <c r="AZ24" i="76"/>
  <c r="AX25" i="76"/>
  <c r="AZ28" i="76"/>
  <c r="BE33" i="76"/>
  <c r="AW33" i="76"/>
  <c r="BG33" i="76"/>
  <c r="BF38" i="76"/>
  <c r="AX38" i="76"/>
  <c r="AW38" i="76"/>
  <c r="AW39" i="76"/>
  <c r="BI39" i="76"/>
  <c r="BG44" i="76"/>
  <c r="AY44" i="76"/>
  <c r="AZ51" i="76"/>
  <c r="BH53" i="76"/>
  <c r="AZ53" i="76"/>
  <c r="AX56" i="76"/>
  <c r="AY5" i="76"/>
  <c r="AW6" i="76"/>
  <c r="AY9" i="76"/>
  <c r="AW10" i="76"/>
  <c r="AY13" i="76"/>
  <c r="AW14" i="76"/>
  <c r="AY17" i="76"/>
  <c r="AW18" i="76"/>
  <c r="AY21" i="76"/>
  <c r="AW22" i="76"/>
  <c r="AY25" i="76"/>
  <c r="AW26" i="76"/>
  <c r="BH29" i="76"/>
  <c r="AZ29" i="76"/>
  <c r="AX33" i="76"/>
  <c r="BG40" i="76"/>
  <c r="AY40" i="76"/>
  <c r="BE45" i="76"/>
  <c r="AW45" i="76"/>
  <c r="AY50" i="76"/>
  <c r="BK50" i="76"/>
  <c r="AW55" i="76"/>
  <c r="BI55" i="76"/>
  <c r="BF63" i="76"/>
  <c r="AX63" i="76"/>
  <c r="AW32" i="76"/>
  <c r="BE37" i="76"/>
  <c r="AW37" i="76"/>
  <c r="BE41" i="76"/>
  <c r="AW41" i="76"/>
  <c r="BH49" i="76"/>
  <c r="AZ49" i="76"/>
  <c r="BF54" i="76"/>
  <c r="AX54" i="76"/>
  <c r="BG56" i="76"/>
  <c r="AY56" i="76"/>
  <c r="BE3" i="76"/>
  <c r="BE30" i="76"/>
  <c r="AX31" i="76"/>
  <c r="BG32" i="76"/>
  <c r="AY32" i="76"/>
  <c r="BH33" i="76"/>
  <c r="AZ33" i="76"/>
  <c r="BE36" i="76"/>
  <c r="AY46" i="76"/>
  <c r="BK46" i="76"/>
  <c r="AW51" i="76"/>
  <c r="BI51" i="76"/>
  <c r="BE57" i="76"/>
  <c r="AW57" i="76"/>
  <c r="AX3" i="76"/>
  <c r="AZ6" i="76"/>
  <c r="AX7" i="76"/>
  <c r="AZ10" i="76"/>
  <c r="AX11" i="76"/>
  <c r="AZ14" i="76"/>
  <c r="AX15" i="76"/>
  <c r="AZ18" i="76"/>
  <c r="AX19" i="76"/>
  <c r="AZ22" i="76"/>
  <c r="AX23" i="76"/>
  <c r="AZ26" i="76"/>
  <c r="AX27" i="76"/>
  <c r="BF30" i="76"/>
  <c r="AX30" i="76"/>
  <c r="AY31" i="76"/>
  <c r="AW35" i="76"/>
  <c r="AY42" i="76"/>
  <c r="BK42" i="76"/>
  <c r="AZ43" i="76"/>
  <c r="BH45" i="76"/>
  <c r="AZ45" i="76"/>
  <c r="AX48" i="76"/>
  <c r="BF50" i="76"/>
  <c r="AX50" i="76"/>
  <c r="BG52" i="76"/>
  <c r="AY52" i="76"/>
  <c r="AX58" i="76"/>
  <c r="AZ31" i="76"/>
  <c r="AX35" i="76"/>
  <c r="BG36" i="76"/>
  <c r="AY36" i="76"/>
  <c r="BH37" i="76"/>
  <c r="AZ37" i="76"/>
  <c r="AY38" i="76"/>
  <c r="BK38" i="76"/>
  <c r="BH41" i="76"/>
  <c r="AZ41" i="76"/>
  <c r="AW47" i="76"/>
  <c r="BI47" i="76"/>
  <c r="BE53" i="76"/>
  <c r="AW53" i="76"/>
  <c r="AX64" i="76"/>
  <c r="BF64" i="76"/>
  <c r="BG65" i="76"/>
  <c r="AY65" i="76"/>
  <c r="AY71" i="76"/>
  <c r="AX75" i="76"/>
  <c r="AZ77" i="76"/>
  <c r="BL77" i="76"/>
  <c r="BG85" i="76"/>
  <c r="AY85" i="76"/>
  <c r="BK86" i="76"/>
  <c r="AY86" i="76"/>
  <c r="BG89" i="76"/>
  <c r="AY89" i="76"/>
  <c r="BE94" i="76"/>
  <c r="AW94" i="76"/>
  <c r="AX113" i="76"/>
  <c r="BF120" i="76"/>
  <c r="AX120" i="76"/>
  <c r="AW120" i="76"/>
  <c r="BG57" i="76"/>
  <c r="BH58" i="76"/>
  <c r="BE62" i="76"/>
  <c r="AW62" i="76"/>
  <c r="BG64" i="76"/>
  <c r="AY64" i="76"/>
  <c r="BL69" i="76"/>
  <c r="AZ71" i="76"/>
  <c r="AZ80" i="76"/>
  <c r="BI83" i="76"/>
  <c r="BG87" i="76"/>
  <c r="AY100" i="76"/>
  <c r="BL105" i="76"/>
  <c r="BG109" i="76"/>
  <c r="AY109" i="76"/>
  <c r="AX109" i="76"/>
  <c r="BG113" i="76"/>
  <c r="AY113" i="76"/>
  <c r="BJ117" i="76"/>
  <c r="BG62" i="76"/>
  <c r="AY70" i="76"/>
  <c r="BE76" i="76"/>
  <c r="BE78" i="76"/>
  <c r="AW78" i="76"/>
  <c r="BE92" i="76"/>
  <c r="BH95" i="76"/>
  <c r="BI96" i="76"/>
  <c r="AW96" i="76"/>
  <c r="AZ100" i="76"/>
  <c r="BE104" i="76"/>
  <c r="BE110" i="76"/>
  <c r="AW110" i="76"/>
  <c r="BJ114" i="76"/>
  <c r="BI116" i="76"/>
  <c r="AW116" i="76"/>
  <c r="AX118" i="76"/>
  <c r="BJ118" i="76"/>
  <c r="BE66" i="76"/>
  <c r="AW66" i="76"/>
  <c r="BG68" i="76"/>
  <c r="AY68" i="76"/>
  <c r="BL73" i="76"/>
  <c r="BF88" i="76"/>
  <c r="BI95" i="76"/>
  <c r="BE98" i="76"/>
  <c r="AW98" i="76"/>
  <c r="BE106" i="76"/>
  <c r="AW106" i="76"/>
  <c r="BG108" i="76"/>
  <c r="BK118" i="76"/>
  <c r="BE61" i="76"/>
  <c r="AW61" i="76"/>
  <c r="AX66" i="76"/>
  <c r="BG66" i="76"/>
  <c r="AY67" i="76"/>
  <c r="BJ70" i="76"/>
  <c r="BI80" i="76"/>
  <c r="AW80" i="76"/>
  <c r="AZ84" i="76"/>
  <c r="BF92" i="76"/>
  <c r="AX92" i="76"/>
  <c r="AY98" i="76"/>
  <c r="BI100" i="76"/>
  <c r="AW100" i="76"/>
  <c r="BF104" i="76"/>
  <c r="AX104" i="76"/>
  <c r="BH108" i="76"/>
  <c r="AZ108" i="76"/>
  <c r="BF119" i="76"/>
  <c r="BH66" i="76"/>
  <c r="BL68" i="76"/>
  <c r="BE74" i="76"/>
  <c r="AW74" i="76"/>
  <c r="BG76" i="76"/>
  <c r="AY76" i="76"/>
  <c r="BI79" i="76"/>
  <c r="BE82" i="76"/>
  <c r="AW82" i="76"/>
  <c r="BH88" i="76"/>
  <c r="AZ88" i="76"/>
  <c r="AY99" i="76"/>
  <c r="AX102" i="76"/>
  <c r="BJ102" i="76"/>
  <c r="BJ105" i="76"/>
  <c r="AX105" i="76"/>
  <c r="BE105" i="76"/>
  <c r="AX107" i="76"/>
  <c r="BG111" i="76"/>
  <c r="BF60" i="76"/>
  <c r="BG61" i="76"/>
  <c r="AY61" i="76"/>
  <c r="BE65" i="76"/>
  <c r="AW65" i="76"/>
  <c r="BE75" i="76"/>
  <c r="AY82" i="76"/>
  <c r="AX83" i="76"/>
  <c r="BI84" i="76"/>
  <c r="AW84" i="76"/>
  <c r="BJ85" i="76"/>
  <c r="BF93" i="76"/>
  <c r="AZ99" i="76"/>
  <c r="BG101" i="76"/>
  <c r="AY101" i="76"/>
  <c r="AY107" i="76"/>
  <c r="AZ109" i="76"/>
  <c r="BL109" i="76"/>
  <c r="BI112" i="76"/>
  <c r="AW112" i="76"/>
  <c r="AY39" i="76"/>
  <c r="AW40" i="76"/>
  <c r="AY43" i="76"/>
  <c r="AW44" i="76"/>
  <c r="AY47" i="76"/>
  <c r="AW48" i="76"/>
  <c r="AY51" i="76"/>
  <c r="AW52" i="76"/>
  <c r="AY55" i="76"/>
  <c r="AW56" i="76"/>
  <c r="BE58" i="76"/>
  <c r="AW58" i="76"/>
  <c r="AX59" i="76"/>
  <c r="BG60" i="76"/>
  <c r="AY60" i="76"/>
  <c r="BE69" i="76"/>
  <c r="AW69" i="76"/>
  <c r="AX71" i="76"/>
  <c r="BG72" i="76"/>
  <c r="AY72" i="76"/>
  <c r="AY74" i="76"/>
  <c r="AY83" i="76"/>
  <c r="AW89" i="76"/>
  <c r="BI99" i="76"/>
  <c r="AZ107" i="76"/>
  <c r="BG73" i="76"/>
  <c r="AY73" i="76"/>
  <c r="BH74" i="76"/>
  <c r="AZ75" i="76"/>
  <c r="BG77" i="76"/>
  <c r="AY77" i="76"/>
  <c r="BF81" i="76"/>
  <c r="BE86" i="76"/>
  <c r="AW86" i="76"/>
  <c r="BH86" i="76"/>
  <c r="AZ87" i="76"/>
  <c r="AX91" i="76"/>
  <c r="BG93" i="76"/>
  <c r="AY93" i="76"/>
  <c r="BF97" i="76"/>
  <c r="BE102" i="76"/>
  <c r="AW102" i="76"/>
  <c r="AY103" i="76"/>
  <c r="BL113" i="76"/>
  <c r="BE117" i="76"/>
  <c r="BE118" i="76"/>
  <c r="AW118" i="76"/>
  <c r="AY119" i="76"/>
  <c r="AY91" i="76"/>
  <c r="AZ103" i="76"/>
  <c r="BG105" i="76"/>
  <c r="AY105" i="76"/>
  <c r="BJ106" i="76"/>
  <c r="AX115" i="76"/>
  <c r="BH118" i="76"/>
  <c r="AZ119" i="76"/>
  <c r="AY69" i="76"/>
  <c r="AW70" i="76"/>
  <c r="AX79" i="76"/>
  <c r="AX80" i="76"/>
  <c r="BG81" i="76"/>
  <c r="AY81" i="76"/>
  <c r="BE90" i="76"/>
  <c r="AW90" i="76"/>
  <c r="AZ91" i="76"/>
  <c r="AZ92" i="76"/>
  <c r="AX95" i="76"/>
  <c r="AX96" i="76"/>
  <c r="BG97" i="76"/>
  <c r="AY97" i="76"/>
  <c r="AZ104" i="76"/>
  <c r="BE114" i="76"/>
  <c r="AW114" i="76"/>
  <c r="AY115" i="76"/>
  <c r="AX116" i="76"/>
  <c r="AZ120" i="76"/>
  <c r="AY79" i="76"/>
  <c r="AY95" i="76"/>
  <c r="AX111" i="76"/>
  <c r="AZ115" i="76"/>
  <c r="BG117" i="76"/>
  <c r="AY117" i="76"/>
  <c r="AX78" i="76"/>
  <c r="AZ81" i="76"/>
  <c r="AX82" i="76"/>
  <c r="AZ85" i="76"/>
  <c r="AX86" i="76"/>
  <c r="AZ89" i="76"/>
  <c r="AX90" i="76"/>
  <c r="AZ93" i="76"/>
  <c r="AX94" i="76"/>
  <c r="AZ97" i="76"/>
  <c r="AX98" i="76"/>
  <c r="AZ101" i="76"/>
  <c r="AA42" i="11" l="1"/>
  <c r="AA41" i="1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L42" i="2" l="1"/>
  <c r="K42" i="55" s="1"/>
  <c r="AL41" i="2"/>
  <c r="K41" i="55" s="1"/>
  <c r="AL40" i="2"/>
  <c r="K40" i="55" s="1"/>
  <c r="AL39" i="2"/>
  <c r="K39" i="55" s="1"/>
  <c r="AL38" i="2"/>
  <c r="K38" i="55" s="1"/>
  <c r="AL37" i="2"/>
  <c r="K37" i="55" s="1"/>
  <c r="AL36" i="2"/>
  <c r="K36" i="55" s="1"/>
  <c r="AL35" i="2"/>
  <c r="K35" i="55" s="1"/>
  <c r="AL34" i="2"/>
  <c r="K34" i="55" s="1"/>
  <c r="AL33" i="2"/>
  <c r="K33" i="55" s="1"/>
  <c r="AL32" i="2"/>
  <c r="K32" i="55" s="1"/>
  <c r="AL31" i="2"/>
  <c r="K31" i="55" s="1"/>
  <c r="AL30" i="2"/>
  <c r="K30" i="55" s="1"/>
  <c r="AL29" i="2"/>
  <c r="K29" i="55" s="1"/>
  <c r="AL28" i="2"/>
  <c r="K28" i="55" s="1"/>
  <c r="AL27" i="2"/>
  <c r="K27" i="55" s="1"/>
  <c r="AL26" i="2"/>
  <c r="K26" i="55" s="1"/>
  <c r="AL25" i="2"/>
  <c r="K25" i="55" s="1"/>
  <c r="AL24" i="2"/>
  <c r="K24" i="55" s="1"/>
  <c r="AL23" i="2"/>
  <c r="K23" i="55" s="1"/>
  <c r="AL22" i="2"/>
  <c r="K22" i="55" s="1"/>
  <c r="AL21" i="2"/>
  <c r="K21" i="55" s="1"/>
  <c r="AL20" i="2"/>
  <c r="K20" i="55" s="1"/>
  <c r="AL19" i="2"/>
  <c r="K19" i="55" s="1"/>
  <c r="AL18" i="2"/>
  <c r="K18" i="55" s="1"/>
  <c r="AL17" i="2"/>
  <c r="K17" i="55" s="1"/>
  <c r="AL16" i="2"/>
  <c r="K16" i="55" s="1"/>
  <c r="AL15" i="2"/>
  <c r="K15" i="55" s="1"/>
  <c r="AL14" i="2"/>
  <c r="K14" i="55" s="1"/>
  <c r="AL13" i="2"/>
  <c r="K13" i="55" s="1"/>
  <c r="AL12" i="2"/>
  <c r="K12" i="55" s="1"/>
  <c r="AL11" i="2"/>
  <c r="K11" i="55" s="1"/>
  <c r="AL10" i="2"/>
  <c r="K10" i="55" s="1"/>
  <c r="AL9" i="2"/>
  <c r="K9" i="55" s="1"/>
  <c r="AL8" i="2"/>
  <c r="K8" i="55" s="1"/>
  <c r="AL7" i="2"/>
  <c r="K7" i="55" s="1"/>
  <c r="AL6" i="2"/>
  <c r="K6" i="55" s="1"/>
  <c r="AL5" i="2"/>
  <c r="K5" i="55" s="1"/>
  <c r="AL4" i="2"/>
  <c r="K4" i="55" s="1"/>
  <c r="AL3" i="2"/>
  <c r="K3" i="55" s="1"/>
  <c r="AL2" i="2"/>
  <c r="K2" i="55" s="1"/>
  <c r="JI47" i="18"/>
  <c r="JH47" i="18"/>
  <c r="JG47" i="18"/>
  <c r="JF47" i="18"/>
  <c r="JE47" i="18"/>
  <c r="JD47" i="18"/>
  <c r="JC47" i="18"/>
  <c r="JB47" i="18"/>
  <c r="JA47" i="18"/>
  <c r="JI46" i="18"/>
  <c r="JH46" i="18"/>
  <c r="JG46" i="18"/>
  <c r="JF46" i="18"/>
  <c r="JE46" i="18"/>
  <c r="JD46" i="18"/>
  <c r="JC46" i="18"/>
  <c r="JB46" i="18"/>
  <c r="JA46" i="18"/>
  <c r="JI45" i="18"/>
  <c r="JH45" i="18"/>
  <c r="JG45" i="18"/>
  <c r="JF45" i="18"/>
  <c r="JE45" i="18"/>
  <c r="JD45" i="18"/>
  <c r="JC45" i="18"/>
  <c r="JB45" i="18"/>
  <c r="JA45" i="18"/>
  <c r="JI44" i="18"/>
  <c r="JH44" i="18"/>
  <c r="JG44" i="18"/>
  <c r="JF44" i="18"/>
  <c r="JE44" i="18"/>
  <c r="JD44" i="18"/>
  <c r="JC44" i="18"/>
  <c r="JB44" i="18"/>
  <c r="JA44" i="18"/>
  <c r="JI43" i="18"/>
  <c r="JH43" i="18"/>
  <c r="JG43" i="18"/>
  <c r="JF43" i="18"/>
  <c r="JE43" i="18"/>
  <c r="JD43" i="18"/>
  <c r="JC43" i="18"/>
  <c r="JB43" i="18"/>
  <c r="JA43" i="18"/>
  <c r="JI42" i="18"/>
  <c r="JH42" i="18"/>
  <c r="JG42" i="18"/>
  <c r="JF42" i="18"/>
  <c r="JE42" i="18"/>
  <c r="JD42" i="18"/>
  <c r="JC42" i="18"/>
  <c r="JB42" i="18"/>
  <c r="JA42" i="18"/>
  <c r="JI41" i="18"/>
  <c r="JH41" i="18"/>
  <c r="JG41" i="18"/>
  <c r="JF41" i="18"/>
  <c r="JE41" i="18"/>
  <c r="JD41" i="18"/>
  <c r="JC41" i="18"/>
  <c r="JB41" i="18"/>
  <c r="JA41" i="18"/>
  <c r="JI40" i="18"/>
  <c r="JH40" i="18"/>
  <c r="JG40" i="18"/>
  <c r="JF40" i="18"/>
  <c r="JE40" i="18"/>
  <c r="JD40" i="18"/>
  <c r="JC40" i="18"/>
  <c r="JB40" i="18"/>
  <c r="JA40" i="18"/>
  <c r="JI39" i="18"/>
  <c r="JH39" i="18"/>
  <c r="JG39" i="18"/>
  <c r="JF39" i="18"/>
  <c r="JE39" i="18"/>
  <c r="JD39" i="18"/>
  <c r="JC39" i="18"/>
  <c r="JB39" i="18"/>
  <c r="JA39" i="18"/>
  <c r="JI38" i="18"/>
  <c r="JH38" i="18"/>
  <c r="JG38" i="18"/>
  <c r="JF38" i="18"/>
  <c r="JE38" i="18"/>
  <c r="JD38" i="18"/>
  <c r="JC38" i="18"/>
  <c r="JB38" i="18"/>
  <c r="JA38" i="18"/>
  <c r="JI37" i="18"/>
  <c r="JH37" i="18"/>
  <c r="JG37" i="18"/>
  <c r="JF37" i="18"/>
  <c r="JE37" i="18"/>
  <c r="JD37" i="18"/>
  <c r="JC37" i="18"/>
  <c r="JB37" i="18"/>
  <c r="JA37" i="18"/>
  <c r="JI36" i="18"/>
  <c r="JH36" i="18"/>
  <c r="JG36" i="18"/>
  <c r="JF36" i="18"/>
  <c r="JE36" i="18"/>
  <c r="JD36" i="18"/>
  <c r="JC36" i="18"/>
  <c r="JB36" i="18"/>
  <c r="JA36" i="18"/>
  <c r="JI35" i="18"/>
  <c r="JH35" i="18"/>
  <c r="JG35" i="18"/>
  <c r="JF35" i="18"/>
  <c r="JE35" i="18"/>
  <c r="JD35" i="18"/>
  <c r="JC35" i="18"/>
  <c r="JB35" i="18"/>
  <c r="JA35" i="18"/>
  <c r="JI34" i="18"/>
  <c r="JH34" i="18"/>
  <c r="JG34" i="18"/>
  <c r="JF34" i="18"/>
  <c r="JE34" i="18"/>
  <c r="JD34" i="18"/>
  <c r="JC34" i="18"/>
  <c r="JB34" i="18"/>
  <c r="JA34" i="18"/>
  <c r="JI33" i="18"/>
  <c r="JH33" i="18"/>
  <c r="JG33" i="18"/>
  <c r="JF33" i="18"/>
  <c r="JE33" i="18"/>
  <c r="JD33" i="18"/>
  <c r="JC33" i="18"/>
  <c r="JB33" i="18"/>
  <c r="JA33" i="18"/>
  <c r="JI32" i="18"/>
  <c r="JH32" i="18"/>
  <c r="JG32" i="18"/>
  <c r="JF32" i="18"/>
  <c r="JE32" i="18"/>
  <c r="JD32" i="18"/>
  <c r="JC32" i="18"/>
  <c r="JB32" i="18"/>
  <c r="JA32" i="18"/>
  <c r="JI31" i="18"/>
  <c r="JH31" i="18"/>
  <c r="JG31" i="18"/>
  <c r="JF31" i="18"/>
  <c r="JE31" i="18"/>
  <c r="JD31" i="18"/>
  <c r="JC31" i="18"/>
  <c r="JB31" i="18"/>
  <c r="JA31" i="18"/>
  <c r="JI30" i="18"/>
  <c r="JH30" i="18"/>
  <c r="JG30" i="18"/>
  <c r="JF30" i="18"/>
  <c r="JE30" i="18"/>
  <c r="JD30" i="18"/>
  <c r="JC30" i="18"/>
  <c r="JB30" i="18"/>
  <c r="JA30" i="18"/>
  <c r="JI29" i="18"/>
  <c r="JH29" i="18"/>
  <c r="JG29" i="18"/>
  <c r="JF29" i="18"/>
  <c r="JE29" i="18"/>
  <c r="JD29" i="18"/>
  <c r="JC29" i="18"/>
  <c r="JB29" i="18"/>
  <c r="JA29" i="18"/>
  <c r="JI28" i="18"/>
  <c r="JH28" i="18"/>
  <c r="JG28" i="18"/>
  <c r="JF28" i="18"/>
  <c r="JE28" i="18"/>
  <c r="JD28" i="18"/>
  <c r="JC28" i="18"/>
  <c r="JB28" i="18"/>
  <c r="JA28" i="18"/>
  <c r="JI27" i="18"/>
  <c r="JT27" i="18" s="1"/>
  <c r="JH27" i="18"/>
  <c r="JS27" i="18" s="1"/>
  <c r="JG27" i="18"/>
  <c r="JR27" i="18" s="1"/>
  <c r="JF27" i="18"/>
  <c r="JQ27" i="18" s="1"/>
  <c r="JE27" i="18"/>
  <c r="JP27" i="18" s="1"/>
  <c r="JD27" i="18"/>
  <c r="JO27" i="18" s="1"/>
  <c r="JC27" i="18"/>
  <c r="JN27" i="18" s="1"/>
  <c r="JB27" i="18"/>
  <c r="JM27" i="18" s="1"/>
  <c r="JA27" i="18"/>
  <c r="JL27" i="18" s="1"/>
  <c r="JI26" i="18"/>
  <c r="JT26" i="18" s="1"/>
  <c r="JH26" i="18"/>
  <c r="JS26" i="18" s="1"/>
  <c r="JG26" i="18"/>
  <c r="JR26" i="18" s="1"/>
  <c r="JF26" i="18"/>
  <c r="JQ26" i="18" s="1"/>
  <c r="JE26" i="18"/>
  <c r="JP26" i="18" s="1"/>
  <c r="JD26" i="18"/>
  <c r="JO26" i="18" s="1"/>
  <c r="JC26" i="18"/>
  <c r="JN26" i="18" s="1"/>
  <c r="JB26" i="18"/>
  <c r="JM26" i="18" s="1"/>
  <c r="JA26" i="18"/>
  <c r="JL26" i="18" s="1"/>
  <c r="JI25" i="18"/>
  <c r="JT25" i="18" s="1"/>
  <c r="JH25" i="18"/>
  <c r="JS25" i="18" s="1"/>
  <c r="JG25" i="18"/>
  <c r="JR25" i="18" s="1"/>
  <c r="JF25" i="18"/>
  <c r="JQ25" i="18" s="1"/>
  <c r="JE25" i="18"/>
  <c r="JP25" i="18" s="1"/>
  <c r="JD25" i="18"/>
  <c r="JO25" i="18" s="1"/>
  <c r="JC25" i="18"/>
  <c r="JN25" i="18" s="1"/>
  <c r="JB25" i="18"/>
  <c r="JM25" i="18" s="1"/>
  <c r="JA25" i="18"/>
  <c r="JL25" i="18" s="1"/>
  <c r="JI24" i="18"/>
  <c r="JT24" i="18" s="1"/>
  <c r="JH24" i="18"/>
  <c r="JS24" i="18" s="1"/>
  <c r="JG24" i="18"/>
  <c r="JR24" i="18" s="1"/>
  <c r="JF24" i="18"/>
  <c r="JQ24" i="18" s="1"/>
  <c r="JE24" i="18"/>
  <c r="JP24" i="18" s="1"/>
  <c r="JD24" i="18"/>
  <c r="JO24" i="18" s="1"/>
  <c r="JC24" i="18"/>
  <c r="JN24" i="18" s="1"/>
  <c r="JB24" i="18"/>
  <c r="JM24" i="18" s="1"/>
  <c r="JA24" i="18"/>
  <c r="JL24" i="18" s="1"/>
  <c r="JI23" i="18"/>
  <c r="JT23" i="18" s="1"/>
  <c r="JH23" i="18"/>
  <c r="JS23" i="18" s="1"/>
  <c r="JG23" i="18"/>
  <c r="JR23" i="18" s="1"/>
  <c r="JF23" i="18"/>
  <c r="JQ23" i="18" s="1"/>
  <c r="JE23" i="18"/>
  <c r="JP23" i="18" s="1"/>
  <c r="JD23" i="18"/>
  <c r="JO23" i="18" s="1"/>
  <c r="JC23" i="18"/>
  <c r="JN23" i="18" s="1"/>
  <c r="JB23" i="18"/>
  <c r="JM23" i="18" s="1"/>
  <c r="JA23" i="18"/>
  <c r="JL23" i="18" s="1"/>
  <c r="JI22" i="18"/>
  <c r="JT22" i="18" s="1"/>
  <c r="JH22" i="18"/>
  <c r="JS22" i="18" s="1"/>
  <c r="JG22" i="18"/>
  <c r="JR22" i="18" s="1"/>
  <c r="JF22" i="18"/>
  <c r="JQ22" i="18" s="1"/>
  <c r="JE22" i="18"/>
  <c r="JP22" i="18" s="1"/>
  <c r="JD22" i="18"/>
  <c r="JO22" i="18" s="1"/>
  <c r="JC22" i="18"/>
  <c r="JN22" i="18" s="1"/>
  <c r="JB22" i="18"/>
  <c r="JM22" i="18" s="1"/>
  <c r="JA22" i="18"/>
  <c r="JL22" i="18" s="1"/>
  <c r="JI21" i="18"/>
  <c r="JT21" i="18" s="1"/>
  <c r="JH21" i="18"/>
  <c r="JS21" i="18" s="1"/>
  <c r="JG21" i="18"/>
  <c r="JR21" i="18" s="1"/>
  <c r="JF21" i="18"/>
  <c r="JQ21" i="18" s="1"/>
  <c r="JE21" i="18"/>
  <c r="JP21" i="18" s="1"/>
  <c r="JD21" i="18"/>
  <c r="JO21" i="18" s="1"/>
  <c r="JC21" i="18"/>
  <c r="JN21" i="18" s="1"/>
  <c r="JB21" i="18"/>
  <c r="JM21" i="18" s="1"/>
  <c r="JA21" i="18"/>
  <c r="JL21" i="18" s="1"/>
  <c r="JI20" i="18"/>
  <c r="JH20" i="18"/>
  <c r="JG20" i="18"/>
  <c r="JF20" i="18"/>
  <c r="JE20" i="18"/>
  <c r="JD20" i="18"/>
  <c r="JC20" i="18"/>
  <c r="JB20" i="18"/>
  <c r="JA20" i="18"/>
  <c r="JI19" i="18"/>
  <c r="JH19" i="18"/>
  <c r="JG19" i="18"/>
  <c r="JF19" i="18"/>
  <c r="JE19" i="18"/>
  <c r="JD19" i="18"/>
  <c r="JC19" i="18"/>
  <c r="JB19" i="18"/>
  <c r="JA19" i="18"/>
  <c r="JI18" i="18"/>
  <c r="JH18" i="18"/>
  <c r="JG18" i="18"/>
  <c r="JF18" i="18"/>
  <c r="JE18" i="18"/>
  <c r="JD18" i="18"/>
  <c r="JC18" i="18"/>
  <c r="JB18" i="18"/>
  <c r="JA18" i="18"/>
  <c r="JI17" i="18"/>
  <c r="JH17" i="18"/>
  <c r="JG17" i="18"/>
  <c r="JF17" i="18"/>
  <c r="JE17" i="18"/>
  <c r="JD17" i="18"/>
  <c r="JC17" i="18"/>
  <c r="JB17" i="18"/>
  <c r="JA17" i="18"/>
  <c r="JI16" i="18"/>
  <c r="JH16" i="18"/>
  <c r="JG16" i="18"/>
  <c r="JF16" i="18"/>
  <c r="JE16" i="18"/>
  <c r="JD16" i="18"/>
  <c r="JC16" i="18"/>
  <c r="JB16" i="18"/>
  <c r="JA16" i="18"/>
  <c r="JI15" i="18"/>
  <c r="JH15" i="18"/>
  <c r="JG15" i="18"/>
  <c r="JF15" i="18"/>
  <c r="JE15" i="18"/>
  <c r="JD15" i="18"/>
  <c r="JC15" i="18"/>
  <c r="JB15" i="18"/>
  <c r="JA15" i="18"/>
  <c r="JI14" i="18"/>
  <c r="JH14" i="18"/>
  <c r="JG14" i="18"/>
  <c r="JF14" i="18"/>
  <c r="JE14" i="18"/>
  <c r="JD14" i="18"/>
  <c r="JC14" i="18"/>
  <c r="JB14" i="18"/>
  <c r="JA14" i="18"/>
  <c r="JI13" i="18"/>
  <c r="JH13" i="18"/>
  <c r="JG13" i="18"/>
  <c r="JF13" i="18"/>
  <c r="JE13" i="18"/>
  <c r="JD13" i="18"/>
  <c r="JC13" i="18"/>
  <c r="JB13" i="18"/>
  <c r="JA13" i="18"/>
  <c r="JI12" i="18"/>
  <c r="JH12" i="18"/>
  <c r="JG12" i="18"/>
  <c r="JF12" i="18"/>
  <c r="JE12" i="18"/>
  <c r="JD12" i="18"/>
  <c r="JC12" i="18"/>
  <c r="JB12" i="18"/>
  <c r="JA12" i="18"/>
  <c r="JI11" i="18"/>
  <c r="JH11" i="18"/>
  <c r="JG11" i="18"/>
  <c r="JF11" i="18"/>
  <c r="JE11" i="18"/>
  <c r="JD11" i="18"/>
  <c r="JC11" i="18"/>
  <c r="JB11" i="18"/>
  <c r="JA11" i="18"/>
  <c r="IL14" i="18"/>
  <c r="II14" i="18" s="1"/>
  <c r="IL15" i="18"/>
  <c r="II15" i="18" s="1"/>
  <c r="IL16" i="18"/>
  <c r="AM10" i="2" s="1"/>
  <c r="IL17" i="18"/>
  <c r="AM11" i="2" s="1"/>
  <c r="IL18" i="18"/>
  <c r="AM12" i="2" s="1"/>
  <c r="IL19" i="18"/>
  <c r="AM13" i="2" s="1"/>
  <c r="IL20" i="18"/>
  <c r="AM14" i="2" s="1"/>
  <c r="IL21" i="18"/>
  <c r="II21" i="18" s="1"/>
  <c r="IL22" i="18"/>
  <c r="II22" i="18" s="1"/>
  <c r="IL23" i="18"/>
  <c r="II23" i="18" s="1"/>
  <c r="IL24" i="18"/>
  <c r="AM18" i="2" s="1"/>
  <c r="IL25" i="18"/>
  <c r="AM19" i="2" s="1"/>
  <c r="IL26" i="18"/>
  <c r="AM20" i="2" s="1"/>
  <c r="IL27" i="18"/>
  <c r="AM21" i="2" s="1"/>
  <c r="IL28" i="18"/>
  <c r="AM22" i="2" s="1"/>
  <c r="IL29" i="18"/>
  <c r="II29" i="18" s="1"/>
  <c r="IL30" i="18"/>
  <c r="II30" i="18" s="1"/>
  <c r="IL31" i="18"/>
  <c r="II31" i="18" s="1"/>
  <c r="IL32" i="18"/>
  <c r="AM26" i="2" s="1"/>
  <c r="IL33" i="18"/>
  <c r="AM27" i="2" s="1"/>
  <c r="IL34" i="18"/>
  <c r="AM28" i="2" s="1"/>
  <c r="IL35" i="18"/>
  <c r="AM29" i="2" s="1"/>
  <c r="IL36" i="18"/>
  <c r="AM30" i="2" s="1"/>
  <c r="IL37" i="18"/>
  <c r="II37" i="18" s="1"/>
  <c r="IL38" i="18"/>
  <c r="II38" i="18" s="1"/>
  <c r="IL39" i="18"/>
  <c r="II39" i="18" s="1"/>
  <c r="IL40" i="18"/>
  <c r="AM34" i="2" s="1"/>
  <c r="IL41" i="18"/>
  <c r="AM35" i="2" s="1"/>
  <c r="IL42" i="18"/>
  <c r="AM36" i="2" s="1"/>
  <c r="IL43" i="18"/>
  <c r="AM37" i="2" s="1"/>
  <c r="IL44" i="18"/>
  <c r="AM38" i="2" s="1"/>
  <c r="IL45" i="18"/>
  <c r="II45" i="18" s="1"/>
  <c r="IL46" i="18"/>
  <c r="II46" i="18" s="1"/>
  <c r="IL47" i="18"/>
  <c r="II47" i="18" s="1"/>
  <c r="IL48" i="18"/>
  <c r="AM42" i="2" s="1"/>
  <c r="IL49" i="18"/>
  <c r="AM43" i="2" s="1"/>
  <c r="IL50" i="18"/>
  <c r="AM44" i="2" s="1"/>
  <c r="IL51" i="18"/>
  <c r="AM45" i="2" s="1"/>
  <c r="IL52" i="18"/>
  <c r="AM46" i="2" s="1"/>
  <c r="IL53" i="18"/>
  <c r="AM47" i="2" s="1"/>
  <c r="IL54" i="18"/>
  <c r="IL55" i="18"/>
  <c r="IL56" i="18"/>
  <c r="IL57" i="18"/>
  <c r="IL58" i="18"/>
  <c r="IL59" i="18"/>
  <c r="IL60" i="18"/>
  <c r="IL61" i="18"/>
  <c r="IL62" i="18"/>
  <c r="IL63" i="18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7" i="18"/>
  <c r="A6" i="18" s="1"/>
  <c r="A5" i="18" s="1"/>
  <c r="A4" i="18" s="1"/>
  <c r="A3" i="18" s="1"/>
  <c r="A2" i="18" s="1"/>
  <c r="E42" i="55"/>
  <c r="S42" i="11"/>
  <c r="I42" i="55" s="1"/>
  <c r="K42" i="11"/>
  <c r="D42" i="55" s="1"/>
  <c r="J42" i="11"/>
  <c r="H42" i="55" s="1"/>
  <c r="D42" i="11"/>
  <c r="J42" i="55" s="1"/>
  <c r="R42" i="11"/>
  <c r="C42" i="55" s="1"/>
  <c r="B42" i="55"/>
  <c r="A3" i="55"/>
  <c r="A4" i="55" s="1"/>
  <c r="A5" i="55" s="1"/>
  <c r="A6" i="55" s="1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A36" i="55" s="1"/>
  <c r="A37" i="55" s="1"/>
  <c r="A38" i="55" s="1"/>
  <c r="A39" i="55" s="1"/>
  <c r="A40" i="55" s="1"/>
  <c r="A41" i="55" s="1"/>
  <c r="A42" i="55" s="1"/>
  <c r="JS11" i="18" l="1"/>
  <c r="JR12" i="18"/>
  <c r="JQ13" i="18"/>
  <c r="JP14" i="18"/>
  <c r="JO15" i="18"/>
  <c r="JN16" i="18"/>
  <c r="JM17" i="18"/>
  <c r="JL18" i="18"/>
  <c r="JT18" i="18"/>
  <c r="JS19" i="18"/>
  <c r="JR20" i="18"/>
  <c r="JL11" i="18"/>
  <c r="JT11" i="18"/>
  <c r="JS12" i="18"/>
  <c r="JR13" i="18"/>
  <c r="JQ14" i="18"/>
  <c r="JP15" i="18"/>
  <c r="JO16" i="18"/>
  <c r="JN17" i="18"/>
  <c r="JM18" i="18"/>
  <c r="JL19" i="18"/>
  <c r="JT19" i="18"/>
  <c r="JS20" i="18"/>
  <c r="JM11" i="18"/>
  <c r="JL12" i="18"/>
  <c r="JT12" i="18"/>
  <c r="JS13" i="18"/>
  <c r="JR14" i="18"/>
  <c r="JQ15" i="18"/>
  <c r="JP16" i="18"/>
  <c r="JO17" i="18"/>
  <c r="JN18" i="18"/>
  <c r="JM19" i="18"/>
  <c r="JL20" i="18"/>
  <c r="JT20" i="18"/>
  <c r="JN11" i="18"/>
  <c r="JM12" i="18"/>
  <c r="JL13" i="18"/>
  <c r="JT13" i="18"/>
  <c r="JS14" i="18"/>
  <c r="JR15" i="18"/>
  <c r="JQ16" i="18"/>
  <c r="JP17" i="18"/>
  <c r="JO18" i="18"/>
  <c r="JN19" i="18"/>
  <c r="JM20" i="18"/>
  <c r="JO11" i="18"/>
  <c r="JN12" i="18"/>
  <c r="JM13" i="18"/>
  <c r="JL14" i="18"/>
  <c r="JT14" i="18"/>
  <c r="JS15" i="18"/>
  <c r="JR16" i="18"/>
  <c r="JQ17" i="18"/>
  <c r="JP18" i="18"/>
  <c r="JO19" i="18"/>
  <c r="JN20" i="18"/>
  <c r="JP11" i="18"/>
  <c r="JO12" i="18"/>
  <c r="JN13" i="18"/>
  <c r="JM14" i="18"/>
  <c r="JL15" i="18"/>
  <c r="JT15" i="18"/>
  <c r="JS16" i="18"/>
  <c r="JR17" i="18"/>
  <c r="JQ18" i="18"/>
  <c r="JP19" i="18"/>
  <c r="JO20" i="18"/>
  <c r="JQ11" i="18"/>
  <c r="JP12" i="18"/>
  <c r="JO13" i="18"/>
  <c r="JN14" i="18"/>
  <c r="JM15" i="18"/>
  <c r="JL16" i="18"/>
  <c r="JT16" i="18"/>
  <c r="JS17" i="18"/>
  <c r="JR18" i="18"/>
  <c r="JQ19" i="18"/>
  <c r="JP20" i="18"/>
  <c r="JR11" i="18"/>
  <c r="JQ12" i="18"/>
  <c r="JP13" i="18"/>
  <c r="JO14" i="18"/>
  <c r="JN15" i="18"/>
  <c r="JM16" i="18"/>
  <c r="JL17" i="18"/>
  <c r="JT17" i="18"/>
  <c r="JS18" i="18"/>
  <c r="JR19" i="18"/>
  <c r="JQ20" i="18"/>
  <c r="JA10" i="18"/>
  <c r="IL13" i="18"/>
  <c r="JC10" i="18"/>
  <c r="K6" i="18"/>
  <c r="JE10" i="18"/>
  <c r="S6" i="18"/>
  <c r="JG10" i="18"/>
  <c r="AQ6" i="18"/>
  <c r="JI10" i="18"/>
  <c r="CE6" i="18"/>
  <c r="G6" i="18"/>
  <c r="JB10" i="18"/>
  <c r="O6" i="18"/>
  <c r="JD10" i="18"/>
  <c r="JF10" i="18"/>
  <c r="W6" i="18"/>
  <c r="JH10" i="18"/>
  <c r="BK6" i="18"/>
  <c r="C6" i="18"/>
  <c r="II51" i="18"/>
  <c r="II43" i="18"/>
  <c r="II35" i="18"/>
  <c r="II27" i="18"/>
  <c r="II19" i="18"/>
  <c r="AM15" i="2"/>
  <c r="AM23" i="2"/>
  <c r="AM31" i="2"/>
  <c r="AM39" i="2"/>
  <c r="II50" i="18"/>
  <c r="II42" i="18"/>
  <c r="II34" i="18"/>
  <c r="II26" i="18"/>
  <c r="II18" i="18"/>
  <c r="AM8" i="2"/>
  <c r="AM16" i="2"/>
  <c r="AM24" i="2"/>
  <c r="AM32" i="2"/>
  <c r="AM40" i="2"/>
  <c r="II49" i="18"/>
  <c r="II41" i="18"/>
  <c r="II33" i="18"/>
  <c r="II25" i="18"/>
  <c r="II17" i="18"/>
  <c r="AM9" i="2"/>
  <c r="AM17" i="2"/>
  <c r="AM25" i="2"/>
  <c r="AM33" i="2"/>
  <c r="AM41" i="2"/>
  <c r="II48" i="18"/>
  <c r="II40" i="18"/>
  <c r="II32" i="18"/>
  <c r="II24" i="18"/>
  <c r="II16" i="18"/>
  <c r="II44" i="18"/>
  <c r="II36" i="18"/>
  <c r="II28" i="18"/>
  <c r="II20" i="18"/>
  <c r="JN10" i="18" l="1"/>
  <c r="JR10" i="18"/>
  <c r="JP10" i="18"/>
  <c r="JS10" i="18"/>
  <c r="JT10" i="18"/>
  <c r="JL10" i="18"/>
  <c r="JQ10" i="18"/>
  <c r="JO10" i="18"/>
  <c r="JM10" i="18"/>
  <c r="JH9" i="18"/>
  <c r="BK5" i="18"/>
  <c r="JI9" i="18"/>
  <c r="CE5" i="18"/>
  <c r="JF9" i="18"/>
  <c r="W5" i="18"/>
  <c r="JG9" i="18"/>
  <c r="AQ5" i="18"/>
  <c r="JE9" i="18"/>
  <c r="S5" i="18"/>
  <c r="JC9" i="18"/>
  <c r="K5" i="18"/>
  <c r="JD9" i="18"/>
  <c r="O5" i="18"/>
  <c r="JA9" i="18"/>
  <c r="IL12" i="18"/>
  <c r="C5" i="18"/>
  <c r="JA8" i="18" s="1"/>
  <c r="JB9" i="18"/>
  <c r="G5" i="18"/>
  <c r="II13" i="18"/>
  <c r="AM7" i="2"/>
  <c r="JN9" i="18" l="1"/>
  <c r="JM9" i="18"/>
  <c r="JL9" i="18"/>
  <c r="JW9" i="18" s="1"/>
  <c r="JR9" i="18"/>
  <c r="JT9" i="18"/>
  <c r="JL8" i="18"/>
  <c r="JW25" i="18" s="1"/>
  <c r="JP9" i="18"/>
  <c r="JS9" i="18"/>
  <c r="JO9" i="18"/>
  <c r="JQ9" i="18"/>
  <c r="JW23" i="18"/>
  <c r="JW22" i="18"/>
  <c r="JW18" i="18"/>
  <c r="JW21" i="18"/>
  <c r="JW17" i="18"/>
  <c r="JW13" i="18"/>
  <c r="JF8" i="18"/>
  <c r="W4" i="18"/>
  <c r="W3" i="18" s="1"/>
  <c r="W2" i="18" s="1"/>
  <c r="JC8" i="18"/>
  <c r="K4" i="18"/>
  <c r="K3" i="18" s="1"/>
  <c r="K2" i="18" s="1"/>
  <c r="JG8" i="18"/>
  <c r="AQ4" i="18"/>
  <c r="AQ3" i="18" s="1"/>
  <c r="AQ2" i="18" s="1"/>
  <c r="JB8" i="18"/>
  <c r="G4" i="18"/>
  <c r="G3" i="18" s="1"/>
  <c r="G2" i="18" s="1"/>
  <c r="IL11" i="18"/>
  <c r="C4" i="18"/>
  <c r="JE8" i="18"/>
  <c r="S4" i="18"/>
  <c r="S3" i="18" s="1"/>
  <c r="S2" i="18" s="1"/>
  <c r="AM6" i="2"/>
  <c r="II12" i="18"/>
  <c r="JD8" i="18"/>
  <c r="O4" i="18"/>
  <c r="O3" i="18" s="1"/>
  <c r="O2" i="18" s="1"/>
  <c r="JI8" i="18"/>
  <c r="CE4" i="18"/>
  <c r="CE3" i="18" s="1"/>
  <c r="CE2" i="18" s="1"/>
  <c r="JH8" i="18"/>
  <c r="BK4" i="18"/>
  <c r="BK3" i="18" s="1"/>
  <c r="BK2" i="18" s="1"/>
  <c r="JW19" i="18" l="1"/>
  <c r="JP8" i="18"/>
  <c r="KA24" i="18" s="1"/>
  <c r="JN8" i="18"/>
  <c r="JY26" i="18" s="1"/>
  <c r="JT8" i="18"/>
  <c r="KE20" i="18" s="1"/>
  <c r="JQ8" i="18"/>
  <c r="KB23" i="18" s="1"/>
  <c r="JW8" i="18"/>
  <c r="JO8" i="18"/>
  <c r="JZ9" i="18" s="1"/>
  <c r="JW12" i="18"/>
  <c r="JW24" i="18"/>
  <c r="JW16" i="18"/>
  <c r="JW10" i="18"/>
  <c r="JW27" i="18"/>
  <c r="JS8" i="18"/>
  <c r="KD17" i="18" s="1"/>
  <c r="JW11" i="18"/>
  <c r="JW26" i="18"/>
  <c r="JM8" i="18"/>
  <c r="JX12" i="18" s="1"/>
  <c r="JW15" i="18"/>
  <c r="JR8" i="18"/>
  <c r="KC25" i="18" s="1"/>
  <c r="JW20" i="18"/>
  <c r="JW14" i="18"/>
  <c r="KC21" i="18"/>
  <c r="KC22" i="18"/>
  <c r="KC17" i="18"/>
  <c r="KC26" i="18"/>
  <c r="KC12" i="18"/>
  <c r="KC20" i="18"/>
  <c r="KC24" i="18"/>
  <c r="KC16" i="18"/>
  <c r="KC13" i="18"/>
  <c r="KC14" i="18"/>
  <c r="KC10" i="18"/>
  <c r="KD24" i="18"/>
  <c r="KD27" i="18"/>
  <c r="KD26" i="18"/>
  <c r="KD11" i="18"/>
  <c r="KD22" i="18"/>
  <c r="KD14" i="18"/>
  <c r="KD15" i="18"/>
  <c r="KD10" i="18"/>
  <c r="JY24" i="18"/>
  <c r="JZ24" i="18"/>
  <c r="JZ16" i="18"/>
  <c r="KA27" i="18"/>
  <c r="KA26" i="18"/>
  <c r="KC9" i="18"/>
  <c r="JX27" i="18"/>
  <c r="KE8" i="18"/>
  <c r="KE24" i="18"/>
  <c r="KE11" i="18"/>
  <c r="KE12" i="18"/>
  <c r="KE25" i="18"/>
  <c r="KE15" i="18"/>
  <c r="KE21" i="18"/>
  <c r="KE14" i="18"/>
  <c r="KE19" i="18"/>
  <c r="KB8" i="18"/>
  <c r="KB17" i="18"/>
  <c r="KB21" i="18"/>
  <c r="KB12" i="18"/>
  <c r="KB25" i="18"/>
  <c r="KB20" i="18"/>
  <c r="KB22" i="18"/>
  <c r="KB16" i="18"/>
  <c r="KB18" i="18"/>
  <c r="KB13" i="18"/>
  <c r="KB27" i="18"/>
  <c r="KB14" i="18"/>
  <c r="KB24" i="18"/>
  <c r="KB26" i="18"/>
  <c r="KB15" i="18"/>
  <c r="KB11" i="18"/>
  <c r="KB10" i="18"/>
  <c r="KE9" i="18"/>
  <c r="KD9" i="18"/>
  <c r="KB9" i="18"/>
  <c r="KA19" i="18"/>
  <c r="KA11" i="18"/>
  <c r="KA20" i="18"/>
  <c r="KA12" i="18"/>
  <c r="KA23" i="18"/>
  <c r="KA15" i="18"/>
  <c r="KA22" i="18"/>
  <c r="KA14" i="18"/>
  <c r="KA16" i="18"/>
  <c r="KA8" i="18"/>
  <c r="KA17" i="18"/>
  <c r="KA9" i="18"/>
  <c r="JY20" i="18"/>
  <c r="JY19" i="18"/>
  <c r="JY18" i="18"/>
  <c r="JY17" i="18"/>
  <c r="JY16" i="18"/>
  <c r="JY12" i="18"/>
  <c r="JY11" i="18"/>
  <c r="JY10" i="18"/>
  <c r="JY9" i="18"/>
  <c r="JY8" i="18"/>
  <c r="JX18" i="18"/>
  <c r="IL10" i="18"/>
  <c r="C3" i="18"/>
  <c r="AM5" i="2"/>
  <c r="II11" i="18"/>
  <c r="JX19" i="18" l="1"/>
  <c r="JZ27" i="18"/>
  <c r="JZ14" i="18"/>
  <c r="JZ25" i="18"/>
  <c r="JX15" i="18"/>
  <c r="JZ15" i="18"/>
  <c r="JZ19" i="18"/>
  <c r="JX11" i="18"/>
  <c r="JX24" i="18"/>
  <c r="JZ26" i="18"/>
  <c r="JZ13" i="18"/>
  <c r="KD16" i="18"/>
  <c r="JX14" i="18"/>
  <c r="JZ10" i="18"/>
  <c r="JZ21" i="18"/>
  <c r="JZ22" i="18"/>
  <c r="KD21" i="18"/>
  <c r="KD8" i="18"/>
  <c r="KC18" i="18"/>
  <c r="JZ18" i="18"/>
  <c r="JZ11" i="18"/>
  <c r="JZ23" i="18"/>
  <c r="KD20" i="18"/>
  <c r="JZ17" i="18"/>
  <c r="JX23" i="18"/>
  <c r="JX8" i="18"/>
  <c r="JX10" i="18"/>
  <c r="KB19" i="18"/>
  <c r="JZ12" i="18"/>
  <c r="JZ20" i="18"/>
  <c r="JZ8" i="18"/>
  <c r="KD19" i="18"/>
  <c r="KC11" i="18"/>
  <c r="KC19" i="18"/>
  <c r="JX16" i="18"/>
  <c r="JX26" i="18"/>
  <c r="JX9" i="18"/>
  <c r="JY13" i="18"/>
  <c r="KE23" i="18"/>
  <c r="JY27" i="18"/>
  <c r="JX17" i="18"/>
  <c r="JX13" i="18"/>
  <c r="JY14" i="18"/>
  <c r="JY22" i="18"/>
  <c r="KA13" i="18"/>
  <c r="KA10" i="18"/>
  <c r="KE10" i="18"/>
  <c r="KE13" i="18"/>
  <c r="KE16" i="18"/>
  <c r="KA25" i="18"/>
  <c r="JY25" i="18"/>
  <c r="KD23" i="18"/>
  <c r="KD12" i="18"/>
  <c r="KC27" i="18"/>
  <c r="KC23" i="18"/>
  <c r="KC8" i="18"/>
  <c r="KE27" i="18"/>
  <c r="JX20" i="18"/>
  <c r="JY21" i="18"/>
  <c r="KE17" i="18"/>
  <c r="KD18" i="18"/>
  <c r="KD13" i="18"/>
  <c r="JX22" i="18"/>
  <c r="JX21" i="18"/>
  <c r="JY15" i="18"/>
  <c r="JY23" i="18"/>
  <c r="KA21" i="18"/>
  <c r="KA18" i="18"/>
  <c r="KE18" i="18"/>
  <c r="KE22" i="18"/>
  <c r="KE26" i="18"/>
  <c r="KD25" i="18"/>
  <c r="KC15" i="18"/>
  <c r="JX25" i="18"/>
  <c r="IL9" i="18"/>
  <c r="C2" i="18"/>
  <c r="IL8" i="18" s="1"/>
  <c r="AM4" i="2"/>
  <c r="II10" i="18"/>
  <c r="E41" i="55"/>
  <c r="E40" i="55"/>
  <c r="E39" i="55"/>
  <c r="E38" i="55"/>
  <c r="E37" i="55"/>
  <c r="E36" i="55"/>
  <c r="E35" i="55"/>
  <c r="E34" i="55"/>
  <c r="E33" i="55"/>
  <c r="E32" i="55"/>
  <c r="E31" i="55"/>
  <c r="E30" i="55"/>
  <c r="E29" i="55"/>
  <c r="E28" i="55"/>
  <c r="E27" i="55"/>
  <c r="E26" i="55"/>
  <c r="E25" i="55"/>
  <c r="E24" i="55"/>
  <c r="E23" i="55"/>
  <c r="E22" i="55"/>
  <c r="E21" i="55"/>
  <c r="E20" i="55"/>
  <c r="E19" i="55"/>
  <c r="E18" i="55"/>
  <c r="E17" i="55"/>
  <c r="E16" i="55"/>
  <c r="E15" i="55"/>
  <c r="E14" i="55"/>
  <c r="E13" i="55"/>
  <c r="E12" i="55"/>
  <c r="E11" i="55"/>
  <c r="E10" i="55"/>
  <c r="E9" i="55"/>
  <c r="E8" i="55"/>
  <c r="E7" i="55"/>
  <c r="E6" i="55"/>
  <c r="E5" i="55"/>
  <c r="E4" i="55"/>
  <c r="E2" i="55"/>
  <c r="E3" i="55" l="1"/>
  <c r="AM3" i="2"/>
  <c r="II9" i="18"/>
  <c r="II8" i="18"/>
  <c r="G4" i="55" s="1"/>
  <c r="AM2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F3" i="55" l="1"/>
  <c r="G3" i="55"/>
  <c r="F39" i="55"/>
  <c r="F34" i="55"/>
  <c r="F24" i="55"/>
  <c r="F29" i="55"/>
  <c r="F42" i="55"/>
  <c r="F32" i="55"/>
  <c r="F25" i="55"/>
  <c r="F28" i="55"/>
  <c r="F33" i="55"/>
  <c r="F37" i="55"/>
  <c r="F36" i="55"/>
  <c r="F27" i="55"/>
  <c r="F31" i="55"/>
  <c r="F26" i="55"/>
  <c r="F30" i="55"/>
  <c r="F35" i="55"/>
  <c r="F38" i="55"/>
  <c r="F41" i="55"/>
  <c r="F40" i="55"/>
  <c r="F23" i="55"/>
  <c r="F6" i="55"/>
  <c r="F22" i="55"/>
  <c r="F21" i="55"/>
  <c r="F20" i="55"/>
  <c r="F19" i="55"/>
  <c r="F18" i="55"/>
  <c r="F14" i="55"/>
  <c r="F11" i="55"/>
  <c r="F17" i="55"/>
  <c r="F12" i="55"/>
  <c r="F15" i="55"/>
  <c r="F4" i="55"/>
  <c r="F5" i="55"/>
  <c r="F7" i="55"/>
  <c r="F13" i="55"/>
  <c r="F8" i="55"/>
  <c r="F10" i="55"/>
  <c r="F9" i="55"/>
  <c r="F2" i="55"/>
  <c r="F16" i="55"/>
  <c r="G23" i="55"/>
  <c r="G37" i="55"/>
  <c r="G35" i="55"/>
  <c r="G31" i="55"/>
  <c r="G34" i="55"/>
  <c r="G39" i="55"/>
  <c r="G42" i="55"/>
  <c r="G40" i="55"/>
  <c r="G33" i="55"/>
  <c r="G27" i="55"/>
  <c r="G32" i="55"/>
  <c r="G36" i="55"/>
  <c r="G25" i="55"/>
  <c r="G24" i="55"/>
  <c r="G41" i="55"/>
  <c r="G19" i="55"/>
  <c r="G14" i="55"/>
  <c r="G9" i="55"/>
  <c r="G12" i="55"/>
  <c r="G7" i="55"/>
  <c r="G30" i="55"/>
  <c r="G8" i="55"/>
  <c r="G22" i="55"/>
  <c r="G2" i="55"/>
  <c r="G28" i="55"/>
  <c r="G38" i="55"/>
  <c r="G20" i="55"/>
  <c r="G15" i="55"/>
  <c r="G26" i="55"/>
  <c r="G21" i="55"/>
  <c r="G11" i="55"/>
  <c r="G29" i="55"/>
  <c r="G17" i="55"/>
  <c r="G13" i="55"/>
  <c r="G16" i="55"/>
  <c r="G10" i="55"/>
  <c r="G18" i="55"/>
  <c r="G6" i="55"/>
  <c r="G5" i="55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P2" i="11"/>
  <c r="K41" i="11"/>
  <c r="D41" i="55" s="1"/>
  <c r="K40" i="11"/>
  <c r="D40" i="55" s="1"/>
  <c r="K39" i="11"/>
  <c r="D39" i="55" s="1"/>
  <c r="K38" i="11"/>
  <c r="D38" i="55" s="1"/>
  <c r="K37" i="11"/>
  <c r="D37" i="55" s="1"/>
  <c r="K36" i="11"/>
  <c r="D36" i="55" s="1"/>
  <c r="K35" i="11"/>
  <c r="D35" i="55" s="1"/>
  <c r="K34" i="11"/>
  <c r="D34" i="55" s="1"/>
  <c r="K33" i="11"/>
  <c r="D33" i="55" s="1"/>
  <c r="K32" i="11"/>
  <c r="D32" i="55" s="1"/>
  <c r="K31" i="11"/>
  <c r="D31" i="55" s="1"/>
  <c r="K30" i="11"/>
  <c r="D30" i="55" s="1"/>
  <c r="K29" i="11"/>
  <c r="D29" i="55" s="1"/>
  <c r="K28" i="11"/>
  <c r="D28" i="55" s="1"/>
  <c r="K27" i="11"/>
  <c r="D27" i="55" s="1"/>
  <c r="K26" i="11"/>
  <c r="D26" i="55" s="1"/>
  <c r="K25" i="11"/>
  <c r="D25" i="55" s="1"/>
  <c r="K24" i="11"/>
  <c r="D24" i="55" s="1"/>
  <c r="K23" i="11"/>
  <c r="D23" i="55" s="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D2" i="55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J3" i="55" s="1"/>
  <c r="E3" i="11"/>
  <c r="F3" i="11"/>
  <c r="G3" i="11"/>
  <c r="H3" i="11"/>
  <c r="B4" i="11"/>
  <c r="B4" i="55" s="1"/>
  <c r="C4" i="11"/>
  <c r="D4" i="11"/>
  <c r="J4" i="55" s="1"/>
  <c r="E4" i="11"/>
  <c r="F4" i="11"/>
  <c r="G4" i="11"/>
  <c r="H4" i="11"/>
  <c r="B5" i="11"/>
  <c r="B5" i="55" s="1"/>
  <c r="C5" i="11"/>
  <c r="D5" i="11"/>
  <c r="J5" i="55" s="1"/>
  <c r="E5" i="11"/>
  <c r="F5" i="11"/>
  <c r="G5" i="11"/>
  <c r="H5" i="11"/>
  <c r="B6" i="11"/>
  <c r="B6" i="55" s="1"/>
  <c r="C6" i="11"/>
  <c r="D6" i="11"/>
  <c r="J6" i="55" s="1"/>
  <c r="E6" i="11"/>
  <c r="F6" i="11"/>
  <c r="G6" i="11"/>
  <c r="H6" i="11"/>
  <c r="B7" i="11"/>
  <c r="B7" i="55" s="1"/>
  <c r="C7" i="11"/>
  <c r="D7" i="11"/>
  <c r="J7" i="55" s="1"/>
  <c r="E7" i="11"/>
  <c r="F7" i="11"/>
  <c r="G7" i="11"/>
  <c r="H7" i="11"/>
  <c r="B8" i="11"/>
  <c r="B8" i="55" s="1"/>
  <c r="C8" i="11"/>
  <c r="D8" i="11"/>
  <c r="J8" i="55" s="1"/>
  <c r="E8" i="11"/>
  <c r="F8" i="11"/>
  <c r="G8" i="11"/>
  <c r="H8" i="11"/>
  <c r="B9" i="11"/>
  <c r="B9" i="55" s="1"/>
  <c r="C9" i="11"/>
  <c r="D9" i="11"/>
  <c r="J9" i="55" s="1"/>
  <c r="E9" i="11"/>
  <c r="F9" i="11"/>
  <c r="G9" i="11"/>
  <c r="H9" i="11"/>
  <c r="B10" i="11"/>
  <c r="B10" i="55" s="1"/>
  <c r="C10" i="11"/>
  <c r="D10" i="11"/>
  <c r="J10" i="55" s="1"/>
  <c r="E10" i="11"/>
  <c r="F10" i="11"/>
  <c r="G10" i="11"/>
  <c r="H10" i="11"/>
  <c r="B11" i="11"/>
  <c r="B11" i="55" s="1"/>
  <c r="C11" i="11"/>
  <c r="D11" i="11"/>
  <c r="J11" i="55" s="1"/>
  <c r="E11" i="11"/>
  <c r="F11" i="11"/>
  <c r="G11" i="11"/>
  <c r="H11" i="11"/>
  <c r="B12" i="11"/>
  <c r="B12" i="55" s="1"/>
  <c r="C12" i="11"/>
  <c r="D12" i="11"/>
  <c r="J12" i="55" s="1"/>
  <c r="E12" i="11"/>
  <c r="F12" i="11"/>
  <c r="G12" i="11"/>
  <c r="H12" i="11"/>
  <c r="B13" i="11"/>
  <c r="B13" i="55" s="1"/>
  <c r="C13" i="11"/>
  <c r="D13" i="11"/>
  <c r="J13" i="55" s="1"/>
  <c r="E13" i="11"/>
  <c r="F13" i="11"/>
  <c r="G13" i="11"/>
  <c r="H13" i="11"/>
  <c r="B14" i="11"/>
  <c r="B14" i="55" s="1"/>
  <c r="C14" i="11"/>
  <c r="D14" i="11"/>
  <c r="J14" i="55" s="1"/>
  <c r="E14" i="11"/>
  <c r="F14" i="11"/>
  <c r="G14" i="11"/>
  <c r="H14" i="11"/>
  <c r="B15" i="11"/>
  <c r="B15" i="55" s="1"/>
  <c r="C15" i="11"/>
  <c r="D15" i="11"/>
  <c r="J15" i="55" s="1"/>
  <c r="E15" i="11"/>
  <c r="F15" i="11"/>
  <c r="G15" i="11"/>
  <c r="H15" i="11"/>
  <c r="B16" i="11"/>
  <c r="B16" i="55" s="1"/>
  <c r="C16" i="11"/>
  <c r="D16" i="11"/>
  <c r="J16" i="55" s="1"/>
  <c r="E16" i="11"/>
  <c r="F16" i="11"/>
  <c r="G16" i="11"/>
  <c r="H16" i="11"/>
  <c r="B17" i="11"/>
  <c r="B17" i="55" s="1"/>
  <c r="C17" i="11"/>
  <c r="D17" i="11"/>
  <c r="J17" i="55" s="1"/>
  <c r="E17" i="11"/>
  <c r="F17" i="11"/>
  <c r="G17" i="11"/>
  <c r="H17" i="11"/>
  <c r="B18" i="11"/>
  <c r="B18" i="55" s="1"/>
  <c r="C18" i="11"/>
  <c r="D18" i="11"/>
  <c r="J18" i="55" s="1"/>
  <c r="E18" i="11"/>
  <c r="F18" i="11"/>
  <c r="G18" i="11"/>
  <c r="H18" i="11"/>
  <c r="B19" i="11"/>
  <c r="B19" i="55" s="1"/>
  <c r="C19" i="11"/>
  <c r="D19" i="11"/>
  <c r="J19" i="55" s="1"/>
  <c r="E19" i="11"/>
  <c r="F19" i="11"/>
  <c r="G19" i="11"/>
  <c r="H19" i="11"/>
  <c r="B20" i="11"/>
  <c r="B20" i="55" s="1"/>
  <c r="C20" i="11"/>
  <c r="D20" i="11"/>
  <c r="J20" i="55" s="1"/>
  <c r="E20" i="11"/>
  <c r="F20" i="11"/>
  <c r="G20" i="11"/>
  <c r="H20" i="11"/>
  <c r="B21" i="11"/>
  <c r="B21" i="55" s="1"/>
  <c r="C21" i="11"/>
  <c r="D21" i="11"/>
  <c r="J21" i="55" s="1"/>
  <c r="E21" i="11"/>
  <c r="F21" i="11"/>
  <c r="G21" i="11"/>
  <c r="H21" i="11"/>
  <c r="B22" i="11"/>
  <c r="B22" i="55" s="1"/>
  <c r="C22" i="11"/>
  <c r="D22" i="11"/>
  <c r="J22" i="55" s="1"/>
  <c r="E22" i="11"/>
  <c r="F22" i="11"/>
  <c r="G22" i="11"/>
  <c r="H22" i="11"/>
  <c r="B23" i="11"/>
  <c r="B23" i="55" s="1"/>
  <c r="C23" i="11"/>
  <c r="D23" i="11"/>
  <c r="J23" i="55" s="1"/>
  <c r="E23" i="11"/>
  <c r="F23" i="11"/>
  <c r="G23" i="11"/>
  <c r="H23" i="11"/>
  <c r="B24" i="11"/>
  <c r="B24" i="55" s="1"/>
  <c r="C24" i="11"/>
  <c r="D24" i="11"/>
  <c r="J24" i="55" s="1"/>
  <c r="E24" i="11"/>
  <c r="F24" i="11"/>
  <c r="G24" i="11"/>
  <c r="H24" i="11"/>
  <c r="B25" i="11"/>
  <c r="B25" i="55" s="1"/>
  <c r="C25" i="11"/>
  <c r="D25" i="11"/>
  <c r="J25" i="55" s="1"/>
  <c r="E25" i="11"/>
  <c r="F25" i="11"/>
  <c r="G25" i="11"/>
  <c r="H25" i="11"/>
  <c r="B26" i="11"/>
  <c r="B26" i="55" s="1"/>
  <c r="C26" i="11"/>
  <c r="D26" i="11"/>
  <c r="J26" i="55" s="1"/>
  <c r="E26" i="11"/>
  <c r="F26" i="11"/>
  <c r="G26" i="11"/>
  <c r="H26" i="11"/>
  <c r="B27" i="11"/>
  <c r="B27" i="55" s="1"/>
  <c r="C27" i="11"/>
  <c r="D27" i="11"/>
  <c r="J27" i="55" s="1"/>
  <c r="E27" i="11"/>
  <c r="F27" i="11"/>
  <c r="G27" i="11"/>
  <c r="H27" i="11"/>
  <c r="B28" i="11"/>
  <c r="B28" i="55" s="1"/>
  <c r="C28" i="11"/>
  <c r="D28" i="11"/>
  <c r="J28" i="55" s="1"/>
  <c r="E28" i="11"/>
  <c r="F28" i="11"/>
  <c r="G28" i="11"/>
  <c r="H28" i="11"/>
  <c r="B29" i="11"/>
  <c r="B29" i="55" s="1"/>
  <c r="C29" i="11"/>
  <c r="D29" i="11"/>
  <c r="J29" i="55" s="1"/>
  <c r="E29" i="11"/>
  <c r="F29" i="11"/>
  <c r="G29" i="11"/>
  <c r="H29" i="11"/>
  <c r="B30" i="11"/>
  <c r="B30" i="55" s="1"/>
  <c r="C30" i="11"/>
  <c r="D30" i="11"/>
  <c r="J30" i="55" s="1"/>
  <c r="E30" i="11"/>
  <c r="F30" i="11"/>
  <c r="G30" i="11"/>
  <c r="H30" i="11"/>
  <c r="B31" i="11"/>
  <c r="B31" i="55" s="1"/>
  <c r="C31" i="11"/>
  <c r="D31" i="11"/>
  <c r="J31" i="55" s="1"/>
  <c r="E31" i="11"/>
  <c r="F31" i="11"/>
  <c r="G31" i="11"/>
  <c r="H31" i="11"/>
  <c r="B32" i="11"/>
  <c r="B32" i="55" s="1"/>
  <c r="C32" i="11"/>
  <c r="D32" i="11"/>
  <c r="J32" i="55" s="1"/>
  <c r="E32" i="11"/>
  <c r="F32" i="11"/>
  <c r="G32" i="11"/>
  <c r="H32" i="11"/>
  <c r="B33" i="11"/>
  <c r="B33" i="55" s="1"/>
  <c r="C33" i="11"/>
  <c r="D33" i="11"/>
  <c r="J33" i="55" s="1"/>
  <c r="E33" i="11"/>
  <c r="F33" i="11"/>
  <c r="G33" i="11"/>
  <c r="H33" i="11"/>
  <c r="B34" i="11"/>
  <c r="B34" i="55" s="1"/>
  <c r="C34" i="11"/>
  <c r="D34" i="11"/>
  <c r="J34" i="55" s="1"/>
  <c r="E34" i="11"/>
  <c r="F34" i="11"/>
  <c r="G34" i="11"/>
  <c r="H34" i="11"/>
  <c r="B35" i="11"/>
  <c r="B35" i="55" s="1"/>
  <c r="C35" i="11"/>
  <c r="D35" i="11"/>
  <c r="J35" i="55" s="1"/>
  <c r="E35" i="11"/>
  <c r="F35" i="11"/>
  <c r="G35" i="11"/>
  <c r="H35" i="11"/>
  <c r="B36" i="11"/>
  <c r="B36" i="55" s="1"/>
  <c r="C36" i="11"/>
  <c r="D36" i="11"/>
  <c r="J36" i="55" s="1"/>
  <c r="E36" i="11"/>
  <c r="F36" i="11"/>
  <c r="G36" i="11"/>
  <c r="H36" i="11"/>
  <c r="B37" i="11"/>
  <c r="B37" i="55" s="1"/>
  <c r="C37" i="11"/>
  <c r="D37" i="11"/>
  <c r="J37" i="55" s="1"/>
  <c r="E37" i="11"/>
  <c r="F37" i="11"/>
  <c r="G37" i="11"/>
  <c r="H37" i="11"/>
  <c r="B38" i="11"/>
  <c r="B38" i="55" s="1"/>
  <c r="C38" i="11"/>
  <c r="D38" i="11"/>
  <c r="J38" i="55" s="1"/>
  <c r="E38" i="11"/>
  <c r="F38" i="11"/>
  <c r="G38" i="11"/>
  <c r="H38" i="11"/>
  <c r="B39" i="11"/>
  <c r="B39" i="55" s="1"/>
  <c r="C39" i="11"/>
  <c r="D39" i="11"/>
  <c r="J39" i="55" s="1"/>
  <c r="E39" i="11"/>
  <c r="F39" i="11"/>
  <c r="G39" i="11"/>
  <c r="H39" i="11"/>
  <c r="B40" i="11"/>
  <c r="B40" i="55" s="1"/>
  <c r="C40" i="11"/>
  <c r="D40" i="11"/>
  <c r="J40" i="55" s="1"/>
  <c r="E40" i="11"/>
  <c r="F40" i="11"/>
  <c r="G40" i="11"/>
  <c r="H40" i="11"/>
  <c r="B41" i="11"/>
  <c r="B41" i="55" s="1"/>
  <c r="C41" i="11"/>
  <c r="D41" i="11"/>
  <c r="J41" i="55" s="1"/>
  <c r="E41" i="11"/>
  <c r="F41" i="11"/>
  <c r="G41" i="11"/>
  <c r="H41" i="11"/>
  <c r="H2" i="11"/>
  <c r="E2" i="11"/>
  <c r="G2" i="11"/>
  <c r="F2" i="11"/>
  <c r="D2" i="11"/>
  <c r="J2" i="55" s="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I23" i="55" s="1"/>
  <c r="S24" i="11"/>
  <c r="I24" i="55" s="1"/>
  <c r="S25" i="11"/>
  <c r="I25" i="55" s="1"/>
  <c r="S26" i="11"/>
  <c r="I26" i="55" s="1"/>
  <c r="S27" i="11"/>
  <c r="I27" i="55" s="1"/>
  <c r="S28" i="11"/>
  <c r="I28" i="55" s="1"/>
  <c r="S29" i="11"/>
  <c r="I29" i="55" s="1"/>
  <c r="S30" i="11"/>
  <c r="I30" i="55" s="1"/>
  <c r="S31" i="11"/>
  <c r="I31" i="55" s="1"/>
  <c r="S32" i="11"/>
  <c r="I32" i="55" s="1"/>
  <c r="S33" i="11"/>
  <c r="I33" i="55" s="1"/>
  <c r="S34" i="11"/>
  <c r="I34" i="55" s="1"/>
  <c r="S35" i="11"/>
  <c r="I35" i="55" s="1"/>
  <c r="S36" i="11"/>
  <c r="I36" i="55" s="1"/>
  <c r="S37" i="11"/>
  <c r="I37" i="55" s="1"/>
  <c r="S38" i="11"/>
  <c r="I38" i="55" s="1"/>
  <c r="S39" i="11"/>
  <c r="I39" i="55" s="1"/>
  <c r="S40" i="11"/>
  <c r="I40" i="55" s="1"/>
  <c r="S41" i="11"/>
  <c r="I41" i="55" s="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H23" i="55" s="1"/>
  <c r="J24" i="11"/>
  <c r="H24" i="55" s="1"/>
  <c r="J25" i="11"/>
  <c r="H25" i="55" s="1"/>
  <c r="J26" i="11"/>
  <c r="H26" i="55" s="1"/>
  <c r="J27" i="11"/>
  <c r="H27" i="55" s="1"/>
  <c r="J28" i="11"/>
  <c r="H28" i="55" s="1"/>
  <c r="J29" i="11"/>
  <c r="H29" i="55" s="1"/>
  <c r="J30" i="11"/>
  <c r="H30" i="55" s="1"/>
  <c r="J31" i="11"/>
  <c r="H31" i="55" s="1"/>
  <c r="J32" i="11"/>
  <c r="H32" i="55" s="1"/>
  <c r="J33" i="11"/>
  <c r="H33" i="55" s="1"/>
  <c r="J34" i="11"/>
  <c r="H34" i="55" s="1"/>
  <c r="J35" i="11"/>
  <c r="H35" i="55" s="1"/>
  <c r="J36" i="11"/>
  <c r="H36" i="55" s="1"/>
  <c r="J37" i="11"/>
  <c r="H37" i="55" s="1"/>
  <c r="J38" i="11"/>
  <c r="H38" i="55" s="1"/>
  <c r="J39" i="11"/>
  <c r="H39" i="55" s="1"/>
  <c r="J40" i="11"/>
  <c r="H40" i="55" s="1"/>
  <c r="J41" i="11"/>
  <c r="H41" i="55" s="1"/>
  <c r="J2" i="11"/>
  <c r="H2" i="55" s="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B2" i="55" s="1"/>
  <c r="R2" i="11"/>
  <c r="C2" i="55" s="1"/>
  <c r="R41" i="11"/>
  <c r="C41" i="55" s="1"/>
  <c r="R40" i="11"/>
  <c r="C40" i="55" s="1"/>
  <c r="R39" i="11"/>
  <c r="C39" i="55" s="1"/>
  <c r="R38" i="11"/>
  <c r="C38" i="55" s="1"/>
  <c r="R37" i="11"/>
  <c r="C37" i="55" s="1"/>
  <c r="R36" i="11"/>
  <c r="C36" i="55" s="1"/>
  <c r="R35" i="11"/>
  <c r="C35" i="55" s="1"/>
  <c r="R34" i="11"/>
  <c r="C34" i="55" s="1"/>
  <c r="R33" i="11"/>
  <c r="C33" i="55" s="1"/>
  <c r="R32" i="11"/>
  <c r="C32" i="55" s="1"/>
  <c r="R31" i="11"/>
  <c r="C31" i="55" s="1"/>
  <c r="R30" i="11"/>
  <c r="C30" i="55" s="1"/>
  <c r="R29" i="11"/>
  <c r="C29" i="55" s="1"/>
  <c r="R28" i="11"/>
  <c r="C28" i="55" s="1"/>
  <c r="R27" i="11"/>
  <c r="C27" i="55" s="1"/>
  <c r="R26" i="11"/>
  <c r="C26" i="55" s="1"/>
  <c r="R25" i="11"/>
  <c r="C25" i="55" s="1"/>
  <c r="R24" i="11"/>
  <c r="C24" i="55" s="1"/>
  <c r="R23" i="11"/>
  <c r="C23" i="55" s="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  <c r="O2" i="55" l="1"/>
  <c r="P2" i="55"/>
</calcChain>
</file>

<file path=xl/sharedStrings.xml><?xml version="1.0" encoding="utf-8"?>
<sst xmlns="http://schemas.openxmlformats.org/spreadsheetml/2006/main" count="438" uniqueCount="370">
  <si>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</si>
  <si>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</si>
  <si>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</si>
  <si>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</si>
  <si>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</si>
  <si>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</si>
  <si>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</si>
  <si>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</si>
  <si>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</si>
  <si>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</si>
  <si>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</si>
  <si>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</si>
  <si>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</si>
  <si>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</si>
  <si>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</si>
  <si>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</si>
  <si>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</si>
  <si>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</si>
  <si>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</si>
  <si>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</si>
  <si>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</si>
  <si>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</si>
  <si>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</si>
  <si>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</si>
  <si>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</si>
  <si>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</si>
  <si>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</si>
  <si>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</si>
  <si>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</si>
  <si>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</si>
  <si>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</si>
  <si>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</si>
  <si>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</si>
  <si>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</si>
  <si>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</si>
  <si>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</si>
  <si>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</si>
  <si>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</si>
  <si>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</si>
  <si>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</si>
  <si>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</si>
  <si>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</si>
  <si>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</si>
  <si>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</si>
  <si>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</si>
  <si>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</si>
  <si>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</si>
  <si>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</si>
  <si>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</si>
  <si>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</si>
  <si>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</si>
  <si>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</si>
  <si>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</si>
  <si>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</si>
  <si>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</si>
  <si>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</si>
  <si>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</si>
  <si>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z</t>
  </si>
  <si>
    <t>shock theta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</si>
  <si>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</si>
  <si>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</si>
  <si>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</si>
  <si>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</si>
  <si>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</si>
  <si>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</si>
  <si>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</si>
  <si>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</si>
  <si>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</si>
  <si>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</si>
  <si>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</si>
  <si>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</si>
  <si>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</si>
  <si>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</si>
  <si>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</si>
  <si>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</si>
  <si>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</si>
  <si>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</si>
  <si>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</si>
  <si>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</si>
  <si>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</si>
  <si>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</si>
  <si>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</si>
  <si>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</si>
  <si>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</si>
  <si>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</si>
  <si>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</si>
  <si>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</si>
  <si>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</si>
  <si>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</si>
  <si>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</si>
  <si>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</si>
  <si>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</si>
  <si>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</si>
  <si>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</si>
  <si>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</si>
  <si>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</si>
  <si>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</si>
  <si>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</si>
  <si>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</si>
  <si>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</si>
  <si>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</si>
  <si>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</si>
  <si>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</si>
  <si>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</si>
  <si>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</si>
  <si>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</si>
  <si>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</si>
  <si>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</si>
  <si>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</si>
  <si>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</si>
  <si>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</si>
  <si>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</si>
  <si>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</si>
  <si>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</si>
  <si>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</si>
  <si>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</si>
  <si>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</si>
  <si>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</si>
  <si>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</si>
  <si>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</si>
  <si>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</si>
  <si>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</si>
  <si>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</si>
  <si>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</si>
  <si>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</si>
  <si>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</si>
  <si>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</si>
  <si>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</si>
  <si>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</si>
  <si>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</si>
  <si>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</si>
  <si>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</si>
  <si>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</si>
  <si>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</si>
  <si>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</si>
  <si>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</si>
  <si>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</si>
  <si>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</si>
  <si>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</si>
  <si>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</si>
  <si>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</si>
  <si>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</si>
  <si>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</si>
  <si>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</si>
  <si>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</si>
  <si>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</si>
  <si>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</si>
  <si>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</si>
  <si>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</si>
  <si>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</si>
  <si>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</si>
  <si>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</si>
  <si>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</si>
  <si>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</si>
  <si>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</si>
  <si>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</si>
  <si>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</si>
  <si>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</si>
  <si>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</si>
  <si>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</si>
  <si>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</si>
  <si>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</si>
  <si>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</si>
  <si>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</si>
  <si>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</si>
  <si>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</si>
  <si>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</si>
  <si>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</si>
  <si>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</si>
  <si>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</si>
  <si>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</si>
  <si>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</si>
  <si>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</si>
  <si>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</si>
  <si>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</si>
  <si>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</si>
  <si>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</si>
  <si>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</si>
  <si>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</si>
  <si>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</si>
  <si>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</si>
  <si>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</si>
  <si>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</si>
  <si>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</si>
  <si>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</si>
  <si>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</si>
  <si>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</si>
  <si>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</si>
  <si>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</si>
  <si>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</si>
  <si>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</si>
  <si>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</si>
  <si>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</si>
  <si>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</si>
  <si>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</si>
  <si>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</si>
  <si>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</si>
  <si>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</si>
  <si>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</si>
  <si>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</si>
  <si>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</si>
  <si>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</si>
  <si>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</si>
  <si>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</si>
  <si>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</si>
  <si>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</si>
  <si>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</si>
  <si>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</si>
  <si>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</si>
  <si>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</si>
  <si>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</si>
  <si>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</si>
  <si>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</si>
  <si>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</si>
  <si>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</si>
  <si>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</si>
  <si>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</si>
  <si>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</si>
  <si>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</si>
  <si>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</si>
  <si>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</si>
  <si>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</si>
  <si>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</si>
  <si>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</si>
  <si>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</si>
  <si>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</si>
  <si>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</si>
  <si>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</si>
  <si>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</si>
  <si>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</si>
  <si>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</si>
  <si>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</si>
  <si>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</si>
  <si>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</si>
  <si>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</si>
  <si>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</si>
  <si>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</si>
  <si>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</si>
  <si>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</si>
  <si>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</si>
  <si>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</si>
  <si>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</si>
  <si>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</si>
  <si>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</si>
  <si>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</si>
  <si>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</si>
  <si>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</si>
  <si>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</si>
  <si>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</si>
  <si>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</si>
  <si>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</si>
  <si>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</si>
  <si>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</si>
  <si>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</si>
  <si>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</si>
  <si>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</si>
  <si>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</si>
  <si>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</si>
  <si>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</si>
  <si>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</si>
  <si>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</si>
  <si>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</si>
  <si>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</si>
  <si>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</si>
  <si>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</si>
  <si>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</si>
  <si>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</si>
  <si>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</si>
  <si>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</si>
  <si>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</si>
  <si>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</si>
  <si>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</si>
  <si>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</si>
  <si>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</si>
  <si>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</si>
  <si>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</si>
  <si>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</si>
  <si>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</si>
  <si>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</si>
  <si>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</si>
  <si>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</si>
  <si>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</si>
  <si>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</si>
  <si>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</si>
  <si>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</si>
  <si>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</si>
  <si>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</si>
  <si>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</si>
  <si>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</si>
  <si>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total firms for normalization</t>
  </si>
  <si>
    <t>Firm exit by age</t>
  </si>
  <si>
    <t>b) 1</t>
  </si>
  <si>
    <t>c) 2</t>
  </si>
  <si>
    <t>d) 3</t>
  </si>
  <si>
    <t>e) 4</t>
  </si>
  <si>
    <t>f) 5</t>
  </si>
  <si>
    <t>g) 6 to 10</t>
  </si>
  <si>
    <t>h) 11 to 15</t>
  </si>
  <si>
    <t>i) 16 to 20</t>
  </si>
  <si>
    <t>21 plus</t>
  </si>
  <si>
    <t>model</t>
  </si>
  <si>
    <t>output no exit</t>
  </si>
  <si>
    <t>employment no exit</t>
  </si>
  <si>
    <t>investment no exit</t>
  </si>
  <si>
    <t>firm debt no exit</t>
  </si>
  <si>
    <t>output</t>
  </si>
  <si>
    <t>employment</t>
  </si>
  <si>
    <t>output no entry</t>
  </si>
  <si>
    <t>employment no entry</t>
  </si>
  <si>
    <t>investment no entry</t>
  </si>
  <si>
    <t>firm debt no entry</t>
  </si>
  <si>
    <t>output no entry or exit</t>
  </si>
  <si>
    <t>employment no entry or exit</t>
  </si>
  <si>
    <t>investment no entry or exit</t>
  </si>
  <si>
    <t>firm debt no entry or exit</t>
  </si>
  <si>
    <t>output_loss_entry</t>
  </si>
  <si>
    <t>employment_loss_entry</t>
  </si>
  <si>
    <t>investment_loss_entry</t>
  </si>
  <si>
    <t>debt_loss_entry</t>
  </si>
  <si>
    <t>output_gain_entry</t>
  </si>
  <si>
    <t>employment_gain_entry</t>
  </si>
  <si>
    <t>investment_gain_entry</t>
  </si>
  <si>
    <t>debt_gain_entry</t>
  </si>
  <si>
    <t>output_loss_incumbent</t>
  </si>
  <si>
    <t>employment_loss_incumbent</t>
  </si>
  <si>
    <t>investment_loss_incumbent</t>
  </si>
  <si>
    <t>debt_loss_incumbent</t>
  </si>
  <si>
    <t>output_gain_incumbent</t>
  </si>
  <si>
    <t>employment_gain_incumbent</t>
  </si>
  <si>
    <t>investment_gain_incumbent</t>
  </si>
  <si>
    <t>debt_gain_incumbent</t>
  </si>
  <si>
    <t>gdp_1</t>
  </si>
  <si>
    <t>h_1</t>
  </si>
  <si>
    <t>inv_1</t>
  </si>
  <si>
    <t>firm_debt_2</t>
  </si>
  <si>
    <t>gdp_t</t>
  </si>
  <si>
    <t>h_t</t>
  </si>
  <si>
    <t>inv_t</t>
  </si>
  <si>
    <t>firm_debt_t</t>
  </si>
  <si>
    <t>peroid</t>
  </si>
  <si>
    <t>no exit</t>
  </si>
  <si>
    <t>benchmark</t>
  </si>
  <si>
    <t>no entry</t>
  </si>
  <si>
    <t>no entry or exit</t>
  </si>
  <si>
    <t>output net entry</t>
  </si>
  <si>
    <t>employment net entry</t>
  </si>
  <si>
    <t>investment net entry</t>
  </si>
  <si>
    <t>firm debt net entry</t>
  </si>
  <si>
    <t>output net incumbent</t>
  </si>
  <si>
    <t>employment net incumbent</t>
  </si>
  <si>
    <t>investment net incumbent</t>
  </si>
  <si>
    <t>firm debt net incumbent</t>
  </si>
  <si>
    <t>output net exit</t>
  </si>
  <si>
    <t>employment net exit</t>
  </si>
  <si>
    <t>investment net exit</t>
  </si>
  <si>
    <t>firm debt net exit</t>
  </si>
  <si>
    <t>Firms by age</t>
  </si>
  <si>
    <t>Date</t>
  </si>
  <si>
    <t>Firm exit by age paper</t>
  </si>
  <si>
    <t>output z and theta</t>
  </si>
  <si>
    <t>employment z and theta</t>
  </si>
  <si>
    <t>firm debt to output z and theta</t>
  </si>
  <si>
    <t>firm entry z and theta</t>
  </si>
  <si>
    <t>firm exit z and theta</t>
  </si>
  <si>
    <t>consumption z and theta</t>
  </si>
  <si>
    <t>investment z and theta</t>
  </si>
  <si>
    <t>Input for Figure 10a</t>
  </si>
  <si>
    <t>labor productivity z and theta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</si>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</sst>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  <xf numFmtId="165" fontId="1" fillId="0" borderId="0" xfId="0" applyNumberFormat="1" applyFont="1"/>
    <xf numFmtId="0" fontId="3" fillId="2" borderId="0" xfId="0" applyFont="1" applyFill="1"/>
    <xf numFmtId="0" fontId="3" fillId="2" borderId="0" xfId="0" applyFont="1" applyFill="1" applyAlignment="1">
      <alignment horizontal="left"/>
    </xf>
    <xf numFmtId="165" fontId="3" fillId="2" borderId="0" xfId="0" applyNumberFormat="1" applyFont="1" applyFill="1"/>
    <xf numFmtId="1" fontId="3" fillId="2" borderId="0" xfId="0" applyNumberFormat="1" applyFont="1" applyFill="1"/>
    <xf numFmtId="2" fontId="3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output_transition_firms_age!$JW$7</c:f>
              <c:strCache>
                <c:ptCount val="1"/>
                <c:pt idx="0">
                  <c:v>b)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output_transition_firms_age!$JK$8:$JK$23</c:f>
              <c:numCache>
                <c:formatCode>General</c:formatCode>
                <c:ptCount val="16"/>
                <c:pt idx="0">
                  <c:v>2007.75</c:v>
                </c:pt>
                <c:pt idx="1">
                  <c:v>2008</c:v>
                </c:pt>
                <c:pt idx="2">
                  <c:v>2008.25</c:v>
                </c:pt>
                <c:pt idx="3">
                  <c:v>2008.5</c:v>
                </c:pt>
                <c:pt idx="4">
                  <c:v>2008.75</c:v>
                </c:pt>
                <c:pt idx="5">
                  <c:v>2009</c:v>
                </c:pt>
                <c:pt idx="6">
                  <c:v>2009.25</c:v>
                </c:pt>
                <c:pt idx="7">
                  <c:v>2009.5</c:v>
                </c:pt>
                <c:pt idx="8">
                  <c:v>2009.75</c:v>
                </c:pt>
                <c:pt idx="9">
                  <c:v>2010</c:v>
                </c:pt>
                <c:pt idx="10">
                  <c:v>2010.25</c:v>
                </c:pt>
                <c:pt idx="11">
                  <c:v>2010.5</c:v>
                </c:pt>
                <c:pt idx="12">
                  <c:v>2010.75</c:v>
                </c:pt>
                <c:pt idx="13">
                  <c:v>2011</c:v>
                </c:pt>
                <c:pt idx="14">
                  <c:v>2011.25</c:v>
                </c:pt>
                <c:pt idx="15">
                  <c:v>2011.5</c:v>
                </c:pt>
              </c:numCache>
            </c:numRef>
          </c:xVal>
          <c:yVal>
            <c:numRef>
              <c:f>output_transition_firms_age!$JW$8:$JW$23</c:f>
              <c:numCache>
                <c:formatCode>General</c:formatCode>
                <c:ptCount val="16"/>
                <c:pt idx="0">
                  <c:v>0</c:v>
                </c:pt>
                <c:pt idx="1">
                  <c:v>0.41592881923502389</c:v>
                </c:pt>
                <c:pt idx="2">
                  <c:v>3.3701828699313374</c:v>
                </c:pt>
                <c:pt idx="3">
                  <c:v>5.5151178983971469</c:v>
                </c:pt>
                <c:pt idx="4">
                  <c:v>6.875052377081353</c:v>
                </c:pt>
                <c:pt idx="5">
                  <c:v>5.4726960588930602</c:v>
                </c:pt>
                <c:pt idx="6">
                  <c:v>2.4554809951840113</c:v>
                </c:pt>
                <c:pt idx="7">
                  <c:v>0.34566011189988544</c:v>
                </c:pt>
                <c:pt idx="8">
                  <c:v>-0.92345361902255618</c:v>
                </c:pt>
                <c:pt idx="9">
                  <c:v>-0.31174699456040145</c:v>
                </c:pt>
                <c:pt idx="10">
                  <c:v>-0.10138182403333929</c:v>
                </c:pt>
                <c:pt idx="11">
                  <c:v>0.3574635898996803</c:v>
                </c:pt>
                <c:pt idx="12">
                  <c:v>0.58661651935475589</c:v>
                </c:pt>
                <c:pt idx="13">
                  <c:v>0.7049474925789454</c:v>
                </c:pt>
                <c:pt idx="14">
                  <c:v>0.73793551827136383</c:v>
                </c:pt>
                <c:pt idx="15">
                  <c:v>0.83723937058793751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E4-4C81-828B-276435BE5E5A}"/>
            </c:ext>
          </c:extLst>
        </c:ser>
        <c:ser>
          <c:idx val="1"/>
          <c:order val="1"/>
          <c:tx>
            <c:strRef>
              <c:f>output_transition_firms_age!$JX$7</c:f>
              <c:strCache>
                <c:ptCount val="1"/>
                <c:pt idx="0">
                  <c:v>c)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output_transition_firms_age!$JK$8:$JK$23</c:f>
              <c:numCache>
                <c:formatCode>General</c:formatCode>
                <c:ptCount val="16"/>
                <c:pt idx="0">
                  <c:v>2007.75</c:v>
                </c:pt>
                <c:pt idx="1">
                  <c:v>2008</c:v>
                </c:pt>
                <c:pt idx="2">
                  <c:v>2008.25</c:v>
                </c:pt>
                <c:pt idx="3">
                  <c:v>2008.5</c:v>
                </c:pt>
                <c:pt idx="4">
                  <c:v>2008.75</c:v>
                </c:pt>
                <c:pt idx="5">
                  <c:v>2009</c:v>
                </c:pt>
                <c:pt idx="6">
                  <c:v>2009.25</c:v>
                </c:pt>
                <c:pt idx="7">
                  <c:v>2009.5</c:v>
                </c:pt>
                <c:pt idx="8">
                  <c:v>2009.75</c:v>
                </c:pt>
                <c:pt idx="9">
                  <c:v>2010</c:v>
                </c:pt>
                <c:pt idx="10">
                  <c:v>2010.25</c:v>
                </c:pt>
                <c:pt idx="11">
                  <c:v>2010.5</c:v>
                </c:pt>
                <c:pt idx="12">
                  <c:v>2010.75</c:v>
                </c:pt>
                <c:pt idx="13">
                  <c:v>2011</c:v>
                </c:pt>
                <c:pt idx="14">
                  <c:v>2011.25</c:v>
                </c:pt>
                <c:pt idx="15">
                  <c:v>2011.5</c:v>
                </c:pt>
              </c:numCache>
            </c:numRef>
          </c:xVal>
          <c:yVal>
            <c:numRef>
              <c:f>output_transition_firms_age!$JX$8:$JX$23</c:f>
              <c:numCache>
                <c:formatCode>General</c:formatCode>
                <c:ptCount val="16"/>
                <c:pt idx="0">
                  <c:v>0</c:v>
                </c:pt>
                <c:pt idx="1">
                  <c:v>0.28471190657344891</c:v>
                </c:pt>
                <c:pt idx="2">
                  <c:v>2.2848608833119179</c:v>
                </c:pt>
                <c:pt idx="3">
                  <c:v>4.1122961111397736</c:v>
                </c:pt>
                <c:pt idx="4">
                  <c:v>5.3580346278169486</c:v>
                </c:pt>
                <c:pt idx="5">
                  <c:v>5.6901359728258605</c:v>
                </c:pt>
                <c:pt idx="6">
                  <c:v>3.8465414653251564</c:v>
                </c:pt>
                <c:pt idx="7">
                  <c:v>2.5129113742519635</c:v>
                </c:pt>
                <c:pt idx="8">
                  <c:v>1.7777369419147036</c:v>
                </c:pt>
                <c:pt idx="9">
                  <c:v>0.49921675136534205</c:v>
                </c:pt>
                <c:pt idx="10">
                  <c:v>0.1532351718449334</c:v>
                </c:pt>
                <c:pt idx="11">
                  <c:v>-5.4955503159312968E-3</c:v>
                </c:pt>
                <c:pt idx="12">
                  <c:v>-0.44636642013307082</c:v>
                </c:pt>
                <c:pt idx="13">
                  <c:v>-2.1361071873755577E-2</c:v>
                </c:pt>
                <c:pt idx="14">
                  <c:v>0.24358748495611948</c:v>
                </c:pt>
                <c:pt idx="15">
                  <c:v>0.43584224411253913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E4-4C81-828B-276435BE5E5A}"/>
            </c:ext>
          </c:extLst>
        </c:ser>
        <c:ser>
          <c:idx val="2"/>
          <c:order val="2"/>
          <c:tx>
            <c:strRef>
              <c:f>output_transition_firms_age!$JY$7</c:f>
              <c:strCache>
                <c:ptCount val="1"/>
                <c:pt idx="0">
                  <c:v>d)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output_transition_firms_age!$JK$8:$JK$23</c:f>
              <c:numCache>
                <c:formatCode>General</c:formatCode>
                <c:ptCount val="16"/>
                <c:pt idx="0">
                  <c:v>2007.75</c:v>
                </c:pt>
                <c:pt idx="1">
                  <c:v>2008</c:v>
                </c:pt>
                <c:pt idx="2">
                  <c:v>2008.25</c:v>
                </c:pt>
                <c:pt idx="3">
                  <c:v>2008.5</c:v>
                </c:pt>
                <c:pt idx="4">
                  <c:v>2008.75</c:v>
                </c:pt>
                <c:pt idx="5">
                  <c:v>2009</c:v>
                </c:pt>
                <c:pt idx="6">
                  <c:v>2009.25</c:v>
                </c:pt>
                <c:pt idx="7">
                  <c:v>2009.5</c:v>
                </c:pt>
                <c:pt idx="8">
                  <c:v>2009.75</c:v>
                </c:pt>
                <c:pt idx="9">
                  <c:v>2010</c:v>
                </c:pt>
                <c:pt idx="10">
                  <c:v>2010.25</c:v>
                </c:pt>
                <c:pt idx="11">
                  <c:v>2010.5</c:v>
                </c:pt>
                <c:pt idx="12">
                  <c:v>2010.75</c:v>
                </c:pt>
                <c:pt idx="13">
                  <c:v>2011</c:v>
                </c:pt>
                <c:pt idx="14">
                  <c:v>2011.25</c:v>
                </c:pt>
                <c:pt idx="15">
                  <c:v>2011.5</c:v>
                </c:pt>
              </c:numCache>
            </c:numRef>
          </c:xVal>
          <c:yVal>
            <c:numRef>
              <c:f>output_transition_firms_age!$JY$8:$JY$23</c:f>
              <c:numCache>
                <c:formatCode>General</c:formatCode>
                <c:ptCount val="16"/>
                <c:pt idx="0">
                  <c:v>0</c:v>
                </c:pt>
                <c:pt idx="1">
                  <c:v>0.16464236456297954</c:v>
                </c:pt>
                <c:pt idx="2">
                  <c:v>1.6752226940528772</c:v>
                </c:pt>
                <c:pt idx="3">
                  <c:v>3.1208335309885697</c:v>
                </c:pt>
                <c:pt idx="4">
                  <c:v>4.0854430740969505</c:v>
                </c:pt>
                <c:pt idx="5">
                  <c:v>4.3468157936952281</c:v>
                </c:pt>
                <c:pt idx="6">
                  <c:v>1.9174742955670396</c:v>
                </c:pt>
                <c:pt idx="7">
                  <c:v>0.65834352943760521</c:v>
                </c:pt>
                <c:pt idx="8">
                  <c:v>0.12196361420283353</c:v>
                </c:pt>
                <c:pt idx="9">
                  <c:v>-0.15984325797464294</c:v>
                </c:pt>
                <c:pt idx="10">
                  <c:v>0.98406540379793483</c:v>
                </c:pt>
                <c:pt idx="11">
                  <c:v>1.2045002407992911</c:v>
                </c:pt>
                <c:pt idx="12">
                  <c:v>1.4634086530194708</c:v>
                </c:pt>
                <c:pt idx="13">
                  <c:v>0.85228016066283629</c:v>
                </c:pt>
                <c:pt idx="14">
                  <c:v>9.5976020423208297E-2</c:v>
                </c:pt>
                <c:pt idx="15">
                  <c:v>-0.41240313002417039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E4-4C81-828B-276435BE5E5A}"/>
            </c:ext>
          </c:extLst>
        </c:ser>
        <c:ser>
          <c:idx val="3"/>
          <c:order val="3"/>
          <c:tx>
            <c:strRef>
              <c:f>output_transition_firms_age!$JZ$7</c:f>
              <c:strCache>
                <c:ptCount val="1"/>
                <c:pt idx="0">
                  <c:v>e)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output_transition_firms_age!$JK$8:$JK$23</c:f>
              <c:numCache>
                <c:formatCode>General</c:formatCode>
                <c:ptCount val="16"/>
                <c:pt idx="0">
                  <c:v>2007.75</c:v>
                </c:pt>
                <c:pt idx="1">
                  <c:v>2008</c:v>
                </c:pt>
                <c:pt idx="2">
                  <c:v>2008.25</c:v>
                </c:pt>
                <c:pt idx="3">
                  <c:v>2008.5</c:v>
                </c:pt>
                <c:pt idx="4">
                  <c:v>2008.75</c:v>
                </c:pt>
                <c:pt idx="5">
                  <c:v>2009</c:v>
                </c:pt>
                <c:pt idx="6">
                  <c:v>2009.25</c:v>
                </c:pt>
                <c:pt idx="7">
                  <c:v>2009.5</c:v>
                </c:pt>
                <c:pt idx="8">
                  <c:v>2009.75</c:v>
                </c:pt>
                <c:pt idx="9">
                  <c:v>2010</c:v>
                </c:pt>
                <c:pt idx="10">
                  <c:v>2010.25</c:v>
                </c:pt>
                <c:pt idx="11">
                  <c:v>2010.5</c:v>
                </c:pt>
                <c:pt idx="12">
                  <c:v>2010.75</c:v>
                </c:pt>
                <c:pt idx="13">
                  <c:v>2011</c:v>
                </c:pt>
                <c:pt idx="14">
                  <c:v>2011.25</c:v>
                </c:pt>
                <c:pt idx="15">
                  <c:v>2011.5</c:v>
                </c:pt>
              </c:numCache>
            </c:numRef>
          </c:xVal>
          <c:yVal>
            <c:numRef>
              <c:f>output_transition_firms_age!$JZ$8:$JZ$23</c:f>
              <c:numCache>
                <c:formatCode>General</c:formatCode>
                <c:ptCount val="16"/>
                <c:pt idx="0">
                  <c:v>0</c:v>
                </c:pt>
                <c:pt idx="1">
                  <c:v>9.0864236129771569E-2</c:v>
                </c:pt>
                <c:pt idx="2">
                  <c:v>1.1584006513271525</c:v>
                </c:pt>
                <c:pt idx="3">
                  <c:v>2.1359911135800971</c:v>
                </c:pt>
                <c:pt idx="4">
                  <c:v>2.836782186018219</c:v>
                </c:pt>
                <c:pt idx="5">
                  <c:v>3.0347279008095214</c:v>
                </c:pt>
                <c:pt idx="6">
                  <c:v>1.2419829080594198</c:v>
                </c:pt>
                <c:pt idx="7">
                  <c:v>0.29756235939863984</c:v>
                </c:pt>
                <c:pt idx="8">
                  <c:v>-0.17880038227955275</c:v>
                </c:pt>
                <c:pt idx="9">
                  <c:v>-0.30200872425018233</c:v>
                </c:pt>
                <c:pt idx="10">
                  <c:v>0.19503203225703913</c:v>
                </c:pt>
                <c:pt idx="11">
                  <c:v>0.27761023637414084</c:v>
                </c:pt>
                <c:pt idx="12">
                  <c:v>0.40958340267069104</c:v>
                </c:pt>
                <c:pt idx="13">
                  <c:v>0.46607433740818749</c:v>
                </c:pt>
                <c:pt idx="14">
                  <c:v>0.77007666677781117</c:v>
                </c:pt>
                <c:pt idx="15">
                  <c:v>0.78380143631748922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E4-4C81-828B-276435BE5E5A}"/>
            </c:ext>
          </c:extLst>
        </c:ser>
        <c:ser>
          <c:idx val="4"/>
          <c:order val="4"/>
          <c:tx>
            <c:strRef>
              <c:f>output_transition_firms_age!$KA$7</c:f>
              <c:strCache>
                <c:ptCount val="1"/>
                <c:pt idx="0">
                  <c:v>f)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output_transition_firms_age!$JK$8:$JK$23</c:f>
              <c:numCache>
                <c:formatCode>General</c:formatCode>
                <c:ptCount val="16"/>
                <c:pt idx="0">
                  <c:v>2007.75</c:v>
                </c:pt>
                <c:pt idx="1">
                  <c:v>2008</c:v>
                </c:pt>
                <c:pt idx="2">
                  <c:v>2008.25</c:v>
                </c:pt>
                <c:pt idx="3">
                  <c:v>2008.5</c:v>
                </c:pt>
                <c:pt idx="4">
                  <c:v>2008.75</c:v>
                </c:pt>
                <c:pt idx="5">
                  <c:v>2009</c:v>
                </c:pt>
                <c:pt idx="6">
                  <c:v>2009.25</c:v>
                </c:pt>
                <c:pt idx="7">
                  <c:v>2009.5</c:v>
                </c:pt>
                <c:pt idx="8">
                  <c:v>2009.75</c:v>
                </c:pt>
                <c:pt idx="9">
                  <c:v>2010</c:v>
                </c:pt>
                <c:pt idx="10">
                  <c:v>2010.25</c:v>
                </c:pt>
                <c:pt idx="11">
                  <c:v>2010.5</c:v>
                </c:pt>
                <c:pt idx="12">
                  <c:v>2010.75</c:v>
                </c:pt>
                <c:pt idx="13">
                  <c:v>2011</c:v>
                </c:pt>
                <c:pt idx="14">
                  <c:v>2011.25</c:v>
                </c:pt>
                <c:pt idx="15">
                  <c:v>2011.5</c:v>
                </c:pt>
              </c:numCache>
            </c:numRef>
          </c:xVal>
          <c:yVal>
            <c:numRef>
              <c:f>output_transition_firms_age!$KA$8:$KA$23</c:f>
              <c:numCache>
                <c:formatCode>General</c:formatCode>
                <c:ptCount val="16"/>
                <c:pt idx="0">
                  <c:v>0</c:v>
                </c:pt>
                <c:pt idx="1">
                  <c:v>4.9484488068406662E-2</c:v>
                </c:pt>
                <c:pt idx="2">
                  <c:v>0.7453548754069228</c:v>
                </c:pt>
                <c:pt idx="3">
                  <c:v>1.3831084148422423</c:v>
                </c:pt>
                <c:pt idx="4">
                  <c:v>1.8779429484324091</c:v>
                </c:pt>
                <c:pt idx="5">
                  <c:v>2.0163617976106885</c:v>
                </c:pt>
                <c:pt idx="6">
                  <c:v>0.7669668495025963</c:v>
                </c:pt>
                <c:pt idx="7">
                  <c:v>8.6821891623522163E-2</c:v>
                </c:pt>
                <c:pt idx="8">
                  <c:v>-0.35504242059591107</c:v>
                </c:pt>
                <c:pt idx="9">
                  <c:v>-0.40021944960703237</c:v>
                </c:pt>
                <c:pt idx="10">
                  <c:v>-6.2667983868896826E-2</c:v>
                </c:pt>
                <c:pt idx="11">
                  <c:v>5.9946612630010776E-3</c:v>
                </c:pt>
                <c:pt idx="12">
                  <c:v>0.10957743951534127</c:v>
                </c:pt>
                <c:pt idx="13">
                  <c:v>0.16138466413607055</c:v>
                </c:pt>
                <c:pt idx="14">
                  <c:v>0.15321512998392173</c:v>
                </c:pt>
                <c:pt idx="15">
                  <c:v>0.1455949878755689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E4-4C81-828B-276435BE5E5A}"/>
            </c:ext>
          </c:extLst>
        </c:ser>
        <c:ser>
          <c:idx val="5"/>
          <c:order val="5"/>
          <c:tx>
            <c:strRef>
              <c:f>output_transition_firms_age!$KB$7</c:f>
              <c:strCache>
                <c:ptCount val="1"/>
                <c:pt idx="0">
                  <c:v>g) 6 to 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output_transition_firms_age!$JK$8:$JK$23</c:f>
              <c:numCache>
                <c:formatCode>General</c:formatCode>
                <c:ptCount val="16"/>
                <c:pt idx="0">
                  <c:v>2007.75</c:v>
                </c:pt>
                <c:pt idx="1">
                  <c:v>2008</c:v>
                </c:pt>
                <c:pt idx="2">
                  <c:v>2008.25</c:v>
                </c:pt>
                <c:pt idx="3">
                  <c:v>2008.5</c:v>
                </c:pt>
                <c:pt idx="4">
                  <c:v>2008.75</c:v>
                </c:pt>
                <c:pt idx="5">
                  <c:v>2009</c:v>
                </c:pt>
                <c:pt idx="6">
                  <c:v>2009.25</c:v>
                </c:pt>
                <c:pt idx="7">
                  <c:v>2009.5</c:v>
                </c:pt>
                <c:pt idx="8">
                  <c:v>2009.75</c:v>
                </c:pt>
                <c:pt idx="9">
                  <c:v>2010</c:v>
                </c:pt>
                <c:pt idx="10">
                  <c:v>2010.25</c:v>
                </c:pt>
                <c:pt idx="11">
                  <c:v>2010.5</c:v>
                </c:pt>
                <c:pt idx="12">
                  <c:v>2010.75</c:v>
                </c:pt>
                <c:pt idx="13">
                  <c:v>2011</c:v>
                </c:pt>
                <c:pt idx="14">
                  <c:v>2011.25</c:v>
                </c:pt>
                <c:pt idx="15">
                  <c:v>2011.5</c:v>
                </c:pt>
              </c:numCache>
            </c:numRef>
          </c:xVal>
          <c:yVal>
            <c:numRef>
              <c:f>output_transition_firms_age!$KB$8:$KB$23</c:f>
              <c:numCache>
                <c:formatCode>General</c:formatCode>
                <c:ptCount val="16"/>
                <c:pt idx="0">
                  <c:v>0</c:v>
                </c:pt>
                <c:pt idx="1">
                  <c:v>1.3997783409841702E-2</c:v>
                </c:pt>
                <c:pt idx="2">
                  <c:v>8.3569846310647122E-2</c:v>
                </c:pt>
                <c:pt idx="3">
                  <c:v>0.22370919257384081</c:v>
                </c:pt>
                <c:pt idx="4">
                  <c:v>0.35917207129788942</c:v>
                </c:pt>
                <c:pt idx="5">
                  <c:v>0.34752895439715559</c:v>
                </c:pt>
                <c:pt idx="6">
                  <c:v>1.3431284246845365E-3</c:v>
                </c:pt>
                <c:pt idx="7">
                  <c:v>-0.26669967058409938</c:v>
                </c:pt>
                <c:pt idx="8">
                  <c:v>-0.51098194515584439</c:v>
                </c:pt>
                <c:pt idx="9">
                  <c:v>-0.48395862503327258</c:v>
                </c:pt>
                <c:pt idx="10">
                  <c:v>-0.35851732541084047</c:v>
                </c:pt>
                <c:pt idx="11">
                  <c:v>-0.30207930161784979</c:v>
                </c:pt>
                <c:pt idx="12">
                  <c:v>-0.20563225683969222</c:v>
                </c:pt>
                <c:pt idx="13">
                  <c:v>-0.19684302989004543</c:v>
                </c:pt>
                <c:pt idx="14">
                  <c:v>-0.20033784808302535</c:v>
                </c:pt>
                <c:pt idx="15">
                  <c:v>-0.2016807777718963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EE4-4C81-828B-276435BE5E5A}"/>
            </c:ext>
          </c:extLst>
        </c:ser>
        <c:ser>
          <c:idx val="6"/>
          <c:order val="6"/>
          <c:tx>
            <c:strRef>
              <c:f>output_transition_firms_age!$KC$7</c:f>
              <c:strCache>
                <c:ptCount val="1"/>
                <c:pt idx="0">
                  <c:v>h) 11 to 15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output_transition_firms_age!$JK$8:$JK$23</c:f>
              <c:numCache>
                <c:formatCode>General</c:formatCode>
                <c:ptCount val="16"/>
                <c:pt idx="0">
                  <c:v>2007.75</c:v>
                </c:pt>
                <c:pt idx="1">
                  <c:v>2008</c:v>
                </c:pt>
                <c:pt idx="2">
                  <c:v>2008.25</c:v>
                </c:pt>
                <c:pt idx="3">
                  <c:v>2008.5</c:v>
                </c:pt>
                <c:pt idx="4">
                  <c:v>2008.75</c:v>
                </c:pt>
                <c:pt idx="5">
                  <c:v>2009</c:v>
                </c:pt>
                <c:pt idx="6">
                  <c:v>2009.25</c:v>
                </c:pt>
                <c:pt idx="7">
                  <c:v>2009.5</c:v>
                </c:pt>
                <c:pt idx="8">
                  <c:v>2009.75</c:v>
                </c:pt>
                <c:pt idx="9">
                  <c:v>2010</c:v>
                </c:pt>
                <c:pt idx="10">
                  <c:v>2010.25</c:v>
                </c:pt>
                <c:pt idx="11">
                  <c:v>2010.5</c:v>
                </c:pt>
                <c:pt idx="12">
                  <c:v>2010.75</c:v>
                </c:pt>
                <c:pt idx="13">
                  <c:v>2011</c:v>
                </c:pt>
                <c:pt idx="14">
                  <c:v>2011.25</c:v>
                </c:pt>
                <c:pt idx="15">
                  <c:v>2011.5</c:v>
                </c:pt>
              </c:numCache>
            </c:numRef>
          </c:xVal>
          <c:yVal>
            <c:numRef>
              <c:f>output_transition_firms_age!$KC$8:$KC$23</c:f>
              <c:numCache>
                <c:formatCode>General</c:formatCode>
                <c:ptCount val="16"/>
                <c:pt idx="0">
                  <c:v>0</c:v>
                </c:pt>
                <c:pt idx="1">
                  <c:v>4.926897163308297E-3</c:v>
                </c:pt>
                <c:pt idx="2">
                  <c:v>-0.24184900776129403</c:v>
                </c:pt>
                <c:pt idx="3">
                  <c:v>-0.37723884305343081</c:v>
                </c:pt>
                <c:pt idx="4">
                  <c:v>-0.48263299915944735</c:v>
                </c:pt>
                <c:pt idx="5">
                  <c:v>-0.6089154857229726</c:v>
                </c:pt>
                <c:pt idx="6">
                  <c:v>-0.47173446949706932</c:v>
                </c:pt>
                <c:pt idx="7">
                  <c:v>-0.46523136091185169</c:v>
                </c:pt>
                <c:pt idx="8">
                  <c:v>-0.47882784850197702</c:v>
                </c:pt>
                <c:pt idx="9">
                  <c:v>-0.4216457623958858</c:v>
                </c:pt>
                <c:pt idx="10">
                  <c:v>-0.37447355858012443</c:v>
                </c:pt>
                <c:pt idx="11">
                  <c:v>-0.32410455675448802</c:v>
                </c:pt>
                <c:pt idx="12">
                  <c:v>-0.26484203534971495</c:v>
                </c:pt>
                <c:pt idx="13">
                  <c:v>-0.25227197626111142</c:v>
                </c:pt>
                <c:pt idx="14">
                  <c:v>-0.23822421371906621</c:v>
                </c:pt>
                <c:pt idx="15">
                  <c:v>-0.23009580802564855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EE4-4C81-828B-276435BE5E5A}"/>
            </c:ext>
          </c:extLst>
        </c:ser>
        <c:ser>
          <c:idx val="7"/>
          <c:order val="7"/>
          <c:tx>
            <c:strRef>
              <c:f>output_transition_firms_age!$KD$7</c:f>
              <c:strCache>
                <c:ptCount val="1"/>
                <c:pt idx="0">
                  <c:v>i) 16 to 20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output_transition_firms_age!$JK$8:$JK$23</c:f>
              <c:numCache>
                <c:formatCode>General</c:formatCode>
                <c:ptCount val="16"/>
                <c:pt idx="0">
                  <c:v>2007.75</c:v>
                </c:pt>
                <c:pt idx="1">
                  <c:v>2008</c:v>
                </c:pt>
                <c:pt idx="2">
                  <c:v>2008.25</c:v>
                </c:pt>
                <c:pt idx="3">
                  <c:v>2008.5</c:v>
                </c:pt>
                <c:pt idx="4">
                  <c:v>2008.75</c:v>
                </c:pt>
                <c:pt idx="5">
                  <c:v>2009</c:v>
                </c:pt>
                <c:pt idx="6">
                  <c:v>2009.25</c:v>
                </c:pt>
                <c:pt idx="7">
                  <c:v>2009.5</c:v>
                </c:pt>
                <c:pt idx="8">
                  <c:v>2009.75</c:v>
                </c:pt>
                <c:pt idx="9">
                  <c:v>2010</c:v>
                </c:pt>
                <c:pt idx="10">
                  <c:v>2010.25</c:v>
                </c:pt>
                <c:pt idx="11">
                  <c:v>2010.5</c:v>
                </c:pt>
                <c:pt idx="12">
                  <c:v>2010.75</c:v>
                </c:pt>
                <c:pt idx="13">
                  <c:v>2011</c:v>
                </c:pt>
                <c:pt idx="14">
                  <c:v>2011.25</c:v>
                </c:pt>
                <c:pt idx="15">
                  <c:v>2011.5</c:v>
                </c:pt>
              </c:numCache>
            </c:numRef>
          </c:xVal>
          <c:yVal>
            <c:numRef>
              <c:f>output_transition_firms_age!$KD$8:$KD$23</c:f>
              <c:numCache>
                <c:formatCode>General</c:formatCode>
                <c:ptCount val="16"/>
                <c:pt idx="0">
                  <c:v>0</c:v>
                </c:pt>
                <c:pt idx="1">
                  <c:v>1.9954901921659385E-3</c:v>
                </c:pt>
                <c:pt idx="2">
                  <c:v>-0.27985956177159554</c:v>
                </c:pt>
                <c:pt idx="3">
                  <c:v>-0.43728461480412584</c:v>
                </c:pt>
                <c:pt idx="4">
                  <c:v>-0.50198406358340542</c:v>
                </c:pt>
                <c:pt idx="5">
                  <c:v>-0.55159248775260217</c:v>
                </c:pt>
                <c:pt idx="6">
                  <c:v>-0.32730111816205731</c:v>
                </c:pt>
                <c:pt idx="7">
                  <c:v>-0.24030505218089004</c:v>
                </c:pt>
                <c:pt idx="8">
                  <c:v>-0.22310480966013024</c:v>
                </c:pt>
                <c:pt idx="9">
                  <c:v>-0.19741630749928518</c:v>
                </c:pt>
                <c:pt idx="10">
                  <c:v>-0.17374490669804832</c:v>
                </c:pt>
                <c:pt idx="11">
                  <c:v>-0.14904433545017071</c:v>
                </c:pt>
                <c:pt idx="12">
                  <c:v>-0.12218083564780091</c:v>
                </c:pt>
                <c:pt idx="13">
                  <c:v>-0.11207226345666044</c:v>
                </c:pt>
                <c:pt idx="14">
                  <c:v>-0.10382444211803499</c:v>
                </c:pt>
                <c:pt idx="15">
                  <c:v>-9.5301237337010569E-2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EE4-4C81-828B-276435BE5E5A}"/>
            </c:ext>
          </c:extLst>
        </c:ser>
        <c:ser>
          <c:idx val="8"/>
          <c:order val="8"/>
          <c:tx>
            <c:strRef>
              <c:f>output_transition_firms_age!$KE$7</c:f>
              <c:strCache>
                <c:ptCount val="1"/>
                <c:pt idx="0">
                  <c:v>21 plus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output_transition_firms_age!$JK$8:$JK$23</c:f>
              <c:numCache>
                <c:formatCode>General</c:formatCode>
                <c:ptCount val="16"/>
                <c:pt idx="0">
                  <c:v>2007.75</c:v>
                </c:pt>
                <c:pt idx="1">
                  <c:v>2008</c:v>
                </c:pt>
                <c:pt idx="2">
                  <c:v>2008.25</c:v>
                </c:pt>
                <c:pt idx="3">
                  <c:v>2008.5</c:v>
                </c:pt>
                <c:pt idx="4">
                  <c:v>2008.75</c:v>
                </c:pt>
                <c:pt idx="5">
                  <c:v>2009</c:v>
                </c:pt>
                <c:pt idx="6">
                  <c:v>2009.25</c:v>
                </c:pt>
                <c:pt idx="7">
                  <c:v>2009.5</c:v>
                </c:pt>
                <c:pt idx="8">
                  <c:v>2009.75</c:v>
                </c:pt>
                <c:pt idx="9">
                  <c:v>2010</c:v>
                </c:pt>
                <c:pt idx="10">
                  <c:v>2010.25</c:v>
                </c:pt>
                <c:pt idx="11">
                  <c:v>2010.5</c:v>
                </c:pt>
                <c:pt idx="12">
                  <c:v>2010.75</c:v>
                </c:pt>
                <c:pt idx="13">
                  <c:v>2011</c:v>
                </c:pt>
                <c:pt idx="14">
                  <c:v>2011.25</c:v>
                </c:pt>
                <c:pt idx="15">
                  <c:v>2011.5</c:v>
                </c:pt>
              </c:numCache>
            </c:numRef>
          </c:xVal>
          <c:yVal>
            <c:numRef>
              <c:f>output_transition_firms_age!$KE$8:$KE$23</c:f>
              <c:numCache>
                <c:formatCode>General</c:formatCode>
                <c:ptCount val="16"/>
                <c:pt idx="0">
                  <c:v>0</c:v>
                </c:pt>
                <c:pt idx="1">
                  <c:v>4.3746971888936059E-4</c:v>
                </c:pt>
                <c:pt idx="2">
                  <c:v>-0.88071555632133247</c:v>
                </c:pt>
                <c:pt idx="3">
                  <c:v>-1.6206453404697707</c:v>
                </c:pt>
                <c:pt idx="4">
                  <c:v>-2.0259700769004252</c:v>
                </c:pt>
                <c:pt idx="5">
                  <c:v>-1.9970128363042203</c:v>
                </c:pt>
                <c:pt idx="6">
                  <c:v>-1.1062698846294019</c:v>
                </c:pt>
                <c:pt idx="7">
                  <c:v>-0.36097447446225761</c:v>
                </c:pt>
                <c:pt idx="8">
                  <c:v>7.9830523121803054E-2</c:v>
                </c:pt>
                <c:pt idx="9">
                  <c:v>0.19586355120770271</c:v>
                </c:pt>
                <c:pt idx="10">
                  <c:v>0.28262438945712454</c:v>
                </c:pt>
                <c:pt idx="11">
                  <c:v>0.30813036138291761</c:v>
                </c:pt>
                <c:pt idx="12">
                  <c:v>0.30305577410493711</c:v>
                </c:pt>
                <c:pt idx="13">
                  <c:v>0.20322232892980807</c:v>
                </c:pt>
                <c:pt idx="14">
                  <c:v>0.17008737788511397</c:v>
                </c:pt>
                <c:pt idx="15">
                  <c:v>0.16094268706261783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EE4-4C81-828B-276435BE5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23631"/>
        <c:axId val="1941821967"/>
      </c:scatterChart>
      <c:valAx>
        <c:axId val="1941823631"/>
        <c:scaling>
          <c:orientation val="minMax"/>
          <c:max val="2011"/>
          <c:min val="2007.75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41821967"/>
        <c:crosses val="autoZero"/>
        <c:crossBetween val="midCat"/>
      </c:valAx>
      <c:valAx>
        <c:axId val="194182196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percentage point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41823631"/>
        <c:crosses val="autoZero"/>
        <c:crossBetween val="midCat"/>
        <c:majorUnit val="2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0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66211250" y="2025650"/>
    <xdr:ext cx="8674554" cy="6293304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C00D868-238F-4282-AB74-008993DA41D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1"/>
  <sheetViews>
    <sheetView zoomScale="90" zoomScaleNormal="90" workbookViewId="0">
      <pane xSplit="1" ySplit="1" topLeftCell="S101" activePane="bottomRight" state="frozen"/>
      <selection activeCell="D22" sqref="D22"/>
      <selection pane="topRight" activeCell="D22" sqref="D22"/>
      <selection pane="bottomLeft" activeCell="D22" sqref="D22"/>
      <selection pane="bottomRight" activeCell="AF1" sqref="AF1:AG1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39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48</v>
      </c>
      <c r="H1" s="1" t="s">
        <v>49</v>
      </c>
      <c r="I1" s="1" t="s">
        <v>54</v>
      </c>
      <c r="J1" s="1" t="s">
        <v>11</v>
      </c>
      <c r="K1" s="1" t="s">
        <v>12</v>
      </c>
      <c r="L1" s="1" t="s">
        <v>10</v>
      </c>
      <c r="M1" s="1" t="s">
        <v>50</v>
      </c>
      <c r="N1" s="1" t="s">
        <v>13</v>
      </c>
      <c r="O1" s="1" t="s">
        <v>16</v>
      </c>
      <c r="P1" s="1" t="s">
        <v>18</v>
      </c>
      <c r="Q1" s="1" t="s">
        <v>5</v>
      </c>
      <c r="R1" s="1" t="s">
        <v>14</v>
      </c>
      <c r="S1" s="1" t="s">
        <v>15</v>
      </c>
      <c r="T1" s="1" t="s">
        <v>22</v>
      </c>
      <c r="U1" s="1" t="s">
        <v>17</v>
      </c>
      <c r="V1" s="1" t="s">
        <v>47</v>
      </c>
      <c r="W1" s="1" t="s">
        <v>21</v>
      </c>
      <c r="X1" s="1" t="s">
        <v>40</v>
      </c>
      <c r="Y1" s="1" t="s">
        <v>6</v>
      </c>
      <c r="Z1" s="1" t="s">
        <v>7</v>
      </c>
      <c r="AA1" s="1" t="s">
        <v>8</v>
      </c>
      <c r="AB1" s="1" t="s">
        <v>19</v>
      </c>
      <c r="AC1" s="1" t="s">
        <v>24</v>
      </c>
      <c r="AD1" s="1" t="s">
        <v>31</v>
      </c>
      <c r="AE1" s="1" t="s">
        <v>53</v>
      </c>
      <c r="AF1" s="1" t="s">
        <v>368</v>
      </c>
      <c r="AG1" s="1" t="s">
        <v>369</v>
      </c>
      <c r="AL1" s="1" t="s">
        <v>23</v>
      </c>
      <c r="AM1" s="1" t="s">
        <v>52</v>
      </c>
    </row>
    <row r="2" spans="1:39" x14ac:dyDescent="0.35">
      <c r="A2" s="1">
        <v>0</v>
      </c>
      <c r="B2" s="2">
        <v>1</v>
      </c>
      <c r="C2" s="2">
        <v>0.79263700000000004</v>
      </c>
      <c r="D2" s="2">
        <v>0.40354410000000002</v>
      </c>
      <c r="E2" s="2">
        <v>3.2342999999999998E-3</v>
      </c>
      <c r="F2" s="2">
        <v>1</v>
      </c>
      <c r="G2" s="2">
        <v>0.78018900000000002</v>
      </c>
      <c r="H2" s="2">
        <v>0</v>
      </c>
      <c r="I2" s="2">
        <v>0</v>
      </c>
      <c r="J2" s="2">
        <v>2.5286658000000002</v>
      </c>
      <c r="K2" s="2">
        <v>0.99755099999999997</v>
      </c>
      <c r="L2" s="2">
        <v>-4.5981648000000002</v>
      </c>
      <c r="M2" s="2">
        <v>1.0101000000000001E-2</v>
      </c>
      <c r="N2" s="2">
        <v>2.0018584000000001</v>
      </c>
      <c r="O2" s="2">
        <v>0.55909600000000004</v>
      </c>
      <c r="P2" s="9">
        <v>1.0654E-2</v>
      </c>
      <c r="Q2" s="9">
        <v>0.3604869</v>
      </c>
      <c r="R2" s="2">
        <v>3.0906913999999999</v>
      </c>
      <c r="S2" s="2">
        <v>0.55328379999999999</v>
      </c>
      <c r="T2" s="2">
        <v>-1</v>
      </c>
      <c r="U2" s="2">
        <v>1.0653899999999999E-2</v>
      </c>
      <c r="V2" s="2">
        <v>0</v>
      </c>
      <c r="W2" s="2">
        <v>2.6877955999999998</v>
      </c>
      <c r="X2" s="2">
        <v>0.64611940000000001</v>
      </c>
      <c r="Y2" s="2">
        <v>0</v>
      </c>
      <c r="Z2" s="2">
        <v>0</v>
      </c>
      <c r="AA2" s="2">
        <v>-5.7495697000000003</v>
      </c>
      <c r="AB2" s="2">
        <v>33.1899199</v>
      </c>
      <c r="AC2" s="2">
        <v>3.0906913999999999</v>
      </c>
      <c r="AD2" s="2">
        <v>0.55328379999999999</v>
      </c>
      <c r="AE2" s="2">
        <v>8.7417999999999992E-3</v>
      </c>
      <c r="AF2">
        <v>1</v>
      </c>
      <c r="AG2" s="2">
        <v>0</v>
      </c>
      <c r="AH2" s="2"/>
      <c r="AI2" s="2"/>
      <c r="AJ2" s="2"/>
      <c r="AK2" s="2"/>
      <c r="AL2">
        <f>100*(R2/K2-R$2/K$2)</f>
        <v>0</v>
      </c>
      <c r="AM2">
        <f>SUM(output_transition_firms_age!C9:F9)/output_transition_firms_age!IL8</f>
        <v>0.11498167756396205</v>
      </c>
    </row>
    <row r="3" spans="1:39" x14ac:dyDescent="0.35">
      <c r="A3" s="1">
        <v>1</v>
      </c>
      <c r="B3" s="2">
        <v>0.98720339999999995</v>
      </c>
      <c r="C3" s="2">
        <v>0.79263700000000004</v>
      </c>
      <c r="D3" s="2">
        <v>0.33932329999999999</v>
      </c>
      <c r="E3" s="2">
        <v>3.2342999999999998E-3</v>
      </c>
      <c r="F3" s="2">
        <v>1</v>
      </c>
      <c r="G3" s="2">
        <v>0.78018900000000002</v>
      </c>
      <c r="H3" s="2">
        <v>0</v>
      </c>
      <c r="I3" s="2">
        <v>0</v>
      </c>
      <c r="J3" s="2">
        <v>2.5226253999999999</v>
      </c>
      <c r="K3" s="2">
        <v>0.99025070000000004</v>
      </c>
      <c r="L3" s="2">
        <v>-4.5981648000000002</v>
      </c>
      <c r="M3" s="2">
        <v>1.0101000000000001E-2</v>
      </c>
      <c r="N3" s="2">
        <v>1.9968193999999999</v>
      </c>
      <c r="O3" s="2">
        <v>0.16419549999999999</v>
      </c>
      <c r="P3" s="2">
        <v>9.2341000000000003E-3</v>
      </c>
      <c r="Q3" s="2">
        <v>0.3604869</v>
      </c>
      <c r="R3" s="2">
        <v>3.0428782000000001</v>
      </c>
      <c r="S3" s="2">
        <v>0.52025279999999996</v>
      </c>
      <c r="T3" s="2">
        <v>-1</v>
      </c>
      <c r="U3" s="2">
        <v>1.1285999999999999E-2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-5.7495697000000003</v>
      </c>
      <c r="AB3" s="2">
        <v>33.170775900000002</v>
      </c>
      <c r="AC3" s="2">
        <v>3.0428316999999998</v>
      </c>
      <c r="AD3" s="2">
        <v>0.52020630000000001</v>
      </c>
      <c r="AE3" s="5">
        <v>0</v>
      </c>
      <c r="AF3">
        <v>1</v>
      </c>
      <c r="AG3" s="2">
        <v>0</v>
      </c>
      <c r="AH3" s="2"/>
      <c r="AI3" s="2"/>
      <c r="AJ3" s="2"/>
      <c r="AK3" s="2"/>
      <c r="AL3">
        <f t="shared" ref="AL3:AL42" si="0">100*(R3/K3-R$2/K$2)</f>
        <v>-2.544288349633872</v>
      </c>
      <c r="AM3">
        <f>SUM(output_transition_firms_age!C10:F10)/output_transition_firms_age!IL9</f>
        <v>0.11033184547825846</v>
      </c>
    </row>
    <row r="4" spans="1:39" x14ac:dyDescent="0.35">
      <c r="A4" s="1">
        <v>2</v>
      </c>
      <c r="B4" s="2">
        <v>0.99259810000000004</v>
      </c>
      <c r="C4" s="2">
        <v>0.79263700000000004</v>
      </c>
      <c r="D4" s="2">
        <v>0.34082950000000001</v>
      </c>
      <c r="E4" s="2">
        <v>3.2342999999999998E-3</v>
      </c>
      <c r="F4" s="2">
        <v>1</v>
      </c>
      <c r="G4" s="2">
        <v>0.78018900000000002</v>
      </c>
      <c r="H4" s="2">
        <v>0</v>
      </c>
      <c r="I4" s="2">
        <v>0</v>
      </c>
      <c r="J4" s="2">
        <v>2.5182916</v>
      </c>
      <c r="K4" s="2">
        <v>0.98832039999999999</v>
      </c>
      <c r="L4" s="2">
        <v>-5.0041292000000004</v>
      </c>
      <c r="M4" s="2">
        <v>8.3850999999999995E-3</v>
      </c>
      <c r="N4" s="2">
        <v>1.9917138000000001</v>
      </c>
      <c r="O4" s="2">
        <v>0.3261059</v>
      </c>
      <c r="P4" s="2">
        <v>9.8733999999999992E-3</v>
      </c>
      <c r="Q4" s="2">
        <v>0.35843510000000001</v>
      </c>
      <c r="R4" s="2">
        <v>3.0329283999999999</v>
      </c>
      <c r="S4" s="2">
        <v>0.51463680000000001</v>
      </c>
      <c r="T4" s="2">
        <v>-1</v>
      </c>
      <c r="U4" s="2">
        <v>1.2125E-2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-5.1710798000000002</v>
      </c>
      <c r="AB4" s="2">
        <v>33.150330099999998</v>
      </c>
      <c r="AC4" s="2">
        <v>3.0328282</v>
      </c>
      <c r="AD4" s="2">
        <v>0.51453669999999996</v>
      </c>
      <c r="AE4" s="2">
        <v>0</v>
      </c>
      <c r="AF4">
        <v>1</v>
      </c>
      <c r="AG4" s="2">
        <v>0</v>
      </c>
      <c r="AH4" s="2"/>
      <c r="AI4" s="2"/>
      <c r="AJ4" s="2"/>
      <c r="AK4" s="2"/>
      <c r="AL4">
        <f t="shared" si="0"/>
        <v>-2.9508674589298511</v>
      </c>
      <c r="AM4">
        <f>SUM(output_transition_firms_age!C11:F11)/output_transition_firms_age!IL10</f>
        <v>0.10753293228718072</v>
      </c>
    </row>
    <row r="5" spans="1:39" x14ac:dyDescent="0.35">
      <c r="A5" s="1">
        <v>3</v>
      </c>
      <c r="B5" s="2">
        <v>0.99077760000000004</v>
      </c>
      <c r="C5" s="2">
        <v>0.79263700000000004</v>
      </c>
      <c r="D5" s="2">
        <v>0.3423003</v>
      </c>
      <c r="E5" s="2">
        <v>3.2342999999999998E-3</v>
      </c>
      <c r="F5" s="2">
        <v>1</v>
      </c>
      <c r="G5" s="2">
        <v>0.78018900000000002</v>
      </c>
      <c r="H5" s="2">
        <v>0</v>
      </c>
      <c r="I5" s="2">
        <v>0</v>
      </c>
      <c r="J5" s="2">
        <v>2.5160892000000001</v>
      </c>
      <c r="K5" s="2">
        <v>0.98528139999999997</v>
      </c>
      <c r="L5" s="2">
        <v>-5.2582592000000004</v>
      </c>
      <c r="M5" s="2">
        <v>8.9148999999999999E-3</v>
      </c>
      <c r="N5" s="2">
        <v>1.9865706000000001</v>
      </c>
      <c r="O5" s="2">
        <v>0.4006498</v>
      </c>
      <c r="P5" s="2">
        <v>9.8733999999999992E-3</v>
      </c>
      <c r="Q5" s="2">
        <v>0.35618349999999999</v>
      </c>
      <c r="R5" s="2">
        <v>3.0172248000000002</v>
      </c>
      <c r="S5" s="2">
        <v>0.50113560000000001</v>
      </c>
      <c r="T5" s="2">
        <v>-1</v>
      </c>
      <c r="U5" s="2">
        <v>1.14015E-2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-4.9676748999999996</v>
      </c>
      <c r="AB5" s="2">
        <v>33.1151719</v>
      </c>
      <c r="AC5" s="2">
        <v>3.0170737999999999</v>
      </c>
      <c r="AD5" s="2">
        <v>0.5009846</v>
      </c>
      <c r="AE5" s="2">
        <v>0</v>
      </c>
      <c r="AF5">
        <v>1</v>
      </c>
      <c r="AG5" s="2">
        <v>0</v>
      </c>
      <c r="AH5" s="2"/>
      <c r="AI5" s="2"/>
      <c r="AJ5" s="2"/>
      <c r="AK5" s="2"/>
      <c r="AL5">
        <f t="shared" si="0"/>
        <v>-3.5981553019056367</v>
      </c>
      <c r="AM5">
        <f>SUM(output_transition_firms_age!C12:F12)/output_transition_firms_age!IL11</f>
        <v>0.10551681942703812</v>
      </c>
    </row>
    <row r="6" spans="1:39" x14ac:dyDescent="0.35">
      <c r="A6" s="1">
        <v>4</v>
      </c>
      <c r="B6" s="2">
        <v>0.97915280000000005</v>
      </c>
      <c r="C6" s="2">
        <v>0.79263700000000004</v>
      </c>
      <c r="D6" s="2">
        <v>0.34373670000000001</v>
      </c>
      <c r="E6" s="2">
        <v>3.2342999999999998E-3</v>
      </c>
      <c r="F6" s="2">
        <v>1</v>
      </c>
      <c r="G6" s="2">
        <v>0.78018900000000002</v>
      </c>
      <c r="H6" s="2">
        <v>0</v>
      </c>
      <c r="I6" s="2">
        <v>0</v>
      </c>
      <c r="J6" s="2">
        <v>2.5140224</v>
      </c>
      <c r="K6" s="2">
        <v>0.97848440000000003</v>
      </c>
      <c r="L6" s="2">
        <v>-5.4487373999999997</v>
      </c>
      <c r="M6" s="2">
        <v>8.9201999999999997E-3</v>
      </c>
      <c r="N6" s="2">
        <v>1.9778690000000001</v>
      </c>
      <c r="O6" s="2">
        <v>0.51231360000000004</v>
      </c>
      <c r="P6" s="2">
        <v>9.8733999999999992E-3</v>
      </c>
      <c r="Q6" s="2">
        <v>0.35465540000000001</v>
      </c>
      <c r="R6" s="2">
        <v>2.9785656</v>
      </c>
      <c r="S6" s="2">
        <v>0.46454319999999999</v>
      </c>
      <c r="T6" s="2">
        <v>-1</v>
      </c>
      <c r="U6" s="2">
        <v>1.09242E-2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-4.8864755999999998</v>
      </c>
      <c r="AB6" s="2">
        <v>33.067005600000002</v>
      </c>
      <c r="AC6" s="2">
        <v>2.9783287000000001</v>
      </c>
      <c r="AD6" s="2">
        <v>0.46430630000000001</v>
      </c>
      <c r="AE6" s="2">
        <v>0</v>
      </c>
      <c r="AF6">
        <v>1</v>
      </c>
      <c r="AG6" s="2">
        <v>0</v>
      </c>
      <c r="AH6" s="2"/>
      <c r="AI6" s="2"/>
      <c r="AJ6" s="2"/>
      <c r="AK6" s="2"/>
      <c r="AL6">
        <f t="shared" si="0"/>
        <v>-5.421869984721317</v>
      </c>
      <c r="AM6">
        <f>SUM(output_transition_firms_age!C13:F13)/output_transition_firms_age!IL12</f>
        <v>0.10427130578413742</v>
      </c>
    </row>
    <row r="7" spans="1:39" x14ac:dyDescent="0.35">
      <c r="A7" s="1">
        <v>5</v>
      </c>
      <c r="B7" s="2">
        <v>0.98395169999999998</v>
      </c>
      <c r="C7" s="2">
        <v>0.79263700000000004</v>
      </c>
      <c r="D7" s="2">
        <v>0.34513939999999999</v>
      </c>
      <c r="E7" s="2">
        <v>3.2342999999999998E-3</v>
      </c>
      <c r="F7" s="2">
        <v>1</v>
      </c>
      <c r="G7" s="2">
        <v>0.78018900000000002</v>
      </c>
      <c r="H7" s="2">
        <v>0</v>
      </c>
      <c r="I7" s="2">
        <v>0</v>
      </c>
      <c r="J7" s="2">
        <v>2.5126849999999998</v>
      </c>
      <c r="K7" s="2">
        <v>0.98077740000000002</v>
      </c>
      <c r="L7" s="2">
        <v>-5.5503448000000004</v>
      </c>
      <c r="M7" s="2">
        <v>9.2548999999999999E-3</v>
      </c>
      <c r="N7" s="2">
        <v>1.9783728</v>
      </c>
      <c r="O7" s="2">
        <v>0.63670669999999996</v>
      </c>
      <c r="P7" s="2">
        <v>1.0309199999999999E-2</v>
      </c>
      <c r="Q7" s="2">
        <v>0.35360459999999999</v>
      </c>
      <c r="R7" s="2">
        <v>2.9893041999999999</v>
      </c>
      <c r="S7" s="2">
        <v>0.47661910000000002</v>
      </c>
      <c r="T7" s="2">
        <v>-1</v>
      </c>
      <c r="U7" s="2">
        <v>1.0662700000000001E-2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-4.8493931000000003</v>
      </c>
      <c r="AB7" s="2">
        <v>32.988368000000001</v>
      </c>
      <c r="AC7" s="2">
        <v>2.9890620999999999</v>
      </c>
      <c r="AD7" s="2">
        <v>0.47637699999999999</v>
      </c>
      <c r="AE7" s="2">
        <v>0</v>
      </c>
      <c r="AF7">
        <v>1</v>
      </c>
      <c r="AG7" s="2">
        <v>0</v>
      </c>
      <c r="AH7" s="2"/>
      <c r="AI7" s="2"/>
      <c r="AJ7" s="2"/>
      <c r="AK7" s="2"/>
      <c r="AL7">
        <f t="shared" si="0"/>
        <v>-5.0386464789856422</v>
      </c>
      <c r="AM7">
        <f>SUM(output_transition_firms_age!C14:F14)/output_transition_firms_age!IL13</f>
        <v>0.10741245115421555</v>
      </c>
    </row>
    <row r="8" spans="1:39" x14ac:dyDescent="0.35">
      <c r="A8" s="1">
        <v>6</v>
      </c>
      <c r="B8" s="2">
        <v>0.99962589999999996</v>
      </c>
      <c r="C8" s="2">
        <v>0.79263700000000004</v>
      </c>
      <c r="D8" s="2">
        <v>0.34650920000000002</v>
      </c>
      <c r="E8" s="2">
        <v>3.2342999999999998E-3</v>
      </c>
      <c r="F8" s="2">
        <v>1</v>
      </c>
      <c r="G8" s="2">
        <v>0.78018900000000002</v>
      </c>
      <c r="H8" s="2">
        <v>0</v>
      </c>
      <c r="I8" s="2">
        <v>0</v>
      </c>
      <c r="J8" s="2">
        <v>2.5123665000000002</v>
      </c>
      <c r="K8" s="2">
        <v>0.98887480000000005</v>
      </c>
      <c r="L8" s="2">
        <v>-5.5238446000000003</v>
      </c>
      <c r="M8" s="2">
        <v>9.7807999999999992E-3</v>
      </c>
      <c r="N8" s="2">
        <v>1.9853000000000001</v>
      </c>
      <c r="O8" s="2">
        <v>0.61399970000000004</v>
      </c>
      <c r="P8" s="2">
        <v>1.0309199999999999E-2</v>
      </c>
      <c r="Q8" s="2">
        <v>0.35325119999999999</v>
      </c>
      <c r="R8" s="2">
        <v>3.0328406999999999</v>
      </c>
      <c r="S8" s="2">
        <v>0.5204742</v>
      </c>
      <c r="T8" s="2">
        <v>-1</v>
      </c>
      <c r="U8" s="2">
        <v>9.8387000000000006E-3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-4.8354603999999997</v>
      </c>
      <c r="AB8" s="2">
        <v>32.916023899999999</v>
      </c>
      <c r="AC8" s="2">
        <v>3.03267</v>
      </c>
      <c r="AD8" s="2">
        <v>0.52030350000000003</v>
      </c>
      <c r="AE8" s="2">
        <v>0</v>
      </c>
      <c r="AF8">
        <v>1</v>
      </c>
      <c r="AG8" s="2">
        <v>0</v>
      </c>
      <c r="AH8" s="2"/>
      <c r="AI8" s="2"/>
      <c r="AJ8" s="2"/>
      <c r="AK8" s="2"/>
      <c r="AL8">
        <f t="shared" si="0"/>
        <v>-3.1317828099730605</v>
      </c>
      <c r="AM8">
        <f>SUM(output_transition_firms_age!C15:F15)/output_transition_firms_age!IL14</f>
        <v>0.1090813871280442</v>
      </c>
    </row>
    <row r="9" spans="1:39" x14ac:dyDescent="0.35">
      <c r="A9" s="1">
        <v>7</v>
      </c>
      <c r="B9" s="2">
        <v>1.0097822000000001</v>
      </c>
      <c r="C9" s="2">
        <v>0.79263700000000004</v>
      </c>
      <c r="D9" s="2">
        <v>0.34784690000000001</v>
      </c>
      <c r="E9" s="2">
        <v>3.2342999999999998E-3</v>
      </c>
      <c r="F9" s="2">
        <v>1</v>
      </c>
      <c r="G9" s="2">
        <v>0.78018900000000002</v>
      </c>
      <c r="H9" s="2">
        <v>0</v>
      </c>
      <c r="I9" s="2">
        <v>0</v>
      </c>
      <c r="J9" s="2">
        <v>2.5125894</v>
      </c>
      <c r="K9" s="2">
        <v>0.99405719999999997</v>
      </c>
      <c r="L9" s="2">
        <v>-5.4981885999999998</v>
      </c>
      <c r="M9" s="2">
        <v>1.0072599999999999E-2</v>
      </c>
      <c r="N9" s="2">
        <v>1.9899709999999999</v>
      </c>
      <c r="O9" s="2">
        <v>0.63021740000000004</v>
      </c>
      <c r="P9" s="2">
        <v>1.0309199999999999E-2</v>
      </c>
      <c r="Q9" s="2">
        <v>0.35372169999999997</v>
      </c>
      <c r="R9" s="2">
        <v>3.0616690000000002</v>
      </c>
      <c r="S9" s="2">
        <v>0.54907969999999995</v>
      </c>
      <c r="T9" s="2">
        <v>-1</v>
      </c>
      <c r="U9" s="2">
        <v>1.01514E-2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-4.8352662000000004</v>
      </c>
      <c r="AB9" s="2">
        <v>32.888942700000001</v>
      </c>
      <c r="AC9" s="2">
        <v>3.0615464999999999</v>
      </c>
      <c r="AD9" s="2">
        <v>0.54895709999999998</v>
      </c>
      <c r="AE9" s="2">
        <v>0</v>
      </c>
      <c r="AF9">
        <v>1</v>
      </c>
      <c r="AG9" s="2">
        <v>0</v>
      </c>
      <c r="AH9" s="2"/>
      <c r="AI9" s="2"/>
      <c r="AJ9" s="2"/>
      <c r="AK9" s="2"/>
      <c r="AL9">
        <f t="shared" si="0"/>
        <v>-1.830642394738291</v>
      </c>
      <c r="AM9">
        <f>SUM(output_transition_firms_age!C16:F16)/output_transition_firms_age!IL15</f>
        <v>0.11076872837344856</v>
      </c>
    </row>
    <row r="10" spans="1:39" x14ac:dyDescent="0.35">
      <c r="A10" s="1">
        <v>8</v>
      </c>
      <c r="B10" s="2">
        <v>1.0191300000000001</v>
      </c>
      <c r="C10" s="2">
        <v>0.79263700000000004</v>
      </c>
      <c r="D10" s="2">
        <v>0.3491532</v>
      </c>
      <c r="E10" s="2">
        <v>3.2342999999999998E-3</v>
      </c>
      <c r="F10" s="2">
        <v>1</v>
      </c>
      <c r="G10" s="2">
        <v>0.78018900000000002</v>
      </c>
      <c r="H10" s="2">
        <v>0</v>
      </c>
      <c r="I10" s="2">
        <v>0</v>
      </c>
      <c r="J10" s="2">
        <v>2.5133648000000002</v>
      </c>
      <c r="K10" s="2">
        <v>0.99880800000000003</v>
      </c>
      <c r="L10" s="2">
        <v>-5.4421964000000003</v>
      </c>
      <c r="M10" s="2">
        <v>1.0292900000000001E-2</v>
      </c>
      <c r="N10" s="2">
        <v>1.9947423</v>
      </c>
      <c r="O10" s="2">
        <v>0.61970170000000002</v>
      </c>
      <c r="P10" s="2">
        <v>1.0309199999999999E-2</v>
      </c>
      <c r="Q10" s="2">
        <v>0.35387950000000001</v>
      </c>
      <c r="R10" s="2">
        <v>3.0891685999999998</v>
      </c>
      <c r="S10" s="2">
        <v>0.57580379999999998</v>
      </c>
      <c r="T10" s="2">
        <v>-1</v>
      </c>
      <c r="U10" s="2">
        <v>1.02329E-2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-4.8432729999999999</v>
      </c>
      <c r="AB10" s="2">
        <v>32.890821899999999</v>
      </c>
      <c r="AC10" s="2">
        <v>3.0890952999999999</v>
      </c>
      <c r="AD10" s="2">
        <v>0.57573050000000003</v>
      </c>
      <c r="AE10" s="2">
        <v>0</v>
      </c>
      <c r="AF10">
        <v>1</v>
      </c>
      <c r="AG10" s="2">
        <v>0</v>
      </c>
      <c r="AH10" s="2"/>
      <c r="AI10" s="2"/>
      <c r="AJ10" s="2"/>
      <c r="AK10" s="2"/>
      <c r="AL10">
        <f t="shared" si="0"/>
        <v>-0.5423801982411991</v>
      </c>
      <c r="AM10">
        <f>SUM(output_transition_firms_age!C17:F17)/output_transition_firms_age!IL16</f>
        <v>0.11217812648745705</v>
      </c>
    </row>
    <row r="11" spans="1:39" x14ac:dyDescent="0.35">
      <c r="A11" s="1">
        <v>9</v>
      </c>
      <c r="B11" s="2">
        <v>1.0197379</v>
      </c>
      <c r="C11" s="2">
        <v>0.79263700000000004</v>
      </c>
      <c r="D11" s="2">
        <v>0.35042879999999998</v>
      </c>
      <c r="E11" s="2">
        <v>3.2342999999999998E-3</v>
      </c>
      <c r="F11" s="2">
        <v>1</v>
      </c>
      <c r="G11" s="2">
        <v>0.78018900000000002</v>
      </c>
      <c r="H11" s="2">
        <v>0</v>
      </c>
      <c r="I11" s="2">
        <v>0</v>
      </c>
      <c r="J11" s="2">
        <v>2.5138196000000002</v>
      </c>
      <c r="K11" s="2">
        <v>0.9992181</v>
      </c>
      <c r="L11" s="2">
        <v>-5.3824059000000002</v>
      </c>
      <c r="M11" s="2">
        <v>1.02519E-2</v>
      </c>
      <c r="N11" s="2">
        <v>1.9953049</v>
      </c>
      <c r="O11" s="2">
        <v>0.65258559999999999</v>
      </c>
      <c r="P11" s="2">
        <v>1.0309199999999999E-2</v>
      </c>
      <c r="Q11" s="2">
        <v>0.35395579999999999</v>
      </c>
      <c r="R11" s="2">
        <v>3.0925341999999998</v>
      </c>
      <c r="S11" s="2">
        <v>0.57871459999999997</v>
      </c>
      <c r="T11" s="2">
        <v>-1</v>
      </c>
      <c r="U11" s="2">
        <v>1.05272E-2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-4.8570570999999996</v>
      </c>
      <c r="AB11" s="2">
        <v>32.919520800000001</v>
      </c>
      <c r="AC11" s="2">
        <v>3.0924667000000001</v>
      </c>
      <c r="AD11" s="2">
        <v>0.57864709999999997</v>
      </c>
      <c r="AE11" s="2">
        <v>0</v>
      </c>
      <c r="AF11">
        <v>1</v>
      </c>
      <c r="AG11" s="2">
        <v>0</v>
      </c>
      <c r="AH11" s="2"/>
      <c r="AI11" s="2"/>
      <c r="AJ11" s="2"/>
      <c r="AK11" s="2"/>
      <c r="AL11">
        <f t="shared" si="0"/>
        <v>-0.33249408346431863</v>
      </c>
      <c r="AM11">
        <f>SUM(output_transition_firms_age!C18:F18)/output_transition_firms_age!IL17</f>
        <v>0.11255330940102133</v>
      </c>
    </row>
    <row r="12" spans="1:39" x14ac:dyDescent="0.35">
      <c r="A12" s="1">
        <v>10</v>
      </c>
      <c r="B12" s="2">
        <v>1.0179879999999999</v>
      </c>
      <c r="C12" s="2">
        <v>0.79263700000000004</v>
      </c>
      <c r="D12" s="2">
        <v>0.3516745</v>
      </c>
      <c r="E12" s="2">
        <v>3.2342999999999998E-3</v>
      </c>
      <c r="F12" s="2">
        <v>1</v>
      </c>
      <c r="G12" s="2">
        <v>0.78018900000000002</v>
      </c>
      <c r="H12" s="2">
        <v>0</v>
      </c>
      <c r="I12" s="2">
        <v>0</v>
      </c>
      <c r="J12" s="2">
        <v>2.5143993</v>
      </c>
      <c r="K12" s="2">
        <v>0.99855689999999997</v>
      </c>
      <c r="L12" s="2">
        <v>-5.2875192000000002</v>
      </c>
      <c r="M12" s="2">
        <v>1.02002E-2</v>
      </c>
      <c r="N12" s="2">
        <v>1.9948193999999999</v>
      </c>
      <c r="O12" s="2">
        <v>0.61999680000000001</v>
      </c>
      <c r="P12" s="2">
        <v>1.0309199999999999E-2</v>
      </c>
      <c r="Q12" s="2">
        <v>0.35373779999999999</v>
      </c>
      <c r="R12" s="2">
        <v>3.0894132999999999</v>
      </c>
      <c r="S12" s="2">
        <v>0.57501400000000003</v>
      </c>
      <c r="T12" s="2">
        <v>-1</v>
      </c>
      <c r="U12" s="2">
        <v>1.04505E-2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-4.8743727000000003</v>
      </c>
      <c r="AB12" s="2">
        <v>32.950733100000001</v>
      </c>
      <c r="AC12" s="2">
        <v>3.0893407000000002</v>
      </c>
      <c r="AD12" s="2">
        <v>0.57494140000000005</v>
      </c>
      <c r="AE12" s="2">
        <v>0</v>
      </c>
      <c r="AF12">
        <v>1</v>
      </c>
      <c r="AG12" s="2">
        <v>0</v>
      </c>
      <c r="AH12" s="2"/>
      <c r="AI12" s="2"/>
      <c r="AJ12" s="2"/>
      <c r="AK12" s="2"/>
      <c r="AL12">
        <f t="shared" si="0"/>
        <v>-0.44010100296585364</v>
      </c>
      <c r="AM12">
        <f>SUM(output_transition_firms_age!C19:F19)/output_transition_firms_age!IL18</f>
        <v>0.1126149014659887</v>
      </c>
    </row>
    <row r="13" spans="1:39" x14ac:dyDescent="0.35">
      <c r="A13" s="1">
        <v>11</v>
      </c>
      <c r="B13" s="2">
        <v>1.0193953</v>
      </c>
      <c r="C13" s="2">
        <v>0.79263700000000004</v>
      </c>
      <c r="D13" s="2">
        <v>0.35289110000000001</v>
      </c>
      <c r="E13" s="2">
        <v>3.2342999999999998E-3</v>
      </c>
      <c r="F13" s="2">
        <v>1</v>
      </c>
      <c r="G13" s="2">
        <v>0.78018900000000002</v>
      </c>
      <c r="H13" s="2">
        <v>0</v>
      </c>
      <c r="I13" s="2">
        <v>0</v>
      </c>
      <c r="J13" s="2">
        <v>2.5150036999999998</v>
      </c>
      <c r="K13" s="2">
        <v>0.99940759999999995</v>
      </c>
      <c r="L13" s="2">
        <v>-5.2271545000000001</v>
      </c>
      <c r="M13" s="2">
        <v>1.0241999999999999E-2</v>
      </c>
      <c r="N13" s="2">
        <v>1.9957971999999999</v>
      </c>
      <c r="O13" s="2">
        <v>0.60525200000000001</v>
      </c>
      <c r="P13" s="2">
        <v>1.0309199999999999E-2</v>
      </c>
      <c r="Q13" s="2">
        <v>0.35359649999999998</v>
      </c>
      <c r="R13" s="2">
        <v>3.0951268000000001</v>
      </c>
      <c r="S13" s="2">
        <v>0.5801231</v>
      </c>
      <c r="T13" s="2">
        <v>-1</v>
      </c>
      <c r="U13" s="2">
        <v>1.0470699999999999E-2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-4.8914467999999998</v>
      </c>
      <c r="AB13" s="2">
        <v>32.977742300000003</v>
      </c>
      <c r="AC13" s="2">
        <v>3.0950643000000002</v>
      </c>
      <c r="AD13" s="2">
        <v>0.58006060000000004</v>
      </c>
      <c r="AE13" s="2">
        <v>0</v>
      </c>
      <c r="AF13">
        <v>1</v>
      </c>
      <c r="AG13" s="2">
        <v>0</v>
      </c>
      <c r="AH13" s="2"/>
      <c r="AI13" s="2"/>
      <c r="AJ13" s="2"/>
      <c r="AK13" s="2"/>
      <c r="AL13">
        <f t="shared" si="0"/>
        <v>-0.13176455233105955</v>
      </c>
      <c r="AM13">
        <f>SUM(output_transition_firms_age!C20:F20)/output_transition_firms_age!IL19</f>
        <v>0.11262104021810375</v>
      </c>
    </row>
    <row r="14" spans="1:39" x14ac:dyDescent="0.35">
      <c r="A14" s="1">
        <v>12</v>
      </c>
      <c r="B14" s="2">
        <v>1.0191106000000001</v>
      </c>
      <c r="C14" s="2">
        <v>0.79263700000000004</v>
      </c>
      <c r="D14" s="2">
        <v>0.35407909999999998</v>
      </c>
      <c r="E14" s="2">
        <v>3.2342999999999998E-3</v>
      </c>
      <c r="F14" s="2">
        <v>1</v>
      </c>
      <c r="G14" s="2">
        <v>0.78018900000000002</v>
      </c>
      <c r="H14" s="2">
        <v>0</v>
      </c>
      <c r="I14" s="2">
        <v>0</v>
      </c>
      <c r="J14" s="2">
        <v>2.5155737999999999</v>
      </c>
      <c r="K14" s="2">
        <v>0.99954200000000004</v>
      </c>
      <c r="L14" s="2">
        <v>-5.1788381000000001</v>
      </c>
      <c r="M14" s="2">
        <v>1.02261E-2</v>
      </c>
      <c r="N14" s="2">
        <v>1.9960724000000001</v>
      </c>
      <c r="O14" s="2">
        <v>0.59916040000000004</v>
      </c>
      <c r="P14" s="2">
        <v>1.0309199999999999E-2</v>
      </c>
      <c r="Q14" s="2">
        <v>0.353435</v>
      </c>
      <c r="R14" s="2">
        <v>3.0963083</v>
      </c>
      <c r="S14" s="2">
        <v>0.58073450000000004</v>
      </c>
      <c r="T14" s="2">
        <v>-1</v>
      </c>
      <c r="U14" s="2">
        <v>1.03622E-2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-4.9088317000000004</v>
      </c>
      <c r="AB14" s="2">
        <v>33.009631200000001</v>
      </c>
      <c r="AC14" s="2">
        <v>3.0962486999999999</v>
      </c>
      <c r="AD14" s="2">
        <v>0.58067480000000005</v>
      </c>
      <c r="AE14" s="2">
        <v>0</v>
      </c>
      <c r="AF14">
        <v>1</v>
      </c>
      <c r="AG14" s="2">
        <v>0</v>
      </c>
      <c r="AH14" s="2"/>
      <c r="AI14" s="2"/>
      <c r="AJ14" s="2"/>
      <c r="AK14" s="2"/>
      <c r="AL14">
        <f t="shared" si="0"/>
        <v>-5.5202648732244342E-2</v>
      </c>
      <c r="AM14">
        <f>SUM(output_transition_firms_age!C21:F21)/output_transition_firms_age!IL20</f>
        <v>0.11266213195147377</v>
      </c>
    </row>
    <row r="15" spans="1:39" x14ac:dyDescent="0.35">
      <c r="A15" s="1">
        <v>13</v>
      </c>
      <c r="B15" s="2">
        <v>1.0086657000000001</v>
      </c>
      <c r="C15" s="2">
        <v>0.79263700000000004</v>
      </c>
      <c r="D15" s="2">
        <v>0.35523919999999998</v>
      </c>
      <c r="E15" s="2">
        <v>3.2342999999999998E-3</v>
      </c>
      <c r="F15" s="2">
        <v>1</v>
      </c>
      <c r="G15" s="2">
        <v>0.78018900000000002</v>
      </c>
      <c r="H15" s="2">
        <v>0</v>
      </c>
      <c r="I15" s="2">
        <v>0</v>
      </c>
      <c r="J15" s="2">
        <v>2.5154561000000002</v>
      </c>
      <c r="K15" s="2">
        <v>0.99459920000000002</v>
      </c>
      <c r="L15" s="2">
        <v>-5.1346194000000001</v>
      </c>
      <c r="M15" s="2">
        <v>9.9231000000000007E-3</v>
      </c>
      <c r="N15" s="2">
        <v>1.9911137000000001</v>
      </c>
      <c r="O15" s="2">
        <v>0.59565420000000002</v>
      </c>
      <c r="P15" s="2">
        <v>1.0309199999999999E-2</v>
      </c>
      <c r="Q15" s="2">
        <v>0.35338199999999997</v>
      </c>
      <c r="R15" s="2">
        <v>3.0680836999999999</v>
      </c>
      <c r="S15" s="2">
        <v>0.55262750000000005</v>
      </c>
      <c r="T15" s="2">
        <v>-1</v>
      </c>
      <c r="U15" s="2">
        <v>1.05086E-2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-4.9237070999999997</v>
      </c>
      <c r="AB15" s="2">
        <v>33.041769600000002</v>
      </c>
      <c r="AC15" s="2">
        <v>3.0679729</v>
      </c>
      <c r="AD15" s="2">
        <v>0.55251680000000003</v>
      </c>
      <c r="AE15" s="2">
        <v>0</v>
      </c>
      <c r="AF15">
        <v>1</v>
      </c>
      <c r="AG15" s="2">
        <v>0</v>
      </c>
      <c r="AH15" s="2"/>
      <c r="AI15" s="2"/>
      <c r="AJ15" s="2"/>
      <c r="AK15" s="2"/>
      <c r="AL15">
        <f t="shared" si="0"/>
        <v>-1.3535301250472642</v>
      </c>
      <c r="AM15">
        <f>SUM(output_transition_firms_age!C22:F22)/output_transition_firms_age!IL21</f>
        <v>0.11272536642425131</v>
      </c>
    </row>
    <row r="16" spans="1:39" x14ac:dyDescent="0.35">
      <c r="A16" s="1">
        <v>14</v>
      </c>
      <c r="B16" s="2">
        <v>1.0073441999999999</v>
      </c>
      <c r="C16" s="2">
        <v>0.79263700000000004</v>
      </c>
      <c r="D16" s="2">
        <v>0.35637210000000002</v>
      </c>
      <c r="E16" s="2">
        <v>3.2342999999999998E-3</v>
      </c>
      <c r="F16" s="2">
        <v>1</v>
      </c>
      <c r="G16" s="2">
        <v>0.78018900000000002</v>
      </c>
      <c r="H16" s="2">
        <v>0</v>
      </c>
      <c r="I16" s="2">
        <v>0</v>
      </c>
      <c r="J16" s="2">
        <v>2.5154690999999998</v>
      </c>
      <c r="K16" s="2">
        <v>0.99409970000000003</v>
      </c>
      <c r="L16" s="2">
        <v>-5.1083948000000001</v>
      </c>
      <c r="M16" s="2">
        <v>9.9450000000000007E-3</v>
      </c>
      <c r="N16" s="2">
        <v>1.9902789999999999</v>
      </c>
      <c r="O16" s="2">
        <v>0.59061830000000004</v>
      </c>
      <c r="P16" s="2">
        <v>1.0309199999999999E-2</v>
      </c>
      <c r="Q16" s="2">
        <v>0.35318260000000001</v>
      </c>
      <c r="R16" s="2">
        <v>3.0651188</v>
      </c>
      <c r="S16" s="2">
        <v>0.54964970000000002</v>
      </c>
      <c r="T16" s="2">
        <v>-1</v>
      </c>
      <c r="U16" s="2">
        <v>1.04463E-2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-4.9374067999999998</v>
      </c>
      <c r="AB16" s="2">
        <v>33.045105800000002</v>
      </c>
      <c r="AC16" s="2">
        <v>3.0649994</v>
      </c>
      <c r="AD16" s="2">
        <v>0.54953030000000003</v>
      </c>
      <c r="AE16" s="2">
        <v>0</v>
      </c>
      <c r="AF16">
        <v>1</v>
      </c>
      <c r="AG16" s="2">
        <v>0</v>
      </c>
      <c r="AH16" s="2"/>
      <c r="AI16" s="2"/>
      <c r="AJ16" s="2"/>
      <c r="AK16" s="2"/>
      <c r="AL16">
        <f t="shared" si="0"/>
        <v>-1.4967824044491262</v>
      </c>
      <c r="AM16">
        <f>SUM(output_transition_firms_age!C23:F23)/output_transition_firms_age!IL22</f>
        <v>0.11264173022114807</v>
      </c>
    </row>
    <row r="17" spans="1:39" x14ac:dyDescent="0.35">
      <c r="A17" s="1">
        <v>15</v>
      </c>
      <c r="B17" s="2">
        <v>1.0004663</v>
      </c>
      <c r="C17" s="2">
        <v>0.79263700000000004</v>
      </c>
      <c r="D17" s="2">
        <v>0.35747839999999997</v>
      </c>
      <c r="E17" s="2">
        <v>3.2342999999999998E-3</v>
      </c>
      <c r="F17" s="2">
        <v>1</v>
      </c>
      <c r="G17" s="2">
        <v>0.78018900000000002</v>
      </c>
      <c r="H17" s="2">
        <v>0</v>
      </c>
      <c r="I17" s="2">
        <v>0</v>
      </c>
      <c r="J17" s="2">
        <v>2.5151797999999999</v>
      </c>
      <c r="K17" s="2">
        <v>0.9907743</v>
      </c>
      <c r="L17" s="2">
        <v>-5.0879890000000003</v>
      </c>
      <c r="M17" s="2">
        <v>9.7809999999999998E-3</v>
      </c>
      <c r="N17" s="2">
        <v>1.9865409999999999</v>
      </c>
      <c r="O17" s="2">
        <v>0.59243449999999998</v>
      </c>
      <c r="P17" s="2">
        <v>1.0309199999999999E-2</v>
      </c>
      <c r="Q17" s="2">
        <v>0.35304560000000001</v>
      </c>
      <c r="R17" s="2">
        <v>3.0457958999999999</v>
      </c>
      <c r="S17" s="2">
        <v>0.53061619999999998</v>
      </c>
      <c r="T17" s="2">
        <v>-1</v>
      </c>
      <c r="U17" s="2">
        <v>1.0506700000000001E-2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-4.9483645000000003</v>
      </c>
      <c r="AB17" s="2">
        <v>33.045544100000001</v>
      </c>
      <c r="AC17" s="2">
        <v>3.0456379999999998</v>
      </c>
      <c r="AD17" s="2">
        <v>0.53045830000000005</v>
      </c>
      <c r="AE17" s="2">
        <v>0</v>
      </c>
      <c r="AF17">
        <v>1</v>
      </c>
      <c r="AG17" s="2">
        <v>0</v>
      </c>
      <c r="AH17" s="2"/>
      <c r="AI17" s="2"/>
      <c r="AJ17" s="2"/>
      <c r="AK17" s="2"/>
      <c r="AL17">
        <f t="shared" si="0"/>
        <v>-2.4121933846513066</v>
      </c>
      <c r="AM17">
        <f>SUM(output_transition_firms_age!C24:F24)/output_transition_firms_age!IL23</f>
        <v>0.11250851995889911</v>
      </c>
    </row>
    <row r="18" spans="1:39" x14ac:dyDescent="0.35">
      <c r="A18" s="1">
        <v>16</v>
      </c>
      <c r="B18" s="2">
        <v>1.0039746000000001</v>
      </c>
      <c r="C18" s="2">
        <v>0.79263700000000004</v>
      </c>
      <c r="D18" s="2">
        <v>0.35855880000000001</v>
      </c>
      <c r="E18" s="2">
        <v>3.2342999999999998E-3</v>
      </c>
      <c r="F18" s="2">
        <v>1</v>
      </c>
      <c r="G18" s="2">
        <v>0.78018900000000002</v>
      </c>
      <c r="H18" s="2">
        <v>0</v>
      </c>
      <c r="I18" s="2">
        <v>0</v>
      </c>
      <c r="J18" s="2">
        <v>2.5150134</v>
      </c>
      <c r="K18" s="2">
        <v>0.99278549999999999</v>
      </c>
      <c r="L18" s="2">
        <v>-5.0764488999999999</v>
      </c>
      <c r="M18" s="2">
        <v>9.9404000000000003E-3</v>
      </c>
      <c r="N18" s="2">
        <v>1.9880382999999999</v>
      </c>
      <c r="O18" s="2">
        <v>0.58278730000000001</v>
      </c>
      <c r="P18" s="2">
        <v>1.0309199999999999E-2</v>
      </c>
      <c r="Q18" s="2">
        <v>0.3528481</v>
      </c>
      <c r="R18" s="2">
        <v>3.0561672</v>
      </c>
      <c r="S18" s="2">
        <v>0.54115369999999996</v>
      </c>
      <c r="T18" s="2">
        <v>-1</v>
      </c>
      <c r="U18" s="2">
        <v>1.0147E-2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-4.9583681999999998</v>
      </c>
      <c r="AB18" s="2">
        <v>33.026848899999997</v>
      </c>
      <c r="AC18" s="2">
        <v>3.0560247</v>
      </c>
      <c r="AD18" s="2">
        <v>0.54101129999999997</v>
      </c>
      <c r="AE18" s="2">
        <v>0</v>
      </c>
      <c r="AF18">
        <v>1</v>
      </c>
      <c r="AG18" s="2">
        <v>0</v>
      </c>
      <c r="AH18" s="2"/>
      <c r="AI18" s="2"/>
      <c r="AJ18" s="2"/>
      <c r="AK18" s="2"/>
      <c r="AL18">
        <f t="shared" si="0"/>
        <v>-1.9902940784432666</v>
      </c>
      <c r="AM18">
        <f>SUM(output_transition_firms_age!C25:F25)/output_transition_firms_age!IL24</f>
        <v>0.11277513985985418</v>
      </c>
    </row>
    <row r="19" spans="1:39" x14ac:dyDescent="0.35">
      <c r="A19" s="1">
        <v>17</v>
      </c>
      <c r="B19" s="2">
        <v>1.004999</v>
      </c>
      <c r="C19" s="2">
        <v>0.79263700000000004</v>
      </c>
      <c r="D19" s="2">
        <v>0.35961389999999999</v>
      </c>
      <c r="E19" s="2">
        <v>3.2342999999999998E-3</v>
      </c>
      <c r="F19" s="2">
        <v>1</v>
      </c>
      <c r="G19" s="2">
        <v>0.78018900000000002</v>
      </c>
      <c r="H19" s="2">
        <v>0</v>
      </c>
      <c r="I19" s="2">
        <v>0</v>
      </c>
      <c r="J19" s="2">
        <v>2.5148698999999999</v>
      </c>
      <c r="K19" s="2">
        <v>0.99339999999999995</v>
      </c>
      <c r="L19" s="2">
        <v>-5.0689171000000002</v>
      </c>
      <c r="M19" s="2">
        <v>9.9637000000000007E-3</v>
      </c>
      <c r="N19" s="2">
        <v>1.9883151999999999</v>
      </c>
      <c r="O19" s="2">
        <v>0.58194230000000002</v>
      </c>
      <c r="P19" s="2">
        <v>1.0309199999999999E-2</v>
      </c>
      <c r="Q19" s="2">
        <v>0.3530103</v>
      </c>
      <c r="R19" s="2">
        <v>3.0594003999999999</v>
      </c>
      <c r="S19" s="2">
        <v>0.54453050000000003</v>
      </c>
      <c r="T19" s="2">
        <v>-1</v>
      </c>
      <c r="U19" s="2">
        <v>1.03605E-2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-4.9685078999999996</v>
      </c>
      <c r="AB19" s="2">
        <v>33.018891099999998</v>
      </c>
      <c r="AC19" s="2">
        <v>3.0592608000000001</v>
      </c>
      <c r="AD19" s="2">
        <v>0.54439090000000001</v>
      </c>
      <c r="AE19" s="2">
        <v>0</v>
      </c>
      <c r="AF19">
        <v>1</v>
      </c>
      <c r="AG19" s="2">
        <v>0</v>
      </c>
      <c r="AH19" s="2"/>
      <c r="AI19" s="2"/>
      <c r="AJ19" s="2"/>
      <c r="AK19" s="2"/>
      <c r="AL19">
        <f t="shared" si="0"/>
        <v>-1.8552489949839934</v>
      </c>
      <c r="AM19">
        <f>SUM(output_transition_firms_age!C26:F26)/output_transition_firms_age!IL25</f>
        <v>0.11284446062744891</v>
      </c>
    </row>
    <row r="20" spans="1:39" x14ac:dyDescent="0.35">
      <c r="A20" s="1">
        <v>18</v>
      </c>
      <c r="B20" s="2">
        <v>1.0071231</v>
      </c>
      <c r="C20" s="2">
        <v>0.79263700000000004</v>
      </c>
      <c r="D20" s="2">
        <v>0.36064420000000003</v>
      </c>
      <c r="E20" s="2">
        <v>3.2342999999999998E-3</v>
      </c>
      <c r="F20" s="2">
        <v>1</v>
      </c>
      <c r="G20" s="2">
        <v>0.78018900000000002</v>
      </c>
      <c r="H20" s="2">
        <v>0</v>
      </c>
      <c r="I20" s="2">
        <v>0</v>
      </c>
      <c r="J20" s="2">
        <v>2.5151072000000001</v>
      </c>
      <c r="K20" s="2">
        <v>0.99463100000000004</v>
      </c>
      <c r="L20" s="2">
        <v>-5.0608389000000003</v>
      </c>
      <c r="M20" s="2">
        <v>1.0037300000000001E-2</v>
      </c>
      <c r="N20" s="2">
        <v>1.9892871999999999</v>
      </c>
      <c r="O20" s="2">
        <v>0.57716080000000003</v>
      </c>
      <c r="P20" s="2">
        <v>1.0309199999999999E-2</v>
      </c>
      <c r="Q20" s="2">
        <v>0.35295900000000002</v>
      </c>
      <c r="R20" s="2">
        <v>3.0660302000000001</v>
      </c>
      <c r="S20" s="2">
        <v>0.5509231</v>
      </c>
      <c r="T20" s="2">
        <v>-1</v>
      </c>
      <c r="U20" s="2">
        <v>1.0266300000000001E-2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-4.9797012</v>
      </c>
      <c r="AB20" s="2">
        <v>33.014553200000002</v>
      </c>
      <c r="AC20" s="2">
        <v>3.0659006</v>
      </c>
      <c r="AD20" s="2">
        <v>0.55079350000000005</v>
      </c>
      <c r="AE20" s="2">
        <v>0</v>
      </c>
      <c r="AF20">
        <v>1</v>
      </c>
      <c r="AG20" s="2">
        <v>0</v>
      </c>
      <c r="AH20" s="2"/>
      <c r="AI20" s="2"/>
      <c r="AJ20" s="2"/>
      <c r="AK20" s="2"/>
      <c r="AL20">
        <f t="shared" si="0"/>
        <v>-1.5698510372587737</v>
      </c>
      <c r="AM20">
        <f>SUM(output_transition_firms_age!C27:F27)/output_transition_firms_age!IL26</f>
        <v>0.11287899856191384</v>
      </c>
    </row>
    <row r="21" spans="1:39" x14ac:dyDescent="0.35">
      <c r="A21" s="1">
        <v>19</v>
      </c>
      <c r="B21" s="2">
        <v>1.0024690000000001</v>
      </c>
      <c r="C21" s="2">
        <v>0.79263700000000004</v>
      </c>
      <c r="D21" s="2">
        <v>0.36165039999999998</v>
      </c>
      <c r="E21" s="2">
        <v>3.2342999999999998E-3</v>
      </c>
      <c r="F21" s="2">
        <v>1</v>
      </c>
      <c r="G21" s="2">
        <v>0.78018900000000002</v>
      </c>
      <c r="H21" s="2">
        <v>0</v>
      </c>
      <c r="I21" s="2">
        <v>0</v>
      </c>
      <c r="J21" s="2">
        <v>2.5147088000000002</v>
      </c>
      <c r="K21" s="2">
        <v>0.99241670000000004</v>
      </c>
      <c r="L21" s="2">
        <v>-5.0535464000000001</v>
      </c>
      <c r="M21" s="2">
        <v>9.8931999999999996E-3</v>
      </c>
      <c r="N21" s="2">
        <v>1.9868086</v>
      </c>
      <c r="O21" s="2">
        <v>0.57767060000000003</v>
      </c>
      <c r="P21" s="2">
        <v>1.0309199999999999E-2</v>
      </c>
      <c r="Q21" s="2">
        <v>0.35300199999999998</v>
      </c>
      <c r="R21" s="2">
        <v>3.0532113999999999</v>
      </c>
      <c r="S21" s="2">
        <v>0.53850260000000005</v>
      </c>
      <c r="T21" s="2">
        <v>-1</v>
      </c>
      <c r="U21" s="2">
        <v>1.04514E-2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-4.9897961000000004</v>
      </c>
      <c r="AB21" s="2">
        <v>33.016589400000001</v>
      </c>
      <c r="AC21" s="2">
        <v>3.0530561999999999</v>
      </c>
      <c r="AD21" s="2">
        <v>0.53834740000000003</v>
      </c>
      <c r="AE21" s="2">
        <v>0</v>
      </c>
      <c r="AF21">
        <v>1</v>
      </c>
      <c r="AG21" s="2">
        <v>0</v>
      </c>
      <c r="AH21" s="2"/>
      <c r="AI21" s="2"/>
      <c r="AJ21" s="2"/>
      <c r="AK21" s="2"/>
      <c r="AL21">
        <f t="shared" si="0"/>
        <v>-2.1737346511216948</v>
      </c>
      <c r="AM21">
        <f>SUM(output_transition_firms_age!C28:F28)/output_transition_firms_age!IL27</f>
        <v>0.11296971011969099</v>
      </c>
    </row>
    <row r="22" spans="1:39" x14ac:dyDescent="0.35">
      <c r="A22" s="1">
        <v>20</v>
      </c>
      <c r="B22" s="2">
        <v>0.99669470000000004</v>
      </c>
      <c r="C22" s="2">
        <v>0.79263700000000004</v>
      </c>
      <c r="D22" s="2">
        <v>0.36263289999999998</v>
      </c>
      <c r="E22" s="2">
        <v>3.2342999999999998E-3</v>
      </c>
      <c r="F22" s="2">
        <v>1</v>
      </c>
      <c r="G22" s="2">
        <v>0.78018900000000002</v>
      </c>
      <c r="H22" s="2">
        <v>0</v>
      </c>
      <c r="I22" s="2">
        <v>0</v>
      </c>
      <c r="J22" s="2">
        <v>2.5142248</v>
      </c>
      <c r="K22" s="2">
        <v>0.98960950000000003</v>
      </c>
      <c r="L22" s="2">
        <v>-5.0515464000000003</v>
      </c>
      <c r="M22" s="2">
        <v>9.7687999999999994E-3</v>
      </c>
      <c r="N22" s="2">
        <v>1.9835745</v>
      </c>
      <c r="O22" s="2">
        <v>0.57714969999999999</v>
      </c>
      <c r="P22" s="2">
        <v>1.0309199999999999E-2</v>
      </c>
      <c r="Q22" s="2">
        <v>0.3528598</v>
      </c>
      <c r="R22" s="2">
        <v>3.0367084000000002</v>
      </c>
      <c r="S22" s="2">
        <v>0.52248360000000005</v>
      </c>
      <c r="T22" s="2">
        <v>-1</v>
      </c>
      <c r="U22" s="2">
        <v>1.04463E-2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-4.9983867000000002</v>
      </c>
      <c r="AB22" s="2">
        <v>33.006144800000001</v>
      </c>
      <c r="AC22" s="2">
        <v>3.0365199</v>
      </c>
      <c r="AD22" s="2">
        <v>0.52229510000000001</v>
      </c>
      <c r="AE22" s="2">
        <v>0</v>
      </c>
      <c r="AF22">
        <v>1</v>
      </c>
      <c r="AG22" s="2">
        <v>0</v>
      </c>
      <c r="AH22" s="2"/>
      <c r="AI22" s="2"/>
      <c r="AJ22" s="2"/>
      <c r="AK22" s="2"/>
      <c r="AL22">
        <f t="shared" si="0"/>
        <v>-2.9686473950237602</v>
      </c>
      <c r="AM22">
        <f>SUM(output_transition_firms_age!C29:F29)/output_transition_firms_age!IL28</f>
        <v>0.11294195710919593</v>
      </c>
    </row>
    <row r="23" spans="1:39" x14ac:dyDescent="0.35">
      <c r="A23" s="1">
        <v>21</v>
      </c>
      <c r="B23" s="2">
        <v>1.0003417999999999</v>
      </c>
      <c r="C23" s="2">
        <v>0.79263700000000004</v>
      </c>
      <c r="D23" s="2">
        <v>0.36359239999999998</v>
      </c>
      <c r="E23" s="2">
        <v>3.2342999999999998E-3</v>
      </c>
      <c r="F23" s="2">
        <v>1</v>
      </c>
      <c r="G23" s="2">
        <v>0.78018900000000002</v>
      </c>
      <c r="H23" s="2">
        <v>0</v>
      </c>
      <c r="I23" s="2">
        <v>0</v>
      </c>
      <c r="J23" s="2">
        <v>2.5139323</v>
      </c>
      <c r="K23" s="2">
        <v>0.99151339999999999</v>
      </c>
      <c r="L23" s="2">
        <v>-5.0591793000000003</v>
      </c>
      <c r="M23" s="2">
        <v>9.9240000000000005E-3</v>
      </c>
      <c r="N23" s="2">
        <v>1.9849783000000001</v>
      </c>
      <c r="O23" s="2">
        <v>0.57332399999999994</v>
      </c>
      <c r="P23" s="2">
        <v>1.0309199999999999E-2</v>
      </c>
      <c r="Q23" s="2">
        <v>0.3527227</v>
      </c>
      <c r="R23" s="2">
        <v>3.0469287</v>
      </c>
      <c r="S23" s="2">
        <v>0.53299629999999998</v>
      </c>
      <c r="T23" s="2">
        <v>-1</v>
      </c>
      <c r="U23" s="2">
        <v>1.02866E-2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-5.0063674000000002</v>
      </c>
      <c r="AB23" s="2">
        <v>32.979716699999997</v>
      </c>
      <c r="AC23" s="2">
        <v>3.0467547000000001</v>
      </c>
      <c r="AD23" s="2">
        <v>0.53282229999999997</v>
      </c>
      <c r="AE23" s="2">
        <v>0</v>
      </c>
      <c r="AF23">
        <v>1</v>
      </c>
      <c r="AG23" s="2">
        <v>0</v>
      </c>
      <c r="AH23" s="2"/>
      <c r="AI23" s="2"/>
      <c r="AJ23" s="2"/>
      <c r="AK23" s="2"/>
      <c r="AL23">
        <f t="shared" si="0"/>
        <v>-2.5270995019838871</v>
      </c>
      <c r="AM23">
        <f>SUM(output_transition_firms_age!C30:F30)/output_transition_firms_age!IL29</f>
        <v>0.11301162687194534</v>
      </c>
    </row>
    <row r="24" spans="1:39" x14ac:dyDescent="0.35">
      <c r="A24" s="1">
        <v>22</v>
      </c>
      <c r="B24" s="2">
        <v>0.99459509999999995</v>
      </c>
      <c r="C24" s="2">
        <v>0.79263700000000004</v>
      </c>
      <c r="D24" s="2">
        <v>0.3645294</v>
      </c>
      <c r="E24" s="2">
        <v>3.2342999999999998E-3</v>
      </c>
      <c r="F24" s="2">
        <v>1</v>
      </c>
      <c r="G24" s="2">
        <v>0.78018900000000002</v>
      </c>
      <c r="H24" s="2">
        <v>0</v>
      </c>
      <c r="I24" s="2">
        <v>0</v>
      </c>
      <c r="J24" s="2">
        <v>2.5135879999999999</v>
      </c>
      <c r="K24" s="2">
        <v>0.98879870000000003</v>
      </c>
      <c r="L24" s="2">
        <v>-5.0643909000000003</v>
      </c>
      <c r="M24" s="2">
        <v>9.7596000000000002E-3</v>
      </c>
      <c r="N24" s="2">
        <v>1.9818034</v>
      </c>
      <c r="O24" s="2">
        <v>0.57634099999999999</v>
      </c>
      <c r="P24" s="2">
        <v>1.0309199999999999E-2</v>
      </c>
      <c r="Q24" s="2">
        <v>0.35274519999999998</v>
      </c>
      <c r="R24" s="2">
        <v>3.0304598</v>
      </c>
      <c r="S24" s="2">
        <v>0.51687179999999999</v>
      </c>
      <c r="T24" s="2">
        <v>-1</v>
      </c>
      <c r="U24" s="2">
        <v>1.03062E-2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-5.0128344</v>
      </c>
      <c r="AB24" s="2">
        <v>32.964275899999997</v>
      </c>
      <c r="AC24" s="2">
        <v>3.0302530999999999</v>
      </c>
      <c r="AD24" s="2">
        <v>0.51666509999999999</v>
      </c>
      <c r="AE24" s="2">
        <v>0</v>
      </c>
      <c r="AF24">
        <v>1</v>
      </c>
      <c r="AG24" s="2">
        <v>0</v>
      </c>
      <c r="AH24" s="2"/>
      <c r="AI24" s="2"/>
      <c r="AJ24" s="2"/>
      <c r="AK24" s="2"/>
      <c r="AL24">
        <f t="shared" si="0"/>
        <v>-3.3489659685181916</v>
      </c>
      <c r="AM24">
        <f>SUM(output_transition_firms_age!C31:F31)/output_transition_firms_age!IL30</f>
        <v>0.11314737744612779</v>
      </c>
    </row>
    <row r="25" spans="1:39" x14ac:dyDescent="0.35">
      <c r="A25" s="1">
        <v>23</v>
      </c>
      <c r="B25" s="2">
        <v>0.99722840000000001</v>
      </c>
      <c r="C25" s="2">
        <v>0.79263700000000004</v>
      </c>
      <c r="D25" s="2">
        <v>0.36544450000000001</v>
      </c>
      <c r="E25" s="2">
        <v>3.2342999999999998E-3</v>
      </c>
      <c r="F25" s="2">
        <v>1</v>
      </c>
      <c r="G25" s="2">
        <v>0.78018900000000002</v>
      </c>
      <c r="H25" s="2">
        <v>0</v>
      </c>
      <c r="I25" s="2">
        <v>0</v>
      </c>
      <c r="J25" s="2">
        <v>2.5133570999999999</v>
      </c>
      <c r="K25" s="2">
        <v>0.99013019999999996</v>
      </c>
      <c r="L25" s="2">
        <v>-5.0755058999999996</v>
      </c>
      <c r="M25" s="2">
        <v>9.8907000000000005E-3</v>
      </c>
      <c r="N25" s="2">
        <v>1.9826241</v>
      </c>
      <c r="O25" s="2">
        <v>0.57434479999999999</v>
      </c>
      <c r="P25" s="2">
        <v>1.0309199999999999E-2</v>
      </c>
      <c r="Q25" s="2">
        <v>0.35274830000000001</v>
      </c>
      <c r="R25" s="2">
        <v>3.0374417999999999</v>
      </c>
      <c r="S25" s="2">
        <v>0.52408480000000002</v>
      </c>
      <c r="T25" s="2">
        <v>-1</v>
      </c>
      <c r="U25" s="2">
        <v>1.0319699999999999E-2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-5.0200639000000002</v>
      </c>
      <c r="AB25" s="2">
        <v>32.932889799999998</v>
      </c>
      <c r="AC25" s="2">
        <v>3.0372436</v>
      </c>
      <c r="AD25" s="2">
        <v>0.52388650000000003</v>
      </c>
      <c r="AE25" s="2">
        <v>0</v>
      </c>
      <c r="AF25">
        <v>1</v>
      </c>
      <c r="AG25" s="2">
        <v>0</v>
      </c>
      <c r="AH25" s="2"/>
      <c r="AI25" s="2"/>
      <c r="AJ25" s="2"/>
      <c r="AK25" s="2"/>
      <c r="AL25">
        <f t="shared" si="0"/>
        <v>-3.0559506782509516</v>
      </c>
      <c r="AM25">
        <f>SUM(output_transition_firms_age!C32:F32)/output_transition_firms_age!IL31</f>
        <v>0.11313904129648424</v>
      </c>
    </row>
    <row r="26" spans="1:39" x14ac:dyDescent="0.35">
      <c r="A26" s="1">
        <v>24</v>
      </c>
      <c r="B26" s="2">
        <v>1.0026969999999999</v>
      </c>
      <c r="C26" s="2">
        <v>0.79263700000000004</v>
      </c>
      <c r="D26" s="2">
        <v>0.366338</v>
      </c>
      <c r="E26" s="2">
        <v>3.2342999999999998E-3</v>
      </c>
      <c r="F26" s="2">
        <v>1</v>
      </c>
      <c r="G26" s="2">
        <v>0.78018900000000002</v>
      </c>
      <c r="H26" s="2">
        <v>0</v>
      </c>
      <c r="I26" s="2">
        <v>0</v>
      </c>
      <c r="J26" s="2">
        <v>2.5135646</v>
      </c>
      <c r="K26" s="2">
        <v>0.99334020000000001</v>
      </c>
      <c r="L26" s="2">
        <v>-5.0856922999999998</v>
      </c>
      <c r="M26" s="2">
        <v>1.0027100000000001E-2</v>
      </c>
      <c r="N26" s="2">
        <v>1.9853627</v>
      </c>
      <c r="O26" s="2">
        <v>0.56731310000000001</v>
      </c>
      <c r="P26" s="2">
        <v>1.05568E-2</v>
      </c>
      <c r="Q26" s="2">
        <v>0.35273779999999999</v>
      </c>
      <c r="R26" s="2">
        <v>3.0537548999999999</v>
      </c>
      <c r="S26" s="2">
        <v>0.54019030000000001</v>
      </c>
      <c r="T26" s="2">
        <v>-1</v>
      </c>
      <c r="U26" s="2">
        <v>1.0242599999999999E-2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-5.0269737000000001</v>
      </c>
      <c r="AB26" s="2">
        <v>32.912505799999998</v>
      </c>
      <c r="AC26" s="2">
        <v>3.0535808000000002</v>
      </c>
      <c r="AD26" s="2">
        <v>0.54001619999999995</v>
      </c>
      <c r="AE26" s="2">
        <v>0</v>
      </c>
      <c r="AF26">
        <v>1</v>
      </c>
      <c r="AG26" s="2">
        <v>0</v>
      </c>
      <c r="AH26" s="2"/>
      <c r="AI26" s="2"/>
      <c r="AJ26" s="2"/>
      <c r="AK26" s="2"/>
      <c r="AL26">
        <f t="shared" si="0"/>
        <v>-2.4050437530726665</v>
      </c>
      <c r="AM26">
        <f>SUM(output_transition_firms_age!C33:F33)/output_transition_firms_age!IL32</f>
        <v>0.11403152932222579</v>
      </c>
    </row>
    <row r="27" spans="1:39" x14ac:dyDescent="0.35">
      <c r="A27" s="1">
        <v>25</v>
      </c>
      <c r="B27" s="2">
        <v>0.99052709999999999</v>
      </c>
      <c r="C27" s="2">
        <v>0.79263700000000004</v>
      </c>
      <c r="D27" s="2">
        <v>0.3672106</v>
      </c>
      <c r="E27" s="2">
        <v>3.2342999999999998E-3</v>
      </c>
      <c r="F27" s="2">
        <v>1</v>
      </c>
      <c r="G27" s="2">
        <v>0.78018900000000002</v>
      </c>
      <c r="H27" s="2">
        <v>0</v>
      </c>
      <c r="I27" s="2">
        <v>0</v>
      </c>
      <c r="J27" s="2">
        <v>2.5123916999999998</v>
      </c>
      <c r="K27" s="2">
        <v>0.98772959999999999</v>
      </c>
      <c r="L27" s="2">
        <v>-5.0923841000000003</v>
      </c>
      <c r="M27" s="2">
        <v>9.6886000000000003E-3</v>
      </c>
      <c r="N27" s="2">
        <v>1.9791768000000001</v>
      </c>
      <c r="O27" s="2">
        <v>0.57334850000000004</v>
      </c>
      <c r="P27" s="2">
        <v>1.05568E-2</v>
      </c>
      <c r="Q27" s="2">
        <v>0.35305199999999998</v>
      </c>
      <c r="R27" s="2">
        <v>3.0195618999999998</v>
      </c>
      <c r="S27" s="2">
        <v>0.50717020000000002</v>
      </c>
      <c r="T27" s="2">
        <v>-1</v>
      </c>
      <c r="U27" s="2">
        <v>1.0327599999999999E-2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-5.0346425000000004</v>
      </c>
      <c r="AB27" s="2">
        <v>32.904999500000002</v>
      </c>
      <c r="AC27" s="2">
        <v>3.0193224999999999</v>
      </c>
      <c r="AD27" s="2">
        <v>0.50693080000000001</v>
      </c>
      <c r="AE27" s="2">
        <v>0</v>
      </c>
      <c r="AF27">
        <v>1</v>
      </c>
      <c r="AG27" s="2">
        <v>0</v>
      </c>
      <c r="AH27" s="2"/>
      <c r="AI27" s="2"/>
      <c r="AJ27" s="2"/>
      <c r="AK27" s="2"/>
      <c r="AL27">
        <f t="shared" si="0"/>
        <v>-4.1205671865927052</v>
      </c>
      <c r="AM27">
        <f>SUM(output_transition_firms_age!C34:F34)/output_transition_firms_age!IL33</f>
        <v>0.11467907050288989</v>
      </c>
    </row>
    <row r="28" spans="1:39" x14ac:dyDescent="0.35">
      <c r="A28" s="1">
        <v>26</v>
      </c>
      <c r="B28" s="2">
        <v>0.99853999999999998</v>
      </c>
      <c r="C28" s="2">
        <v>0.79263700000000004</v>
      </c>
      <c r="D28" s="2">
        <v>0.36806280000000002</v>
      </c>
      <c r="E28" s="2">
        <v>3.2342999999999998E-3</v>
      </c>
      <c r="F28" s="2">
        <v>1</v>
      </c>
      <c r="G28" s="2">
        <v>0.78018900000000002</v>
      </c>
      <c r="H28" s="2">
        <v>0</v>
      </c>
      <c r="I28" s="2">
        <v>0</v>
      </c>
      <c r="J28" s="2">
        <v>2.5123269000000001</v>
      </c>
      <c r="K28" s="2">
        <v>0.99182590000000004</v>
      </c>
      <c r="L28" s="2">
        <v>-5.1109023000000002</v>
      </c>
      <c r="M28" s="2">
        <v>1.0015E-2</v>
      </c>
      <c r="N28" s="2">
        <v>1.9829597000000001</v>
      </c>
      <c r="O28" s="2">
        <v>0.57157349999999996</v>
      </c>
      <c r="P28" s="2">
        <v>1.05568E-2</v>
      </c>
      <c r="Q28" s="2">
        <v>0.35328120000000002</v>
      </c>
      <c r="R28" s="2">
        <v>3.0418858000000002</v>
      </c>
      <c r="S28" s="2">
        <v>0.52955890000000005</v>
      </c>
      <c r="T28" s="2">
        <v>-1</v>
      </c>
      <c r="U28" s="2">
        <v>1.0272999999999999E-2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-5.0433247999999997</v>
      </c>
      <c r="AB28" s="2">
        <v>32.864311299999997</v>
      </c>
      <c r="AC28" s="2">
        <v>3.0416862999999998</v>
      </c>
      <c r="AD28" s="2">
        <v>0.52935940000000004</v>
      </c>
      <c r="AE28" s="2">
        <v>0</v>
      </c>
      <c r="AF28">
        <v>1</v>
      </c>
      <c r="AG28" s="2">
        <v>0</v>
      </c>
      <c r="AH28" s="2"/>
      <c r="AI28" s="2"/>
      <c r="AJ28" s="2"/>
      <c r="AK28" s="2"/>
      <c r="AL28">
        <f t="shared" si="0"/>
        <v>-3.1323685344087249</v>
      </c>
      <c r="AM28">
        <f>SUM(output_transition_firms_age!C35:F35)/output_transition_firms_age!IL34</f>
        <v>0.11534663209561695</v>
      </c>
    </row>
    <row r="29" spans="1:39" x14ac:dyDescent="0.35">
      <c r="A29" s="1">
        <v>27</v>
      </c>
      <c r="B29" s="2">
        <v>1.0059236</v>
      </c>
      <c r="C29" s="2">
        <v>0.79263700000000004</v>
      </c>
      <c r="D29" s="2">
        <v>0.36889490000000003</v>
      </c>
      <c r="E29" s="2">
        <v>3.2342999999999998E-3</v>
      </c>
      <c r="F29" s="2">
        <v>1</v>
      </c>
      <c r="G29" s="2">
        <v>0.78018900000000002</v>
      </c>
      <c r="H29" s="2">
        <v>0</v>
      </c>
      <c r="I29" s="2">
        <v>0</v>
      </c>
      <c r="J29" s="2">
        <v>2.5127066</v>
      </c>
      <c r="K29" s="2">
        <v>0.99579280000000003</v>
      </c>
      <c r="L29" s="2">
        <v>-5.1202831</v>
      </c>
      <c r="M29" s="2">
        <v>1.02039E-2</v>
      </c>
      <c r="N29" s="2">
        <v>1.9867897000000001</v>
      </c>
      <c r="O29" s="2">
        <v>0.56982869999999997</v>
      </c>
      <c r="P29" s="2">
        <v>1.05568E-2</v>
      </c>
      <c r="Q29" s="2">
        <v>0.35356500000000002</v>
      </c>
      <c r="R29" s="2">
        <v>3.0634058999999998</v>
      </c>
      <c r="S29" s="2">
        <v>0.5506993</v>
      </c>
      <c r="T29" s="2">
        <v>-1</v>
      </c>
      <c r="U29" s="2">
        <v>1.0158199999999999E-2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-5.0524820999999998</v>
      </c>
      <c r="AB29" s="2">
        <v>32.846739300000003</v>
      </c>
      <c r="AC29" s="2">
        <v>3.0632467999999999</v>
      </c>
      <c r="AD29" s="2">
        <v>0.55054020000000004</v>
      </c>
      <c r="AE29" s="2">
        <v>0</v>
      </c>
      <c r="AF29">
        <v>1</v>
      </c>
      <c r="AG29" s="2">
        <v>0</v>
      </c>
      <c r="AH29" s="2"/>
      <c r="AI29" s="2"/>
      <c r="AJ29" s="2"/>
      <c r="AK29" s="2"/>
      <c r="AL29">
        <f t="shared" si="0"/>
        <v>-2.1930371169493146</v>
      </c>
      <c r="AM29">
        <f>SUM(output_transition_firms_age!C36:F36)/output_transition_firms_age!IL35</f>
        <v>0.11599567773556607</v>
      </c>
    </row>
    <row r="30" spans="1:39" x14ac:dyDescent="0.35">
      <c r="A30" s="1">
        <v>28</v>
      </c>
      <c r="B30" s="2">
        <v>0.99899389999999999</v>
      </c>
      <c r="C30" s="2">
        <v>0.79263700000000004</v>
      </c>
      <c r="D30" s="2">
        <v>0.36970760000000003</v>
      </c>
      <c r="E30" s="2">
        <v>3.2342999999999998E-3</v>
      </c>
      <c r="F30" s="2">
        <v>1</v>
      </c>
      <c r="G30" s="2">
        <v>0.78018900000000002</v>
      </c>
      <c r="H30" s="2">
        <v>0</v>
      </c>
      <c r="I30" s="2">
        <v>0</v>
      </c>
      <c r="J30" s="2">
        <v>2.5126219999999999</v>
      </c>
      <c r="K30" s="2">
        <v>0.99265680000000001</v>
      </c>
      <c r="L30" s="2">
        <v>-5.1188672000000004</v>
      </c>
      <c r="M30" s="2">
        <v>9.9652999999999999E-3</v>
      </c>
      <c r="N30" s="2">
        <v>1.9836449</v>
      </c>
      <c r="O30" s="2">
        <v>0.5735169</v>
      </c>
      <c r="P30" s="2">
        <v>1.05568E-2</v>
      </c>
      <c r="Q30" s="2">
        <v>0.35396359999999999</v>
      </c>
      <c r="R30" s="2">
        <v>3.0443660000000001</v>
      </c>
      <c r="S30" s="2">
        <v>0.53174399999999999</v>
      </c>
      <c r="T30" s="2">
        <v>-1</v>
      </c>
      <c r="U30" s="2">
        <v>1.03202E-2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-5.0616136000000003</v>
      </c>
      <c r="AB30" s="2">
        <v>32.850627299999999</v>
      </c>
      <c r="AC30" s="2">
        <v>3.0441737</v>
      </c>
      <c r="AD30" s="2">
        <v>0.53155169999999996</v>
      </c>
      <c r="AE30" s="2">
        <v>0</v>
      </c>
      <c r="AF30">
        <v>1</v>
      </c>
      <c r="AG30" s="2">
        <v>0</v>
      </c>
      <c r="AH30" s="2"/>
      <c r="AI30" s="2"/>
      <c r="AJ30" s="2"/>
      <c r="AK30" s="2"/>
      <c r="AL30">
        <f t="shared" si="0"/>
        <v>-3.1392322603181366</v>
      </c>
      <c r="AM30">
        <f>SUM(output_transition_firms_age!C37:F37)/output_transition_firms_age!IL36</f>
        <v>0.11599537075449491</v>
      </c>
    </row>
    <row r="31" spans="1:39" x14ac:dyDescent="0.35">
      <c r="A31" s="1">
        <v>29</v>
      </c>
      <c r="B31" s="2">
        <v>1.0057898000000001</v>
      </c>
      <c r="C31" s="2">
        <v>0.79263700000000004</v>
      </c>
      <c r="D31" s="2">
        <v>0.37050119999999997</v>
      </c>
      <c r="E31" s="2">
        <v>3.2342999999999998E-3</v>
      </c>
      <c r="F31" s="2">
        <v>1</v>
      </c>
      <c r="G31" s="2">
        <v>0.78018900000000002</v>
      </c>
      <c r="H31" s="2">
        <v>0</v>
      </c>
      <c r="I31" s="2">
        <v>0</v>
      </c>
      <c r="J31" s="2">
        <v>2.5126388</v>
      </c>
      <c r="K31" s="2">
        <v>0.99635969999999996</v>
      </c>
      <c r="L31" s="2">
        <v>-5.1242894999999997</v>
      </c>
      <c r="M31" s="2">
        <v>1.02124E-2</v>
      </c>
      <c r="N31" s="2">
        <v>1.9872595</v>
      </c>
      <c r="O31" s="2">
        <v>0.5707217</v>
      </c>
      <c r="P31" s="2">
        <v>1.05568E-2</v>
      </c>
      <c r="Q31" s="2">
        <v>0.35420020000000002</v>
      </c>
      <c r="R31" s="2">
        <v>3.0644054000000001</v>
      </c>
      <c r="S31" s="2">
        <v>0.5517666</v>
      </c>
      <c r="T31" s="2">
        <v>-1</v>
      </c>
      <c r="U31" s="2">
        <v>1.01505E-2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-5.0726275999999997</v>
      </c>
      <c r="AB31" s="2">
        <v>32.835336099999999</v>
      </c>
      <c r="AC31" s="2">
        <v>3.0642513</v>
      </c>
      <c r="AD31" s="2">
        <v>0.55161249999999995</v>
      </c>
      <c r="AE31" s="2">
        <v>0</v>
      </c>
      <c r="AF31">
        <v>1</v>
      </c>
      <c r="AG31" s="2">
        <v>0</v>
      </c>
      <c r="AH31" s="2"/>
      <c r="AI31" s="2"/>
      <c r="AJ31" s="2"/>
      <c r="AK31" s="2"/>
      <c r="AL31">
        <f t="shared" si="0"/>
        <v>-2.2677573295534881</v>
      </c>
      <c r="AM31">
        <f>SUM(output_transition_firms_age!C38:F38)/output_transition_firms_age!IL37</f>
        <v>0.11611930654537025</v>
      </c>
    </row>
    <row r="32" spans="1:39" x14ac:dyDescent="0.35">
      <c r="A32" s="1">
        <v>30</v>
      </c>
      <c r="B32" s="2">
        <v>1.0071829000000001</v>
      </c>
      <c r="C32" s="2">
        <v>0.79263700000000004</v>
      </c>
      <c r="D32" s="2">
        <v>0.3712761</v>
      </c>
      <c r="E32" s="2">
        <v>3.2342999999999998E-3</v>
      </c>
      <c r="F32" s="2">
        <v>1</v>
      </c>
      <c r="G32" s="2">
        <v>0.78018900000000002</v>
      </c>
      <c r="H32" s="2">
        <v>0</v>
      </c>
      <c r="I32" s="2">
        <v>0</v>
      </c>
      <c r="J32" s="2">
        <v>2.5128846999999999</v>
      </c>
      <c r="K32" s="2">
        <v>0.99733229999999995</v>
      </c>
      <c r="L32" s="2">
        <v>-5.1215583000000002</v>
      </c>
      <c r="M32" s="2">
        <v>1.02221E-2</v>
      </c>
      <c r="N32" s="2">
        <v>1.9883805999999999</v>
      </c>
      <c r="O32" s="2">
        <v>0.5711792</v>
      </c>
      <c r="P32" s="2">
        <v>1.05568E-2</v>
      </c>
      <c r="Q32" s="2">
        <v>0.35460649999999999</v>
      </c>
      <c r="R32" s="2">
        <v>3.0694908000000001</v>
      </c>
      <c r="S32" s="2">
        <v>0.55660609999999999</v>
      </c>
      <c r="T32" s="2">
        <v>-1</v>
      </c>
      <c r="U32" s="2">
        <v>1.0315700000000001E-2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-5.0850546000000003</v>
      </c>
      <c r="AB32" s="2">
        <v>32.840289499999997</v>
      </c>
      <c r="AC32" s="2">
        <v>3.0693484999999998</v>
      </c>
      <c r="AD32" s="2">
        <v>0.55646379999999995</v>
      </c>
      <c r="AE32" s="2">
        <v>0</v>
      </c>
      <c r="AF32">
        <v>1</v>
      </c>
      <c r="AG32" s="2">
        <v>0</v>
      </c>
      <c r="AH32" s="2"/>
      <c r="AI32" s="2"/>
      <c r="AJ32" s="2"/>
      <c r="AK32" s="2"/>
      <c r="AL32">
        <f t="shared" si="0"/>
        <v>-2.0577902033259043</v>
      </c>
      <c r="AM32">
        <f>SUM(output_transition_firms_age!C39:F39)/output_transition_firms_age!IL38</f>
        <v>0.11607329804084665</v>
      </c>
    </row>
    <row r="33" spans="1:39" x14ac:dyDescent="0.35">
      <c r="A33" s="1">
        <v>31</v>
      </c>
      <c r="B33" s="2">
        <v>1.0074818999999999</v>
      </c>
      <c r="C33" s="2">
        <v>0.79263700000000004</v>
      </c>
      <c r="D33" s="2">
        <v>0.3720329</v>
      </c>
      <c r="E33" s="2">
        <v>3.2342999999999998E-3</v>
      </c>
      <c r="F33" s="2">
        <v>1</v>
      </c>
      <c r="G33" s="2">
        <v>0.78018900000000002</v>
      </c>
      <c r="H33" s="2">
        <v>0</v>
      </c>
      <c r="I33" s="2">
        <v>0</v>
      </c>
      <c r="J33" s="2">
        <v>2.5130442</v>
      </c>
      <c r="K33" s="2">
        <v>0.99771840000000001</v>
      </c>
      <c r="L33" s="2">
        <v>-5.1154304000000002</v>
      </c>
      <c r="M33" s="2">
        <v>1.0215800000000001E-2</v>
      </c>
      <c r="N33" s="2">
        <v>1.9889535</v>
      </c>
      <c r="O33" s="2">
        <v>0.57032640000000001</v>
      </c>
      <c r="P33" s="2">
        <v>1.05568E-2</v>
      </c>
      <c r="Q33" s="2">
        <v>0.35484759999999999</v>
      </c>
      <c r="R33" s="2">
        <v>3.0714644</v>
      </c>
      <c r="S33" s="2">
        <v>0.55842009999999997</v>
      </c>
      <c r="T33" s="2">
        <v>-1</v>
      </c>
      <c r="U33" s="2">
        <v>1.0388700000000001E-2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-5.0975330999999997</v>
      </c>
      <c r="AB33" s="2">
        <v>32.8500035</v>
      </c>
      <c r="AC33" s="2">
        <v>3.0713281000000001</v>
      </c>
      <c r="AD33" s="2">
        <v>0.55828390000000006</v>
      </c>
      <c r="AE33" s="2">
        <v>0</v>
      </c>
      <c r="AF33">
        <v>1</v>
      </c>
      <c r="AG33" s="2">
        <v>0</v>
      </c>
      <c r="AH33" s="2"/>
      <c r="AI33" s="2"/>
      <c r="AJ33" s="2"/>
      <c r="AK33" s="2"/>
      <c r="AL33">
        <f t="shared" si="0"/>
        <v>-1.9790806623301016</v>
      </c>
      <c r="AM33">
        <f>SUM(output_transition_firms_age!C40:F40)/output_transition_firms_age!IL39</f>
        <v>0.11603757318367032</v>
      </c>
    </row>
    <row r="34" spans="1:39" x14ac:dyDescent="0.35">
      <c r="A34" s="1">
        <v>32</v>
      </c>
      <c r="B34" s="2">
        <v>0.99948899999999996</v>
      </c>
      <c r="C34" s="2">
        <v>0.79263700000000004</v>
      </c>
      <c r="D34" s="2">
        <v>0.37277199999999999</v>
      </c>
      <c r="E34" s="2">
        <v>3.2342999999999998E-3</v>
      </c>
      <c r="F34" s="2">
        <v>1</v>
      </c>
      <c r="G34" s="2">
        <v>0.78018900000000002</v>
      </c>
      <c r="H34" s="2">
        <v>0</v>
      </c>
      <c r="I34" s="2">
        <v>0</v>
      </c>
      <c r="J34" s="2">
        <v>2.5128548999999998</v>
      </c>
      <c r="K34" s="2">
        <v>0.99403870000000005</v>
      </c>
      <c r="L34" s="2">
        <v>-5.1076721000000003</v>
      </c>
      <c r="M34" s="2">
        <v>9.9780000000000008E-3</v>
      </c>
      <c r="N34" s="2">
        <v>1.9853343000000001</v>
      </c>
      <c r="O34" s="2">
        <v>0.57049890000000003</v>
      </c>
      <c r="P34" s="2">
        <v>1.05568E-2</v>
      </c>
      <c r="Q34" s="2">
        <v>0.35501569999999999</v>
      </c>
      <c r="R34" s="2">
        <v>3.0496335000000001</v>
      </c>
      <c r="S34" s="2">
        <v>0.53677859999999999</v>
      </c>
      <c r="T34" s="2">
        <v>-1</v>
      </c>
      <c r="U34" s="2">
        <v>1.0406E-2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-5.1082368000000002</v>
      </c>
      <c r="AB34" s="2">
        <v>32.861433499999997</v>
      </c>
      <c r="AC34" s="2">
        <v>3.0494590000000001</v>
      </c>
      <c r="AD34" s="2">
        <v>0.53660419999999998</v>
      </c>
      <c r="AE34" s="2">
        <v>0</v>
      </c>
      <c r="AF34">
        <v>1</v>
      </c>
      <c r="AG34" s="2">
        <v>0</v>
      </c>
      <c r="AH34" s="2"/>
      <c r="AI34" s="2"/>
      <c r="AJ34" s="2"/>
      <c r="AK34" s="2"/>
      <c r="AL34">
        <f t="shared" si="0"/>
        <v>-3.0356780242124515</v>
      </c>
      <c r="AM34">
        <f>SUM(output_transition_firms_age!C41:F41)/output_transition_firms_age!IL40</f>
        <v>0.11589598585389088</v>
      </c>
    </row>
    <row r="35" spans="1:39" x14ac:dyDescent="0.35">
      <c r="A35" s="1">
        <v>33</v>
      </c>
      <c r="B35" s="2">
        <v>0.99929800000000002</v>
      </c>
      <c r="C35" s="2">
        <v>0.79263700000000004</v>
      </c>
      <c r="D35" s="2">
        <v>0.37349369999999998</v>
      </c>
      <c r="E35" s="2">
        <v>3.2342999999999998E-3</v>
      </c>
      <c r="F35" s="2">
        <v>1</v>
      </c>
      <c r="G35" s="2">
        <v>0.78018900000000002</v>
      </c>
      <c r="H35" s="2">
        <v>0</v>
      </c>
      <c r="I35" s="2">
        <v>0</v>
      </c>
      <c r="J35" s="2">
        <v>2.5127381</v>
      </c>
      <c r="K35" s="2">
        <v>0.99420589999999998</v>
      </c>
      <c r="L35" s="2">
        <v>-5.1107032999999999</v>
      </c>
      <c r="M35" s="2">
        <v>1.0025600000000001E-2</v>
      </c>
      <c r="N35" s="2">
        <v>1.9853472000000001</v>
      </c>
      <c r="O35" s="2">
        <v>0.56786320000000001</v>
      </c>
      <c r="P35" s="2">
        <v>1.05568E-2</v>
      </c>
      <c r="Q35" s="2">
        <v>0.35516639999999999</v>
      </c>
      <c r="R35" s="2">
        <v>3.0495961</v>
      </c>
      <c r="S35" s="2">
        <v>0.53685799999999995</v>
      </c>
      <c r="T35" s="2">
        <v>-1</v>
      </c>
      <c r="U35" s="2">
        <v>1.03254E-2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-5.1186261000000002</v>
      </c>
      <c r="AB35" s="2">
        <v>32.850943899999997</v>
      </c>
      <c r="AC35" s="2">
        <v>3.0494218000000002</v>
      </c>
      <c r="AD35" s="2">
        <v>0.53668369999999999</v>
      </c>
      <c r="AE35" s="2">
        <v>0</v>
      </c>
      <c r="AF35">
        <v>1</v>
      </c>
      <c r="AG35" s="2">
        <v>0</v>
      </c>
      <c r="AH35" s="2"/>
      <c r="AI35" s="2"/>
      <c r="AJ35" s="2"/>
      <c r="AK35" s="2"/>
      <c r="AL35">
        <f t="shared" si="0"/>
        <v>-3.0910344256817712</v>
      </c>
      <c r="AM35">
        <f>SUM(output_transition_firms_age!C42:F42)/output_transition_firms_age!IL41</f>
        <v>0.11583486456832397</v>
      </c>
    </row>
    <row r="36" spans="1:39" x14ac:dyDescent="0.35">
      <c r="A36" s="1">
        <v>34</v>
      </c>
      <c r="B36" s="2">
        <v>0.99639770000000005</v>
      </c>
      <c r="C36" s="2">
        <v>0.79263700000000004</v>
      </c>
      <c r="D36" s="2">
        <v>0.37419849999999999</v>
      </c>
      <c r="E36" s="2">
        <v>3.2342999999999998E-3</v>
      </c>
      <c r="F36" s="2">
        <v>1</v>
      </c>
      <c r="G36" s="2">
        <v>0.78018900000000002</v>
      </c>
      <c r="H36" s="2">
        <v>0</v>
      </c>
      <c r="I36" s="2">
        <v>0</v>
      </c>
      <c r="J36" s="2">
        <v>2.5123492999999999</v>
      </c>
      <c r="K36" s="2">
        <v>0.99297760000000002</v>
      </c>
      <c r="L36" s="2">
        <v>-5.1155530000000002</v>
      </c>
      <c r="M36" s="2">
        <v>9.9503999999999999E-3</v>
      </c>
      <c r="N36" s="2">
        <v>1.9839335</v>
      </c>
      <c r="O36" s="2">
        <v>0.5700385</v>
      </c>
      <c r="P36" s="2">
        <v>1.05568E-2</v>
      </c>
      <c r="Q36" s="2">
        <v>0.35539779999999999</v>
      </c>
      <c r="R36" s="2">
        <v>3.0415944000000001</v>
      </c>
      <c r="S36" s="2">
        <v>0.52924510000000002</v>
      </c>
      <c r="T36" s="2">
        <v>-1</v>
      </c>
      <c r="U36" s="2">
        <v>1.03824E-2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-5.1269283999999997</v>
      </c>
      <c r="AB36" s="2">
        <v>32.840688999999998</v>
      </c>
      <c r="AC36" s="2">
        <v>3.0414051</v>
      </c>
      <c r="AD36" s="2">
        <v>0.52905590000000002</v>
      </c>
      <c r="AE36" s="2">
        <v>0</v>
      </c>
      <c r="AF36">
        <v>1</v>
      </c>
      <c r="AG36" s="2">
        <v>0</v>
      </c>
      <c r="AH36" s="2"/>
      <c r="AI36" s="2"/>
      <c r="AJ36" s="2"/>
      <c r="AK36" s="2"/>
      <c r="AL36">
        <f t="shared" si="0"/>
        <v>-3.517433870659703</v>
      </c>
      <c r="AM36">
        <f>SUM(output_transition_firms_age!C43:F43)/output_transition_firms_age!IL42</f>
        <v>0.11581327346890011</v>
      </c>
    </row>
    <row r="37" spans="1:39" x14ac:dyDescent="0.35">
      <c r="A37" s="1">
        <v>35</v>
      </c>
      <c r="B37" s="2">
        <v>0.99676529999999997</v>
      </c>
      <c r="C37" s="2">
        <v>0.79263700000000004</v>
      </c>
      <c r="D37" s="2">
        <v>0.37488670000000002</v>
      </c>
      <c r="E37" s="2">
        <v>3.2342999999999998E-3</v>
      </c>
      <c r="F37" s="2">
        <v>1</v>
      </c>
      <c r="G37" s="2">
        <v>0.78018900000000002</v>
      </c>
      <c r="H37" s="2">
        <v>0</v>
      </c>
      <c r="I37" s="2">
        <v>0</v>
      </c>
      <c r="J37" s="2">
        <v>2.5121026</v>
      </c>
      <c r="K37" s="2">
        <v>0.99344880000000002</v>
      </c>
      <c r="L37" s="2">
        <v>-5.1219425999999997</v>
      </c>
      <c r="M37" s="2">
        <v>9.9950000000000004E-3</v>
      </c>
      <c r="N37" s="2">
        <v>1.9841688</v>
      </c>
      <c r="O37" s="2">
        <v>0.56869170000000002</v>
      </c>
      <c r="P37" s="2">
        <v>1.05568E-2</v>
      </c>
      <c r="Q37" s="2">
        <v>0.3555722</v>
      </c>
      <c r="R37" s="2">
        <v>3.0429092</v>
      </c>
      <c r="S37" s="2">
        <v>0.53080660000000002</v>
      </c>
      <c r="T37" s="2">
        <v>-1</v>
      </c>
      <c r="U37" s="2">
        <v>1.0239E-2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-5.1346467000000002</v>
      </c>
      <c r="AB37" s="2">
        <v>32.822968699999997</v>
      </c>
      <c r="AC37" s="2">
        <v>3.0427224000000002</v>
      </c>
      <c r="AD37" s="2">
        <v>0.53061990000000003</v>
      </c>
      <c r="AE37" s="2">
        <v>0</v>
      </c>
      <c r="AF37">
        <v>1</v>
      </c>
      <c r="AG37" s="2">
        <v>0</v>
      </c>
      <c r="AH37" s="2"/>
      <c r="AI37" s="2"/>
      <c r="AJ37" s="2"/>
      <c r="AK37" s="2"/>
      <c r="AL37">
        <f t="shared" si="0"/>
        <v>-3.5303721274355215</v>
      </c>
      <c r="AM37">
        <f>SUM(output_transition_firms_age!C44:F44)/output_transition_firms_age!IL43</f>
        <v>0.11604059231126353</v>
      </c>
    </row>
    <row r="38" spans="1:39" x14ac:dyDescent="0.35">
      <c r="A38" s="1">
        <v>36</v>
      </c>
      <c r="B38" s="2">
        <v>1.0000629000000001</v>
      </c>
      <c r="C38" s="2">
        <v>0.79263700000000004</v>
      </c>
      <c r="D38" s="2">
        <v>0.37555880000000003</v>
      </c>
      <c r="E38" s="2">
        <v>3.2342999999999998E-3</v>
      </c>
      <c r="F38" s="2">
        <v>1</v>
      </c>
      <c r="G38" s="2">
        <v>0.78018900000000002</v>
      </c>
      <c r="H38" s="2">
        <v>0</v>
      </c>
      <c r="I38" s="2">
        <v>0</v>
      </c>
      <c r="J38" s="2">
        <v>2.5121026999999998</v>
      </c>
      <c r="K38" s="2">
        <v>0.99518180000000001</v>
      </c>
      <c r="L38" s="2">
        <v>-5.1288073000000001</v>
      </c>
      <c r="M38" s="2">
        <v>1.0094799999999999E-2</v>
      </c>
      <c r="N38" s="2">
        <v>1.9857720999999999</v>
      </c>
      <c r="O38" s="2">
        <v>0.56980209999999998</v>
      </c>
      <c r="P38" s="2">
        <v>1.05568E-2</v>
      </c>
      <c r="Q38" s="2">
        <v>0.35588999999999998</v>
      </c>
      <c r="R38" s="2">
        <v>3.0523866000000002</v>
      </c>
      <c r="S38" s="2">
        <v>0.54028390000000004</v>
      </c>
      <c r="T38" s="2">
        <v>-1</v>
      </c>
      <c r="U38" s="2">
        <v>1.04384E-2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-5.1428178000000004</v>
      </c>
      <c r="AB38" s="2">
        <v>32.806935500000002</v>
      </c>
      <c r="AC38" s="2">
        <v>3.0522168000000001</v>
      </c>
      <c r="AD38" s="2">
        <v>0.54011399999999998</v>
      </c>
      <c r="AE38" s="2">
        <v>0</v>
      </c>
      <c r="AF38">
        <v>1</v>
      </c>
      <c r="AG38" s="2">
        <v>0</v>
      </c>
      <c r="AH38" s="2"/>
      <c r="AI38" s="2"/>
      <c r="AJ38" s="2"/>
      <c r="AK38" s="2"/>
      <c r="AL38">
        <f t="shared" si="0"/>
        <v>-3.1114271975913876</v>
      </c>
      <c r="AM38">
        <f>SUM(output_transition_firms_age!C45:F45)/output_transition_firms_age!IL44</f>
        <v>0.11595942943977738</v>
      </c>
    </row>
    <row r="39" spans="1:39" x14ac:dyDescent="0.35">
      <c r="A39" s="1">
        <v>37</v>
      </c>
      <c r="B39" s="2">
        <v>0.999668</v>
      </c>
      <c r="C39" s="2">
        <v>0.79263700000000004</v>
      </c>
      <c r="D39" s="2">
        <v>0.37621520000000003</v>
      </c>
      <c r="E39" s="2">
        <v>3.2342999999999998E-3</v>
      </c>
      <c r="F39" s="2">
        <v>1</v>
      </c>
      <c r="G39" s="2">
        <v>0.78018900000000002</v>
      </c>
      <c r="H39" s="2">
        <v>0</v>
      </c>
      <c r="I39" s="2">
        <v>0</v>
      </c>
      <c r="J39" s="2">
        <v>2.5119050000000001</v>
      </c>
      <c r="K39" s="2">
        <v>0.99523099999999998</v>
      </c>
      <c r="L39" s="2">
        <v>-5.1294050999999996</v>
      </c>
      <c r="M39" s="2">
        <v>1.0074899999999999E-2</v>
      </c>
      <c r="N39" s="2">
        <v>1.9857602000000001</v>
      </c>
      <c r="O39" s="2">
        <v>0.5687236</v>
      </c>
      <c r="P39" s="2">
        <v>1.05568E-2</v>
      </c>
      <c r="Q39" s="2">
        <v>0.3560084</v>
      </c>
      <c r="R39" s="2">
        <v>3.0518130000000001</v>
      </c>
      <c r="S39" s="2">
        <v>0.5399081</v>
      </c>
      <c r="T39" s="2">
        <v>-1</v>
      </c>
      <c r="U39" s="2">
        <v>1.03278E-2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-5.1514129000000004</v>
      </c>
      <c r="AB39" s="2">
        <v>32.800689800000001</v>
      </c>
      <c r="AC39" s="2">
        <v>3.0516431000000002</v>
      </c>
      <c r="AD39" s="2">
        <v>0.5397381</v>
      </c>
      <c r="AE39" s="2">
        <v>0</v>
      </c>
      <c r="AF39">
        <v>1</v>
      </c>
      <c r="AG39" s="2">
        <v>0</v>
      </c>
      <c r="AH39" s="2"/>
      <c r="AI39" s="2"/>
      <c r="AJ39" s="2"/>
      <c r="AK39" s="2"/>
      <c r="AL39">
        <f t="shared" si="0"/>
        <v>-3.184224820336734</v>
      </c>
      <c r="AM39">
        <f>SUM(output_transition_firms_age!C46:F46)/output_transition_firms_age!IL45</f>
        <v>0.11589036713887445</v>
      </c>
    </row>
    <row r="40" spans="1:39" x14ac:dyDescent="0.35">
      <c r="A40" s="1">
        <v>38</v>
      </c>
      <c r="B40" s="2">
        <v>0.99629579999999995</v>
      </c>
      <c r="C40" s="2">
        <v>0.79263700000000004</v>
      </c>
      <c r="D40" s="2">
        <v>0.37685619999999997</v>
      </c>
      <c r="E40" s="2">
        <v>3.2342999999999998E-3</v>
      </c>
      <c r="F40" s="2">
        <v>1</v>
      </c>
      <c r="G40" s="2">
        <v>0.78018900000000002</v>
      </c>
      <c r="H40" s="2">
        <v>0</v>
      </c>
      <c r="I40" s="2">
        <v>0</v>
      </c>
      <c r="J40" s="2">
        <v>2.5117379999999998</v>
      </c>
      <c r="K40" s="2">
        <v>0.99363290000000004</v>
      </c>
      <c r="L40" s="2">
        <v>-5.1302855000000003</v>
      </c>
      <c r="M40" s="2">
        <v>9.9766999999999998E-3</v>
      </c>
      <c r="N40" s="2">
        <v>1.9840481000000001</v>
      </c>
      <c r="O40" s="2">
        <v>0.57143370000000004</v>
      </c>
      <c r="P40" s="2">
        <v>1.05568E-2</v>
      </c>
      <c r="Q40" s="2">
        <v>0.35623739999999998</v>
      </c>
      <c r="R40" s="2">
        <v>3.0423735000000001</v>
      </c>
      <c r="S40" s="2">
        <v>0.53063550000000004</v>
      </c>
      <c r="T40" s="2">
        <v>-1</v>
      </c>
      <c r="U40" s="2">
        <v>1.05629E-2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-5.1599275000000002</v>
      </c>
      <c r="AB40" s="2">
        <v>32.794020799999998</v>
      </c>
      <c r="AC40" s="2">
        <v>3.0421855</v>
      </c>
      <c r="AD40" s="2">
        <v>0.53044749999999996</v>
      </c>
      <c r="AE40" s="2">
        <v>0</v>
      </c>
      <c r="AF40">
        <v>1</v>
      </c>
      <c r="AG40" s="2">
        <v>0</v>
      </c>
      <c r="AH40" s="2"/>
      <c r="AI40" s="2"/>
      <c r="AJ40" s="2"/>
      <c r="AK40" s="2"/>
      <c r="AL40">
        <f t="shared" si="0"/>
        <v>-3.6410361125501556</v>
      </c>
      <c r="AM40">
        <f>SUM(output_transition_firms_age!C47:F47)/output_transition_firms_age!IL46</f>
        <v>0.11580477788962228</v>
      </c>
    </row>
    <row r="41" spans="1:39" x14ac:dyDescent="0.35">
      <c r="A41" s="1">
        <v>39</v>
      </c>
      <c r="B41" s="2">
        <v>0.99929619999999997</v>
      </c>
      <c r="C41" s="2">
        <v>0.79263700000000004</v>
      </c>
      <c r="D41" s="2">
        <v>0.37748209999999999</v>
      </c>
      <c r="E41" s="2">
        <v>3.2342999999999998E-3</v>
      </c>
      <c r="F41" s="2">
        <v>1</v>
      </c>
      <c r="G41" s="2">
        <v>0.78018900000000002</v>
      </c>
      <c r="H41" s="2">
        <v>0</v>
      </c>
      <c r="I41" s="2">
        <v>0</v>
      </c>
      <c r="J41" s="2">
        <v>2.5117680999999998</v>
      </c>
      <c r="K41" s="2">
        <v>0.99516110000000002</v>
      </c>
      <c r="L41" s="2">
        <v>-5.1337861</v>
      </c>
      <c r="M41" s="2">
        <v>1.00997E-2</v>
      </c>
      <c r="N41" s="2">
        <v>1.9855193</v>
      </c>
      <c r="O41" s="2">
        <v>0.57111800000000001</v>
      </c>
      <c r="P41" s="2">
        <v>1.05568E-2</v>
      </c>
      <c r="Q41" s="2">
        <v>0.35623129999999997</v>
      </c>
      <c r="R41" s="2">
        <v>3.0509596999999999</v>
      </c>
      <c r="S41" s="2">
        <v>0.53919170000000005</v>
      </c>
      <c r="T41" s="2">
        <v>-1</v>
      </c>
      <c r="U41" s="2">
        <v>1.0495000000000001E-2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-5.1695092000000002</v>
      </c>
      <c r="AB41" s="2">
        <v>32.778143499999999</v>
      </c>
      <c r="AC41" s="2">
        <v>3.0507871999999998</v>
      </c>
      <c r="AD41" s="2">
        <v>0.53901920000000003</v>
      </c>
      <c r="AE41" s="2">
        <v>0</v>
      </c>
      <c r="AF41">
        <v>1</v>
      </c>
      <c r="AG41" s="2">
        <v>0</v>
      </c>
      <c r="AH41" s="2"/>
      <c r="AI41" s="2"/>
      <c r="AJ41" s="2"/>
      <c r="AK41" s="2"/>
      <c r="AL41">
        <f t="shared" si="0"/>
        <v>-3.2484311146818712</v>
      </c>
      <c r="AM41">
        <f>SUM(output_transition_firms_age!C48:F48)/output_transition_firms_age!IL47</f>
        <v>0.11576743155430967</v>
      </c>
    </row>
    <row r="42" spans="1:39" x14ac:dyDescent="0.35">
      <c r="A42" s="1">
        <v>40</v>
      </c>
      <c r="B42" s="2">
        <v>0.99924690000000005</v>
      </c>
      <c r="C42" s="2">
        <v>0.79263700000000004</v>
      </c>
      <c r="D42" s="2">
        <v>0.37809330000000002</v>
      </c>
      <c r="E42" s="2">
        <v>3.2342999999999998E-3</v>
      </c>
      <c r="F42" s="2">
        <v>1</v>
      </c>
      <c r="G42" s="2">
        <v>0.78018900000000002</v>
      </c>
      <c r="H42" s="2">
        <v>0</v>
      </c>
      <c r="I42" s="2">
        <v>0</v>
      </c>
      <c r="J42" s="2">
        <v>2.5118763</v>
      </c>
      <c r="K42" s="2">
        <v>0.99518720000000005</v>
      </c>
      <c r="L42" s="2">
        <v>-5.1330311000000002</v>
      </c>
      <c r="M42" s="2">
        <v>1.00856E-2</v>
      </c>
      <c r="N42" s="2">
        <v>1.9855750999999999</v>
      </c>
      <c r="O42" s="2">
        <v>0.57102109999999995</v>
      </c>
      <c r="P42" s="2">
        <v>1.05568E-2</v>
      </c>
      <c r="Q42" s="2">
        <v>0.35629300000000003</v>
      </c>
      <c r="R42" s="2">
        <v>3.050967</v>
      </c>
      <c r="S42" s="2">
        <v>0.53909070000000003</v>
      </c>
      <c r="T42" s="2">
        <v>-1</v>
      </c>
      <c r="U42" s="2">
        <v>1.05001E-2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-5.1778105999999999</v>
      </c>
      <c r="AB42" s="2">
        <v>32.771183299999997</v>
      </c>
      <c r="AC42" s="2">
        <v>3.0507951000000002</v>
      </c>
      <c r="AD42" s="2">
        <v>0.53891880000000003</v>
      </c>
      <c r="AE42">
        <v>0</v>
      </c>
      <c r="AF42">
        <v>1</v>
      </c>
      <c r="AG42" s="2">
        <v>0</v>
      </c>
      <c r="AH42" s="2"/>
      <c r="AI42" s="2"/>
      <c r="AJ42" s="2"/>
      <c r="AK42" s="2"/>
      <c r="AL42">
        <f t="shared" si="0"/>
        <v>-3.2557380056477569</v>
      </c>
      <c r="AM42">
        <f>SUM(output_transition_firms_age!C49:F49)/output_transition_firms_age!IL48</f>
        <v>0.11564180708547012</v>
      </c>
    </row>
    <row r="43" spans="1:39" x14ac:dyDescent="0.35">
      <c r="A43" s="1">
        <v>41</v>
      </c>
      <c r="B43" s="2">
        <v>1</v>
      </c>
      <c r="C43" s="2">
        <v>0.79263700000000004</v>
      </c>
      <c r="D43" s="2">
        <v>0.37869019999999998</v>
      </c>
      <c r="E43" s="2">
        <v>3.2342999999999998E-3</v>
      </c>
      <c r="F43" s="2">
        <v>1</v>
      </c>
      <c r="G43" s="2">
        <v>0.78018900000000002</v>
      </c>
      <c r="H43" s="2">
        <v>0</v>
      </c>
      <c r="I43" s="2">
        <v>0</v>
      </c>
      <c r="J43" s="2">
        <v>2.5117512999999998</v>
      </c>
      <c r="K43" s="2">
        <v>0.99586110000000005</v>
      </c>
      <c r="L43" s="2">
        <v>-5.1324835999999996</v>
      </c>
      <c r="M43" s="2">
        <v>1.01143E-2</v>
      </c>
      <c r="N43" s="2">
        <v>1.9861998000000001</v>
      </c>
      <c r="O43" s="2">
        <v>0.56864139999999996</v>
      </c>
      <c r="P43" s="2">
        <v>1.0654E-2</v>
      </c>
      <c r="Q43" s="2">
        <v>0.35634969999999999</v>
      </c>
      <c r="R43" s="2">
        <v>3.0537667000000002</v>
      </c>
      <c r="S43" s="2">
        <v>0.54201549999999998</v>
      </c>
      <c r="T43" s="2">
        <v>-1</v>
      </c>
      <c r="U43" s="2">
        <v>1.0408499999999999E-2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-5.1866998000000004</v>
      </c>
      <c r="AB43" s="2">
        <v>32.765561499999997</v>
      </c>
      <c r="AC43" s="2">
        <v>3.0535999</v>
      </c>
      <c r="AD43" s="2">
        <v>0.54184869999999996</v>
      </c>
      <c r="AE43">
        <v>0</v>
      </c>
      <c r="AF43">
        <v>1</v>
      </c>
      <c r="AG43" s="2">
        <v>0</v>
      </c>
      <c r="AH43" s="2"/>
      <c r="AI43" s="2"/>
      <c r="AJ43" s="2"/>
      <c r="AK43" s="2"/>
      <c r="AM43">
        <f>SUM(output_transition_firms_age!C50:F50)/output_transition_firms_age!IL49</f>
        <v>0.11607309352584651</v>
      </c>
    </row>
    <row r="44" spans="1:39" x14ac:dyDescent="0.35">
      <c r="A44" s="1">
        <v>42</v>
      </c>
      <c r="B44" s="2">
        <v>1</v>
      </c>
      <c r="C44" s="2">
        <v>0.79263700000000004</v>
      </c>
      <c r="D44" s="2">
        <v>0.37927309999999997</v>
      </c>
      <c r="E44" s="2">
        <v>3.2342999999999998E-3</v>
      </c>
      <c r="F44" s="2">
        <v>1</v>
      </c>
      <c r="G44" s="2">
        <v>0.78018900000000002</v>
      </c>
      <c r="H44" s="2">
        <v>0</v>
      </c>
      <c r="I44" s="2">
        <v>0</v>
      </c>
      <c r="J44" s="2">
        <v>2.5118084999999999</v>
      </c>
      <c r="K44" s="2">
        <v>0.99599959999999998</v>
      </c>
      <c r="L44" s="2">
        <v>-5.1322127999999996</v>
      </c>
      <c r="M44" s="2">
        <v>1.0116699999999999E-2</v>
      </c>
      <c r="N44" s="2">
        <v>1.9863701</v>
      </c>
      <c r="O44" s="2">
        <v>0.56879630000000003</v>
      </c>
      <c r="P44" s="2">
        <v>1.0654E-2</v>
      </c>
      <c r="Q44" s="2">
        <v>0.3565952</v>
      </c>
      <c r="R44" s="2">
        <v>3.0541181000000002</v>
      </c>
      <c r="S44" s="2">
        <v>0.54230970000000001</v>
      </c>
      <c r="T44" s="2">
        <v>-1</v>
      </c>
      <c r="U44" s="2">
        <v>1.0503800000000001E-2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-5.1951964000000004</v>
      </c>
      <c r="AB44" s="2">
        <v>32.761429200000002</v>
      </c>
      <c r="AC44" s="2">
        <v>3.0539531000000002</v>
      </c>
      <c r="AD44" s="2">
        <v>0.54214470000000003</v>
      </c>
      <c r="AE44">
        <v>0</v>
      </c>
      <c r="AF44">
        <v>1</v>
      </c>
      <c r="AG44" s="2">
        <v>0</v>
      </c>
      <c r="AH44" s="2"/>
      <c r="AI44" s="2"/>
      <c r="AJ44" s="2"/>
      <c r="AK44" s="2"/>
      <c r="AM44">
        <f>SUM(output_transition_firms_age!C51:F51)/output_transition_firms_age!IL50</f>
        <v>0.11613616120514013</v>
      </c>
    </row>
    <row r="45" spans="1:39" x14ac:dyDescent="0.35">
      <c r="A45" s="1">
        <v>43</v>
      </c>
      <c r="B45" s="2">
        <v>1</v>
      </c>
      <c r="C45" s="2">
        <v>0.79263700000000004</v>
      </c>
      <c r="D45" s="2">
        <v>0.37984240000000002</v>
      </c>
      <c r="E45" s="2">
        <v>3.2342999999999998E-3</v>
      </c>
      <c r="F45" s="2">
        <v>1</v>
      </c>
      <c r="G45" s="2">
        <v>0.78018900000000002</v>
      </c>
      <c r="H45" s="2">
        <v>0</v>
      </c>
      <c r="I45" s="2">
        <v>0</v>
      </c>
      <c r="J45" s="2">
        <v>2.5118982000000001</v>
      </c>
      <c r="K45" s="2">
        <v>0.99619440000000004</v>
      </c>
      <c r="L45" s="2">
        <v>-5.1313769999999996</v>
      </c>
      <c r="M45" s="2">
        <v>1.01195E-2</v>
      </c>
      <c r="N45" s="2">
        <v>1.9866096</v>
      </c>
      <c r="O45" s="2">
        <v>0.56845679999999998</v>
      </c>
      <c r="P45" s="2">
        <v>1.0654E-2</v>
      </c>
      <c r="Q45" s="2">
        <v>0.35674539999999999</v>
      </c>
      <c r="R45" s="2">
        <v>3.0546098000000002</v>
      </c>
      <c r="S45" s="2">
        <v>0.54271159999999996</v>
      </c>
      <c r="T45" s="2">
        <v>-1</v>
      </c>
      <c r="U45" s="2">
        <v>1.0442E-2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-5.2039036999999997</v>
      </c>
      <c r="AB45" s="2">
        <v>32.757663800000003</v>
      </c>
      <c r="AC45" s="2">
        <v>3.0544473999999999</v>
      </c>
      <c r="AD45" s="2">
        <v>0.54254919999999995</v>
      </c>
      <c r="AE45">
        <v>0</v>
      </c>
      <c r="AF45">
        <v>1</v>
      </c>
      <c r="AG45" s="2">
        <v>0</v>
      </c>
      <c r="AH45" s="2"/>
      <c r="AI45" s="2"/>
      <c r="AJ45" s="2"/>
      <c r="AK45" s="2"/>
      <c r="AM45">
        <f>SUM(output_transition_firms_age!C52:F52)/output_transition_firms_age!IL51</f>
        <v>0.11636257532873533</v>
      </c>
    </row>
    <row r="46" spans="1:39" x14ac:dyDescent="0.35">
      <c r="A46" s="1">
        <v>44</v>
      </c>
      <c r="B46" s="2">
        <v>1</v>
      </c>
      <c r="C46" s="2">
        <v>0.79263700000000004</v>
      </c>
      <c r="D46" s="2">
        <v>0.38039830000000002</v>
      </c>
      <c r="E46" s="2">
        <v>3.2342999999999998E-3</v>
      </c>
      <c r="F46" s="2">
        <v>1</v>
      </c>
      <c r="G46" s="2">
        <v>0.78018900000000002</v>
      </c>
      <c r="H46" s="2">
        <v>0</v>
      </c>
      <c r="I46" s="2">
        <v>0</v>
      </c>
      <c r="J46" s="2">
        <v>2.5118459999999998</v>
      </c>
      <c r="K46" s="2">
        <v>0.99631590000000003</v>
      </c>
      <c r="L46" s="2">
        <v>-5.1303654999999999</v>
      </c>
      <c r="M46" s="2">
        <v>1.0132E-2</v>
      </c>
      <c r="N46" s="2">
        <v>1.9867915</v>
      </c>
      <c r="O46" s="2">
        <v>0.5696426</v>
      </c>
      <c r="P46" s="2">
        <v>1.0654E-2</v>
      </c>
      <c r="Q46" s="2">
        <v>0.35695739999999998</v>
      </c>
      <c r="R46" s="2">
        <v>3.0550149000000002</v>
      </c>
      <c r="S46" s="2">
        <v>0.54316900000000001</v>
      </c>
      <c r="T46" s="2">
        <v>-1</v>
      </c>
      <c r="U46" s="2">
        <v>1.05363E-2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-5.2138789000000001</v>
      </c>
      <c r="AB46" s="2">
        <v>32.754312200000001</v>
      </c>
      <c r="AC46" s="2">
        <v>3.0548544</v>
      </c>
      <c r="AD46" s="2">
        <v>0.54300839999999995</v>
      </c>
      <c r="AE46">
        <v>0</v>
      </c>
      <c r="AF46">
        <v>1</v>
      </c>
      <c r="AG46" s="2">
        <v>0</v>
      </c>
      <c r="AH46" s="2"/>
      <c r="AI46" s="2"/>
      <c r="AJ46" s="2"/>
      <c r="AK46" s="2"/>
      <c r="AM46">
        <f>SUM(output_transition_firms_age!C53:F53)/output_transition_firms_age!IL52</f>
        <v>0.11637994469803614</v>
      </c>
    </row>
    <row r="47" spans="1:39" x14ac:dyDescent="0.35">
      <c r="A47" s="1">
        <v>45</v>
      </c>
      <c r="B47" s="2">
        <v>1</v>
      </c>
      <c r="C47" s="2">
        <v>0.79263700000000004</v>
      </c>
      <c r="D47" s="2">
        <v>0.38094109999999998</v>
      </c>
      <c r="E47" s="2">
        <v>3.2342999999999998E-3</v>
      </c>
      <c r="F47" s="2">
        <v>1</v>
      </c>
      <c r="G47" s="2">
        <v>0.78018900000000002</v>
      </c>
      <c r="H47" s="2">
        <v>0</v>
      </c>
      <c r="I47" s="2">
        <v>0</v>
      </c>
      <c r="J47" s="2">
        <v>2.5119370000000001</v>
      </c>
      <c r="K47" s="2">
        <v>0.99640980000000001</v>
      </c>
      <c r="L47" s="2">
        <v>-5.1276354</v>
      </c>
      <c r="M47" s="2">
        <v>1.01323E-2</v>
      </c>
      <c r="N47" s="2">
        <v>1.9869573</v>
      </c>
      <c r="O47" s="2">
        <v>0.57018670000000005</v>
      </c>
      <c r="P47" s="2">
        <v>1.0654E-2</v>
      </c>
      <c r="Q47" s="2">
        <v>0.35707519999999998</v>
      </c>
      <c r="R47" s="2">
        <v>3.0554701</v>
      </c>
      <c r="S47" s="2">
        <v>0.54353309999999999</v>
      </c>
      <c r="T47" s="2">
        <v>-1</v>
      </c>
      <c r="U47" s="2">
        <v>1.05939E-2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-5.2238001000000001</v>
      </c>
      <c r="AB47" s="2">
        <v>32.751248599999997</v>
      </c>
      <c r="AC47" s="2">
        <v>3.0553113000000001</v>
      </c>
      <c r="AD47" s="2">
        <v>0.54337429999999998</v>
      </c>
      <c r="AE47">
        <v>0</v>
      </c>
      <c r="AF47">
        <v>1</v>
      </c>
      <c r="AG47" s="2">
        <v>0</v>
      </c>
      <c r="AH47" s="2"/>
      <c r="AI47" s="2"/>
      <c r="AJ47" s="2"/>
      <c r="AK47" s="2"/>
      <c r="AM47">
        <f>SUM(output_transition_firms_age!C54:F54)/output_transition_firms_age!IL53</f>
        <v>0.11632984425855195</v>
      </c>
    </row>
    <row r="48" spans="1:39" x14ac:dyDescent="0.35">
      <c r="A48" s="1">
        <v>46</v>
      </c>
      <c r="B48" s="2">
        <v>1</v>
      </c>
      <c r="C48" s="2">
        <v>0.79263700000000004</v>
      </c>
      <c r="D48" s="2">
        <v>0.38147120000000001</v>
      </c>
      <c r="E48" s="2">
        <v>3.2342999999999998E-3</v>
      </c>
      <c r="F48" s="2">
        <v>1</v>
      </c>
      <c r="G48" s="2">
        <v>0.78018900000000002</v>
      </c>
      <c r="H48" s="2">
        <v>0</v>
      </c>
      <c r="I48" s="2">
        <v>0</v>
      </c>
      <c r="J48" s="2">
        <v>2.5120345999999998</v>
      </c>
      <c r="K48" s="2">
        <v>0.99648130000000001</v>
      </c>
      <c r="L48" s="2">
        <v>-5.1240366000000002</v>
      </c>
      <c r="M48" s="2">
        <v>1.0132800000000001E-2</v>
      </c>
      <c r="N48" s="2">
        <v>1.9871128</v>
      </c>
      <c r="O48" s="2">
        <v>0.57028610000000002</v>
      </c>
      <c r="P48" s="2">
        <v>1.0654E-2</v>
      </c>
      <c r="Q48" s="2">
        <v>0.35713529999999999</v>
      </c>
      <c r="R48" s="2">
        <v>3.0558567999999999</v>
      </c>
      <c r="S48" s="2">
        <v>0.54382220000000003</v>
      </c>
      <c r="T48" s="2">
        <v>-1</v>
      </c>
      <c r="U48" s="2">
        <v>1.0607E-2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-5.2331906000000004</v>
      </c>
      <c r="AB48" s="2">
        <v>32.748596499999998</v>
      </c>
      <c r="AC48" s="2">
        <v>3.0556996999999999</v>
      </c>
      <c r="AD48" s="2">
        <v>0.54366510000000001</v>
      </c>
      <c r="AE48">
        <v>0</v>
      </c>
      <c r="AF48">
        <v>1</v>
      </c>
      <c r="AG48" s="2">
        <v>0</v>
      </c>
      <c r="AH48" s="2"/>
      <c r="AI48" s="2"/>
      <c r="AJ48" s="2"/>
      <c r="AK48" s="2"/>
    </row>
    <row r="49" spans="1:37" x14ac:dyDescent="0.35">
      <c r="A49" s="1">
        <v>47</v>
      </c>
      <c r="B49" s="2">
        <v>1</v>
      </c>
      <c r="C49" s="2">
        <v>0.79263700000000004</v>
      </c>
      <c r="D49" s="2">
        <v>0.38198890000000002</v>
      </c>
      <c r="E49" s="2">
        <v>3.2342999999999998E-3</v>
      </c>
      <c r="F49" s="2">
        <v>1</v>
      </c>
      <c r="G49" s="2">
        <v>0.78018900000000002</v>
      </c>
      <c r="H49" s="2">
        <v>0</v>
      </c>
      <c r="I49" s="2">
        <v>0</v>
      </c>
      <c r="J49" s="2">
        <v>2.5121395999999998</v>
      </c>
      <c r="K49" s="2">
        <v>0.99653060000000004</v>
      </c>
      <c r="L49" s="2">
        <v>-5.1200900999999996</v>
      </c>
      <c r="M49" s="2">
        <v>1.01371E-2</v>
      </c>
      <c r="N49" s="2">
        <v>1.9872726999999999</v>
      </c>
      <c r="O49" s="2">
        <v>0.57058010000000003</v>
      </c>
      <c r="P49" s="2">
        <v>1.0654E-2</v>
      </c>
      <c r="Q49" s="2">
        <v>0.35718230000000001</v>
      </c>
      <c r="R49" s="2">
        <v>3.0561937000000001</v>
      </c>
      <c r="S49" s="2">
        <v>0.54405409999999998</v>
      </c>
      <c r="T49" s="2">
        <v>-1</v>
      </c>
      <c r="U49" s="2">
        <v>1.0618600000000001E-2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-5.2426292999999999</v>
      </c>
      <c r="AB49" s="2">
        <v>32.746305399999997</v>
      </c>
      <c r="AC49" s="2">
        <v>3.0560383</v>
      </c>
      <c r="AD49" s="2">
        <v>0.54389869999999996</v>
      </c>
      <c r="AE49">
        <v>0</v>
      </c>
      <c r="AF49">
        <v>1</v>
      </c>
      <c r="AG49" s="2">
        <v>0</v>
      </c>
      <c r="AH49" s="2"/>
      <c r="AI49" s="2"/>
      <c r="AJ49" s="2"/>
      <c r="AK49" s="2"/>
    </row>
    <row r="50" spans="1:37" x14ac:dyDescent="0.35">
      <c r="A50" s="1">
        <v>48</v>
      </c>
      <c r="B50" s="2">
        <v>1</v>
      </c>
      <c r="C50" s="2">
        <v>0.79263700000000004</v>
      </c>
      <c r="D50" s="2">
        <v>0.38249450000000002</v>
      </c>
      <c r="E50" s="2">
        <v>3.2342999999999998E-3</v>
      </c>
      <c r="F50" s="2">
        <v>1</v>
      </c>
      <c r="G50" s="2">
        <v>0.78018900000000002</v>
      </c>
      <c r="H50" s="2">
        <v>0</v>
      </c>
      <c r="I50" s="2">
        <v>0</v>
      </c>
      <c r="J50" s="2">
        <v>2.5122312999999998</v>
      </c>
      <c r="K50" s="2">
        <v>0.99656529999999999</v>
      </c>
      <c r="L50" s="2">
        <v>-5.1156109000000001</v>
      </c>
      <c r="M50" s="2">
        <v>1.0134799999999999E-2</v>
      </c>
      <c r="N50" s="2">
        <v>1.9874232000000001</v>
      </c>
      <c r="O50" s="2">
        <v>0.57083870000000003</v>
      </c>
      <c r="P50" s="2">
        <v>1.0654E-2</v>
      </c>
      <c r="Q50" s="2">
        <v>0.35721770000000003</v>
      </c>
      <c r="R50" s="2">
        <v>3.0565121</v>
      </c>
      <c r="S50" s="2">
        <v>0.54428080000000001</v>
      </c>
      <c r="T50" s="2">
        <v>-1</v>
      </c>
      <c r="U50" s="2">
        <v>1.06359E-2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-5.2519549000000003</v>
      </c>
      <c r="AB50" s="2">
        <v>32.744242999999997</v>
      </c>
      <c r="AC50" s="2">
        <v>3.0563582999999999</v>
      </c>
      <c r="AD50" s="2">
        <v>0.54412700000000003</v>
      </c>
      <c r="AE50">
        <v>0</v>
      </c>
      <c r="AF50">
        <v>1</v>
      </c>
      <c r="AG50" s="2">
        <v>0</v>
      </c>
      <c r="AH50" s="2"/>
      <c r="AI50" s="2"/>
      <c r="AJ50" s="2"/>
      <c r="AK50" s="2"/>
    </row>
    <row r="51" spans="1:37" x14ac:dyDescent="0.35">
      <c r="A51" s="1">
        <v>49</v>
      </c>
      <c r="B51" s="2">
        <v>1</v>
      </c>
      <c r="C51" s="2">
        <v>0.79263700000000004</v>
      </c>
      <c r="D51" s="2">
        <v>0.3829881</v>
      </c>
      <c r="E51" s="2">
        <v>3.2342999999999998E-3</v>
      </c>
      <c r="F51" s="2">
        <v>1</v>
      </c>
      <c r="G51" s="2">
        <v>0.78018900000000002</v>
      </c>
      <c r="H51" s="2">
        <v>0</v>
      </c>
      <c r="I51" s="2">
        <v>0</v>
      </c>
      <c r="J51" s="2">
        <v>2.5124081999999999</v>
      </c>
      <c r="K51" s="2">
        <v>0.99659489999999995</v>
      </c>
      <c r="L51" s="2">
        <v>-5.1107120999999998</v>
      </c>
      <c r="M51" s="2">
        <v>1.0144200000000001E-2</v>
      </c>
      <c r="N51" s="2">
        <v>1.9876206999999999</v>
      </c>
      <c r="O51" s="2">
        <v>0.57029359999999996</v>
      </c>
      <c r="P51" s="2">
        <v>1.0654E-2</v>
      </c>
      <c r="Q51" s="2">
        <v>0.35723579999999999</v>
      </c>
      <c r="R51" s="2">
        <v>3.0568205000000002</v>
      </c>
      <c r="S51" s="2">
        <v>0.54441229999999996</v>
      </c>
      <c r="T51" s="2">
        <v>-1</v>
      </c>
      <c r="U51" s="2">
        <v>1.06181E-2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-5.2616734000000003</v>
      </c>
      <c r="AB51" s="2">
        <v>32.742460700000002</v>
      </c>
      <c r="AC51" s="2">
        <v>3.0566688000000002</v>
      </c>
      <c r="AD51" s="2">
        <v>0.54426059999999998</v>
      </c>
      <c r="AE51">
        <v>0</v>
      </c>
      <c r="AF51">
        <v>1</v>
      </c>
      <c r="AG51" s="2">
        <v>0</v>
      </c>
      <c r="AH51" s="2"/>
      <c r="AI51" s="2"/>
      <c r="AJ51" s="2"/>
      <c r="AK51" s="2"/>
    </row>
    <row r="52" spans="1:37" x14ac:dyDescent="0.35">
      <c r="A52" s="1">
        <v>50</v>
      </c>
      <c r="B52" s="2">
        <v>1</v>
      </c>
      <c r="C52" s="2">
        <v>0.79263700000000004</v>
      </c>
      <c r="D52" s="2">
        <v>0.38347029999999999</v>
      </c>
      <c r="E52" s="2">
        <v>3.2342999999999998E-3</v>
      </c>
      <c r="F52" s="2">
        <v>1</v>
      </c>
      <c r="G52" s="2">
        <v>0.78018900000000002</v>
      </c>
      <c r="H52" s="2">
        <v>0</v>
      </c>
      <c r="I52" s="2">
        <v>0</v>
      </c>
      <c r="J52" s="2">
        <v>2.5123918000000001</v>
      </c>
      <c r="K52" s="2">
        <v>0.99676909999999996</v>
      </c>
      <c r="L52" s="2">
        <v>-5.1061499000000001</v>
      </c>
      <c r="M52" s="2">
        <v>1.0133E-2</v>
      </c>
      <c r="N52" s="2">
        <v>1.9877563</v>
      </c>
      <c r="O52" s="2">
        <v>0.5701195</v>
      </c>
      <c r="P52" s="2">
        <v>1.0734799999999999E-2</v>
      </c>
      <c r="Q52" s="2">
        <v>0.35727170000000003</v>
      </c>
      <c r="R52" s="2">
        <v>3.0574257</v>
      </c>
      <c r="S52" s="2">
        <v>0.54503389999999996</v>
      </c>
      <c r="T52" s="2">
        <v>-1</v>
      </c>
      <c r="U52" s="2">
        <v>1.0685699999999999E-2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-5.2703315000000002</v>
      </c>
      <c r="AB52" s="2">
        <v>32.741857099999997</v>
      </c>
      <c r="AC52" s="2">
        <v>3.0572743</v>
      </c>
      <c r="AD52" s="2">
        <v>0.54488250000000005</v>
      </c>
      <c r="AE52">
        <v>0</v>
      </c>
      <c r="AF52">
        <v>1</v>
      </c>
      <c r="AG52" s="2">
        <v>0</v>
      </c>
      <c r="AH52" s="2"/>
      <c r="AI52" s="2"/>
      <c r="AJ52" s="2"/>
      <c r="AK52" s="2"/>
    </row>
    <row r="53" spans="1:37" x14ac:dyDescent="0.35">
      <c r="A53" s="1">
        <v>51</v>
      </c>
      <c r="B53" s="2">
        <v>1</v>
      </c>
      <c r="C53" s="2">
        <v>0.79263700000000004</v>
      </c>
      <c r="D53" s="2">
        <v>0.38394109999999998</v>
      </c>
      <c r="E53" s="2">
        <v>3.2342999999999998E-3</v>
      </c>
      <c r="F53" s="2">
        <v>1</v>
      </c>
      <c r="G53" s="2">
        <v>0.78018900000000002</v>
      </c>
      <c r="H53" s="2">
        <v>0</v>
      </c>
      <c r="I53" s="2">
        <v>0</v>
      </c>
      <c r="J53" s="2">
        <v>2.5124621</v>
      </c>
      <c r="K53" s="2">
        <v>0.99682079999999995</v>
      </c>
      <c r="L53" s="2">
        <v>-5.1012893000000004</v>
      </c>
      <c r="M53" s="2">
        <v>1.01536E-2</v>
      </c>
      <c r="N53" s="2">
        <v>1.9879944000000001</v>
      </c>
      <c r="O53" s="2">
        <v>0.56894880000000003</v>
      </c>
      <c r="P53" s="2">
        <v>1.0654E-2</v>
      </c>
      <c r="Q53" s="2">
        <v>0.35732079999999999</v>
      </c>
      <c r="R53" s="2">
        <v>3.0577009999999998</v>
      </c>
      <c r="S53" s="2">
        <v>0.54523889999999997</v>
      </c>
      <c r="T53" s="2">
        <v>-1</v>
      </c>
      <c r="U53" s="2">
        <v>1.0506E-2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-5.2793343999999998</v>
      </c>
      <c r="AB53" s="2">
        <v>32.739716899999998</v>
      </c>
      <c r="AC53" s="2">
        <v>3.0575532999999999</v>
      </c>
      <c r="AD53" s="2">
        <v>0.54509110000000005</v>
      </c>
      <c r="AE53">
        <v>0</v>
      </c>
      <c r="AF53">
        <v>1</v>
      </c>
      <c r="AG53" s="2">
        <v>0</v>
      </c>
      <c r="AH53" s="2"/>
      <c r="AI53" s="2"/>
      <c r="AJ53" s="2"/>
      <c r="AK53" s="2"/>
    </row>
    <row r="54" spans="1:37" x14ac:dyDescent="0.35">
      <c r="A54" s="1">
        <v>52</v>
      </c>
      <c r="B54" s="2">
        <v>1</v>
      </c>
      <c r="C54" s="2">
        <v>0.79263700000000004</v>
      </c>
      <c r="D54" s="2">
        <v>0.38440079999999999</v>
      </c>
      <c r="E54" s="2">
        <v>3.2342999999999998E-3</v>
      </c>
      <c r="F54" s="2">
        <v>1</v>
      </c>
      <c r="G54" s="2">
        <v>0.78018900000000002</v>
      </c>
      <c r="H54" s="2">
        <v>0</v>
      </c>
      <c r="I54" s="2">
        <v>0</v>
      </c>
      <c r="J54" s="2">
        <v>2.5137817</v>
      </c>
      <c r="K54" s="2">
        <v>0.99688399999999999</v>
      </c>
      <c r="L54" s="2">
        <v>-5.097232</v>
      </c>
      <c r="M54" s="2">
        <v>1.01479E-2</v>
      </c>
      <c r="N54" s="2">
        <v>1.9882223999999999</v>
      </c>
      <c r="O54" s="2">
        <v>0.56951430000000003</v>
      </c>
      <c r="P54" s="2">
        <v>1.0654E-2</v>
      </c>
      <c r="Q54" s="2">
        <v>0.35746879999999998</v>
      </c>
      <c r="R54" s="2">
        <v>3.0580657000000002</v>
      </c>
      <c r="S54" s="2">
        <v>0.54428410000000005</v>
      </c>
      <c r="T54" s="2">
        <v>-1</v>
      </c>
      <c r="U54" s="2">
        <v>1.0578000000000001E-2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-5.2880985000000003</v>
      </c>
      <c r="AB54" s="2">
        <v>32.738962399999998</v>
      </c>
      <c r="AC54" s="2">
        <v>3.0579204999999998</v>
      </c>
      <c r="AD54" s="2">
        <v>0.54413880000000003</v>
      </c>
      <c r="AE54">
        <v>0</v>
      </c>
      <c r="AF54">
        <v>1</v>
      </c>
      <c r="AG54" s="2">
        <v>0</v>
      </c>
      <c r="AH54" s="2"/>
      <c r="AI54" s="2"/>
      <c r="AJ54" s="2"/>
      <c r="AK54" s="2"/>
    </row>
    <row r="55" spans="1:37" x14ac:dyDescent="0.35">
      <c r="A55" s="1">
        <v>53</v>
      </c>
      <c r="B55" s="2">
        <v>1</v>
      </c>
      <c r="C55" s="2">
        <v>0.79263700000000004</v>
      </c>
      <c r="D55" s="2">
        <v>0.38484980000000002</v>
      </c>
      <c r="E55" s="2">
        <v>3.2342999999999998E-3</v>
      </c>
      <c r="F55" s="2">
        <v>1</v>
      </c>
      <c r="G55" s="2">
        <v>0.78018900000000002</v>
      </c>
      <c r="H55" s="2">
        <v>0</v>
      </c>
      <c r="I55" s="2">
        <v>0</v>
      </c>
      <c r="J55" s="2">
        <v>2.5125603999999999</v>
      </c>
      <c r="K55" s="2">
        <v>0.99690939999999995</v>
      </c>
      <c r="L55" s="2">
        <v>-5.0935446000000004</v>
      </c>
      <c r="M55" s="2">
        <v>1.01546E-2</v>
      </c>
      <c r="N55" s="2">
        <v>1.988415</v>
      </c>
      <c r="O55" s="2">
        <v>0.5698782</v>
      </c>
      <c r="P55" s="2">
        <v>1.0654E-2</v>
      </c>
      <c r="Q55" s="2">
        <v>0.3575448</v>
      </c>
      <c r="R55" s="2">
        <v>3.0583266</v>
      </c>
      <c r="S55" s="2">
        <v>0.54576619999999998</v>
      </c>
      <c r="T55" s="2">
        <v>-1</v>
      </c>
      <c r="U55" s="2">
        <v>1.0611499999999999E-2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-5.2965887</v>
      </c>
      <c r="AB55" s="2">
        <v>32.737267500000002</v>
      </c>
      <c r="AC55" s="2">
        <v>3.0581833999999999</v>
      </c>
      <c r="AD55" s="2">
        <v>0.54562290000000002</v>
      </c>
      <c r="AE55">
        <v>0</v>
      </c>
      <c r="AF55">
        <v>1</v>
      </c>
      <c r="AG55" s="2">
        <v>0</v>
      </c>
      <c r="AH55" s="2"/>
      <c r="AI55" s="2"/>
      <c r="AJ55" s="2"/>
      <c r="AK55" s="2"/>
    </row>
    <row r="56" spans="1:37" x14ac:dyDescent="0.35">
      <c r="A56" s="1">
        <v>54</v>
      </c>
      <c r="B56" s="2">
        <v>1</v>
      </c>
      <c r="C56" s="2">
        <v>0.79263700000000004</v>
      </c>
      <c r="D56" s="2">
        <v>0.38528820000000003</v>
      </c>
      <c r="E56" s="2">
        <v>3.2342999999999998E-3</v>
      </c>
      <c r="F56" s="2">
        <v>1</v>
      </c>
      <c r="G56" s="2">
        <v>0.78018900000000002</v>
      </c>
      <c r="H56" s="2">
        <v>0</v>
      </c>
      <c r="I56" s="2">
        <v>0</v>
      </c>
      <c r="J56" s="2">
        <v>2.5125479999999998</v>
      </c>
      <c r="K56" s="2">
        <v>0.9971333</v>
      </c>
      <c r="L56" s="2">
        <v>-5.0879253999999996</v>
      </c>
      <c r="M56" s="2">
        <v>1.01505E-2</v>
      </c>
      <c r="N56" s="2">
        <v>1.9886349000000001</v>
      </c>
      <c r="O56" s="2">
        <v>0.56842139999999997</v>
      </c>
      <c r="P56" s="2">
        <v>1.0734799999999999E-2</v>
      </c>
      <c r="Q56" s="2">
        <v>0.3575873</v>
      </c>
      <c r="R56" s="2">
        <v>3.0590202999999998</v>
      </c>
      <c r="S56" s="2">
        <v>0.54647230000000002</v>
      </c>
      <c r="T56" s="2">
        <v>-1</v>
      </c>
      <c r="U56" s="2">
        <v>1.06099E-2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-5.3050604000000003</v>
      </c>
      <c r="AB56" s="2">
        <v>32.738122599999997</v>
      </c>
      <c r="AC56" s="2">
        <v>3.0588784000000002</v>
      </c>
      <c r="AD56" s="2">
        <v>0.54633039999999999</v>
      </c>
      <c r="AE56">
        <v>0</v>
      </c>
      <c r="AF56">
        <v>1</v>
      </c>
      <c r="AG56" s="2">
        <v>0</v>
      </c>
      <c r="AH56" s="2"/>
      <c r="AI56" s="2"/>
      <c r="AJ56" s="2"/>
      <c r="AK56" s="2"/>
    </row>
    <row r="57" spans="1:37" x14ac:dyDescent="0.35">
      <c r="A57" s="1">
        <v>55</v>
      </c>
      <c r="B57" s="2">
        <v>1</v>
      </c>
      <c r="C57" s="2">
        <v>0.79263700000000004</v>
      </c>
      <c r="D57" s="2">
        <v>0.38571640000000001</v>
      </c>
      <c r="E57" s="2">
        <v>3.2342999999999998E-3</v>
      </c>
      <c r="F57" s="2">
        <v>1</v>
      </c>
      <c r="G57" s="2">
        <v>0.78018900000000002</v>
      </c>
      <c r="H57" s="2">
        <v>0</v>
      </c>
      <c r="I57" s="2">
        <v>0</v>
      </c>
      <c r="J57" s="2">
        <v>2.5127695000000001</v>
      </c>
      <c r="K57" s="2">
        <v>0.9971854</v>
      </c>
      <c r="L57" s="2">
        <v>-5.0830009</v>
      </c>
      <c r="M57" s="2">
        <v>1.0148900000000001E-2</v>
      </c>
      <c r="N57" s="2">
        <v>1.9887793</v>
      </c>
      <c r="O57" s="2">
        <v>0.56998280000000001</v>
      </c>
      <c r="P57" s="2">
        <v>1.0734799999999999E-2</v>
      </c>
      <c r="Q57" s="2">
        <v>0.35771219999999998</v>
      </c>
      <c r="R57" s="2">
        <v>3.0594098000000001</v>
      </c>
      <c r="S57" s="2">
        <v>0.54664029999999997</v>
      </c>
      <c r="T57" s="2">
        <v>-1</v>
      </c>
      <c r="U57" s="2">
        <v>1.0718399999999999E-2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-5.3136865999999996</v>
      </c>
      <c r="AB57" s="2">
        <v>32.738319699999998</v>
      </c>
      <c r="AC57" s="2">
        <v>3.0592693999999998</v>
      </c>
      <c r="AD57" s="2">
        <v>0.54649990000000004</v>
      </c>
      <c r="AE57">
        <v>0</v>
      </c>
      <c r="AF57">
        <v>1</v>
      </c>
      <c r="AG57" s="2">
        <v>0</v>
      </c>
      <c r="AH57" s="2"/>
      <c r="AI57" s="2"/>
      <c r="AJ57" s="2"/>
      <c r="AK57" s="2"/>
    </row>
    <row r="58" spans="1:37" x14ac:dyDescent="0.35">
      <c r="A58" s="1">
        <v>56</v>
      </c>
      <c r="B58" s="2">
        <v>1</v>
      </c>
      <c r="C58" s="2">
        <v>0.79263700000000004</v>
      </c>
      <c r="D58" s="2">
        <v>0.38613449999999999</v>
      </c>
      <c r="E58" s="2">
        <v>3.2342999999999998E-3</v>
      </c>
      <c r="F58" s="2">
        <v>1</v>
      </c>
      <c r="G58" s="2">
        <v>0.78018900000000002</v>
      </c>
      <c r="H58" s="2">
        <v>0</v>
      </c>
      <c r="I58" s="2">
        <v>0</v>
      </c>
      <c r="J58" s="2">
        <v>2.5127299000000001</v>
      </c>
      <c r="K58" s="2">
        <v>0.99728899999999998</v>
      </c>
      <c r="L58" s="2">
        <v>-5.0764246999999996</v>
      </c>
      <c r="M58" s="2">
        <v>1.01551E-2</v>
      </c>
      <c r="N58" s="2">
        <v>1.988961</v>
      </c>
      <c r="O58" s="2">
        <v>0.56883870000000003</v>
      </c>
      <c r="P58" s="2">
        <v>1.0734799999999999E-2</v>
      </c>
      <c r="Q58" s="2">
        <v>0.3577285</v>
      </c>
      <c r="R58" s="2">
        <v>3.0598825999999999</v>
      </c>
      <c r="S58" s="2">
        <v>0.54715270000000005</v>
      </c>
      <c r="T58" s="2">
        <v>-1</v>
      </c>
      <c r="U58" s="2">
        <v>1.0660299999999999E-2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-5.3225255000000002</v>
      </c>
      <c r="AB58" s="2">
        <v>32.738747699999998</v>
      </c>
      <c r="AC58" s="2">
        <v>3.0597441000000001</v>
      </c>
      <c r="AD58" s="2">
        <v>0.54701420000000001</v>
      </c>
      <c r="AE58">
        <v>0</v>
      </c>
      <c r="AF58">
        <v>1</v>
      </c>
      <c r="AG58" s="2">
        <v>0</v>
      </c>
      <c r="AH58" s="2"/>
      <c r="AI58" s="2"/>
      <c r="AJ58" s="2"/>
      <c r="AK58" s="2"/>
    </row>
    <row r="59" spans="1:37" x14ac:dyDescent="0.35">
      <c r="A59" s="1">
        <v>57</v>
      </c>
      <c r="B59" s="2">
        <v>1</v>
      </c>
      <c r="C59" s="2">
        <v>0.79263700000000004</v>
      </c>
      <c r="D59" s="2">
        <v>0.38654280000000002</v>
      </c>
      <c r="E59" s="2">
        <v>3.2342999999999998E-3</v>
      </c>
      <c r="F59" s="2">
        <v>1</v>
      </c>
      <c r="G59" s="2">
        <v>0.78018900000000002</v>
      </c>
      <c r="H59" s="2">
        <v>0</v>
      </c>
      <c r="I59" s="2">
        <v>0</v>
      </c>
      <c r="J59" s="2">
        <v>2.5140750999999999</v>
      </c>
      <c r="K59" s="2">
        <v>0.99719860000000005</v>
      </c>
      <c r="L59" s="2">
        <v>-5.0704887999999997</v>
      </c>
      <c r="M59" s="2">
        <v>1.01577E-2</v>
      </c>
      <c r="N59" s="2">
        <v>1.9891555000000001</v>
      </c>
      <c r="O59" s="2">
        <v>0.56990240000000003</v>
      </c>
      <c r="P59" s="2">
        <v>1.0654E-2</v>
      </c>
      <c r="Q59" s="2">
        <v>0.35780309999999999</v>
      </c>
      <c r="R59" s="2">
        <v>3.0600101</v>
      </c>
      <c r="S59" s="2">
        <v>0.54593510000000001</v>
      </c>
      <c r="T59" s="2">
        <v>-1</v>
      </c>
      <c r="U59" s="2">
        <v>1.06639E-2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-5.3319092000000001</v>
      </c>
      <c r="AB59" s="2">
        <v>32.738537999999998</v>
      </c>
      <c r="AC59" s="2">
        <v>3.0598747999999998</v>
      </c>
      <c r="AD59" s="2">
        <v>0.5457997</v>
      </c>
      <c r="AE59">
        <v>0</v>
      </c>
      <c r="AF59">
        <v>1</v>
      </c>
      <c r="AG59" s="2">
        <v>0</v>
      </c>
      <c r="AH59" s="2"/>
      <c r="AI59" s="2"/>
      <c r="AJ59" s="2"/>
      <c r="AK59" s="2"/>
    </row>
    <row r="60" spans="1:37" x14ac:dyDescent="0.35">
      <c r="A60" s="1">
        <v>58</v>
      </c>
      <c r="B60" s="2">
        <v>1</v>
      </c>
      <c r="C60" s="2">
        <v>0.79263700000000004</v>
      </c>
      <c r="D60" s="2">
        <v>0.3869416</v>
      </c>
      <c r="E60" s="2">
        <v>3.2342999999999998E-3</v>
      </c>
      <c r="F60" s="2">
        <v>1</v>
      </c>
      <c r="G60" s="2">
        <v>0.78018900000000002</v>
      </c>
      <c r="H60" s="2">
        <v>0</v>
      </c>
      <c r="I60" s="2">
        <v>0</v>
      </c>
      <c r="J60" s="2">
        <v>2.5131234999999998</v>
      </c>
      <c r="K60" s="2">
        <v>0.99727940000000004</v>
      </c>
      <c r="L60" s="2">
        <v>-5.0647941999999997</v>
      </c>
      <c r="M60" s="2">
        <v>1.0170200000000001E-2</v>
      </c>
      <c r="N60" s="2">
        <v>1.9893278999999999</v>
      </c>
      <c r="O60" s="2">
        <v>0.56911900000000004</v>
      </c>
      <c r="P60" s="2">
        <v>1.0654E-2</v>
      </c>
      <c r="Q60" s="2">
        <v>0.35779319999999998</v>
      </c>
      <c r="R60" s="2">
        <v>3.0604836999999998</v>
      </c>
      <c r="S60" s="2">
        <v>0.54736030000000002</v>
      </c>
      <c r="T60" s="2">
        <v>-1</v>
      </c>
      <c r="U60" s="2">
        <v>1.06132E-2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-5.3414048000000003</v>
      </c>
      <c r="AB60" s="2">
        <v>32.738332800000002</v>
      </c>
      <c r="AC60" s="2">
        <v>3.0603501999999998</v>
      </c>
      <c r="AD60" s="2">
        <v>0.54722680000000001</v>
      </c>
      <c r="AE60">
        <v>0</v>
      </c>
      <c r="AF60">
        <v>1</v>
      </c>
      <c r="AG60" s="2">
        <v>0</v>
      </c>
      <c r="AH60" s="2"/>
      <c r="AI60" s="2"/>
      <c r="AJ60" s="2"/>
      <c r="AK60" s="2"/>
    </row>
    <row r="61" spans="1:37" x14ac:dyDescent="0.35">
      <c r="A61" s="1">
        <v>59</v>
      </c>
      <c r="B61" s="2">
        <v>1</v>
      </c>
      <c r="C61" s="2">
        <v>0.79263700000000004</v>
      </c>
      <c r="D61" s="2">
        <v>0.38733099999999998</v>
      </c>
      <c r="E61" s="2">
        <v>3.2342999999999998E-3</v>
      </c>
      <c r="F61" s="2">
        <v>1</v>
      </c>
      <c r="G61" s="2">
        <v>0.78018900000000002</v>
      </c>
      <c r="H61" s="2">
        <v>0</v>
      </c>
      <c r="I61" s="2">
        <v>0</v>
      </c>
      <c r="J61" s="2">
        <v>2.5134059</v>
      </c>
      <c r="K61" s="2">
        <v>0.99738550000000004</v>
      </c>
      <c r="L61" s="2">
        <v>-5.0584264000000001</v>
      </c>
      <c r="M61" s="2">
        <v>1.01536E-2</v>
      </c>
      <c r="N61" s="2">
        <v>1.9894982999999999</v>
      </c>
      <c r="O61" s="2">
        <v>0.56940710000000005</v>
      </c>
      <c r="P61" s="2">
        <v>1.0734799999999999E-2</v>
      </c>
      <c r="Q61" s="2">
        <v>0.35783389999999998</v>
      </c>
      <c r="R61" s="2">
        <v>3.0609934999999999</v>
      </c>
      <c r="S61" s="2">
        <v>0.54758759999999995</v>
      </c>
      <c r="T61" s="2">
        <v>-1</v>
      </c>
      <c r="U61" s="2">
        <v>1.07285E-2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-5.3493969000000003</v>
      </c>
      <c r="AB61" s="2">
        <v>32.740635300000001</v>
      </c>
      <c r="AC61" s="2">
        <v>3.0608607999999999</v>
      </c>
      <c r="AD61" s="2">
        <v>0.54745489999999997</v>
      </c>
      <c r="AE61">
        <v>0</v>
      </c>
      <c r="AF61">
        <v>1</v>
      </c>
      <c r="AG61" s="2">
        <v>0</v>
      </c>
      <c r="AH61" s="2"/>
      <c r="AI61" s="2"/>
      <c r="AJ61" s="2"/>
      <c r="AK61" s="2"/>
    </row>
    <row r="62" spans="1:37" x14ac:dyDescent="0.35">
      <c r="A62" s="1">
        <v>60</v>
      </c>
      <c r="B62">
        <v>1</v>
      </c>
      <c r="C62">
        <v>0.79263700000000004</v>
      </c>
      <c r="D62">
        <v>0.38771119999999998</v>
      </c>
      <c r="E62">
        <v>3.2342999999999998E-3</v>
      </c>
      <c r="F62">
        <v>1</v>
      </c>
      <c r="G62">
        <v>0.78018900000000002</v>
      </c>
      <c r="H62">
        <v>0</v>
      </c>
      <c r="I62">
        <v>0</v>
      </c>
      <c r="J62">
        <v>2.5132816999999998</v>
      </c>
      <c r="K62">
        <v>0.99751889999999999</v>
      </c>
      <c r="L62">
        <v>-5.0516240999999997</v>
      </c>
      <c r="M62">
        <v>1.0163200000000001E-2</v>
      </c>
      <c r="N62">
        <v>1.9897146999999999</v>
      </c>
      <c r="O62">
        <v>0.567994</v>
      </c>
      <c r="P62">
        <v>1.0734799999999999E-2</v>
      </c>
      <c r="Q62">
        <v>0.3578402</v>
      </c>
      <c r="R62">
        <v>3.0614903</v>
      </c>
      <c r="S62">
        <v>0.54820860000000005</v>
      </c>
      <c r="T62">
        <v>-1</v>
      </c>
      <c r="U62">
        <v>1.0613300000000001E-2</v>
      </c>
      <c r="V62">
        <v>0</v>
      </c>
      <c r="W62">
        <v>0</v>
      </c>
      <c r="X62">
        <v>0</v>
      </c>
      <c r="Y62">
        <v>0</v>
      </c>
      <c r="Z62">
        <v>0</v>
      </c>
      <c r="AA62">
        <v>-5.3577554999999997</v>
      </c>
      <c r="AB62">
        <v>32.741995000000003</v>
      </c>
      <c r="AC62">
        <v>3.0613600000000001</v>
      </c>
      <c r="AD62">
        <v>0.54807819999999996</v>
      </c>
      <c r="AE62">
        <v>0</v>
      </c>
      <c r="AF62">
        <v>1</v>
      </c>
      <c r="AG62">
        <v>0</v>
      </c>
    </row>
    <row r="63" spans="1:37" x14ac:dyDescent="0.35">
      <c r="A63" s="1">
        <v>61</v>
      </c>
      <c r="B63">
        <v>1</v>
      </c>
      <c r="C63">
        <v>0.79263700000000004</v>
      </c>
      <c r="D63">
        <v>0.3880825</v>
      </c>
      <c r="E63">
        <v>3.2342999999999998E-3</v>
      </c>
      <c r="F63">
        <v>1</v>
      </c>
      <c r="G63">
        <v>0.78018900000000002</v>
      </c>
      <c r="H63">
        <v>0</v>
      </c>
      <c r="I63">
        <v>0</v>
      </c>
      <c r="J63">
        <v>2.5134979</v>
      </c>
      <c r="K63">
        <v>0.99764949999999997</v>
      </c>
      <c r="L63">
        <v>-5.0455490999999997</v>
      </c>
      <c r="M63">
        <v>1.01651E-2</v>
      </c>
      <c r="N63">
        <v>1.9899347999999999</v>
      </c>
      <c r="O63">
        <v>0.5678803</v>
      </c>
      <c r="P63">
        <v>1.0734799999999999E-2</v>
      </c>
      <c r="Q63">
        <v>0.35796169999999999</v>
      </c>
      <c r="R63">
        <v>3.0620438000000001</v>
      </c>
      <c r="S63">
        <v>0.54854590000000003</v>
      </c>
      <c r="T63">
        <v>-1</v>
      </c>
      <c r="U63">
        <v>1.0632300000000001E-2</v>
      </c>
      <c r="V63">
        <v>0</v>
      </c>
      <c r="W63">
        <v>0</v>
      </c>
      <c r="X63">
        <v>0</v>
      </c>
      <c r="Y63">
        <v>0</v>
      </c>
      <c r="Z63">
        <v>0</v>
      </c>
      <c r="AA63">
        <v>-5.3665804000000001</v>
      </c>
      <c r="AB63">
        <v>32.743820999999997</v>
      </c>
      <c r="AC63">
        <v>3.0619158</v>
      </c>
      <c r="AD63">
        <v>0.54841790000000001</v>
      </c>
      <c r="AE63">
        <v>0</v>
      </c>
      <c r="AF63">
        <v>1</v>
      </c>
      <c r="AG63">
        <v>0</v>
      </c>
    </row>
    <row r="64" spans="1:37" x14ac:dyDescent="0.35">
      <c r="A64" s="1">
        <v>62</v>
      </c>
      <c r="B64">
        <v>1</v>
      </c>
      <c r="C64">
        <v>0.79263700000000004</v>
      </c>
      <c r="D64">
        <v>0.38844519999999999</v>
      </c>
      <c r="E64">
        <v>3.2342999999999998E-3</v>
      </c>
      <c r="F64">
        <v>1</v>
      </c>
      <c r="G64">
        <v>0.78018900000000002</v>
      </c>
      <c r="H64">
        <v>0</v>
      </c>
      <c r="I64">
        <v>0</v>
      </c>
      <c r="J64">
        <v>2.5137961999999998</v>
      </c>
      <c r="K64">
        <v>0.99773239999999996</v>
      </c>
      <c r="L64">
        <v>-5.0392348</v>
      </c>
      <c r="M64">
        <v>1.0165499999999999E-2</v>
      </c>
      <c r="N64">
        <v>1.9901218000000001</v>
      </c>
      <c r="O64">
        <v>0.5684245</v>
      </c>
      <c r="P64">
        <v>1.0734799999999999E-2</v>
      </c>
      <c r="Q64">
        <v>0.3580642</v>
      </c>
      <c r="R64">
        <v>3.0625048000000001</v>
      </c>
      <c r="S64">
        <v>0.54870859999999999</v>
      </c>
      <c r="T64">
        <v>-1</v>
      </c>
      <c r="U64">
        <v>1.0680800000000001E-2</v>
      </c>
      <c r="V64">
        <v>0</v>
      </c>
      <c r="W64">
        <v>0</v>
      </c>
      <c r="X64">
        <v>0</v>
      </c>
      <c r="Y64">
        <v>0</v>
      </c>
      <c r="Z64">
        <v>0</v>
      </c>
      <c r="AA64">
        <v>-5.3754057</v>
      </c>
      <c r="AB64">
        <v>32.745952500000001</v>
      </c>
      <c r="AC64">
        <v>3.0623787999999998</v>
      </c>
      <c r="AD64">
        <v>0.54858260000000003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1</v>
      </c>
      <c r="C65">
        <v>0.79263700000000004</v>
      </c>
      <c r="D65">
        <v>0.38879930000000001</v>
      </c>
      <c r="E65">
        <v>3.2342999999999998E-3</v>
      </c>
      <c r="F65">
        <v>1</v>
      </c>
      <c r="G65">
        <v>0.78018900000000002</v>
      </c>
      <c r="H65">
        <v>0</v>
      </c>
      <c r="I65">
        <v>0</v>
      </c>
      <c r="J65">
        <v>2.5140893000000002</v>
      </c>
      <c r="K65">
        <v>0.9976661</v>
      </c>
      <c r="L65">
        <v>-5.0322421000000004</v>
      </c>
      <c r="M65">
        <v>1.0168999999999999E-2</v>
      </c>
      <c r="N65">
        <v>1.9902636</v>
      </c>
      <c r="O65">
        <v>0.56928029999999996</v>
      </c>
      <c r="P65">
        <v>1.0654E-2</v>
      </c>
      <c r="Q65">
        <v>0.3581182</v>
      </c>
      <c r="R65">
        <v>3.0626831000000001</v>
      </c>
      <c r="S65">
        <v>0.54859369999999996</v>
      </c>
      <c r="T65">
        <v>-1</v>
      </c>
      <c r="U65">
        <v>1.06722E-2</v>
      </c>
      <c r="V65">
        <v>0</v>
      </c>
      <c r="W65">
        <v>0</v>
      </c>
      <c r="X65">
        <v>0</v>
      </c>
      <c r="Y65">
        <v>0</v>
      </c>
      <c r="Z65">
        <v>0</v>
      </c>
      <c r="AA65">
        <v>-5.3839839999999999</v>
      </c>
      <c r="AB65">
        <v>32.7471113</v>
      </c>
      <c r="AC65">
        <v>3.0625594999999999</v>
      </c>
      <c r="AD65">
        <v>0.54847020000000002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1</v>
      </c>
      <c r="C66">
        <v>0.79263700000000004</v>
      </c>
      <c r="D66">
        <v>0.38914510000000002</v>
      </c>
      <c r="E66">
        <v>3.2342999999999998E-3</v>
      </c>
      <c r="F66">
        <v>1</v>
      </c>
      <c r="G66">
        <v>0.78018900000000002</v>
      </c>
      <c r="H66">
        <v>0</v>
      </c>
      <c r="I66">
        <v>0</v>
      </c>
      <c r="J66">
        <v>2.5143580000000001</v>
      </c>
      <c r="K66">
        <v>0.99769529999999995</v>
      </c>
      <c r="L66">
        <v>-5.0245625</v>
      </c>
      <c r="M66">
        <v>1.01668E-2</v>
      </c>
      <c r="N66">
        <v>1.9904101000000001</v>
      </c>
      <c r="O66">
        <v>0.56887339999999997</v>
      </c>
      <c r="P66">
        <v>1.0654E-2</v>
      </c>
      <c r="Q66">
        <v>0.35809999999999997</v>
      </c>
      <c r="R66">
        <v>3.0630259999999998</v>
      </c>
      <c r="S66">
        <v>0.54866800000000004</v>
      </c>
      <c r="T66">
        <v>-1</v>
      </c>
      <c r="U66">
        <v>1.0652099999999999E-2</v>
      </c>
      <c r="V66">
        <v>0</v>
      </c>
      <c r="W66">
        <v>0</v>
      </c>
      <c r="X66">
        <v>0</v>
      </c>
      <c r="Y66">
        <v>0</v>
      </c>
      <c r="Z66">
        <v>0</v>
      </c>
      <c r="AA66">
        <v>-5.3921882999999999</v>
      </c>
      <c r="AB66">
        <v>32.749453199999998</v>
      </c>
      <c r="AC66">
        <v>3.0629040000000001</v>
      </c>
      <c r="AD66">
        <v>0.54854599999999998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1</v>
      </c>
      <c r="C67">
        <v>0.79263700000000004</v>
      </c>
      <c r="D67">
        <v>0.38948280000000002</v>
      </c>
      <c r="E67">
        <v>3.2342999999999998E-3</v>
      </c>
      <c r="F67">
        <v>1</v>
      </c>
      <c r="G67">
        <v>0.78018900000000002</v>
      </c>
      <c r="H67">
        <v>0</v>
      </c>
      <c r="I67">
        <v>0</v>
      </c>
      <c r="J67">
        <v>2.5147579000000002</v>
      </c>
      <c r="K67">
        <v>0.99773529999999999</v>
      </c>
      <c r="L67">
        <v>-5.0172831000000002</v>
      </c>
      <c r="M67">
        <v>1.0173E-2</v>
      </c>
      <c r="N67">
        <v>1.9906173</v>
      </c>
      <c r="O67">
        <v>0.56857619999999998</v>
      </c>
      <c r="P67">
        <v>1.0654E-2</v>
      </c>
      <c r="Q67">
        <v>0.35810189999999997</v>
      </c>
      <c r="R67">
        <v>3.063431</v>
      </c>
      <c r="S67">
        <v>0.54867310000000002</v>
      </c>
      <c r="T67">
        <v>-1</v>
      </c>
      <c r="U67">
        <v>1.0629E-2</v>
      </c>
      <c r="V67">
        <v>0</v>
      </c>
      <c r="W67">
        <v>0</v>
      </c>
      <c r="X67">
        <v>0</v>
      </c>
      <c r="Y67">
        <v>0</v>
      </c>
      <c r="Z67">
        <v>0</v>
      </c>
      <c r="AA67">
        <v>-5.4009980000000004</v>
      </c>
      <c r="AB67">
        <v>32.751787399999998</v>
      </c>
      <c r="AC67">
        <v>3.0633111999999998</v>
      </c>
      <c r="AD67">
        <v>0.54855330000000002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1</v>
      </c>
      <c r="C68">
        <v>0.79263700000000004</v>
      </c>
      <c r="D68">
        <v>0.38981260000000001</v>
      </c>
      <c r="E68">
        <v>3.2342999999999998E-3</v>
      </c>
      <c r="F68">
        <v>1</v>
      </c>
      <c r="G68">
        <v>0.78018900000000002</v>
      </c>
      <c r="H68">
        <v>0</v>
      </c>
      <c r="I68">
        <v>0</v>
      </c>
      <c r="J68">
        <v>2.5148381</v>
      </c>
      <c r="K68">
        <v>0.99776129999999996</v>
      </c>
      <c r="L68">
        <v>-5.0103004999999996</v>
      </c>
      <c r="M68">
        <v>1.01694E-2</v>
      </c>
      <c r="N68">
        <v>1.9907718000000001</v>
      </c>
      <c r="O68">
        <v>0.56884999999999997</v>
      </c>
      <c r="P68">
        <v>1.0654E-2</v>
      </c>
      <c r="Q68">
        <v>0.35812690000000003</v>
      </c>
      <c r="R68">
        <v>3.0637772000000001</v>
      </c>
      <c r="S68">
        <v>0.54893910000000001</v>
      </c>
      <c r="T68">
        <v>-1</v>
      </c>
      <c r="U68">
        <v>1.0653599999999999E-2</v>
      </c>
      <c r="V68">
        <v>0</v>
      </c>
      <c r="W68">
        <v>0</v>
      </c>
      <c r="X68">
        <v>0</v>
      </c>
      <c r="Y68">
        <v>0</v>
      </c>
      <c r="Z68">
        <v>0</v>
      </c>
      <c r="AA68">
        <v>-5.4089014000000004</v>
      </c>
      <c r="AB68">
        <v>32.754091099999997</v>
      </c>
      <c r="AC68">
        <v>3.0636591000000002</v>
      </c>
      <c r="AD68">
        <v>0.548821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1</v>
      </c>
      <c r="C69">
        <v>0.79263700000000004</v>
      </c>
      <c r="D69">
        <v>0.3901347</v>
      </c>
      <c r="E69">
        <v>3.2342999999999998E-3</v>
      </c>
      <c r="F69">
        <v>1</v>
      </c>
      <c r="G69">
        <v>0.78018900000000002</v>
      </c>
      <c r="H69">
        <v>0</v>
      </c>
      <c r="I69">
        <v>0</v>
      </c>
      <c r="J69">
        <v>2.5151308000000001</v>
      </c>
      <c r="K69">
        <v>0.99776949999999998</v>
      </c>
      <c r="L69">
        <v>-5.0028138000000002</v>
      </c>
      <c r="M69">
        <v>1.01688E-2</v>
      </c>
      <c r="N69">
        <v>1.9909056000000001</v>
      </c>
      <c r="O69">
        <v>0.56881389999999998</v>
      </c>
      <c r="P69">
        <v>1.0654E-2</v>
      </c>
      <c r="Q69">
        <v>0.35812739999999998</v>
      </c>
      <c r="R69">
        <v>3.0641036000000001</v>
      </c>
      <c r="S69">
        <v>0.54897280000000004</v>
      </c>
      <c r="T69">
        <v>-1</v>
      </c>
      <c r="U69">
        <v>1.06798E-2</v>
      </c>
      <c r="V69">
        <v>0</v>
      </c>
      <c r="W69">
        <v>0</v>
      </c>
      <c r="X69">
        <v>0</v>
      </c>
      <c r="Y69">
        <v>0</v>
      </c>
      <c r="Z69">
        <v>0</v>
      </c>
      <c r="AA69">
        <v>-5.4170748</v>
      </c>
      <c r="AB69">
        <v>32.756588800000003</v>
      </c>
      <c r="AC69">
        <v>3.0639869000000002</v>
      </c>
      <c r="AD69">
        <v>0.54885609999999996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1</v>
      </c>
      <c r="C70">
        <v>0.79263700000000004</v>
      </c>
      <c r="D70">
        <v>0.3904492</v>
      </c>
      <c r="E70">
        <v>3.2342999999999998E-3</v>
      </c>
      <c r="F70">
        <v>1</v>
      </c>
      <c r="G70">
        <v>0.78018900000000002</v>
      </c>
      <c r="H70">
        <v>0</v>
      </c>
      <c r="I70">
        <v>0</v>
      </c>
      <c r="J70">
        <v>2.5153987</v>
      </c>
      <c r="K70">
        <v>0.99786229999999998</v>
      </c>
      <c r="L70">
        <v>-4.9954213000000003</v>
      </c>
      <c r="M70">
        <v>1.01718E-2</v>
      </c>
      <c r="N70">
        <v>1.9910531</v>
      </c>
      <c r="O70">
        <v>0.56801259999999998</v>
      </c>
      <c r="P70">
        <v>1.0654E-2</v>
      </c>
      <c r="Q70">
        <v>0.35810160000000002</v>
      </c>
      <c r="R70">
        <v>3.0645633999999999</v>
      </c>
      <c r="S70">
        <v>0.54916469999999995</v>
      </c>
      <c r="T70">
        <v>-1</v>
      </c>
      <c r="U70">
        <v>1.0605E-2</v>
      </c>
      <c r="V70">
        <v>0</v>
      </c>
      <c r="W70">
        <v>0</v>
      </c>
      <c r="X70">
        <v>0</v>
      </c>
      <c r="Y70">
        <v>0</v>
      </c>
      <c r="Z70">
        <v>0</v>
      </c>
      <c r="AA70">
        <v>-5.4247246000000002</v>
      </c>
      <c r="AB70">
        <v>32.759131199999999</v>
      </c>
      <c r="AC70">
        <v>3.0644483</v>
      </c>
      <c r="AD70">
        <v>0.54904960000000003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1</v>
      </c>
      <c r="C71">
        <v>0.79263700000000004</v>
      </c>
      <c r="D71">
        <v>0.3907563</v>
      </c>
      <c r="E71">
        <v>3.2342999999999998E-3</v>
      </c>
      <c r="F71">
        <v>1</v>
      </c>
      <c r="G71">
        <v>0.78018900000000002</v>
      </c>
      <c r="H71">
        <v>0</v>
      </c>
      <c r="I71">
        <v>0</v>
      </c>
      <c r="J71">
        <v>2.5165915000000001</v>
      </c>
      <c r="K71">
        <v>0.99804210000000004</v>
      </c>
      <c r="L71">
        <v>-4.9886545</v>
      </c>
      <c r="M71">
        <v>1.0167900000000001E-2</v>
      </c>
      <c r="N71">
        <v>1.9910588</v>
      </c>
      <c r="O71">
        <v>0.56820530000000002</v>
      </c>
      <c r="P71">
        <v>1.0654E-2</v>
      </c>
      <c r="Q71">
        <v>0.35815059999999999</v>
      </c>
      <c r="R71">
        <v>3.0651929999999998</v>
      </c>
      <c r="S71">
        <v>0.54860149999999996</v>
      </c>
      <c r="T71">
        <v>-1</v>
      </c>
      <c r="U71">
        <v>1.0608599999999999E-2</v>
      </c>
      <c r="V71">
        <v>0</v>
      </c>
      <c r="W71">
        <v>0</v>
      </c>
      <c r="X71">
        <v>0</v>
      </c>
      <c r="Y71">
        <v>0</v>
      </c>
      <c r="Z71">
        <v>0</v>
      </c>
      <c r="AA71">
        <v>-5.4323804999999998</v>
      </c>
      <c r="AB71">
        <v>32.761819199999998</v>
      </c>
      <c r="AC71">
        <v>3.0650780000000002</v>
      </c>
      <c r="AD71">
        <v>0.54848649999999999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1</v>
      </c>
      <c r="C72">
        <v>0.79263700000000004</v>
      </c>
      <c r="D72">
        <v>0.39105620000000002</v>
      </c>
      <c r="E72">
        <v>3.2342999999999998E-3</v>
      </c>
      <c r="F72">
        <v>1</v>
      </c>
      <c r="G72">
        <v>0.78018900000000002</v>
      </c>
      <c r="H72">
        <v>0</v>
      </c>
      <c r="I72">
        <v>0</v>
      </c>
      <c r="J72">
        <v>2.5158491999999999</v>
      </c>
      <c r="K72">
        <v>0.99763809999999997</v>
      </c>
      <c r="L72">
        <v>-4.9824767000000003</v>
      </c>
      <c r="M72">
        <v>1.01764E-2</v>
      </c>
      <c r="N72">
        <v>1.9912536999999999</v>
      </c>
      <c r="O72">
        <v>0.57154329999999998</v>
      </c>
      <c r="P72">
        <v>1.0734799999999999E-2</v>
      </c>
      <c r="Q72">
        <v>0.35819600000000001</v>
      </c>
      <c r="R72">
        <v>3.0646353999999998</v>
      </c>
      <c r="S72">
        <v>0.5487862</v>
      </c>
      <c r="T72">
        <v>-1</v>
      </c>
      <c r="U72">
        <v>1.1052899999999999E-2</v>
      </c>
      <c r="V72">
        <v>0</v>
      </c>
      <c r="W72">
        <v>0</v>
      </c>
      <c r="X72">
        <v>0</v>
      </c>
      <c r="Y72">
        <v>0</v>
      </c>
      <c r="Z72">
        <v>0</v>
      </c>
      <c r="AA72">
        <v>-5.4405751000000002</v>
      </c>
      <c r="AB72">
        <v>32.765046900000002</v>
      </c>
      <c r="AC72">
        <v>3.0645216</v>
      </c>
      <c r="AD72">
        <v>0.54867239999999995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1</v>
      </c>
      <c r="C73">
        <v>0.79263700000000004</v>
      </c>
      <c r="D73">
        <v>0.39134910000000001</v>
      </c>
      <c r="E73">
        <v>3.2342999999999998E-3</v>
      </c>
      <c r="F73">
        <v>1</v>
      </c>
      <c r="G73">
        <v>0.78018900000000002</v>
      </c>
      <c r="H73">
        <v>0</v>
      </c>
      <c r="I73">
        <v>0</v>
      </c>
      <c r="J73">
        <v>2.5164439000000001</v>
      </c>
      <c r="K73">
        <v>0.99775619999999998</v>
      </c>
      <c r="L73">
        <v>-4.9727386999999998</v>
      </c>
      <c r="M73">
        <v>1.0182999999999999E-2</v>
      </c>
      <c r="N73">
        <v>1.9914982000000001</v>
      </c>
      <c r="O73">
        <v>0.56653070000000005</v>
      </c>
      <c r="P73">
        <v>1.0734799999999999E-2</v>
      </c>
      <c r="Q73">
        <v>0.35787790000000003</v>
      </c>
      <c r="R73">
        <v>3.0651253999999999</v>
      </c>
      <c r="S73">
        <v>0.54868159999999999</v>
      </c>
      <c r="T73">
        <v>-1</v>
      </c>
      <c r="U73">
        <v>1.06181E-2</v>
      </c>
      <c r="V73">
        <v>0</v>
      </c>
      <c r="W73">
        <v>0</v>
      </c>
      <c r="X73">
        <v>0</v>
      </c>
      <c r="Y73">
        <v>0</v>
      </c>
      <c r="Z73">
        <v>0</v>
      </c>
      <c r="AA73">
        <v>-5.4480585000000001</v>
      </c>
      <c r="AB73">
        <v>32.767065299999999</v>
      </c>
      <c r="AC73">
        <v>3.0650141999999998</v>
      </c>
      <c r="AD73">
        <v>0.54857040000000001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1</v>
      </c>
      <c r="C74">
        <v>0.79263700000000004</v>
      </c>
      <c r="D74">
        <v>0.39163510000000001</v>
      </c>
      <c r="E74">
        <v>3.2342999999999998E-3</v>
      </c>
      <c r="F74">
        <v>1</v>
      </c>
      <c r="G74">
        <v>0.78018900000000002</v>
      </c>
      <c r="H74">
        <v>0</v>
      </c>
      <c r="I74">
        <v>0</v>
      </c>
      <c r="J74">
        <v>2.5166013</v>
      </c>
      <c r="K74">
        <v>0.99783429999999995</v>
      </c>
      <c r="L74">
        <v>-4.9680409000000001</v>
      </c>
      <c r="M74">
        <v>1.0179300000000001E-2</v>
      </c>
      <c r="N74">
        <v>1.9917104000000001</v>
      </c>
      <c r="O74">
        <v>0.56656759999999995</v>
      </c>
      <c r="P74">
        <v>1.0734799999999999E-2</v>
      </c>
      <c r="Q74">
        <v>0.3579946</v>
      </c>
      <c r="R74">
        <v>3.0655209000000001</v>
      </c>
      <c r="S74">
        <v>0.54891970000000001</v>
      </c>
      <c r="T74">
        <v>-1</v>
      </c>
      <c r="U74">
        <v>1.0656000000000001E-2</v>
      </c>
      <c r="V74">
        <v>0</v>
      </c>
      <c r="W74">
        <v>0</v>
      </c>
      <c r="X74">
        <v>0</v>
      </c>
      <c r="Y74">
        <v>0</v>
      </c>
      <c r="Z74">
        <v>0</v>
      </c>
      <c r="AA74">
        <v>-5.4549624999999997</v>
      </c>
      <c r="AB74">
        <v>32.7689029</v>
      </c>
      <c r="AC74">
        <v>3.0654119999999998</v>
      </c>
      <c r="AD74">
        <v>0.54881080000000004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1</v>
      </c>
      <c r="C75">
        <v>0.79263700000000004</v>
      </c>
      <c r="D75">
        <v>0.3919144</v>
      </c>
      <c r="E75">
        <v>3.2342999999999998E-3</v>
      </c>
      <c r="F75">
        <v>1</v>
      </c>
      <c r="G75">
        <v>0.78018900000000002</v>
      </c>
      <c r="H75">
        <v>0</v>
      </c>
      <c r="I75">
        <v>0</v>
      </c>
      <c r="J75">
        <v>2.5168613999999998</v>
      </c>
      <c r="K75">
        <v>0.99792389999999997</v>
      </c>
      <c r="L75">
        <v>-4.9630733999999999</v>
      </c>
      <c r="M75">
        <v>1.0189699999999999E-2</v>
      </c>
      <c r="N75">
        <v>1.9919595999999999</v>
      </c>
      <c r="O75">
        <v>0.56596069999999998</v>
      </c>
      <c r="P75">
        <v>1.0734799999999999E-2</v>
      </c>
      <c r="Q75">
        <v>0.35807339999999999</v>
      </c>
      <c r="R75">
        <v>3.0659098999999999</v>
      </c>
      <c r="S75">
        <v>0.54904839999999999</v>
      </c>
      <c r="T75">
        <v>-1</v>
      </c>
      <c r="U75">
        <v>1.0622299999999999E-2</v>
      </c>
      <c r="V75">
        <v>0</v>
      </c>
      <c r="W75">
        <v>0</v>
      </c>
      <c r="X75">
        <v>0</v>
      </c>
      <c r="Y75">
        <v>0</v>
      </c>
      <c r="Z75">
        <v>0</v>
      </c>
      <c r="AA75">
        <v>-5.4622741000000001</v>
      </c>
      <c r="AB75">
        <v>32.771034100000001</v>
      </c>
      <c r="AC75">
        <v>3.0658036000000002</v>
      </c>
      <c r="AD75">
        <v>0.54894220000000005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1</v>
      </c>
      <c r="C76">
        <v>0.79263700000000004</v>
      </c>
      <c r="D76">
        <v>0.39218720000000001</v>
      </c>
      <c r="E76">
        <v>3.2342999999999998E-3</v>
      </c>
      <c r="F76">
        <v>1</v>
      </c>
      <c r="G76">
        <v>0.78018900000000002</v>
      </c>
      <c r="H76">
        <v>0</v>
      </c>
      <c r="I76">
        <v>0</v>
      </c>
      <c r="J76">
        <v>2.5171014</v>
      </c>
      <c r="K76">
        <v>0.99798949999999997</v>
      </c>
      <c r="L76">
        <v>-4.9584389</v>
      </c>
      <c r="M76">
        <v>1.0181900000000001E-2</v>
      </c>
      <c r="N76">
        <v>1.9921831999999999</v>
      </c>
      <c r="O76">
        <v>0.56665030000000005</v>
      </c>
      <c r="P76">
        <v>1.0734799999999999E-2</v>
      </c>
      <c r="Q76">
        <v>0.3581859</v>
      </c>
      <c r="R76">
        <v>3.0663027</v>
      </c>
      <c r="S76">
        <v>0.5492013</v>
      </c>
      <c r="T76">
        <v>-1</v>
      </c>
      <c r="U76">
        <v>1.0666E-2</v>
      </c>
      <c r="V76">
        <v>0</v>
      </c>
      <c r="W76">
        <v>0</v>
      </c>
      <c r="X76">
        <v>0</v>
      </c>
      <c r="Y76">
        <v>0</v>
      </c>
      <c r="Z76">
        <v>0</v>
      </c>
      <c r="AA76">
        <v>-5.4691093000000004</v>
      </c>
      <c r="AB76">
        <v>32.773136899999997</v>
      </c>
      <c r="AC76">
        <v>3.0661988999999998</v>
      </c>
      <c r="AD76">
        <v>0.54909739999999996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1</v>
      </c>
      <c r="C77">
        <v>0.79263700000000004</v>
      </c>
      <c r="D77">
        <v>0.39245350000000001</v>
      </c>
      <c r="E77">
        <v>3.2342999999999998E-3</v>
      </c>
      <c r="F77">
        <v>1</v>
      </c>
      <c r="G77">
        <v>0.78018900000000002</v>
      </c>
      <c r="H77">
        <v>0</v>
      </c>
      <c r="I77">
        <v>0</v>
      </c>
      <c r="J77">
        <v>2.517528</v>
      </c>
      <c r="K77">
        <v>0.99809020000000004</v>
      </c>
      <c r="L77">
        <v>-4.9529389000000004</v>
      </c>
      <c r="M77">
        <v>1.01853E-2</v>
      </c>
      <c r="N77">
        <v>1.992432</v>
      </c>
      <c r="O77">
        <v>0.56599580000000005</v>
      </c>
      <c r="P77">
        <v>1.0734799999999999E-2</v>
      </c>
      <c r="Q77">
        <v>0.35825479999999998</v>
      </c>
      <c r="R77">
        <v>3.0667205000000002</v>
      </c>
      <c r="S77">
        <v>0.54919249999999997</v>
      </c>
      <c r="T77">
        <v>-1</v>
      </c>
      <c r="U77">
        <v>1.0617E-2</v>
      </c>
      <c r="V77">
        <v>0</v>
      </c>
      <c r="W77">
        <v>0</v>
      </c>
      <c r="X77">
        <v>0</v>
      </c>
      <c r="Y77">
        <v>0</v>
      </c>
      <c r="Z77">
        <v>0</v>
      </c>
      <c r="AA77">
        <v>-5.4761712999999999</v>
      </c>
      <c r="AB77">
        <v>32.775446299999999</v>
      </c>
      <c r="AC77">
        <v>3.0666193000000002</v>
      </c>
      <c r="AD77">
        <v>0.54909129999999995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1</v>
      </c>
      <c r="C78">
        <v>0.79263700000000004</v>
      </c>
      <c r="D78">
        <v>0.3927136</v>
      </c>
      <c r="E78">
        <v>3.2342999999999998E-3</v>
      </c>
      <c r="F78">
        <v>1</v>
      </c>
      <c r="G78">
        <v>0.78018900000000002</v>
      </c>
      <c r="H78">
        <v>0</v>
      </c>
      <c r="I78">
        <v>0</v>
      </c>
      <c r="J78">
        <v>2.5177890999999999</v>
      </c>
      <c r="K78">
        <v>0.99817389999999995</v>
      </c>
      <c r="L78">
        <v>-4.9480116000000001</v>
      </c>
      <c r="M78">
        <v>1.01879E-2</v>
      </c>
      <c r="N78">
        <v>1.9926732</v>
      </c>
      <c r="O78">
        <v>0.56595320000000005</v>
      </c>
      <c r="P78">
        <v>1.0734799999999999E-2</v>
      </c>
      <c r="Q78">
        <v>0.35837259999999999</v>
      </c>
      <c r="R78">
        <v>3.0671107000000002</v>
      </c>
      <c r="S78">
        <v>0.54932170000000002</v>
      </c>
      <c r="T78">
        <v>-1</v>
      </c>
      <c r="U78">
        <v>1.06339E-2</v>
      </c>
      <c r="V78">
        <v>0</v>
      </c>
      <c r="W78">
        <v>0</v>
      </c>
      <c r="X78">
        <v>0</v>
      </c>
      <c r="Y78">
        <v>0</v>
      </c>
      <c r="Z78">
        <v>0</v>
      </c>
      <c r="AA78">
        <v>-5.4832318999999998</v>
      </c>
      <c r="AB78">
        <v>32.777690900000003</v>
      </c>
      <c r="AC78">
        <v>3.0670120999999999</v>
      </c>
      <c r="AD78">
        <v>0.54922309999999996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1</v>
      </c>
      <c r="C79">
        <v>0.79263700000000004</v>
      </c>
      <c r="D79">
        <v>0.39296759999999997</v>
      </c>
      <c r="E79">
        <v>3.2342999999999998E-3</v>
      </c>
      <c r="F79">
        <v>1</v>
      </c>
      <c r="G79">
        <v>0.78018900000000002</v>
      </c>
      <c r="H79">
        <v>0</v>
      </c>
      <c r="I79">
        <v>0</v>
      </c>
      <c r="J79">
        <v>2.5182948999999999</v>
      </c>
      <c r="K79">
        <v>0.99825359999999996</v>
      </c>
      <c r="L79">
        <v>-4.9429144999999997</v>
      </c>
      <c r="M79">
        <v>1.0189500000000001E-2</v>
      </c>
      <c r="N79">
        <v>1.9929116</v>
      </c>
      <c r="O79">
        <v>0.56581809999999999</v>
      </c>
      <c r="P79">
        <v>1.0734799999999999E-2</v>
      </c>
      <c r="Q79">
        <v>0.3584735</v>
      </c>
      <c r="R79">
        <v>3.0675005</v>
      </c>
      <c r="S79">
        <v>0.54920559999999996</v>
      </c>
      <c r="T79">
        <v>-1</v>
      </c>
      <c r="U79">
        <v>1.0640200000000001E-2</v>
      </c>
      <c r="V79">
        <v>0</v>
      </c>
      <c r="W79">
        <v>0</v>
      </c>
      <c r="X79">
        <v>0</v>
      </c>
      <c r="Y79">
        <v>0</v>
      </c>
      <c r="Z79">
        <v>0</v>
      </c>
      <c r="AA79">
        <v>-5.4901048000000001</v>
      </c>
      <c r="AB79">
        <v>32.780008500000001</v>
      </c>
      <c r="AC79">
        <v>3.0674044999999999</v>
      </c>
      <c r="AD79">
        <v>0.54910950000000003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1</v>
      </c>
      <c r="C80">
        <v>0.79263700000000004</v>
      </c>
      <c r="D80">
        <v>0.3932157</v>
      </c>
      <c r="E80">
        <v>3.2342999999999998E-3</v>
      </c>
      <c r="F80">
        <v>1</v>
      </c>
      <c r="G80">
        <v>0.78018900000000002</v>
      </c>
      <c r="H80">
        <v>0</v>
      </c>
      <c r="I80">
        <v>0</v>
      </c>
      <c r="J80">
        <v>2.5183</v>
      </c>
      <c r="K80">
        <v>0.99831009999999998</v>
      </c>
      <c r="L80">
        <v>-4.9380042</v>
      </c>
      <c r="M80">
        <v>1.01923E-2</v>
      </c>
      <c r="N80">
        <v>1.9931502999999999</v>
      </c>
      <c r="O80">
        <v>0.56564009999999998</v>
      </c>
      <c r="P80">
        <v>1.0734799999999999E-2</v>
      </c>
      <c r="Q80">
        <v>0.3585681</v>
      </c>
      <c r="R80">
        <v>3.0678252000000001</v>
      </c>
      <c r="S80">
        <v>0.54952520000000005</v>
      </c>
      <c r="T80">
        <v>-1</v>
      </c>
      <c r="U80">
        <v>1.06505E-2</v>
      </c>
      <c r="V80">
        <v>0</v>
      </c>
      <c r="W80">
        <v>0</v>
      </c>
      <c r="X80">
        <v>0</v>
      </c>
      <c r="Y80">
        <v>0</v>
      </c>
      <c r="Z80">
        <v>0</v>
      </c>
      <c r="AA80">
        <v>-5.4967097000000003</v>
      </c>
      <c r="AB80">
        <v>32.782177099999998</v>
      </c>
      <c r="AC80">
        <v>3.0677317</v>
      </c>
      <c r="AD80">
        <v>0.54943169999999997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1</v>
      </c>
      <c r="C81">
        <v>0.79263700000000004</v>
      </c>
      <c r="D81">
        <v>0.39345790000000003</v>
      </c>
      <c r="E81">
        <v>3.2342999999999998E-3</v>
      </c>
      <c r="F81">
        <v>1</v>
      </c>
      <c r="G81">
        <v>0.78018900000000002</v>
      </c>
      <c r="H81">
        <v>0</v>
      </c>
      <c r="I81">
        <v>0</v>
      </c>
      <c r="J81">
        <v>2.5186074999999999</v>
      </c>
      <c r="K81">
        <v>0.99835580000000002</v>
      </c>
      <c r="L81">
        <v>-4.9328491999999997</v>
      </c>
      <c r="M81">
        <v>1.01913E-2</v>
      </c>
      <c r="N81">
        <v>1.9933681000000001</v>
      </c>
      <c r="O81">
        <v>0.56558010000000003</v>
      </c>
      <c r="P81">
        <v>1.0734799999999999E-2</v>
      </c>
      <c r="Q81">
        <v>0.35865239999999998</v>
      </c>
      <c r="R81">
        <v>3.0681265999999998</v>
      </c>
      <c r="S81">
        <v>0.54951919999999999</v>
      </c>
      <c r="T81">
        <v>-1</v>
      </c>
      <c r="U81">
        <v>1.0666800000000001E-2</v>
      </c>
      <c r="V81">
        <v>0</v>
      </c>
      <c r="W81">
        <v>0</v>
      </c>
      <c r="X81">
        <v>0</v>
      </c>
      <c r="Y81">
        <v>0</v>
      </c>
      <c r="Z81">
        <v>0</v>
      </c>
      <c r="AA81">
        <v>-5.5028760999999999</v>
      </c>
      <c r="AB81">
        <v>32.784614699999999</v>
      </c>
      <c r="AC81">
        <v>3.0680355000000001</v>
      </c>
      <c r="AD81">
        <v>0.54942800000000003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1</v>
      </c>
      <c r="C82">
        <v>0.79263700000000004</v>
      </c>
      <c r="D82">
        <v>0.3936945</v>
      </c>
      <c r="E82">
        <v>3.2342999999999998E-3</v>
      </c>
      <c r="F82">
        <v>1</v>
      </c>
      <c r="G82">
        <v>0.78018900000000002</v>
      </c>
      <c r="H82">
        <v>0</v>
      </c>
      <c r="I82">
        <v>0</v>
      </c>
      <c r="J82">
        <v>2.5188953999999999</v>
      </c>
      <c r="K82">
        <v>0.9984151</v>
      </c>
      <c r="L82">
        <v>-4.9276821000000002</v>
      </c>
      <c r="M82">
        <v>1.0191499999999999E-2</v>
      </c>
      <c r="N82">
        <v>1.9936011</v>
      </c>
      <c r="O82">
        <v>0.5654209</v>
      </c>
      <c r="P82">
        <v>1.0734799999999999E-2</v>
      </c>
      <c r="Q82">
        <v>0.35872039999999999</v>
      </c>
      <c r="R82">
        <v>3.0684784000000001</v>
      </c>
      <c r="S82">
        <v>0.54958300000000004</v>
      </c>
      <c r="T82">
        <v>-1</v>
      </c>
      <c r="U82">
        <v>1.06575E-2</v>
      </c>
      <c r="V82">
        <v>0</v>
      </c>
      <c r="W82">
        <v>0</v>
      </c>
      <c r="X82">
        <v>0</v>
      </c>
      <c r="Y82">
        <v>0</v>
      </c>
      <c r="Z82">
        <v>0</v>
      </c>
      <c r="AA82">
        <v>-5.5090747000000002</v>
      </c>
      <c r="AB82">
        <v>32.7869715</v>
      </c>
      <c r="AC82">
        <v>3.0683897999999998</v>
      </c>
      <c r="AD82">
        <v>0.54949440000000005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1</v>
      </c>
      <c r="C83">
        <v>0.79263700000000004</v>
      </c>
      <c r="D83">
        <v>0.39392549999999998</v>
      </c>
      <c r="E83">
        <v>3.2342999999999998E-3</v>
      </c>
      <c r="F83">
        <v>1</v>
      </c>
      <c r="G83">
        <v>0.78018900000000002</v>
      </c>
      <c r="H83">
        <v>0</v>
      </c>
      <c r="I83">
        <v>0</v>
      </c>
      <c r="J83">
        <v>2.5191854</v>
      </c>
      <c r="K83">
        <v>0.99843530000000003</v>
      </c>
      <c r="L83">
        <v>-4.9225572</v>
      </c>
      <c r="M83">
        <v>1.01951E-2</v>
      </c>
      <c r="N83">
        <v>1.9938028000000001</v>
      </c>
      <c r="O83">
        <v>0.56578399999999995</v>
      </c>
      <c r="P83">
        <v>1.0734799999999999E-2</v>
      </c>
      <c r="Q83">
        <v>0.3587977</v>
      </c>
      <c r="R83">
        <v>3.0687256000000001</v>
      </c>
      <c r="S83">
        <v>0.54954020000000003</v>
      </c>
      <c r="T83">
        <v>-1</v>
      </c>
      <c r="U83">
        <v>1.06908E-2</v>
      </c>
      <c r="V83">
        <v>0</v>
      </c>
      <c r="W83">
        <v>0</v>
      </c>
      <c r="X83">
        <v>0</v>
      </c>
      <c r="Y83">
        <v>0</v>
      </c>
      <c r="Z83">
        <v>0</v>
      </c>
      <c r="AA83">
        <v>-5.5151047000000002</v>
      </c>
      <c r="AB83">
        <v>32.789386200000003</v>
      </c>
      <c r="AC83">
        <v>3.0686391999999998</v>
      </c>
      <c r="AD83">
        <v>0.54945370000000004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1</v>
      </c>
      <c r="C84">
        <v>0.79263700000000004</v>
      </c>
      <c r="D84">
        <v>0.39415109999999998</v>
      </c>
      <c r="E84">
        <v>3.2342999999999998E-3</v>
      </c>
      <c r="F84">
        <v>1</v>
      </c>
      <c r="G84">
        <v>0.78018900000000002</v>
      </c>
      <c r="H84">
        <v>0</v>
      </c>
      <c r="I84">
        <v>0</v>
      </c>
      <c r="J84">
        <v>2.5194570999999999</v>
      </c>
      <c r="K84">
        <v>0.99843059999999995</v>
      </c>
      <c r="L84">
        <v>-4.9170265999999998</v>
      </c>
      <c r="M84">
        <v>1.0191199999999999E-2</v>
      </c>
      <c r="N84">
        <v>1.9939846999999999</v>
      </c>
      <c r="O84">
        <v>0.56572630000000002</v>
      </c>
      <c r="P84">
        <v>1.0734799999999999E-2</v>
      </c>
      <c r="Q84">
        <v>0.35884169999999999</v>
      </c>
      <c r="R84">
        <v>3.0689156999999998</v>
      </c>
      <c r="S84">
        <v>0.54945860000000002</v>
      </c>
      <c r="T84">
        <v>-1</v>
      </c>
      <c r="U84">
        <v>1.0714599999999999E-2</v>
      </c>
      <c r="V84">
        <v>0</v>
      </c>
      <c r="W84">
        <v>0</v>
      </c>
      <c r="X84">
        <v>0</v>
      </c>
      <c r="Y84">
        <v>0</v>
      </c>
      <c r="Z84">
        <v>0</v>
      </c>
      <c r="AA84">
        <v>-5.5202922000000001</v>
      </c>
      <c r="AB84">
        <v>32.791665199999997</v>
      </c>
      <c r="AC84">
        <v>3.0688312</v>
      </c>
      <c r="AD84">
        <v>0.54937409999999998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1</v>
      </c>
      <c r="C85">
        <v>0.79263700000000004</v>
      </c>
      <c r="D85">
        <v>0.39437139999999998</v>
      </c>
      <c r="E85">
        <v>3.2342999999999998E-3</v>
      </c>
      <c r="F85">
        <v>1</v>
      </c>
      <c r="G85">
        <v>0.78018900000000002</v>
      </c>
      <c r="H85">
        <v>0</v>
      </c>
      <c r="I85">
        <v>0</v>
      </c>
      <c r="J85">
        <v>2.5197067999999998</v>
      </c>
      <c r="K85">
        <v>0.99844129999999998</v>
      </c>
      <c r="L85">
        <v>-4.9115811999999996</v>
      </c>
      <c r="M85">
        <v>1.01911E-2</v>
      </c>
      <c r="N85">
        <v>1.9941788</v>
      </c>
      <c r="O85">
        <v>0.5652104</v>
      </c>
      <c r="P85">
        <v>1.0734799999999999E-2</v>
      </c>
      <c r="Q85">
        <v>0.35886180000000001</v>
      </c>
      <c r="R85">
        <v>3.069118</v>
      </c>
      <c r="S85">
        <v>0.54941119999999999</v>
      </c>
      <c r="T85">
        <v>-1</v>
      </c>
      <c r="U85">
        <v>1.0692999999999999E-2</v>
      </c>
      <c r="V85">
        <v>0</v>
      </c>
      <c r="W85">
        <v>0</v>
      </c>
      <c r="X85">
        <v>0</v>
      </c>
      <c r="Y85">
        <v>0</v>
      </c>
      <c r="Z85">
        <v>0</v>
      </c>
      <c r="AA85">
        <v>-5.5253738999999999</v>
      </c>
      <c r="AB85">
        <v>32.793857600000003</v>
      </c>
      <c r="AC85">
        <v>3.0690355999999999</v>
      </c>
      <c r="AD85">
        <v>0.54932879999999995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1</v>
      </c>
      <c r="C86">
        <v>0.79263700000000004</v>
      </c>
      <c r="D86">
        <v>0.39458650000000001</v>
      </c>
      <c r="E86">
        <v>3.2342999999999998E-3</v>
      </c>
      <c r="F86">
        <v>1</v>
      </c>
      <c r="G86">
        <v>0.78018900000000002</v>
      </c>
      <c r="H86">
        <v>0</v>
      </c>
      <c r="I86">
        <v>0</v>
      </c>
      <c r="J86">
        <v>2.5199560999999999</v>
      </c>
      <c r="K86">
        <v>0.9984615</v>
      </c>
      <c r="L86">
        <v>-4.9066576</v>
      </c>
      <c r="M86">
        <v>1.01992E-2</v>
      </c>
      <c r="N86">
        <v>1.9943975</v>
      </c>
      <c r="O86">
        <v>0.56431779999999998</v>
      </c>
      <c r="P86">
        <v>1.0734799999999999E-2</v>
      </c>
      <c r="Q86">
        <v>0.35890369999999999</v>
      </c>
      <c r="R86">
        <v>3.0693269999999999</v>
      </c>
      <c r="S86">
        <v>0.5493709</v>
      </c>
      <c r="T86">
        <v>-1</v>
      </c>
      <c r="U86">
        <v>1.0671699999999999E-2</v>
      </c>
      <c r="V86">
        <v>0</v>
      </c>
      <c r="W86">
        <v>0</v>
      </c>
      <c r="X86">
        <v>0</v>
      </c>
      <c r="Y86">
        <v>0</v>
      </c>
      <c r="Z86">
        <v>0</v>
      </c>
      <c r="AA86">
        <v>-5.5308767000000003</v>
      </c>
      <c r="AB86">
        <v>32.795989300000002</v>
      </c>
      <c r="AC86">
        <v>3.0692469</v>
      </c>
      <c r="AD86">
        <v>0.54929079999999997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1</v>
      </c>
      <c r="C87">
        <v>0.79263700000000004</v>
      </c>
      <c r="D87">
        <v>0.3947966</v>
      </c>
      <c r="E87">
        <v>3.2342999999999998E-3</v>
      </c>
      <c r="F87">
        <v>1</v>
      </c>
      <c r="G87">
        <v>0.78018900000000002</v>
      </c>
      <c r="H87">
        <v>0</v>
      </c>
      <c r="I87">
        <v>0</v>
      </c>
      <c r="J87">
        <v>2.5201972000000001</v>
      </c>
      <c r="K87">
        <v>0.99842339999999996</v>
      </c>
      <c r="L87">
        <v>-4.9025233000000004</v>
      </c>
      <c r="M87">
        <v>1.0191499999999999E-2</v>
      </c>
      <c r="N87">
        <v>1.9945548</v>
      </c>
      <c r="O87">
        <v>0.56553600000000004</v>
      </c>
      <c r="P87">
        <v>1.0734799999999999E-2</v>
      </c>
      <c r="Q87">
        <v>0.35896679999999997</v>
      </c>
      <c r="R87">
        <v>3.0694438000000002</v>
      </c>
      <c r="S87">
        <v>0.54924669999999998</v>
      </c>
      <c r="T87">
        <v>-1</v>
      </c>
      <c r="U87">
        <v>1.07469E-2</v>
      </c>
      <c r="V87">
        <v>0</v>
      </c>
      <c r="W87">
        <v>0</v>
      </c>
      <c r="X87">
        <v>0</v>
      </c>
      <c r="Y87">
        <v>0</v>
      </c>
      <c r="Z87">
        <v>0</v>
      </c>
      <c r="AA87">
        <v>-5.5356437999999999</v>
      </c>
      <c r="AB87">
        <v>32.797954900000001</v>
      </c>
      <c r="AC87">
        <v>3.0693654000000001</v>
      </c>
      <c r="AD87">
        <v>0.54916830000000005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1</v>
      </c>
      <c r="C88">
        <v>0.79263700000000004</v>
      </c>
      <c r="D88">
        <v>0.39500180000000001</v>
      </c>
      <c r="E88">
        <v>3.2342999999999998E-3</v>
      </c>
      <c r="F88">
        <v>1</v>
      </c>
      <c r="G88">
        <v>0.78018900000000002</v>
      </c>
      <c r="H88">
        <v>0</v>
      </c>
      <c r="I88">
        <v>0</v>
      </c>
      <c r="J88">
        <v>2.5203087000000002</v>
      </c>
      <c r="K88">
        <v>0.99841199999999997</v>
      </c>
      <c r="L88">
        <v>-4.8972826999999999</v>
      </c>
      <c r="M88">
        <v>1.0196E-2</v>
      </c>
      <c r="N88">
        <v>1.9947562999999999</v>
      </c>
      <c r="O88">
        <v>0.56482449999999995</v>
      </c>
      <c r="P88">
        <v>1.0734799999999999E-2</v>
      </c>
      <c r="Q88">
        <v>0.35895470000000002</v>
      </c>
      <c r="R88">
        <v>3.0695994999999998</v>
      </c>
      <c r="S88">
        <v>0.54929079999999997</v>
      </c>
      <c r="T88">
        <v>-1</v>
      </c>
      <c r="U88">
        <v>1.0704E-2</v>
      </c>
      <c r="V88">
        <v>0</v>
      </c>
      <c r="W88">
        <v>0</v>
      </c>
      <c r="X88">
        <v>0</v>
      </c>
      <c r="Y88">
        <v>0</v>
      </c>
      <c r="Z88">
        <v>0</v>
      </c>
      <c r="AA88">
        <v>-5.5407735000000002</v>
      </c>
      <c r="AB88">
        <v>32.799800500000003</v>
      </c>
      <c r="AC88">
        <v>3.0695231999999999</v>
      </c>
      <c r="AD88">
        <v>0.54921450000000005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1</v>
      </c>
      <c r="C89">
        <v>0.79263700000000004</v>
      </c>
      <c r="D89">
        <v>0.3952021</v>
      </c>
      <c r="E89">
        <v>3.2342999999999998E-3</v>
      </c>
      <c r="F89">
        <v>1</v>
      </c>
      <c r="G89">
        <v>0.78018900000000002</v>
      </c>
      <c r="H89">
        <v>0</v>
      </c>
      <c r="I89">
        <v>0</v>
      </c>
      <c r="J89">
        <v>2.5241530999999999</v>
      </c>
      <c r="K89">
        <v>0.99825370000000002</v>
      </c>
      <c r="L89">
        <v>-4.8925463000000002</v>
      </c>
      <c r="M89">
        <v>1.01799E-2</v>
      </c>
      <c r="N89">
        <v>1.9951268</v>
      </c>
      <c r="O89">
        <v>0.56444709999999998</v>
      </c>
      <c r="P89">
        <v>1.0734799999999999E-2</v>
      </c>
      <c r="Q89">
        <v>0.35898550000000001</v>
      </c>
      <c r="R89">
        <v>3.0694569999999999</v>
      </c>
      <c r="S89">
        <v>0.54530380000000001</v>
      </c>
      <c r="T89">
        <v>-1</v>
      </c>
      <c r="U89">
        <v>1.0726899999999999E-2</v>
      </c>
      <c r="V89">
        <v>0</v>
      </c>
      <c r="W89">
        <v>0</v>
      </c>
      <c r="X89">
        <v>0</v>
      </c>
      <c r="Y89">
        <v>0</v>
      </c>
      <c r="Z89">
        <v>0</v>
      </c>
      <c r="AA89">
        <v>-5.545547</v>
      </c>
      <c r="AB89">
        <v>32.801638400000002</v>
      </c>
      <c r="AC89">
        <v>3.0693847000000001</v>
      </c>
      <c r="AD89">
        <v>0.54523160000000004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1</v>
      </c>
      <c r="C90">
        <v>0.79263700000000004</v>
      </c>
      <c r="D90">
        <v>0.39539780000000002</v>
      </c>
      <c r="E90">
        <v>3.2342999999999998E-3</v>
      </c>
      <c r="F90">
        <v>1</v>
      </c>
      <c r="G90">
        <v>0.78018900000000002</v>
      </c>
      <c r="H90">
        <v>0</v>
      </c>
      <c r="I90">
        <v>0</v>
      </c>
      <c r="J90">
        <v>2.5239118</v>
      </c>
      <c r="K90">
        <v>0.99813289999999999</v>
      </c>
      <c r="L90">
        <v>-4.8920269000000003</v>
      </c>
      <c r="M90">
        <v>1.0194E-2</v>
      </c>
      <c r="N90">
        <v>1.9954658999999999</v>
      </c>
      <c r="O90">
        <v>0.56541419999999998</v>
      </c>
      <c r="P90">
        <v>1.0734799999999999E-2</v>
      </c>
      <c r="Q90">
        <v>0.35899340000000002</v>
      </c>
      <c r="R90">
        <v>3.0692371000000001</v>
      </c>
      <c r="S90">
        <v>0.54532530000000001</v>
      </c>
      <c r="T90">
        <v>-1</v>
      </c>
      <c r="U90">
        <v>1.0670199999999999E-2</v>
      </c>
      <c r="V90">
        <v>0</v>
      </c>
      <c r="W90">
        <v>0</v>
      </c>
      <c r="X90">
        <v>0</v>
      </c>
      <c r="Y90">
        <v>0</v>
      </c>
      <c r="Z90">
        <v>0</v>
      </c>
      <c r="AA90">
        <v>-5.5495587000000004</v>
      </c>
      <c r="AB90">
        <v>32.799562799999997</v>
      </c>
      <c r="AC90">
        <v>3.0691685</v>
      </c>
      <c r="AD90">
        <v>0.54525670000000004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1</v>
      </c>
      <c r="C91">
        <v>0.79263700000000004</v>
      </c>
      <c r="D91">
        <v>0.39558880000000002</v>
      </c>
      <c r="E91">
        <v>3.2342999999999998E-3</v>
      </c>
      <c r="F91">
        <v>1</v>
      </c>
      <c r="G91">
        <v>0.78018900000000002</v>
      </c>
      <c r="H91">
        <v>0</v>
      </c>
      <c r="I91">
        <v>0</v>
      </c>
      <c r="J91">
        <v>2.5193615999999999</v>
      </c>
      <c r="K91">
        <v>0.99817259999999997</v>
      </c>
      <c r="L91">
        <v>-4.8901281000000001</v>
      </c>
      <c r="M91">
        <v>1.01853E-2</v>
      </c>
      <c r="N91">
        <v>1.9955567000000001</v>
      </c>
      <c r="O91">
        <v>0.5663108</v>
      </c>
      <c r="P91">
        <v>1.0734799999999999E-2</v>
      </c>
      <c r="Q91">
        <v>0.35905809999999999</v>
      </c>
      <c r="R91">
        <v>3.0693619000000001</v>
      </c>
      <c r="S91">
        <v>0.5500003</v>
      </c>
      <c r="T91">
        <v>-1</v>
      </c>
      <c r="U91">
        <v>1.0679900000000001E-2</v>
      </c>
      <c r="V91">
        <v>0</v>
      </c>
      <c r="W91">
        <v>0</v>
      </c>
      <c r="X91">
        <v>0</v>
      </c>
      <c r="Y91">
        <v>0</v>
      </c>
      <c r="Z91">
        <v>0</v>
      </c>
      <c r="AA91">
        <v>-5.5535255000000001</v>
      </c>
      <c r="AB91">
        <v>32.7974727</v>
      </c>
      <c r="AC91">
        <v>3.0692943000000001</v>
      </c>
      <c r="AD91">
        <v>0.54993259999999999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0.79263700000000004</v>
      </c>
      <c r="D92">
        <v>0.40354410000000002</v>
      </c>
      <c r="E92">
        <v>3.2342999999999998E-3</v>
      </c>
      <c r="F92">
        <v>1</v>
      </c>
      <c r="G92">
        <v>0.78018900000000002</v>
      </c>
      <c r="H92">
        <v>0</v>
      </c>
      <c r="I92">
        <v>0</v>
      </c>
      <c r="J92">
        <v>2.518993</v>
      </c>
      <c r="K92">
        <v>0.99840280000000003</v>
      </c>
      <c r="L92">
        <v>-4.8818226999999998</v>
      </c>
      <c r="M92">
        <v>1.00412E-2</v>
      </c>
      <c r="N92">
        <v>1.9956103999999999</v>
      </c>
      <c r="O92">
        <v>0.56468070000000004</v>
      </c>
      <c r="P92">
        <v>1.0734799999999999E-2</v>
      </c>
      <c r="Q92">
        <v>0.35911300000000002</v>
      </c>
      <c r="R92">
        <v>3.0699524</v>
      </c>
      <c r="S92">
        <v>0.55095950000000005</v>
      </c>
      <c r="T92">
        <v>-1</v>
      </c>
      <c r="U92">
        <v>1.05909E-2</v>
      </c>
      <c r="V92">
        <v>0</v>
      </c>
      <c r="W92">
        <v>0</v>
      </c>
      <c r="X92">
        <v>0</v>
      </c>
      <c r="Y92">
        <v>0</v>
      </c>
      <c r="Z92">
        <v>0</v>
      </c>
      <c r="AA92">
        <v>-5.5586795999999996</v>
      </c>
      <c r="AB92">
        <v>32.800252499999999</v>
      </c>
      <c r="AC92">
        <v>3.0698853000000002</v>
      </c>
      <c r="AD92">
        <v>0.55089239999999995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0.79263700000000004</v>
      </c>
      <c r="D93">
        <v>0.40354410000000002</v>
      </c>
      <c r="E93">
        <v>3.2342999999999998E-3</v>
      </c>
      <c r="F93">
        <v>1</v>
      </c>
      <c r="G93">
        <v>0.78018900000000002</v>
      </c>
      <c r="H93">
        <v>0</v>
      </c>
      <c r="I93">
        <v>0</v>
      </c>
      <c r="J93">
        <v>2.5198171999999999</v>
      </c>
      <c r="K93">
        <v>0.99904389999999998</v>
      </c>
      <c r="L93">
        <v>-4.8754011999999998</v>
      </c>
      <c r="M93">
        <v>1.0336700000000001E-2</v>
      </c>
      <c r="N93">
        <v>1.9965849</v>
      </c>
      <c r="O93">
        <v>0.56127689999999997</v>
      </c>
      <c r="P93">
        <v>1.0734799999999999E-2</v>
      </c>
      <c r="Q93">
        <v>0.35925689999999999</v>
      </c>
      <c r="R93">
        <v>3.0731012</v>
      </c>
      <c r="S93">
        <v>0.553284</v>
      </c>
      <c r="T93">
        <v>-1</v>
      </c>
      <c r="U93">
        <v>1.04067E-2</v>
      </c>
      <c r="V93">
        <v>0</v>
      </c>
      <c r="W93">
        <v>0</v>
      </c>
      <c r="X93">
        <v>0</v>
      </c>
      <c r="Y93">
        <v>0</v>
      </c>
      <c r="Z93">
        <v>0</v>
      </c>
      <c r="AA93">
        <v>-5.6244025999999998</v>
      </c>
      <c r="AB93">
        <v>32.803435899999997</v>
      </c>
      <c r="AC93">
        <v>3.0730445999999998</v>
      </c>
      <c r="AD93">
        <v>0.55322740000000004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0.79263700000000004</v>
      </c>
      <c r="D94">
        <v>0.40354410000000002</v>
      </c>
      <c r="E94">
        <v>3.2342999999999998E-3</v>
      </c>
      <c r="F94">
        <v>1</v>
      </c>
      <c r="G94">
        <v>0.78018900000000002</v>
      </c>
      <c r="H94">
        <v>0</v>
      </c>
      <c r="I94">
        <v>0</v>
      </c>
      <c r="J94">
        <v>2.5203327999999998</v>
      </c>
      <c r="K94">
        <v>0.99933499999999997</v>
      </c>
      <c r="L94">
        <v>-4.8707146000000003</v>
      </c>
      <c r="M94">
        <v>1.03164E-2</v>
      </c>
      <c r="N94">
        <v>1.9972084999999999</v>
      </c>
      <c r="O94">
        <v>0.56073689999999998</v>
      </c>
      <c r="P94">
        <v>1.0734799999999999E-2</v>
      </c>
      <c r="Q94">
        <v>0.35958499999999999</v>
      </c>
      <c r="R94">
        <v>3.0744232999999999</v>
      </c>
      <c r="S94">
        <v>0.55409050000000004</v>
      </c>
      <c r="T94">
        <v>-1</v>
      </c>
      <c r="U94">
        <v>1.0471299999999999E-2</v>
      </c>
      <c r="V94">
        <v>0</v>
      </c>
      <c r="W94">
        <v>0</v>
      </c>
      <c r="X94">
        <v>0</v>
      </c>
      <c r="Y94">
        <v>0</v>
      </c>
      <c r="Z94">
        <v>0</v>
      </c>
      <c r="AA94">
        <v>-5.6538941999999999</v>
      </c>
      <c r="AB94">
        <v>32.809373200000003</v>
      </c>
      <c r="AC94">
        <v>3.0743733999999998</v>
      </c>
      <c r="AD94">
        <v>0.55404059999999999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0.79263700000000004</v>
      </c>
      <c r="D95">
        <v>0.40354410000000002</v>
      </c>
      <c r="E95">
        <v>3.2342999999999998E-3</v>
      </c>
      <c r="F95">
        <v>1</v>
      </c>
      <c r="G95">
        <v>0.78018900000000002</v>
      </c>
      <c r="H95">
        <v>0</v>
      </c>
      <c r="I95">
        <v>0</v>
      </c>
      <c r="J95">
        <v>2.5210767000000001</v>
      </c>
      <c r="K95">
        <v>0.99954699999999996</v>
      </c>
      <c r="L95">
        <v>-4.8656563999999998</v>
      </c>
      <c r="M95">
        <v>1.0291099999999999E-2</v>
      </c>
      <c r="N95">
        <v>1.9977175</v>
      </c>
      <c r="O95">
        <v>0.5603979</v>
      </c>
      <c r="P95">
        <v>1.0734799999999999E-2</v>
      </c>
      <c r="Q95">
        <v>0.35984850000000002</v>
      </c>
      <c r="R95">
        <v>3.0752790999999999</v>
      </c>
      <c r="S95">
        <v>0.55420230000000004</v>
      </c>
      <c r="T95">
        <v>-1</v>
      </c>
      <c r="U95">
        <v>1.0486199999999999E-2</v>
      </c>
      <c r="V95">
        <v>0</v>
      </c>
      <c r="W95">
        <v>0</v>
      </c>
      <c r="X95">
        <v>0</v>
      </c>
      <c r="Y95">
        <v>0</v>
      </c>
      <c r="Z95">
        <v>0</v>
      </c>
      <c r="AA95">
        <v>-5.6694354000000002</v>
      </c>
      <c r="AB95">
        <v>32.8159913</v>
      </c>
      <c r="AC95">
        <v>3.0752345999999999</v>
      </c>
      <c r="AD95">
        <v>0.55415789999999998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0.79263700000000004</v>
      </c>
      <c r="D96">
        <v>0.40354410000000002</v>
      </c>
      <c r="E96">
        <v>3.2342999999999998E-3</v>
      </c>
      <c r="F96">
        <v>1</v>
      </c>
      <c r="G96">
        <v>0.78018900000000002</v>
      </c>
      <c r="H96">
        <v>0</v>
      </c>
      <c r="I96">
        <v>0</v>
      </c>
      <c r="J96">
        <v>2.5214617000000001</v>
      </c>
      <c r="K96">
        <v>0.99964450000000005</v>
      </c>
      <c r="L96">
        <v>-4.8606027000000003</v>
      </c>
      <c r="M96">
        <v>1.0277700000000001E-2</v>
      </c>
      <c r="N96">
        <v>1.9981059000000001</v>
      </c>
      <c r="O96">
        <v>0.56113420000000003</v>
      </c>
      <c r="P96">
        <v>1.0734799999999999E-2</v>
      </c>
      <c r="Q96">
        <v>0.36009720000000001</v>
      </c>
      <c r="R96">
        <v>3.0757851</v>
      </c>
      <c r="S96">
        <v>0.55432340000000002</v>
      </c>
      <c r="T96">
        <v>-1</v>
      </c>
      <c r="U96">
        <v>1.0583800000000001E-2</v>
      </c>
      <c r="V96">
        <v>0</v>
      </c>
      <c r="W96">
        <v>0</v>
      </c>
      <c r="X96">
        <v>0</v>
      </c>
      <c r="Y96">
        <v>0</v>
      </c>
      <c r="Z96">
        <v>0</v>
      </c>
      <c r="AA96">
        <v>-5.6790693000000001</v>
      </c>
      <c r="AB96">
        <v>32.8225999</v>
      </c>
      <c r="AC96">
        <v>3.0757447999999998</v>
      </c>
      <c r="AD96">
        <v>0.55428310000000003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0.79263700000000004</v>
      </c>
      <c r="D97">
        <v>0.40354410000000002</v>
      </c>
      <c r="E97">
        <v>3.2342999999999998E-3</v>
      </c>
      <c r="F97">
        <v>1</v>
      </c>
      <c r="G97">
        <v>0.78018900000000002</v>
      </c>
      <c r="H97">
        <v>0</v>
      </c>
      <c r="I97">
        <v>0</v>
      </c>
      <c r="J97">
        <v>2.5219241000000001</v>
      </c>
      <c r="K97">
        <v>0.99968749999999995</v>
      </c>
      <c r="L97">
        <v>-4.8544675000000002</v>
      </c>
      <c r="M97">
        <v>1.0264300000000001E-2</v>
      </c>
      <c r="N97">
        <v>1.9984347</v>
      </c>
      <c r="O97">
        <v>0.56200870000000003</v>
      </c>
      <c r="P97">
        <v>1.0734799999999999E-2</v>
      </c>
      <c r="Q97">
        <v>0.36024820000000002</v>
      </c>
      <c r="R97">
        <v>3.0761547999999999</v>
      </c>
      <c r="S97">
        <v>0.55423069999999997</v>
      </c>
      <c r="T97">
        <v>-1</v>
      </c>
      <c r="U97">
        <v>1.0640200000000001E-2</v>
      </c>
      <c r="V97">
        <v>0</v>
      </c>
      <c r="W97">
        <v>0</v>
      </c>
      <c r="X97">
        <v>0</v>
      </c>
      <c r="Y97">
        <v>0</v>
      </c>
      <c r="Z97">
        <v>0</v>
      </c>
      <c r="AA97">
        <v>-5.6854864000000003</v>
      </c>
      <c r="AB97">
        <v>32.829153300000002</v>
      </c>
      <c r="AC97">
        <v>3.0761180000000001</v>
      </c>
      <c r="AD97">
        <v>0.55419399999999996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0.79263700000000004</v>
      </c>
      <c r="D98">
        <v>0.40354410000000002</v>
      </c>
      <c r="E98">
        <v>3.2342999999999998E-3</v>
      </c>
      <c r="F98">
        <v>1</v>
      </c>
      <c r="G98">
        <v>0.78018900000000002</v>
      </c>
      <c r="H98">
        <v>0</v>
      </c>
      <c r="I98">
        <v>0</v>
      </c>
      <c r="J98">
        <v>2.5222465000000001</v>
      </c>
      <c r="K98">
        <v>0.99967470000000003</v>
      </c>
      <c r="L98">
        <v>-4.8473911000000003</v>
      </c>
      <c r="M98">
        <v>1.02586E-2</v>
      </c>
      <c r="N98">
        <v>1.9987203</v>
      </c>
      <c r="O98">
        <v>0.5623437</v>
      </c>
      <c r="P98">
        <v>1.0734799999999999E-2</v>
      </c>
      <c r="Q98">
        <v>0.36034280000000002</v>
      </c>
      <c r="R98">
        <v>3.0763779000000002</v>
      </c>
      <c r="S98">
        <v>0.55413140000000005</v>
      </c>
      <c r="T98">
        <v>-1</v>
      </c>
      <c r="U98">
        <v>1.0687800000000001E-2</v>
      </c>
      <c r="V98">
        <v>0</v>
      </c>
      <c r="W98">
        <v>0</v>
      </c>
      <c r="X98">
        <v>0</v>
      </c>
      <c r="Y98">
        <v>0</v>
      </c>
      <c r="Z98">
        <v>0</v>
      </c>
      <c r="AA98">
        <v>-5.6903994999999998</v>
      </c>
      <c r="AB98">
        <v>32.835514099999997</v>
      </c>
      <c r="AC98">
        <v>3.0763441999999999</v>
      </c>
      <c r="AD98">
        <v>0.55409770000000003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0.79263700000000004</v>
      </c>
      <c r="D99">
        <v>0.40354410000000002</v>
      </c>
      <c r="E99">
        <v>3.2342999999999998E-3</v>
      </c>
      <c r="F99">
        <v>1</v>
      </c>
      <c r="G99">
        <v>0.78018900000000002</v>
      </c>
      <c r="H99">
        <v>0</v>
      </c>
      <c r="I99">
        <v>0</v>
      </c>
      <c r="J99">
        <v>2.5224836000000002</v>
      </c>
      <c r="K99">
        <v>0.99970309999999996</v>
      </c>
      <c r="L99">
        <v>-4.8399387999999997</v>
      </c>
      <c r="M99">
        <v>1.02556E-2</v>
      </c>
      <c r="N99">
        <v>1.9990117999999999</v>
      </c>
      <c r="O99">
        <v>0.56124209999999997</v>
      </c>
      <c r="P99">
        <v>1.0734799999999999E-2</v>
      </c>
      <c r="Q99">
        <v>0.36038979999999998</v>
      </c>
      <c r="R99">
        <v>3.0766624999999999</v>
      </c>
      <c r="S99">
        <v>0.55417899999999998</v>
      </c>
      <c r="T99">
        <v>-1</v>
      </c>
      <c r="U99">
        <v>1.0650700000000001E-2</v>
      </c>
      <c r="V99">
        <v>0</v>
      </c>
      <c r="W99">
        <v>0</v>
      </c>
      <c r="X99">
        <v>0</v>
      </c>
      <c r="Y99">
        <v>0</v>
      </c>
      <c r="Z99">
        <v>0</v>
      </c>
      <c r="AA99">
        <v>-5.6945243000000003</v>
      </c>
      <c r="AB99">
        <v>32.841679399999997</v>
      </c>
      <c r="AC99">
        <v>3.076632</v>
      </c>
      <c r="AD99">
        <v>0.55414839999999999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0.79263700000000004</v>
      </c>
      <c r="D100">
        <v>0.40354410000000002</v>
      </c>
      <c r="E100">
        <v>3.2342999999999998E-3</v>
      </c>
      <c r="F100">
        <v>1</v>
      </c>
      <c r="G100">
        <v>0.78018900000000002</v>
      </c>
      <c r="H100">
        <v>0</v>
      </c>
      <c r="I100">
        <v>0</v>
      </c>
      <c r="J100">
        <v>2.5228752000000001</v>
      </c>
      <c r="K100">
        <v>0.99957969999999996</v>
      </c>
      <c r="L100">
        <v>-4.8333933</v>
      </c>
      <c r="M100">
        <v>1.02544E-2</v>
      </c>
      <c r="N100">
        <v>1.9992042000000001</v>
      </c>
      <c r="O100">
        <v>0.56246850000000004</v>
      </c>
      <c r="P100">
        <v>1.0654E-2</v>
      </c>
      <c r="Q100">
        <v>0.36047390000000001</v>
      </c>
      <c r="R100">
        <v>3.0766358</v>
      </c>
      <c r="S100">
        <v>0.55376049999999999</v>
      </c>
      <c r="T100">
        <v>-1</v>
      </c>
      <c r="U100">
        <v>1.06613E-2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-5.6980586000000004</v>
      </c>
      <c r="AB100">
        <v>32.8466971</v>
      </c>
      <c r="AC100">
        <v>3.0766075000000002</v>
      </c>
      <c r="AD100">
        <v>0.55373229999999996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0.79263700000000004</v>
      </c>
      <c r="D101">
        <v>0.40354410000000002</v>
      </c>
      <c r="E101">
        <v>3.2342999999999998E-3</v>
      </c>
      <c r="F101">
        <v>1</v>
      </c>
      <c r="G101">
        <v>0.78018900000000002</v>
      </c>
      <c r="H101">
        <v>0</v>
      </c>
      <c r="I101">
        <v>0</v>
      </c>
      <c r="J101">
        <v>2.5229824999999999</v>
      </c>
      <c r="K101">
        <v>0.99951520000000005</v>
      </c>
      <c r="L101">
        <v>-4.8259518000000003</v>
      </c>
      <c r="M101">
        <v>1.0248E-2</v>
      </c>
      <c r="N101">
        <v>1.9994217000000001</v>
      </c>
      <c r="O101">
        <v>0.56251359999999995</v>
      </c>
      <c r="P101">
        <v>1.0654E-2</v>
      </c>
      <c r="Q101">
        <v>0.36046660000000003</v>
      </c>
      <c r="R101">
        <v>3.0767256000000001</v>
      </c>
      <c r="S101">
        <v>0.55374310000000004</v>
      </c>
      <c r="T101">
        <v>-1</v>
      </c>
      <c r="U101">
        <v>1.0664699999999999E-2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-5.7011039999999999</v>
      </c>
      <c r="AB101">
        <v>32.852482100000003</v>
      </c>
      <c r="AC101">
        <v>3.0766996</v>
      </c>
      <c r="AD101">
        <v>0.55371709999999996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0.79263700000000004</v>
      </c>
      <c r="D102">
        <v>0.40354410000000002</v>
      </c>
      <c r="E102">
        <v>3.2342999999999998E-3</v>
      </c>
      <c r="F102">
        <v>1</v>
      </c>
      <c r="G102">
        <v>0.78018900000000002</v>
      </c>
      <c r="H102">
        <v>0</v>
      </c>
      <c r="I102">
        <v>0</v>
      </c>
      <c r="J102">
        <v>2.5231447</v>
      </c>
      <c r="K102">
        <v>0.99944820000000001</v>
      </c>
      <c r="L102">
        <v>-4.8183781000000003</v>
      </c>
      <c r="M102">
        <v>1.02436E-2</v>
      </c>
      <c r="N102">
        <v>1.9996282000000001</v>
      </c>
      <c r="O102">
        <v>0.56231070000000005</v>
      </c>
      <c r="P102">
        <v>1.0654E-2</v>
      </c>
      <c r="Q102">
        <v>0.3604559</v>
      </c>
      <c r="R102">
        <v>3.0767992999999998</v>
      </c>
      <c r="S102">
        <v>0.5536546</v>
      </c>
      <c r="T102">
        <v>-1</v>
      </c>
      <c r="U102">
        <v>1.0668E-2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-5.7037560999999997</v>
      </c>
      <c r="AB102">
        <v>32.858159100000002</v>
      </c>
      <c r="AC102">
        <v>3.0767755000000001</v>
      </c>
      <c r="AD102">
        <v>0.55363090000000004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0.79263700000000004</v>
      </c>
      <c r="D103">
        <v>0.40354410000000002</v>
      </c>
      <c r="E103">
        <v>3.2342999999999998E-3</v>
      </c>
      <c r="F103">
        <v>1</v>
      </c>
      <c r="G103">
        <v>0.78018900000000002</v>
      </c>
      <c r="H103">
        <v>0</v>
      </c>
      <c r="I103">
        <v>0</v>
      </c>
      <c r="J103">
        <v>2.5234220999999999</v>
      </c>
      <c r="K103">
        <v>0.99938870000000002</v>
      </c>
      <c r="L103">
        <v>-4.8109925000000002</v>
      </c>
      <c r="M103">
        <v>1.0239E-2</v>
      </c>
      <c r="N103">
        <v>1.9998282999999999</v>
      </c>
      <c r="O103">
        <v>0.5618784</v>
      </c>
      <c r="P103">
        <v>1.0654E-2</v>
      </c>
      <c r="Q103">
        <v>0.36044189999999998</v>
      </c>
      <c r="R103">
        <v>3.0768716999999999</v>
      </c>
      <c r="S103">
        <v>0.55344970000000004</v>
      </c>
      <c r="T103">
        <v>-1</v>
      </c>
      <c r="U103">
        <v>1.0661E-2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-5.7060420000000001</v>
      </c>
      <c r="AB103">
        <v>32.863667100000001</v>
      </c>
      <c r="AC103">
        <v>3.0768501000000001</v>
      </c>
      <c r="AD103">
        <v>0.55342800000000003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0.79263700000000004</v>
      </c>
      <c r="D104">
        <v>0.40354410000000002</v>
      </c>
      <c r="E104">
        <v>3.2342999999999998E-3</v>
      </c>
      <c r="F104">
        <v>1</v>
      </c>
      <c r="G104">
        <v>0.78018900000000002</v>
      </c>
      <c r="H104">
        <v>0</v>
      </c>
      <c r="I104">
        <v>0</v>
      </c>
      <c r="J104">
        <v>2.5230947000000001</v>
      </c>
      <c r="K104">
        <v>0.9993204</v>
      </c>
      <c r="L104">
        <v>-4.8041486000000004</v>
      </c>
      <c r="M104">
        <v>1.02366E-2</v>
      </c>
      <c r="N104">
        <v>2.0000257000000001</v>
      </c>
      <c r="O104">
        <v>0.5620271</v>
      </c>
      <c r="P104">
        <v>1.0654E-2</v>
      </c>
      <c r="Q104">
        <v>0.3604348</v>
      </c>
      <c r="R104">
        <v>3.0769196000000001</v>
      </c>
      <c r="S104">
        <v>0.55382480000000001</v>
      </c>
      <c r="T104">
        <v>-1</v>
      </c>
      <c r="U104">
        <v>1.0666200000000001E-2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-5.7081632999999998</v>
      </c>
      <c r="AB104">
        <v>32.868879999999997</v>
      </c>
      <c r="AC104">
        <v>3.0769001</v>
      </c>
      <c r="AD104">
        <v>0.55380529999999994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0.79263700000000004</v>
      </c>
      <c r="D105">
        <v>0.40354410000000002</v>
      </c>
      <c r="E105">
        <v>3.2342999999999998E-3</v>
      </c>
      <c r="F105">
        <v>1</v>
      </c>
      <c r="G105">
        <v>0.78018900000000002</v>
      </c>
      <c r="H105">
        <v>0</v>
      </c>
      <c r="I105">
        <v>0</v>
      </c>
      <c r="J105">
        <v>2.5239490999999998</v>
      </c>
      <c r="K105">
        <v>0.99927549999999998</v>
      </c>
      <c r="L105">
        <v>-4.7966677000000004</v>
      </c>
      <c r="M105">
        <v>1.02329E-2</v>
      </c>
      <c r="N105">
        <v>2.0001980000000001</v>
      </c>
      <c r="O105">
        <v>0.56164729999999996</v>
      </c>
      <c r="P105">
        <v>1.0654E-2</v>
      </c>
      <c r="Q105">
        <v>0.36042259999999998</v>
      </c>
      <c r="R105">
        <v>3.0770114999999998</v>
      </c>
      <c r="S105">
        <v>0.55306239999999995</v>
      </c>
      <c r="T105">
        <v>-1</v>
      </c>
      <c r="U105">
        <v>1.06607E-2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-5.7102947999999998</v>
      </c>
      <c r="AB105">
        <v>32.8743968</v>
      </c>
      <c r="AC105">
        <v>3.0769937999999999</v>
      </c>
      <c r="AD105">
        <v>0.55304469999999994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0.79263700000000004</v>
      </c>
      <c r="D106">
        <v>0.40354410000000002</v>
      </c>
      <c r="E106">
        <v>3.2342999999999998E-3</v>
      </c>
      <c r="F106">
        <v>1</v>
      </c>
      <c r="G106">
        <v>0.78018900000000002</v>
      </c>
      <c r="H106">
        <v>0</v>
      </c>
      <c r="I106">
        <v>0</v>
      </c>
      <c r="J106">
        <v>2.5233685000000001</v>
      </c>
      <c r="K106">
        <v>0.99919440000000004</v>
      </c>
      <c r="L106">
        <v>-4.7902398000000002</v>
      </c>
      <c r="M106">
        <v>1.02267E-2</v>
      </c>
      <c r="N106">
        <v>2.0003256</v>
      </c>
      <c r="O106">
        <v>0.56235900000000005</v>
      </c>
      <c r="P106">
        <v>1.0654E-2</v>
      </c>
      <c r="Q106">
        <v>0.36041590000000001</v>
      </c>
      <c r="R106">
        <v>3.077032</v>
      </c>
      <c r="S106">
        <v>0.55366360000000003</v>
      </c>
      <c r="T106">
        <v>-1</v>
      </c>
      <c r="U106">
        <v>1.0706200000000001E-2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-5.711824</v>
      </c>
      <c r="AB106">
        <v>32.879006400000002</v>
      </c>
      <c r="AC106">
        <v>3.0770157</v>
      </c>
      <c r="AD106">
        <v>0.55364720000000001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0.79263700000000004</v>
      </c>
      <c r="D107">
        <v>0.40354410000000002</v>
      </c>
      <c r="E107">
        <v>3.2342999999999998E-3</v>
      </c>
      <c r="F107">
        <v>1</v>
      </c>
      <c r="G107">
        <v>0.78018900000000002</v>
      </c>
      <c r="H107">
        <v>0</v>
      </c>
      <c r="I107">
        <v>0</v>
      </c>
      <c r="J107">
        <v>2.5239858000000002</v>
      </c>
      <c r="K107">
        <v>0.99894620000000001</v>
      </c>
      <c r="L107">
        <v>-4.7824758999999997</v>
      </c>
      <c r="M107">
        <v>1.02279E-2</v>
      </c>
      <c r="N107">
        <v>2.0004002999999999</v>
      </c>
      <c r="O107">
        <v>0.56312830000000003</v>
      </c>
      <c r="P107">
        <v>1.05568E-2</v>
      </c>
      <c r="Q107">
        <v>0.36036360000000001</v>
      </c>
      <c r="R107">
        <v>3.0767139000000001</v>
      </c>
      <c r="S107">
        <v>0.55272809999999994</v>
      </c>
      <c r="T107">
        <v>-1</v>
      </c>
      <c r="U107">
        <v>1.0679900000000001E-2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-5.7134831999999998</v>
      </c>
      <c r="AB107">
        <v>32.882880100000001</v>
      </c>
      <c r="AC107">
        <v>3.0766985</v>
      </c>
      <c r="AD107">
        <v>0.55271269999999995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0.79263700000000004</v>
      </c>
      <c r="D108">
        <v>0.40354410000000002</v>
      </c>
      <c r="E108">
        <v>3.2342999999999998E-3</v>
      </c>
      <c r="F108">
        <v>1</v>
      </c>
      <c r="G108">
        <v>0.78018900000000002</v>
      </c>
      <c r="H108">
        <v>0</v>
      </c>
      <c r="I108">
        <v>0</v>
      </c>
      <c r="J108">
        <v>2.5241570000000002</v>
      </c>
      <c r="K108">
        <v>0.99879499999999999</v>
      </c>
      <c r="L108">
        <v>-4.7748645999999999</v>
      </c>
      <c r="M108">
        <v>1.02202E-2</v>
      </c>
      <c r="N108">
        <v>2.0004952999999999</v>
      </c>
      <c r="O108">
        <v>0.562859</v>
      </c>
      <c r="P108">
        <v>1.05568E-2</v>
      </c>
      <c r="Q108">
        <v>0.36024050000000002</v>
      </c>
      <c r="R108">
        <v>3.0765804999999999</v>
      </c>
      <c r="S108">
        <v>0.55242349999999996</v>
      </c>
      <c r="T108">
        <v>-1</v>
      </c>
      <c r="U108">
        <v>1.06678E-2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-5.7148104000000002</v>
      </c>
      <c r="AB108">
        <v>32.887286000000003</v>
      </c>
      <c r="AC108">
        <v>3.0765661</v>
      </c>
      <c r="AD108">
        <v>0.55240909999999999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0.79263700000000004</v>
      </c>
      <c r="D109">
        <v>0.40354410000000002</v>
      </c>
      <c r="E109">
        <v>3.2342999999999998E-3</v>
      </c>
      <c r="F109">
        <v>1</v>
      </c>
      <c r="G109">
        <v>0.78018900000000002</v>
      </c>
      <c r="H109">
        <v>0</v>
      </c>
      <c r="I109">
        <v>0</v>
      </c>
      <c r="J109">
        <v>2.5241530000000001</v>
      </c>
      <c r="K109">
        <v>0.99864779999999997</v>
      </c>
      <c r="L109">
        <v>-4.7678133000000003</v>
      </c>
      <c r="M109">
        <v>1.02174E-2</v>
      </c>
      <c r="N109">
        <v>2.0005926999999999</v>
      </c>
      <c r="O109">
        <v>0.56236149999999996</v>
      </c>
      <c r="P109">
        <v>1.05568E-2</v>
      </c>
      <c r="Q109">
        <v>0.36012949999999999</v>
      </c>
      <c r="R109">
        <v>3.0764317000000001</v>
      </c>
      <c r="S109">
        <v>0.55227879999999996</v>
      </c>
      <c r="T109">
        <v>-1</v>
      </c>
      <c r="U109">
        <v>1.06573E-2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-5.7158229</v>
      </c>
      <c r="AB109">
        <v>32.891333099999997</v>
      </c>
      <c r="AC109">
        <v>3.0764184000000001</v>
      </c>
      <c r="AD109">
        <v>0.55226540000000002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0.79263700000000004</v>
      </c>
      <c r="D110">
        <v>0.40354410000000002</v>
      </c>
      <c r="E110">
        <v>3.2342999999999998E-3</v>
      </c>
      <c r="F110">
        <v>1</v>
      </c>
      <c r="G110">
        <v>0.78018900000000002</v>
      </c>
      <c r="H110">
        <v>0</v>
      </c>
      <c r="I110">
        <v>0</v>
      </c>
      <c r="J110">
        <v>2.5241807000000001</v>
      </c>
      <c r="K110">
        <v>0.99851509999999999</v>
      </c>
      <c r="L110">
        <v>-4.7613690999999996</v>
      </c>
      <c r="M110">
        <v>1.02141E-2</v>
      </c>
      <c r="N110">
        <v>2.0006940000000002</v>
      </c>
      <c r="O110">
        <v>0.56206389999999995</v>
      </c>
      <c r="P110">
        <v>1.05568E-2</v>
      </c>
      <c r="Q110">
        <v>0.36002909999999999</v>
      </c>
      <c r="R110">
        <v>3.0762988</v>
      </c>
      <c r="S110">
        <v>0.55211809999999995</v>
      </c>
      <c r="T110">
        <v>-1</v>
      </c>
      <c r="U110">
        <v>1.0641599999999999E-2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-5.7167155000000003</v>
      </c>
      <c r="AB110">
        <v>32.895189299999998</v>
      </c>
      <c r="AC110">
        <v>3.0762865000000001</v>
      </c>
      <c r="AD110">
        <v>0.55210579999999998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0.79263700000000004</v>
      </c>
      <c r="D111">
        <v>0.40354410000000002</v>
      </c>
      <c r="E111">
        <v>3.2342999999999998E-3</v>
      </c>
      <c r="F111">
        <v>1</v>
      </c>
      <c r="G111">
        <v>0.78018900000000002</v>
      </c>
      <c r="H111">
        <v>0</v>
      </c>
      <c r="I111">
        <v>0</v>
      </c>
      <c r="J111">
        <v>2.5244491999999998</v>
      </c>
      <c r="K111">
        <v>0.99839199999999995</v>
      </c>
      <c r="L111">
        <v>-4.7553375000000004</v>
      </c>
      <c r="M111">
        <v>1.02112E-2</v>
      </c>
      <c r="N111">
        <v>2.0007974000000002</v>
      </c>
      <c r="O111">
        <v>0.56184389999999995</v>
      </c>
      <c r="P111">
        <v>1.05568E-2</v>
      </c>
      <c r="Q111">
        <v>0.35994429999999999</v>
      </c>
      <c r="R111">
        <v>3.0761706000000002</v>
      </c>
      <c r="S111">
        <v>0.55172140000000003</v>
      </c>
      <c r="T111">
        <v>-1</v>
      </c>
      <c r="U111">
        <v>1.0629599999999999E-2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-5.7175118999999999</v>
      </c>
      <c r="AB111">
        <v>32.898842999999999</v>
      </c>
      <c r="AC111">
        <v>3.0761593999999999</v>
      </c>
      <c r="AD111">
        <v>0.55171020000000004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0.79263700000000004</v>
      </c>
      <c r="D112">
        <v>0.40354410000000002</v>
      </c>
      <c r="E112">
        <v>3.2342999999999998E-3</v>
      </c>
      <c r="F112">
        <v>1</v>
      </c>
      <c r="G112">
        <v>0.78018900000000002</v>
      </c>
      <c r="H112">
        <v>0</v>
      </c>
      <c r="I112">
        <v>0</v>
      </c>
      <c r="J112">
        <v>2.5243446</v>
      </c>
      <c r="K112">
        <v>0.99827429999999995</v>
      </c>
      <c r="L112">
        <v>-4.7498702000000002</v>
      </c>
      <c r="M112">
        <v>1.02091E-2</v>
      </c>
      <c r="N112">
        <v>2.0009028999999998</v>
      </c>
      <c r="O112">
        <v>0.56144329999999998</v>
      </c>
      <c r="P112">
        <v>1.05568E-2</v>
      </c>
      <c r="Q112">
        <v>0.35987140000000001</v>
      </c>
      <c r="R112">
        <v>3.0760350999999999</v>
      </c>
      <c r="S112">
        <v>0.55169049999999997</v>
      </c>
      <c r="T112">
        <v>-1</v>
      </c>
      <c r="U112">
        <v>1.0619699999999999E-2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-5.7181585999999998</v>
      </c>
      <c r="AB112">
        <v>32.902055400000002</v>
      </c>
      <c r="AC112">
        <v>3.076025</v>
      </c>
      <c r="AD112">
        <v>0.55168039999999996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0.79263700000000004</v>
      </c>
      <c r="D113">
        <v>0.40354410000000002</v>
      </c>
      <c r="E113">
        <v>3.2342999999999998E-3</v>
      </c>
      <c r="F113">
        <v>1</v>
      </c>
      <c r="G113">
        <v>0.78018900000000002</v>
      </c>
      <c r="H113">
        <v>0</v>
      </c>
      <c r="I113">
        <v>0</v>
      </c>
      <c r="J113">
        <v>2.5244108999999999</v>
      </c>
      <c r="K113">
        <v>0.99816749999999999</v>
      </c>
      <c r="L113">
        <v>-4.7447669000000001</v>
      </c>
      <c r="M113">
        <v>1.02072E-2</v>
      </c>
      <c r="N113">
        <v>2.0010096000000002</v>
      </c>
      <c r="O113">
        <v>0.56101109999999998</v>
      </c>
      <c r="P113">
        <v>1.05568E-2</v>
      </c>
      <c r="Q113">
        <v>0.35980849999999998</v>
      </c>
      <c r="R113">
        <v>3.0759093000000002</v>
      </c>
      <c r="S113">
        <v>0.5514983</v>
      </c>
      <c r="T113">
        <v>-1</v>
      </c>
      <c r="U113">
        <v>1.0608100000000001E-2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-5.7187371000000002</v>
      </c>
      <c r="AB113">
        <v>32.905204400000002</v>
      </c>
      <c r="AC113">
        <v>3.0759002999999998</v>
      </c>
      <c r="AD113">
        <v>0.55148940000000002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0.79263700000000004</v>
      </c>
      <c r="D114">
        <v>0.40354410000000002</v>
      </c>
      <c r="E114">
        <v>3.2342999999999998E-3</v>
      </c>
      <c r="F114">
        <v>1</v>
      </c>
      <c r="G114">
        <v>0.78018900000000002</v>
      </c>
      <c r="H114">
        <v>0</v>
      </c>
      <c r="I114">
        <v>0</v>
      </c>
      <c r="J114">
        <v>2.5268559000000002</v>
      </c>
      <c r="K114">
        <v>0.99806709999999998</v>
      </c>
      <c r="L114">
        <v>-4.7402186000000004</v>
      </c>
      <c r="M114">
        <v>1.0206399999999999E-2</v>
      </c>
      <c r="N114">
        <v>2.0011138000000002</v>
      </c>
      <c r="O114">
        <v>0.56060580000000004</v>
      </c>
      <c r="P114">
        <v>1.05568E-2</v>
      </c>
      <c r="Q114">
        <v>0.3597572</v>
      </c>
      <c r="R114">
        <v>3.0757843</v>
      </c>
      <c r="S114">
        <v>0.54892839999999998</v>
      </c>
      <c r="T114">
        <v>-1</v>
      </c>
      <c r="U114">
        <v>1.06012E-2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-5.7191587000000004</v>
      </c>
      <c r="AB114">
        <v>32.908121399999999</v>
      </c>
      <c r="AC114">
        <v>3.0757764000000001</v>
      </c>
      <c r="AD114">
        <v>0.54892059999999998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0.79263700000000004</v>
      </c>
      <c r="D115">
        <v>0.40354410000000002</v>
      </c>
      <c r="E115">
        <v>3.2342999999999998E-3</v>
      </c>
      <c r="F115">
        <v>1</v>
      </c>
      <c r="G115">
        <v>0.78018900000000002</v>
      </c>
      <c r="H115">
        <v>0</v>
      </c>
      <c r="I115">
        <v>0</v>
      </c>
      <c r="J115">
        <v>2.5224647999999998</v>
      </c>
      <c r="K115">
        <v>0.99786299999999994</v>
      </c>
      <c r="L115">
        <v>-4.7386011000000003</v>
      </c>
      <c r="M115">
        <v>1.02059E-2</v>
      </c>
      <c r="N115">
        <v>2.0012031000000001</v>
      </c>
      <c r="O115">
        <v>0.56149740000000004</v>
      </c>
      <c r="P115">
        <v>1.05568E-2</v>
      </c>
      <c r="Q115">
        <v>0.3597128</v>
      </c>
      <c r="R115">
        <v>3.0754313</v>
      </c>
      <c r="S115">
        <v>0.55296650000000003</v>
      </c>
      <c r="T115">
        <v>-1</v>
      </c>
      <c r="U115">
        <v>1.0673200000000001E-2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-5.7184469</v>
      </c>
      <c r="AB115">
        <v>32.908279200000003</v>
      </c>
      <c r="AC115">
        <v>3.0754242999999999</v>
      </c>
      <c r="AD115">
        <v>0.5529596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0.79263700000000004</v>
      </c>
      <c r="D116">
        <v>0.40354410000000002</v>
      </c>
      <c r="E116">
        <v>3.2342999999999998E-3</v>
      </c>
      <c r="F116">
        <v>1</v>
      </c>
      <c r="G116">
        <v>0.78018900000000002</v>
      </c>
      <c r="H116">
        <v>0</v>
      </c>
      <c r="I116">
        <v>0</v>
      </c>
      <c r="J116">
        <v>2.5219830000000001</v>
      </c>
      <c r="K116">
        <v>0.99780979999999997</v>
      </c>
      <c r="L116">
        <v>-4.7319313000000003</v>
      </c>
      <c r="M116">
        <v>1.02019E-2</v>
      </c>
      <c r="N116">
        <v>2.0012867000000001</v>
      </c>
      <c r="O116">
        <v>0.56062999999999996</v>
      </c>
      <c r="P116">
        <v>1.05568E-2</v>
      </c>
      <c r="Q116">
        <v>0.35959639999999998</v>
      </c>
      <c r="R116">
        <v>3.0754069999999998</v>
      </c>
      <c r="S116">
        <v>0.55342400000000003</v>
      </c>
      <c r="T116">
        <v>-1</v>
      </c>
      <c r="U116">
        <v>1.0580000000000001E-2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-5.7192451999999996</v>
      </c>
      <c r="AB116">
        <v>32.912696199999999</v>
      </c>
      <c r="AC116">
        <v>3.0754009999999998</v>
      </c>
      <c r="AD116">
        <v>0.55341799999999997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0.79263700000000004</v>
      </c>
      <c r="D117">
        <v>0.40354410000000002</v>
      </c>
      <c r="E117">
        <v>3.2342999999999998E-3</v>
      </c>
      <c r="F117">
        <v>1</v>
      </c>
      <c r="G117">
        <v>0.78018900000000002</v>
      </c>
      <c r="H117">
        <v>0</v>
      </c>
      <c r="I117">
        <v>0</v>
      </c>
      <c r="J117">
        <v>2.5255193</v>
      </c>
      <c r="K117">
        <v>0.99783010000000005</v>
      </c>
      <c r="L117">
        <v>-4.7255786999999998</v>
      </c>
      <c r="M117">
        <v>1.0196500000000001E-2</v>
      </c>
      <c r="N117">
        <v>2.0013728999999998</v>
      </c>
      <c r="O117">
        <v>0.55976610000000004</v>
      </c>
      <c r="P117">
        <v>1.05568E-2</v>
      </c>
      <c r="Q117">
        <v>0.35957319999999998</v>
      </c>
      <c r="R117">
        <v>3.0755279999999998</v>
      </c>
      <c r="S117">
        <v>0.55000870000000002</v>
      </c>
      <c r="T117">
        <v>-1</v>
      </c>
      <c r="U117">
        <v>1.05276E-2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-5.7200759999999997</v>
      </c>
      <c r="AB117">
        <v>32.917528599999997</v>
      </c>
      <c r="AC117">
        <v>3.0755227999999999</v>
      </c>
      <c r="AD117">
        <v>0.55000360000000004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0.79263700000000004</v>
      </c>
      <c r="D118">
        <v>0.40354410000000002</v>
      </c>
      <c r="E118">
        <v>3.2342999999999998E-3</v>
      </c>
      <c r="F118">
        <v>1</v>
      </c>
      <c r="G118">
        <v>0.78018900000000002</v>
      </c>
      <c r="H118">
        <v>0</v>
      </c>
      <c r="I118">
        <v>0</v>
      </c>
      <c r="J118">
        <v>2.5256599999999998</v>
      </c>
      <c r="K118">
        <v>0.99774390000000002</v>
      </c>
      <c r="L118">
        <v>-4.7235053999999996</v>
      </c>
      <c r="M118">
        <v>1.02019E-2</v>
      </c>
      <c r="N118">
        <v>2.0014818999999999</v>
      </c>
      <c r="O118">
        <v>0.55921719999999997</v>
      </c>
      <c r="P118">
        <v>1.05568E-2</v>
      </c>
      <c r="Q118">
        <v>0.35960239999999999</v>
      </c>
      <c r="R118">
        <v>3.0753697</v>
      </c>
      <c r="S118">
        <v>0.54970960000000002</v>
      </c>
      <c r="T118">
        <v>-1</v>
      </c>
      <c r="U118">
        <v>1.0571000000000001E-2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-5.7194830000000003</v>
      </c>
      <c r="AB118">
        <v>32.918801999999999</v>
      </c>
      <c r="AC118">
        <v>3.0753656999999999</v>
      </c>
      <c r="AD118">
        <v>0.54970569999999996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0.79263700000000004</v>
      </c>
      <c r="D119">
        <v>0.40354410000000002</v>
      </c>
      <c r="E119">
        <v>3.2342999999999998E-3</v>
      </c>
      <c r="F119">
        <v>1</v>
      </c>
      <c r="G119">
        <v>0.78018900000000002</v>
      </c>
      <c r="H119">
        <v>0</v>
      </c>
      <c r="I119">
        <v>0</v>
      </c>
      <c r="J119">
        <v>2.5240942</v>
      </c>
      <c r="K119">
        <v>0.99762220000000001</v>
      </c>
      <c r="L119">
        <v>-4.7222214999999998</v>
      </c>
      <c r="M119">
        <v>1.0211599999999999E-2</v>
      </c>
      <c r="N119">
        <v>2.0016061999999999</v>
      </c>
      <c r="O119">
        <v>0.55849950000000004</v>
      </c>
      <c r="P119">
        <v>1.05568E-2</v>
      </c>
      <c r="Q119">
        <v>0.35958820000000002</v>
      </c>
      <c r="R119">
        <v>3.0751257000000001</v>
      </c>
      <c r="S119">
        <v>0.55103150000000001</v>
      </c>
      <c r="T119">
        <v>-1</v>
      </c>
      <c r="U119">
        <v>1.05842E-2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-5.7182656999999999</v>
      </c>
      <c r="AB119">
        <v>32.919757199999999</v>
      </c>
      <c r="AC119">
        <v>3.0751230000000001</v>
      </c>
      <c r="AD119">
        <v>0.55102879999999999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0.79263700000000004</v>
      </c>
      <c r="D120">
        <v>0.40354410000000002</v>
      </c>
      <c r="E120">
        <v>3.2342999999999998E-3</v>
      </c>
      <c r="F120">
        <v>1</v>
      </c>
      <c r="G120">
        <v>0.78018900000000002</v>
      </c>
      <c r="H120">
        <v>0</v>
      </c>
      <c r="I120">
        <v>0</v>
      </c>
      <c r="J120">
        <v>2.5249766</v>
      </c>
      <c r="K120">
        <v>0.99749480000000001</v>
      </c>
      <c r="L120">
        <v>-4.7205123000000002</v>
      </c>
      <c r="M120">
        <v>1.02799E-2</v>
      </c>
      <c r="N120">
        <v>2.0018015</v>
      </c>
      <c r="O120">
        <v>0.55762679999999998</v>
      </c>
      <c r="P120">
        <v>1.05568E-2</v>
      </c>
      <c r="Q120">
        <v>0.35956080000000001</v>
      </c>
      <c r="R120">
        <v>3.0748983000000001</v>
      </c>
      <c r="S120">
        <v>0.58328500000000005</v>
      </c>
      <c r="T120">
        <v>-1</v>
      </c>
      <c r="U120">
        <v>1.05643E-2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-5.7167725000000003</v>
      </c>
      <c r="AB120">
        <v>32.922017199999999</v>
      </c>
      <c r="AC120">
        <v>3.0748977000000002</v>
      </c>
      <c r="AD120">
        <v>0.58328440000000004</v>
      </c>
      <c r="AE120">
        <v>3.3363400000000001E-2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0.79263700000000004</v>
      </c>
      <c r="D121">
        <v>0.40354410000000002</v>
      </c>
      <c r="E121">
        <v>3.2342999999999998E-3</v>
      </c>
      <c r="F121">
        <v>1</v>
      </c>
      <c r="G121">
        <v>0.78018900000000002</v>
      </c>
      <c r="H121">
        <v>0</v>
      </c>
      <c r="I121">
        <v>0</v>
      </c>
      <c r="J121">
        <v>2.5286658000000002</v>
      </c>
      <c r="K121">
        <v>0.99755099999999997</v>
      </c>
      <c r="L121">
        <v>-4.5981648000000002</v>
      </c>
      <c r="M121">
        <v>1.0101000000000001E-2</v>
      </c>
      <c r="N121">
        <v>2.0018584000000001</v>
      </c>
      <c r="O121">
        <v>0.55909600000000004</v>
      </c>
      <c r="P121">
        <v>1.0654E-2</v>
      </c>
      <c r="Q121">
        <v>0.3604869</v>
      </c>
      <c r="R121">
        <v>3.0906913999999999</v>
      </c>
      <c r="S121">
        <v>0.55328379999999999</v>
      </c>
      <c r="T121">
        <v>-1</v>
      </c>
      <c r="U121">
        <v>1.0653899999999999E-2</v>
      </c>
      <c r="V121">
        <v>0</v>
      </c>
      <c r="W121">
        <v>2.6877955999999998</v>
      </c>
      <c r="X121">
        <v>0.64611940000000001</v>
      </c>
      <c r="Y121">
        <v>0</v>
      </c>
      <c r="Z121">
        <v>0</v>
      </c>
      <c r="AA121">
        <v>-5.7495697000000003</v>
      </c>
      <c r="AB121">
        <v>33.1899199</v>
      </c>
      <c r="AC121">
        <v>3.0906913999999999</v>
      </c>
      <c r="AD121">
        <v>0.55328379999999999</v>
      </c>
      <c r="AE121">
        <v>8.7417999999999992E-3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E2" activePane="bottomRight" state="frozen"/>
      <selection activeCell="D22" sqref="D22"/>
      <selection pane="topRight" activeCell="D22" sqref="D22"/>
      <selection pane="bottomLeft" activeCell="D22" sqref="D22"/>
      <selection pane="bottomRight" activeCell="K17" sqref="K17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32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48</v>
      </c>
      <c r="H1" s="1" t="s">
        <v>49</v>
      </c>
      <c r="I1" s="1" t="s">
        <v>54</v>
      </c>
      <c r="J1" s="1" t="s">
        <v>33</v>
      </c>
      <c r="K1" s="1" t="s">
        <v>35</v>
      </c>
      <c r="L1" s="1" t="s">
        <v>10</v>
      </c>
      <c r="M1" s="1" t="s">
        <v>51</v>
      </c>
      <c r="N1" s="1" t="s">
        <v>36</v>
      </c>
      <c r="O1" s="1" t="s">
        <v>16</v>
      </c>
      <c r="P1" s="1" t="s">
        <v>39</v>
      </c>
      <c r="Q1" s="1" t="s">
        <v>5</v>
      </c>
      <c r="R1" s="1" t="s">
        <v>55</v>
      </c>
      <c r="S1" s="1" t="s">
        <v>34</v>
      </c>
      <c r="T1" s="1" t="s">
        <v>38</v>
      </c>
      <c r="U1" s="1" t="s">
        <v>17</v>
      </c>
      <c r="V1" s="1" t="s">
        <v>47</v>
      </c>
      <c r="W1" s="1" t="s">
        <v>21</v>
      </c>
      <c r="X1" s="1" t="s">
        <v>20</v>
      </c>
      <c r="Y1" s="1" t="s">
        <v>6</v>
      </c>
      <c r="Z1" s="1" t="s">
        <v>7</v>
      </c>
      <c r="AA1" s="1" t="s">
        <v>37</v>
      </c>
      <c r="AB1" s="1" t="s">
        <v>19</v>
      </c>
      <c r="AC1" s="1" t="s">
        <v>24</v>
      </c>
      <c r="AD1" s="1" t="s">
        <v>31</v>
      </c>
    </row>
    <row r="2" spans="1:33" x14ac:dyDescent="0.35">
      <c r="A2" s="1">
        <v>2007.75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5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33.1899199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f>A2+0.25</f>
        <v>2008</v>
      </c>
      <c r="B3" s="6">
        <f>100*(output_transition_aggregates!B3/output_transition_aggregates!B$2-1)</f>
        <v>-1.2796600000000047</v>
      </c>
      <c r="C3" s="6">
        <f>100*(output_transition_aggregates!C3/output_transition_aggregates!C$2-1)</f>
        <v>0</v>
      </c>
      <c r="D3" s="2">
        <f>100*(output_transition_aggregates!D3/output_transition_aggregates!D$2-1)</f>
        <v>-15.914196242740264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-0.23887696033221273</v>
      </c>
      <c r="K3" s="5">
        <f>100*(output_transition_aggregates!K3-output_transition_aggregates!K$2)</f>
        <v>-0.73002999999999263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-0.25171610539488354</v>
      </c>
      <c r="O3" s="6">
        <f>output_transition_aggregates!O3/output_transition_aggregates!O$2</f>
        <v>0.29368033396769067</v>
      </c>
      <c r="P3" s="3">
        <f>100*(output_transition_aggregates!P3/SUM(output_transition_aggregates!P3:Q3)-output_transition_aggregates!P$2/SUM(output_transition_aggregates!P$2:Q$2))</f>
        <v>-0.37302188363950228</v>
      </c>
      <c r="Q3" s="6">
        <f>output_transition_aggregates!Q3/output_transition_aggregates!Q$2</f>
        <v>1</v>
      </c>
      <c r="R3" s="4">
        <f>100*(output_transition_aggregates!R3/output_transition_aggregates!R$2-1)</f>
        <v>-1.5470066018237749</v>
      </c>
      <c r="S3" s="6">
        <f>100*(output_transition_aggregates!S3/output_transition_aggregates!S$2-1)</f>
        <v>-5.9699922535234258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0.18199111735933865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</v>
      </c>
      <c r="X3" s="7">
        <f>100*(output_transition_aggregates!X3-output_transition_aggregates!X$2)</f>
        <v>-64.611940000000004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33.170775900000002</v>
      </c>
      <c r="AC3" s="6">
        <f>output_transition_aggregates!AC3/output_transition_aggregates!AC$2</f>
        <v>0.98451488880449212</v>
      </c>
      <c r="AD3" s="6">
        <f>output_transition_aggregates!AD3/output_transition_aggregates!AD$2</f>
        <v>0.94021603379676044</v>
      </c>
      <c r="AE3" s="2"/>
      <c r="AF3" s="3"/>
      <c r="AG3" s="3"/>
    </row>
    <row r="4" spans="1:33" x14ac:dyDescent="0.35">
      <c r="A4" s="1">
        <f t="shared" ref="A4:A41" si="0">A3+0.25</f>
        <v>2008.25</v>
      </c>
      <c r="B4" s="6">
        <f>100*(output_transition_aggregates!B4/output_transition_aggregates!B$2-1)</f>
        <v>-0.74018999999999613</v>
      </c>
      <c r="C4" s="6">
        <f>100*(output_transition_aggregates!C4/output_transition_aggregates!C$2-1)</f>
        <v>0</v>
      </c>
      <c r="D4" s="6">
        <f>100*(output_transition_aggregates!D4/output_transition_aggregates!D$2-1)</f>
        <v>-15.540953268800116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-0.41026378416634257</v>
      </c>
      <c r="K4" s="5">
        <f>100*(output_transition_aggregates!K4-output_transition_aggregates!K$2)</f>
        <v>-0.92305999999999777</v>
      </c>
      <c r="L4" s="6">
        <f>100*(output_transition_aggregates!L4/output_transition_aggregates!L$2-1)</f>
        <v>8.8288353649264693</v>
      </c>
      <c r="M4" s="6">
        <f>100*(output_transition_aggregates!M4-output_transition_aggregates!M$2)</f>
        <v>-0.1715900000000001</v>
      </c>
      <c r="N4" s="6">
        <f>100*(output_transition_aggregates!N4/output_transition_aggregates!N$2-1)</f>
        <v>-0.50675911942623664</v>
      </c>
      <c r="O4" s="6">
        <f>output_transition_aggregates!O4/output_transition_aggregates!O$2</f>
        <v>0.58327353441984919</v>
      </c>
      <c r="P4" s="7">
        <f>100*(output_transition_aggregates!P4/SUM(output_transition_aggregates!P4:Q4)-output_transition_aggregates!P$2/SUM(output_transition_aggregates!P$2:Q$2))</f>
        <v>-0.18986607743407929</v>
      </c>
      <c r="Q4" s="6">
        <f>output_transition_aggregates!Q4/output_transition_aggregates!Q$2</f>
        <v>0.99430825364250408</v>
      </c>
      <c r="R4" s="4">
        <f>100*(output_transition_aggregates!R4/output_transition_aggregates!R$2-1)</f>
        <v>-1.8689345691388026</v>
      </c>
      <c r="S4" s="6">
        <f>100*(output_transition_aggregates!S4/output_transition_aggregates!S$2-1)</f>
        <v>-6.9850228761442086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0.42149620088415241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</v>
      </c>
      <c r="X4" s="7">
        <f>100*(output_transition_aggregates!X4-output_transition_aggregates!X$2)</f>
        <v>-64.611940000000004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-10.061446859231914</v>
      </c>
      <c r="AB4" s="7">
        <f>output_transition_aggregates!AB4</f>
        <v>33.150330099999998</v>
      </c>
      <c r="AC4" s="6">
        <f>output_transition_aggregates!AC4/output_transition_aggregates!AC$2</f>
        <v>0.98127823437823658</v>
      </c>
      <c r="AD4" s="6">
        <f>output_transition_aggregates!AD4/output_transition_aggregates!AD$2</f>
        <v>0.92996885142850738</v>
      </c>
      <c r="AE4" s="2"/>
      <c r="AF4" s="3"/>
      <c r="AG4" s="3"/>
    </row>
    <row r="5" spans="1:33" x14ac:dyDescent="0.35">
      <c r="A5" s="1">
        <f t="shared" si="0"/>
        <v>2008.5</v>
      </c>
      <c r="B5" s="6">
        <f>100*(output_transition_aggregates!B5/output_transition_aggregates!B$2-1)</f>
        <v>-0.9222399999999964</v>
      </c>
      <c r="C5" s="6">
        <f>100*(output_transition_aggregates!C5/output_transition_aggregates!C$2-1)</f>
        <v>0</v>
      </c>
      <c r="D5" s="6">
        <f>100*(output_transition_aggregates!D5/output_transition_aggregates!D$2-1)</f>
        <v>-15.176482570306449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-0.49736109848916854</v>
      </c>
      <c r="K5" s="5">
        <f>100*(output_transition_aggregates!K5-output_transition_aggregates!K$2)</f>
        <v>-1.2269599999999992</v>
      </c>
      <c r="L5" s="6">
        <f>100*(output_transition_aggregates!L5/output_transition_aggregates!L$2-1)</f>
        <v>14.355605523316605</v>
      </c>
      <c r="M5" s="6">
        <f>100*(output_transition_aggregates!M5-output_transition_aggregates!M$2)</f>
        <v>-0.11861000000000008</v>
      </c>
      <c r="N5" s="6">
        <f>100*(output_transition_aggregates!N5/output_transition_aggregates!N$2-1)</f>
        <v>-0.76368038818330763</v>
      </c>
      <c r="O5" s="6">
        <f>output_transition_aggregates!O5/output_transition_aggregates!O$2</f>
        <v>0.7166028732096098</v>
      </c>
      <c r="P5" s="7">
        <f>100*(output_transition_aggregates!P5/SUM(output_transition_aggregates!P5:Q5)-output_transition_aggregates!P$2/SUM(output_transition_aggregates!P$2:Q$2))</f>
        <v>-0.17337695158943442</v>
      </c>
      <c r="Q5" s="6">
        <f>output_transition_aggregates!Q5/output_transition_aggregates!Q$2</f>
        <v>0.98806225690864213</v>
      </c>
      <c r="R5" s="4">
        <f>100*(output_transition_aggregates!R5/output_transition_aggregates!R$2-1)</f>
        <v>-2.3770280009191347</v>
      </c>
      <c r="S5" s="6">
        <f>100*(output_transition_aggregates!S5/output_transition_aggregates!S$2-1)</f>
        <v>-9.4252172212524581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0.24409875510256857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</v>
      </c>
      <c r="X5" s="7">
        <f>100*(output_transition_aggregates!X5-output_transition_aggregates!X$2)</f>
        <v>-64.611940000000004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-13.599188127069761</v>
      </c>
      <c r="AB5" s="7">
        <f>output_transition_aggregates!AB5</f>
        <v>33.1151719</v>
      </c>
      <c r="AC5" s="6">
        <f>output_transition_aggregates!AC5/output_transition_aggregates!AC$2</f>
        <v>0.97618086360870582</v>
      </c>
      <c r="AD5" s="6">
        <f>output_transition_aggregates!AD5/output_transition_aggregates!AD$2</f>
        <v>0.90547491179029638</v>
      </c>
      <c r="AE5" s="2"/>
      <c r="AF5" s="3"/>
      <c r="AG5" s="3"/>
    </row>
    <row r="6" spans="1:33" x14ac:dyDescent="0.35">
      <c r="A6" s="1">
        <f t="shared" si="0"/>
        <v>2008.75</v>
      </c>
      <c r="B6" s="2">
        <f>100*(output_transition_aggregates!B6/output_transition_aggregates!B$2-1)</f>
        <v>-2.0847199999999955</v>
      </c>
      <c r="C6" s="2">
        <f>100*(output_transition_aggregates!C6/output_transition_aggregates!C$2-1)</f>
        <v>0</v>
      </c>
      <c r="D6" s="2">
        <f>100*(output_transition_aggregates!D6/output_transition_aggregates!D$2-1)</f>
        <v>-14.820536342868106</v>
      </c>
      <c r="E6" s="2">
        <f>100*(output_transition_aggregates!E6-output_transition_aggregates!E$2)</f>
        <v>0</v>
      </c>
      <c r="F6" s="2">
        <f>100*(output_transition_aggregates!F6/output_transition_aggregates!F$2-1)</f>
        <v>0</v>
      </c>
      <c r="G6" s="2">
        <f>100*(output_transition_aggregates!G6/output_transition_aggregates!G$2-1)</f>
        <v>0</v>
      </c>
      <c r="H6" s="2">
        <f>100*(output_transition_aggregates!H6-output_transition_aggregates!H$2)</f>
        <v>0</v>
      </c>
      <c r="I6" s="2">
        <f>100*(output_transition_aggregates!I6-output_transition_aggregates!I$2)</f>
        <v>0</v>
      </c>
      <c r="J6" s="2">
        <f>100*(output_transition_aggregates!J6/output_transition_aggregates!J$2-1)</f>
        <v>-0.57909590108744524</v>
      </c>
      <c r="K6" s="2">
        <f>100*(output_transition_aggregates!K6-output_transition_aggregates!K$2)</f>
        <v>-1.9066599999999934</v>
      </c>
      <c r="L6" s="2">
        <f>100*(output_transition_aggregates!L6/output_transition_aggregates!L$2-1)</f>
        <v>18.49808862875031</v>
      </c>
      <c r="M6" s="2">
        <f>100*(output_transition_aggregates!M6-output_transition_aggregates!M$2)</f>
        <v>-0.1180800000000001</v>
      </c>
      <c r="N6" s="6">
        <f>100*(output_transition_aggregates!N6/output_transition_aggregates!N$2-1)</f>
        <v>-1.1983564871521413</v>
      </c>
      <c r="O6" s="6">
        <f>output_transition_aggregates!O6/output_transition_aggregates!O$2</f>
        <v>0.91632492452101244</v>
      </c>
      <c r="P6" s="7">
        <f>100*(output_transition_aggregates!P6/SUM(output_transition_aggregates!P6:Q6)-output_transition_aggregates!P$2/SUM(output_transition_aggregates!P$2:Q$2))</f>
        <v>-0.16207019444402887</v>
      </c>
      <c r="Q6" s="6">
        <f>output_transition_aggregates!Q6/output_transition_aggregates!Q$2</f>
        <v>0.98382326791902841</v>
      </c>
      <c r="R6" s="2">
        <f>100*(output_transition_aggregates!R6/output_transition_aggregates!R$2-1)</f>
        <v>-3.6278549194526444</v>
      </c>
      <c r="S6" s="6">
        <f>100*(output_transition_aggregates!S6/output_transition_aggregates!S$2-1)</f>
        <v>-16.038893602162219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0.12621929556044104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</v>
      </c>
      <c r="X6" s="7">
        <f>100*(output_transition_aggregates!X6-output_transition_aggregates!X$2)</f>
        <v>-64.611940000000004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-15.011455552925989</v>
      </c>
      <c r="AB6" s="7">
        <f>output_transition_aggregates!AB6</f>
        <v>33.067005600000002</v>
      </c>
      <c r="AC6" s="6">
        <f>output_transition_aggregates!AC6/output_transition_aggregates!AC$2</f>
        <v>0.96364480128944618</v>
      </c>
      <c r="AD6" s="6">
        <f>output_transition_aggregates!AD6/output_transition_aggregates!AD$2</f>
        <v>0.83918289311922745</v>
      </c>
      <c r="AE6" s="2"/>
      <c r="AF6" s="3"/>
      <c r="AG6" s="3"/>
    </row>
    <row r="7" spans="1:33" x14ac:dyDescent="0.35">
      <c r="A7" s="1">
        <f t="shared" si="0"/>
        <v>2009</v>
      </c>
      <c r="B7" s="6">
        <f>100*(output_transition_aggregates!B7/output_transition_aggregates!B$2-1)</f>
        <v>-1.6048300000000015</v>
      </c>
      <c r="C7" s="6">
        <f>100*(output_transition_aggregates!C7/output_transition_aggregates!C$2-1)</f>
        <v>0</v>
      </c>
      <c r="D7" s="6">
        <f>100*(output_transition_aggregates!D7/output_transition_aggregates!D$2-1)</f>
        <v>-14.472941123411298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-0.63198545256555327</v>
      </c>
      <c r="K7" s="5">
        <f>100*(output_transition_aggregates!K7-output_transition_aggregates!K$2)</f>
        <v>-1.6773599999999944</v>
      </c>
      <c r="L7" s="6">
        <f>100*(output_transition_aggregates!L7/output_transition_aggregates!L$2-1)</f>
        <v>20.707826739920243</v>
      </c>
      <c r="M7" s="6">
        <f>100*(output_transition_aggregates!M7-output_transition_aggregates!M$2)</f>
        <v>-8.4610000000000074E-2</v>
      </c>
      <c r="N7" s="6">
        <f>100*(output_transition_aggregates!N7/output_transition_aggregates!N$2-1)</f>
        <v>-1.1731898719709699</v>
      </c>
      <c r="O7" s="6">
        <f>output_transition_aggregates!O7/output_transition_aggregates!O$2</f>
        <v>1.138814622175798</v>
      </c>
      <c r="P7" s="7">
        <f>100*(output_transition_aggregates!P7/SUM(output_transition_aggregates!P7:Q7)-output_transition_aggregates!P$2/SUM(output_transition_aggregates!P$2:Q$2))</f>
        <v>-3.773923835042256E-2</v>
      </c>
      <c r="Q7" s="6">
        <f>output_transition_aggregates!Q7/output_transition_aggregates!Q$2</f>
        <v>0.9809083214951777</v>
      </c>
      <c r="R7" s="4">
        <f>100*(output_transition_aggregates!R7/output_transition_aggregates!R$2-1)</f>
        <v>-3.2804051546524549</v>
      </c>
      <c r="S7" s="6">
        <f>100*(output_transition_aggregates!S7/output_transition_aggregates!S$2-1)</f>
        <v>-13.856306654921035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5.9426093861258619E-2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</v>
      </c>
      <c r="X7" s="7">
        <f>100*(output_transition_aggregates!X7-output_transition_aggregates!X$2)</f>
        <v>-64.611940000000004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-15.656416861943601</v>
      </c>
      <c r="AB7" s="7">
        <f>output_transition_aggregates!AB7</f>
        <v>32.988368000000001</v>
      </c>
      <c r="AC7" s="6">
        <f>output_transition_aggregates!AC7/output_transition_aggregates!AC$2</f>
        <v>0.96711761646601146</v>
      </c>
      <c r="AD7" s="6">
        <f>output_transition_aggregates!AD7/output_transition_aggregates!AD$2</f>
        <v>0.86099936415994827</v>
      </c>
      <c r="AE7" s="2"/>
      <c r="AF7" s="3"/>
      <c r="AG7" s="3"/>
    </row>
    <row r="8" spans="1:33" x14ac:dyDescent="0.35">
      <c r="A8" s="1">
        <f t="shared" si="0"/>
        <v>2009.25</v>
      </c>
      <c r="B8" s="6">
        <f>100*(output_transition_aggregates!B8/output_transition_aggregates!B$2-1)</f>
        <v>-3.7410000000004384E-2</v>
      </c>
      <c r="C8" s="6">
        <f>100*(output_transition_aggregates!C8/output_transition_aggregates!C$2-1)</f>
        <v>0</v>
      </c>
      <c r="D8" s="6">
        <f>100*(output_transition_aggregates!D8/output_transition_aggregates!D$2-1)</f>
        <v>-14.133498668423105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-0.64458102767079861</v>
      </c>
      <c r="K8" s="5">
        <f>100*(output_transition_aggregates!K8-output_transition_aggregates!K$2)</f>
        <v>-0.86761999999999118</v>
      </c>
      <c r="L8" s="6">
        <f>100*(output_transition_aggregates!L8/output_transition_aggregates!L$2-1)</f>
        <v>20.131505508458503</v>
      </c>
      <c r="M8" s="6">
        <f>100*(output_transition_aggregates!M8-output_transition_aggregates!M$2)</f>
        <v>-3.2020000000000139E-2</v>
      </c>
      <c r="N8" s="6">
        <f>100*(output_transition_aggregates!N8/output_transition_aggregates!N$2-1)</f>
        <v>-0.82715141090898836</v>
      </c>
      <c r="O8" s="6">
        <f>output_transition_aggregates!O8/output_transition_aggregates!O$2</f>
        <v>1.0982008456508363</v>
      </c>
      <c r="P8" s="7">
        <f>100*(output_transition_aggregates!P8/SUM(output_transition_aggregates!P8:Q8)-output_transition_aggregates!P$2/SUM(output_transition_aggregates!P$2:Q$2))</f>
        <v>-3.4985539692778539E-2</v>
      </c>
      <c r="Q8" s="6">
        <f>output_transition_aggregates!Q8/output_transition_aggregates!Q$2</f>
        <v>0.97992798073938325</v>
      </c>
      <c r="R8" s="4">
        <f>100*(output_transition_aggregates!R8/output_transition_aggregates!R$2-1)</f>
        <v>-1.871772121927151</v>
      </c>
      <c r="S8" s="6">
        <f>100*(output_transition_aggregates!S8/output_transition_aggregates!S$2-1)</f>
        <v>-5.9299766232085549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-0.16437313044406765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</v>
      </c>
      <c r="X8" s="7">
        <f>100*(output_transition_aggregates!X8-output_transition_aggregates!X$2)</f>
        <v>-64.611940000000004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-15.898742822441136</v>
      </c>
      <c r="AB8" s="7">
        <f>output_transition_aggregates!AB8</f>
        <v>32.916023899999999</v>
      </c>
      <c r="AC8" s="6">
        <f>output_transition_aggregates!AC8/output_transition_aggregates!AC$2</f>
        <v>0.98122704842029851</v>
      </c>
      <c r="AD8" s="6">
        <f>output_transition_aggregates!AD8/output_transition_aggregates!AD$2</f>
        <v>0.9403917121737525</v>
      </c>
      <c r="AE8" s="2"/>
      <c r="AF8" s="3"/>
      <c r="AG8" s="3"/>
    </row>
    <row r="9" spans="1:33" x14ac:dyDescent="0.35">
      <c r="A9" s="1">
        <f t="shared" si="0"/>
        <v>2009.5</v>
      </c>
      <c r="B9" s="6">
        <f>100*(output_transition_aggregates!B9/output_transition_aggregates!B$2-1)</f>
        <v>0.97822000000000742</v>
      </c>
      <c r="C9" s="6">
        <f>100*(output_transition_aggregates!C9/output_transition_aggregates!C$2-1)</f>
        <v>0</v>
      </c>
      <c r="D9" s="6">
        <f>100*(output_transition_aggregates!D9/output_transition_aggregates!D$2-1)</f>
        <v>-13.802010734390613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-0.63576610242446208</v>
      </c>
      <c r="K9" s="5">
        <f>100*(output_transition_aggregates!K9-output_transition_aggregates!K$2)</f>
        <v>-0.34937999999999914</v>
      </c>
      <c r="L9" s="6">
        <f>100*(output_transition_aggregates!L9/output_transition_aggregates!L$2-1)</f>
        <v>19.573543775551492</v>
      </c>
      <c r="M9" s="6">
        <f>100*(output_transition_aggregates!M9-output_transition_aggregates!M$2)</f>
        <v>-2.8400000000001341E-3</v>
      </c>
      <c r="N9" s="6">
        <f>100*(output_transition_aggregates!N9/output_transition_aggregates!N$2-1)</f>
        <v>-0.59381822410616847</v>
      </c>
      <c r="O9" s="6">
        <f>output_transition_aggregates!O9/output_transition_aggregates!O$2</f>
        <v>1.1272078498147009</v>
      </c>
      <c r="P9" s="7">
        <f>100*(output_transition_aggregates!P9/SUM(output_transition_aggregates!P9:Q9)-output_transition_aggregates!P$2/SUM(output_transition_aggregates!P$2:Q$2))</f>
        <v>-3.8650504180933604E-2</v>
      </c>
      <c r="Q9" s="6">
        <f>output_transition_aggregates!Q9/output_transition_aggregates!Q$2</f>
        <v>0.98123315992897375</v>
      </c>
      <c r="R9" s="4">
        <f>100*(output_transition_aggregates!R9/output_transition_aggregates!R$2-1)</f>
        <v>-0.93902613505831845</v>
      </c>
      <c r="S9" s="6">
        <f>100*(output_transition_aggregates!S9/output_transition_aggregates!S$2-1)</f>
        <v>-0.75984512830487017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-8.1971528773760322E-2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</v>
      </c>
      <c r="X9" s="7">
        <f>100*(output_transition_aggregates!X9-output_transition_aggregates!X$2)</f>
        <v>-64.611940000000004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-15.902120466510738</v>
      </c>
      <c r="AB9" s="7">
        <f>output_transition_aggregates!AB9</f>
        <v>32.888942700000001</v>
      </c>
      <c r="AC9" s="6">
        <f>output_transition_aggregates!AC9/output_transition_aggregates!AC$2</f>
        <v>0.99057010350499575</v>
      </c>
      <c r="AD9" s="6">
        <f>output_transition_aggregates!AD9/output_transition_aggregates!AD$2</f>
        <v>0.99217996261593056</v>
      </c>
      <c r="AE9" s="2"/>
      <c r="AF9" s="3"/>
      <c r="AG9" s="3"/>
    </row>
    <row r="10" spans="1:33" x14ac:dyDescent="0.35">
      <c r="A10" s="1">
        <f t="shared" si="0"/>
        <v>2009.75</v>
      </c>
      <c r="B10" s="6">
        <f>100*(output_transition_aggregates!B10/output_transition_aggregates!B$2-1)</f>
        <v>1.9130000000000091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-13.478303858240038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-0.60510171015877301</v>
      </c>
      <c r="K10" s="5">
        <f>100*(output_transition_aggregates!K10-output_transition_aggregates!K$2)</f>
        <v>0.12570000000000636</v>
      </c>
      <c r="L10" s="6">
        <f>100*(output_transition_aggregates!L10/output_transition_aggregates!L$2-1)</f>
        <v>18.355836224051814</v>
      </c>
      <c r="M10" s="6">
        <f>100*(output_transition_aggregates!M10-output_transition_aggregates!M$2)</f>
        <v>1.9190000000000006E-2</v>
      </c>
      <c r="N10" s="6">
        <f>100*(output_transition_aggregates!N10/output_transition_aggregates!N$2-1)</f>
        <v>-0.35547469291534739</v>
      </c>
      <c r="O10" s="6">
        <f>output_transition_aggregates!O10/output_transition_aggregates!O$2</f>
        <v>1.1083994519724698</v>
      </c>
      <c r="P10" s="7">
        <f>100*(output_transition_aggregates!P10/SUM(output_transition_aggregates!P10:Q10)-output_transition_aggregates!P$2/SUM(output_transition_aggregates!P$2:Q$2))</f>
        <v>-3.9877568275042963E-2</v>
      </c>
      <c r="Q10" s="6">
        <f>output_transition_aggregates!Q10/output_transition_aggregates!Q$2</f>
        <v>0.9816709012172149</v>
      </c>
      <c r="R10" s="4">
        <f>100*(output_transition_aggregates!R10/output_transition_aggregates!R$2-1)</f>
        <v>-4.9270528917899625E-2</v>
      </c>
      <c r="S10" s="6">
        <f>100*(output_transition_aggregates!S10/output_transition_aggregates!S$2-1)</f>
        <v>4.0702438784580242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-6.0801301822224069E-2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</v>
      </c>
      <c r="X10" s="7">
        <f>100*(output_transition_aggregates!X10-output_transition_aggregates!X$2)</f>
        <v>-64.611940000000004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-15.762861349432821</v>
      </c>
      <c r="AB10" s="7">
        <f>output_transition_aggregates!AB10</f>
        <v>32.890821899999999</v>
      </c>
      <c r="AC10" s="6">
        <f>output_transition_aggregates!AC10/output_transition_aggregates!AC$2</f>
        <v>0.99948357833460821</v>
      </c>
      <c r="AD10" s="6">
        <f>output_transition_aggregates!AD10/output_transition_aggregates!AD$2</f>
        <v>1.0405699570455524</v>
      </c>
      <c r="AE10" s="2"/>
      <c r="AF10" s="3"/>
      <c r="AG10" s="3"/>
    </row>
    <row r="11" spans="1:33" x14ac:dyDescent="0.35">
      <c r="A11" s="1">
        <f t="shared" si="0"/>
        <v>2010</v>
      </c>
      <c r="B11" s="6">
        <f>100*(output_transition_aggregates!B11/output_transition_aggregates!B$2-1)</f>
        <v>1.9737899999999975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-13.162204576897551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-0.5871159407463078</v>
      </c>
      <c r="K11" s="5">
        <f>100*(output_transition_aggregates!K11-output_transition_aggregates!K$2)</f>
        <v>0.16671000000000324</v>
      </c>
      <c r="L11" s="6">
        <f>100*(output_transition_aggregates!L11/output_transition_aggregates!L$2-1)</f>
        <v>17.055523977739995</v>
      </c>
      <c r="M11" s="6">
        <f>100*(output_transition_aggregates!M11-output_transition_aggregates!M$2)</f>
        <v>1.5089999999999895E-2</v>
      </c>
      <c r="N11" s="6">
        <f>100*(output_transition_aggregates!N11/output_transition_aggregates!N$2-1)</f>
        <v>-0.32737080704610122</v>
      </c>
      <c r="O11" s="6">
        <f>output_transition_aggregates!O11/output_transition_aggregates!O$2</f>
        <v>1.1672156481176756</v>
      </c>
      <c r="P11" s="7">
        <f>100*(output_transition_aggregates!P11/SUM(output_transition_aggregates!P11:Q11)-output_transition_aggregates!P$2/SUM(output_transition_aggregates!P$2:Q$2))</f>
        <v>-4.0470501234296172E-2</v>
      </c>
      <c r="Q11" s="6">
        <f>output_transition_aggregates!Q11/output_transition_aggregates!Q$2</f>
        <v>0.98188255939397517</v>
      </c>
      <c r="R11" s="4">
        <f>100*(output_transition_aggregates!R11/output_transition_aggregates!R$2-1)</f>
        <v>5.9624199297281244E-2</v>
      </c>
      <c r="S11" s="6">
        <f>100*(output_transition_aggregates!S11/output_transition_aggregates!S$2-1)</f>
        <v>4.5963391662651176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1.9402983004180446E-2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0</v>
      </c>
      <c r="X11" s="7">
        <f>100*(output_transition_aggregates!X11-output_transition_aggregates!X$2)</f>
        <v>-64.611940000000004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-15.523119930174955</v>
      </c>
      <c r="AB11" s="7">
        <f>output_transition_aggregates!AB11</f>
        <v>32.919520800000001</v>
      </c>
      <c r="AC11" s="6">
        <f>output_transition_aggregates!AC11/output_transition_aggregates!AC$2</f>
        <v>1.0005744022195164</v>
      </c>
      <c r="AD11" s="6">
        <f>output_transition_aggregates!AD11/output_transition_aggregates!AD$2</f>
        <v>1.0458413927897401</v>
      </c>
      <c r="AE11" s="2"/>
      <c r="AF11" s="3"/>
      <c r="AG11" s="3"/>
    </row>
    <row r="12" spans="1:33" x14ac:dyDescent="0.35">
      <c r="A12" s="1">
        <f t="shared" si="0"/>
        <v>2010.25</v>
      </c>
      <c r="B12" s="6">
        <f>100*(output_transition_aggregates!B12/output_transition_aggregates!B$2-1)</f>
        <v>1.7987999999999893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-12.85351464685025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-0.56419080765833796</v>
      </c>
      <c r="K12" s="5">
        <f>100*(output_transition_aggregates!K12-output_transition_aggregates!K$2)</f>
        <v>0.1005900000000004</v>
      </c>
      <c r="L12" s="6">
        <f>100*(output_transition_aggregates!L12/output_transition_aggregates!L$2-1)</f>
        <v>14.991946352162056</v>
      </c>
      <c r="M12" s="6">
        <f>100*(output_transition_aggregates!M12-output_transition_aggregates!M$2)</f>
        <v>9.9199999999998942E-3</v>
      </c>
      <c r="N12" s="6">
        <f>100*(output_transition_aggregates!N12/output_transition_aggregates!N$2-1)</f>
        <v>-0.3516232716559875</v>
      </c>
      <c r="O12" s="6">
        <f>output_transition_aggregates!O12/output_transition_aggregates!O$2</f>
        <v>1.1089272683045488</v>
      </c>
      <c r="P12" s="7">
        <f>100*(output_transition_aggregates!P12/SUM(output_transition_aggregates!P12:Q12)-output_transition_aggregates!P$2/SUM(output_transition_aggregates!P$2:Q$2))</f>
        <v>-3.877574766348417E-2</v>
      </c>
      <c r="Q12" s="6">
        <f>output_transition_aggregates!Q12/output_transition_aggregates!Q$2</f>
        <v>0.98127782174608835</v>
      </c>
      <c r="R12" s="4">
        <f>100*(output_transition_aggregates!R12/output_transition_aggregates!R$2-1)</f>
        <v>-4.1353206599659131E-2</v>
      </c>
      <c r="S12" s="6">
        <f>100*(output_transition_aggregates!S12/output_transition_aggregates!S$2-1)</f>
        <v>3.9274961601984515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6.4865945057293595E-5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</v>
      </c>
      <c r="X12" s="7">
        <f>100*(output_transition_aggregates!X12-output_transition_aggregates!X$2)</f>
        <v>-64.611940000000004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-15.221956523111634</v>
      </c>
      <c r="AB12" s="7">
        <f>output_transition_aggregates!AB12</f>
        <v>32.950733100000001</v>
      </c>
      <c r="AC12" s="6">
        <f>output_transition_aggregates!AC12/output_transition_aggregates!AC$2</f>
        <v>0.99956297804433025</v>
      </c>
      <c r="AD12" s="6">
        <f>output_transition_aggregates!AD12/output_transition_aggregates!AD$2</f>
        <v>1.0391437450364533</v>
      </c>
      <c r="AE12" s="2"/>
      <c r="AF12" s="3"/>
      <c r="AG12" s="3"/>
    </row>
    <row r="13" spans="1:33" x14ac:dyDescent="0.35">
      <c r="A13" s="1">
        <f t="shared" si="0"/>
        <v>2010.5</v>
      </c>
      <c r="B13" s="6">
        <f>100*(output_transition_aggregates!B13/output_transition_aggregates!B$2-1)</f>
        <v>1.9395300000000004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-12.552035824585218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-0.54028887486833321</v>
      </c>
      <c r="K13" s="5">
        <f>100*(output_transition_aggregates!K13-output_transition_aggregates!K$2)</f>
        <v>0.1856599999999986</v>
      </c>
      <c r="L13" s="6">
        <f>100*(output_transition_aggregates!L13/output_transition_aggregates!L$2-1)</f>
        <v>13.679146515148833</v>
      </c>
      <c r="M13" s="6">
        <f>100*(output_transition_aggregates!M13-output_transition_aggregates!M$2)</f>
        <v>1.4099999999999877E-2</v>
      </c>
      <c r="N13" s="6">
        <f>100*(output_transition_aggregates!N13/output_transition_aggregates!N$2-1)</f>
        <v>-0.30277865807093463</v>
      </c>
      <c r="O13" s="6">
        <f>output_transition_aggregates!O13/output_transition_aggregates!O$2</f>
        <v>1.0825546954369196</v>
      </c>
      <c r="P13" s="7">
        <f>100*(output_transition_aggregates!P13/SUM(output_transition_aggregates!P13:Q13)-output_transition_aggregates!P$2/SUM(output_transition_aggregates!P$2:Q$2))</f>
        <v>-3.7676182904549868E-2</v>
      </c>
      <c r="Q13" s="6">
        <f>output_transition_aggregates!Q13/output_transition_aggregates!Q$2</f>
        <v>0.98088585188532507</v>
      </c>
      <c r="R13" s="6">
        <f>100*(output_transition_aggregates!R13/output_transition_aggregates!R$2-1)</f>
        <v>0.14350834250227429</v>
      </c>
      <c r="S13" s="6">
        <f>100*(output_transition_aggregates!S13/output_transition_aggregates!S$2-1)</f>
        <v>4.8509101477397287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6.7303901586619058E-3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</v>
      </c>
      <c r="X13" s="7">
        <f>100*(output_transition_aggregates!X13-output_transition_aggregates!X$2)</f>
        <v>-64.611940000000004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-14.924993430377942</v>
      </c>
      <c r="AB13" s="7">
        <f>output_transition_aggregates!AB13</f>
        <v>32.977742300000003</v>
      </c>
      <c r="AC13" s="6">
        <f>output_transition_aggregates!AC13/output_transition_aggregates!AC$2</f>
        <v>1.0014148614125631</v>
      </c>
      <c r="AD13" s="6">
        <f>output_transition_aggregates!AD13/output_transition_aggregates!AD$2</f>
        <v>1.0483961395580352</v>
      </c>
      <c r="AE13" s="2"/>
      <c r="AF13" s="3"/>
      <c r="AG13" s="3"/>
    </row>
    <row r="14" spans="1:33" x14ac:dyDescent="0.35">
      <c r="A14" s="1">
        <f t="shared" si="0"/>
        <v>2010.75</v>
      </c>
      <c r="B14" s="6">
        <f>100*(output_transition_aggregates!B14/output_transition_aggregates!B$2-1)</f>
        <v>1.9110600000000089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-12.257644207906903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-0.51774338862812241</v>
      </c>
      <c r="K14" s="8">
        <f>100*(output_transition_aggregates!K14-output_transition_aggregates!K$2)</f>
        <v>0.1991000000000076</v>
      </c>
      <c r="L14" s="6">
        <f>100*(output_transition_aggregates!L14/output_transition_aggregates!L$2-1)</f>
        <v>12.628370779577104</v>
      </c>
      <c r="M14" s="6">
        <f>100*(output_transition_aggregates!M14-output_transition_aggregates!M$2)</f>
        <v>1.2509999999999952E-2</v>
      </c>
      <c r="N14" s="6">
        <f>100*(output_transition_aggregates!N14/output_transition_aggregates!N$2-1)</f>
        <v>-0.28903143199339176</v>
      </c>
      <c r="O14" s="6">
        <f>output_transition_aggregates!O14/output_transition_aggregates!O$2</f>
        <v>1.0716592499320332</v>
      </c>
      <c r="P14" s="7">
        <f>100*(output_transition_aggregates!P14/SUM(output_transition_aggregates!P14:Q14)-output_transition_aggregates!P$2/SUM(output_transition_aggregates!P$2:Q$2))</f>
        <v>-3.6418380106580106E-2</v>
      </c>
      <c r="Q14" s="6">
        <f>output_transition_aggregates!Q14/output_transition_aggregates!Q$2</f>
        <v>0.98043784670122547</v>
      </c>
      <c r="R14" s="6">
        <f>100*(output_transition_aggregates!R14/output_transition_aggregates!R$2-1)</f>
        <v>0.18173603485616141</v>
      </c>
      <c r="S14" s="6">
        <f>100*(output_transition_aggregates!S14/output_transition_aggregates!S$2-1)</f>
        <v>4.9614140157365982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-2.1820757096447513E-2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</v>
      </c>
      <c r="X14" s="7">
        <f>100*(output_transition_aggregates!X14-output_transition_aggregates!X$2)</f>
        <v>-64.611940000000004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-14.622624715724374</v>
      </c>
      <c r="AB14" s="7">
        <f>output_transition_aggregates!AB14</f>
        <v>33.009631200000001</v>
      </c>
      <c r="AC14" s="6">
        <f>output_transition_aggregates!AC14/output_transition_aggregates!AC$2</f>
        <v>1.0017980766374799</v>
      </c>
      <c r="AD14" s="6">
        <f>output_transition_aggregates!AD14/output_transition_aggregates!AD$2</f>
        <v>1.0495062389319911</v>
      </c>
      <c r="AE14" s="2"/>
      <c r="AF14" s="3"/>
      <c r="AG14" s="3"/>
    </row>
    <row r="15" spans="1:33" x14ac:dyDescent="0.35">
      <c r="A15" s="1">
        <f t="shared" si="0"/>
        <v>2011</v>
      </c>
      <c r="B15" s="6">
        <f>100*(output_transition_aggregates!B15/output_transition_aggregates!B$2-1)</f>
        <v>0.86657000000001094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-11.970166333741473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-0.52239801716779111</v>
      </c>
      <c r="K15" s="8">
        <f>100*(output_transition_aggregates!K15-output_transition_aggregates!K$2)</f>
        <v>-0.29517999999999489</v>
      </c>
      <c r="L15" s="6">
        <f>100*(output_transition_aggregates!L15/output_transition_aggregates!L$2-1)</f>
        <v>11.666711032192655</v>
      </c>
      <c r="M15" s="6">
        <f>100*(output_transition_aggregates!M15-output_transition_aggregates!M$2)</f>
        <v>-1.7789999999999993E-2</v>
      </c>
      <c r="N15" s="6">
        <f>100*(output_transition_aggregates!N15/output_transition_aggregates!N$2-1)</f>
        <v>-0.53673626466287372</v>
      </c>
      <c r="O15" s="6">
        <f>output_transition_aggregates!O15/output_transition_aggregates!O$2</f>
        <v>1.0653880550030763</v>
      </c>
      <c r="P15" s="7">
        <f>100*(output_transition_aggregates!P15/SUM(output_transition_aggregates!P15:Q15)-output_transition_aggregates!P$2/SUM(output_transition_aggregates!P$2:Q$2))</f>
        <v>-3.6005359267422474E-2</v>
      </c>
      <c r="Q15" s="6">
        <f>output_transition_aggregates!Q15/output_transition_aggregates!Q$2</f>
        <v>0.98029082332811535</v>
      </c>
      <c r="R15" s="6">
        <f>100*(output_transition_aggregates!R15/output_transition_aggregates!R$2-1)</f>
        <v>-0.73147710573756575</v>
      </c>
      <c r="S15" s="6">
        <f>100*(output_transition_aggregates!S15/output_transition_aggregates!S$2-1)</f>
        <v>-0.11861905228383041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1.8848316806381604E-2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</v>
      </c>
      <c r="X15" s="7">
        <f>100*(output_transition_aggregates!X15-output_transition_aggregates!X$2)</f>
        <v>-64.611940000000004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-14.363902745626344</v>
      </c>
      <c r="AB15" s="7">
        <f>output_transition_aggregates!AB15</f>
        <v>33.041769600000002</v>
      </c>
      <c r="AC15" s="6">
        <f>output_transition_aggregates!AC15/output_transition_aggregates!AC$2</f>
        <v>0.99264937935893571</v>
      </c>
      <c r="AD15" s="6">
        <f>output_transition_aggregates!AD15/output_transition_aggregates!AD$2</f>
        <v>0.99861373132558739</v>
      </c>
      <c r="AE15" s="2"/>
      <c r="AF15" s="3"/>
      <c r="AG15" s="3"/>
    </row>
    <row r="16" spans="1:33" x14ac:dyDescent="0.35">
      <c r="A16" s="1">
        <f t="shared" si="0"/>
        <v>2011.25</v>
      </c>
      <c r="B16" s="6">
        <f>100*(output_transition_aggregates!B16/output_transition_aggregates!B$2-1)</f>
        <v>0.73441999999999119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-11.68942873901514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-0.52188391206147156</v>
      </c>
      <c r="K16" s="8">
        <f>100*(output_transition_aggregates!K16-output_transition_aggregates!K$2)</f>
        <v>-0.3451299999999935</v>
      </c>
      <c r="L16" s="6">
        <f>100*(output_transition_aggregates!L16/output_transition_aggregates!L$2-1)</f>
        <v>11.096383496302709</v>
      </c>
      <c r="M16" s="6">
        <f>100*(output_transition_aggregates!M16-output_transition_aggregates!M$2)</f>
        <v>-1.5599999999999989E-2</v>
      </c>
      <c r="N16" s="6">
        <f>100*(output_transition_aggregates!N16/output_transition_aggregates!N$2-1)</f>
        <v>-0.57843252050195915</v>
      </c>
      <c r="O16" s="6">
        <f>output_transition_aggregates!O16/output_transition_aggregates!O$2</f>
        <v>1.0563808362070199</v>
      </c>
      <c r="P16" s="7">
        <f>100*(output_transition_aggregates!P16/SUM(output_transition_aggregates!P16:Q16)-output_transition_aggregates!P$2/SUM(output_transition_aggregates!P$2:Q$2))</f>
        <v>-3.4450386784240852E-2</v>
      </c>
      <c r="Q16" s="6">
        <f>output_transition_aggregates!Q16/output_transition_aggregates!Q$2</f>
        <v>0.97973768256211258</v>
      </c>
      <c r="R16" s="6">
        <f>100*(output_transition_aggregates!R16/output_transition_aggregates!R$2-1)</f>
        <v>-0.82740709732456175</v>
      </c>
      <c r="S16" s="6">
        <f>100*(output_transition_aggregates!S16/output_transition_aggregates!S$2-1)</f>
        <v>-0.65682385784654462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3.2940517507424466E-3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</v>
      </c>
      <c r="X16" s="7">
        <f>100*(output_transition_aggregates!X16-output_transition_aggregates!X$2)</f>
        <v>-64.611940000000004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-14.125629262308104</v>
      </c>
      <c r="AB16" s="7">
        <f>output_transition_aggregates!AB16</f>
        <v>33.045105800000002</v>
      </c>
      <c r="AC16" s="6">
        <f>output_transition_aggregates!AC16/output_transition_aggregates!AC$2</f>
        <v>0.99168729689415136</v>
      </c>
      <c r="AD16" s="6">
        <f>output_transition_aggregates!AD16/output_transition_aggregates!AD$2</f>
        <v>0.99321595897078507</v>
      </c>
      <c r="AE16" s="2"/>
      <c r="AF16" s="3"/>
      <c r="AG16" s="3"/>
    </row>
    <row r="17" spans="1:33" x14ac:dyDescent="0.35">
      <c r="A17" s="1">
        <f t="shared" si="0"/>
        <v>2011.5</v>
      </c>
      <c r="B17" s="6">
        <f>100*(output_transition_aggregates!B17/output_transition_aggregates!B$2-1)</f>
        <v>4.6630000000003058E-2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-11.415282741093236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-0.53332472800480257</v>
      </c>
      <c r="K17" s="8">
        <f>100*(output_transition_aggregates!K17-output_transition_aggregates!K$2)</f>
        <v>-0.67766999999999689</v>
      </c>
      <c r="L17" s="6">
        <f>100*(output_transition_aggregates!L17/output_transition_aggregates!L$2-1)</f>
        <v>10.652602098993924</v>
      </c>
      <c r="M17" s="6">
        <f>100*(output_transition_aggregates!M17-output_transition_aggregates!M$2)</f>
        <v>-3.2000000000000084E-2</v>
      </c>
      <c r="N17" s="6">
        <f>100*(output_transition_aggregates!N17/output_transition_aggregates!N$2-1)</f>
        <v>-0.76515901424397681</v>
      </c>
      <c r="O17" s="6">
        <f>output_transition_aggregates!O17/output_transition_aggregates!O$2</f>
        <v>1.0596292944324408</v>
      </c>
      <c r="P17" s="7">
        <f>100*(output_transition_aggregates!P17/SUM(output_transition_aggregates!P17:Q17)-output_transition_aggregates!P$2/SUM(output_transition_aggregates!P$2:Q$2))</f>
        <v>-3.3381036442713813E-2</v>
      </c>
      <c r="Q17" s="6">
        <f>output_transition_aggregates!Q17/output_transition_aggregates!Q$2</f>
        <v>0.97935764101275247</v>
      </c>
      <c r="R17" s="6">
        <f>100*(output_transition_aggregates!R17/output_transition_aggregates!R$2-1)</f>
        <v>-1.4526037766177446</v>
      </c>
      <c r="S17" s="6">
        <f>100*(output_transition_aggregates!S17/output_transition_aggregates!S$2-1)</f>
        <v>-4.096920965334605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2.1000494258820862E-2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</v>
      </c>
      <c r="X17" s="7">
        <f>100*(output_transition_aggregates!X17-output_transition_aggregates!X$2)</f>
        <v>-64.611940000000004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-13.935046304421705</v>
      </c>
      <c r="AB17" s="7">
        <f>output_transition_aggregates!AB17</f>
        <v>33.045544100000001</v>
      </c>
      <c r="AC17" s="6">
        <f>output_transition_aggregates!AC17/output_transition_aggregates!AC$2</f>
        <v>0.98542287334154421</v>
      </c>
      <c r="AD17" s="6">
        <f>output_transition_aggregates!AD17/output_transition_aggregates!AD$2</f>
        <v>0.95874540335357739</v>
      </c>
      <c r="AE17" s="2"/>
      <c r="AF17" s="3"/>
      <c r="AG17" s="3"/>
    </row>
    <row r="18" spans="1:33" x14ac:dyDescent="0.35">
      <c r="A18" s="1">
        <f t="shared" si="0"/>
        <v>2011.75</v>
      </c>
      <c r="B18" s="6">
        <f>100*(output_transition_aggregates!B18/output_transition_aggregates!B$2-1)</f>
        <v>0.39746000000000503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-11.147554876901932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-0.53990527336590377</v>
      </c>
      <c r="K18" s="8">
        <f>100*(output_transition_aggregates!K18-output_transition_aggregates!K$2)</f>
        <v>-0.47654999999999781</v>
      </c>
      <c r="L18" s="6">
        <f>100*(output_transition_aggregates!L18/output_transition_aggregates!L$2-1)</f>
        <v>10.40163023300078</v>
      </c>
      <c r="M18" s="6">
        <f>100*(output_transition_aggregates!M18-output_transition_aggregates!M$2)</f>
        <v>-1.6060000000000033E-2</v>
      </c>
      <c r="N18" s="6">
        <f>100*(output_transition_aggregates!N18/output_transition_aggregates!N$2-1)</f>
        <v>-0.69036351422259168</v>
      </c>
      <c r="O18" s="6">
        <f>output_transition_aggregates!O18/output_transition_aggregates!O$2</f>
        <v>1.0423742970795713</v>
      </c>
      <c r="P18" s="7">
        <f>100*(output_transition_aggregates!P18/SUM(output_transition_aggregates!P18:Q18)-output_transition_aggregates!P$2/SUM(output_transition_aggregates!P$2:Q$2))</f>
        <v>-3.1838034812867871E-2</v>
      </c>
      <c r="Q18" s="6">
        <f>output_transition_aggregates!Q18/output_transition_aggregates!Q$2</f>
        <v>0.97880977089597432</v>
      </c>
      <c r="R18" s="6">
        <f>100*(output_transition_aggregates!R18/output_transition_aggregates!R$2-1)</f>
        <v>-1.1170380840998861</v>
      </c>
      <c r="S18" s="6">
        <f>100*(output_transition_aggregates!S18/output_transition_aggregates!S$2-1)</f>
        <v>-2.1923830048882764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-7.647493212893236E-2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</v>
      </c>
      <c r="X18" s="7">
        <f>100*(output_transition_aggregates!X18-output_transition_aggregates!X$2)</f>
        <v>-64.611940000000004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-13.761055892582718</v>
      </c>
      <c r="AB18" s="7">
        <f>output_transition_aggregates!AB18</f>
        <v>33.026848899999997</v>
      </c>
      <c r="AC18" s="6">
        <f>output_transition_aggregates!AC18/output_transition_aggregates!AC$2</f>
        <v>0.98878351297059297</v>
      </c>
      <c r="AD18" s="6">
        <f>output_transition_aggregates!AD18/output_transition_aggregates!AD$2</f>
        <v>0.97781879751404244</v>
      </c>
      <c r="AE18" s="2"/>
      <c r="AF18" s="3"/>
      <c r="AG18" s="3"/>
    </row>
    <row r="19" spans="1:33" x14ac:dyDescent="0.35">
      <c r="A19" s="1">
        <f t="shared" si="0"/>
        <v>2012</v>
      </c>
      <c r="B19" s="6">
        <f>100*(output_transition_aggregates!B19/output_transition_aggregates!B$2-1)</f>
        <v>0.49989999999999757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-10.88609646380656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-0.54558020280893738</v>
      </c>
      <c r="K19" s="8">
        <f>100*(output_transition_aggregates!K19-output_transition_aggregates!K$2)</f>
        <v>-0.41510000000000158</v>
      </c>
      <c r="L19" s="6">
        <f>100*(output_transition_aggregates!L19/output_transition_aggregates!L$2-1)</f>
        <v>10.23783010126127</v>
      </c>
      <c r="M19" s="6">
        <f>100*(output_transition_aggregates!M19-output_transition_aggregates!M$2)</f>
        <v>-1.3729999999999992E-2</v>
      </c>
      <c r="N19" s="6">
        <f>100*(output_transition_aggregates!N19/output_transition_aggregates!N$2-1)</f>
        <v>-0.67653136705374539</v>
      </c>
      <c r="O19" s="6">
        <f>output_transition_aggregates!O19/output_transition_aggregates!O$2</f>
        <v>1.0408629287278035</v>
      </c>
      <c r="P19" s="7">
        <f>100*(output_transition_aggregates!P19/SUM(output_transition_aggregates!P19:Q19)-output_transition_aggregates!P$2/SUM(output_transition_aggregates!P$2:Q$2))</f>
        <v>-3.3105372438094888E-2</v>
      </c>
      <c r="Q19" s="6">
        <f>output_transition_aggregates!Q19/output_transition_aggregates!Q$2</f>
        <v>0.97925971789820931</v>
      </c>
      <c r="R19" s="6">
        <f>100*(output_transition_aggregates!R19/output_transition_aggregates!R$2-1)</f>
        <v>-1.0124271870041723</v>
      </c>
      <c r="S19" s="6">
        <f>100*(output_transition_aggregates!S19/output_transition_aggregates!S$2-1)</f>
        <v>-1.5820633100047332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-1.8958624849185757E-2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</v>
      </c>
      <c r="X19" s="7">
        <f>100*(output_transition_aggregates!X19-output_transition_aggregates!X$2)</f>
        <v>-64.611940000000004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-13.584700086338641</v>
      </c>
      <c r="AB19" s="7">
        <f>output_transition_aggregates!AB19</f>
        <v>33.018891099999998</v>
      </c>
      <c r="AC19" s="6">
        <f>output_transition_aggregates!AC19/output_transition_aggregates!AC$2</f>
        <v>0.98983056024292826</v>
      </c>
      <c r="AD19" s="6">
        <f>output_transition_aggregates!AD19/output_transition_aggregates!AD$2</f>
        <v>0.98392705515686529</v>
      </c>
      <c r="AE19" s="2"/>
      <c r="AF19" s="3"/>
      <c r="AG19" s="3"/>
    </row>
    <row r="20" spans="1:33" x14ac:dyDescent="0.35">
      <c r="A20" s="1">
        <f t="shared" si="0"/>
        <v>2012.25</v>
      </c>
      <c r="B20" s="6">
        <f>100*(output_transition_aggregates!B20/output_transition_aggregates!B$2-1)</f>
        <v>0.71231000000000488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-10.630783599611537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-0.53619580729095118</v>
      </c>
      <c r="K20" s="8">
        <f>100*(output_transition_aggregates!K20-output_transition_aggregates!K$2)</f>
        <v>-0.29199999999999227</v>
      </c>
      <c r="L20" s="6">
        <f>100*(output_transition_aggregates!L20/output_transition_aggregates!L$2-1)</f>
        <v>10.06214696785117</v>
      </c>
      <c r="M20" s="6">
        <f>100*(output_transition_aggregates!M20-output_transition_aggregates!M$2)</f>
        <v>-6.3699999999999868E-3</v>
      </c>
      <c r="N20" s="6">
        <f>100*(output_transition_aggregates!N20/output_transition_aggregates!N$2-1)</f>
        <v>-0.62797648425084729</v>
      </c>
      <c r="O20" s="6">
        <f>output_transition_aggregates!O20/output_transition_aggregates!O$2</f>
        <v>1.0323107301787171</v>
      </c>
      <c r="P20" s="7">
        <f>100*(output_transition_aggregates!P20/SUM(output_transition_aggregates!P20:Q20)-output_transition_aggregates!P$2/SUM(output_transition_aggregates!P$2:Q$2))</f>
        <v>-3.270466607369106E-2</v>
      </c>
      <c r="Q20" s="6">
        <f>output_transition_aggregates!Q20/output_transition_aggregates!Q$2</f>
        <v>0.97911741036914246</v>
      </c>
      <c r="R20" s="6">
        <f>100*(output_transition_aggregates!R20/output_transition_aggregates!R$2-1)</f>
        <v>-0.79791854987527611</v>
      </c>
      <c r="S20" s="6">
        <f>100*(output_transition_aggregates!S20/output_transition_aggregates!S$2-1)</f>
        <v>-0.42667072486127777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-4.4487178612899123E-2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</v>
      </c>
      <c r="X20" s="7">
        <f>100*(output_transition_aggregates!X20-output_transition_aggregates!X$2)</f>
        <v>-64.611940000000004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-13.390019430497556</v>
      </c>
      <c r="AB20" s="7">
        <f>output_transition_aggregates!AB20</f>
        <v>33.014553200000002</v>
      </c>
      <c r="AC20" s="6">
        <f>output_transition_aggregates!AC20/output_transition_aggregates!AC$2</f>
        <v>0.99197888213621077</v>
      </c>
      <c r="AD20" s="6">
        <f>output_transition_aggregates!AD20/output_transition_aggregates!AD$2</f>
        <v>0.99549905491539792</v>
      </c>
      <c r="AE20" s="2"/>
      <c r="AF20" s="3"/>
      <c r="AG20" s="3"/>
    </row>
    <row r="21" spans="1:33" x14ac:dyDescent="0.35">
      <c r="A21" s="1">
        <f t="shared" si="0"/>
        <v>2012.5</v>
      </c>
      <c r="B21" s="6">
        <f>100*(output_transition_aggregates!B21/output_transition_aggregates!B$2-1)</f>
        <v>0.24690000000000545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-10.381442821243091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-0.55195115147284035</v>
      </c>
      <c r="K21" s="8">
        <f>100*(output_transition_aggregates!K21-output_transition_aggregates!K$2)</f>
        <v>-0.5134299999999925</v>
      </c>
      <c r="L21" s="6">
        <f>100*(output_transition_aggregates!L21/output_transition_aggregates!L$2-1)</f>
        <v>9.9035510862942608</v>
      </c>
      <c r="M21" s="6">
        <f>100*(output_transition_aggregates!M21-output_transition_aggregates!M$2)</f>
        <v>-2.0780000000000104E-2</v>
      </c>
      <c r="N21" s="6">
        <f>100*(output_transition_aggregates!N21/output_transition_aggregates!N$2-1)</f>
        <v>-0.75179143539823023</v>
      </c>
      <c r="O21" s="6">
        <f>output_transition_aggregates!O21/output_transition_aggregates!O$2</f>
        <v>1.033222559274257</v>
      </c>
      <c r="P21" s="7">
        <f>100*(output_transition_aggregates!P21/SUM(output_transition_aggregates!P21:Q21)-output_transition_aggregates!P$2/SUM(output_transition_aggregates!P$2:Q$2))</f>
        <v>-3.3040548477290127E-2</v>
      </c>
      <c r="Q21" s="6">
        <f>output_transition_aggregates!Q21/output_transition_aggregates!Q$2</f>
        <v>0.9792366934831751</v>
      </c>
      <c r="R21" s="6">
        <f>100*(output_transition_aggregates!R21/output_transition_aggregates!R$2-1)</f>
        <v>-1.212673643185469</v>
      </c>
      <c r="S21" s="6">
        <f>100*(output_transition_aggregates!S21/output_transition_aggregates!S$2-1)</f>
        <v>-2.6715403559619766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6.1263944548129584E-3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</v>
      </c>
      <c r="X21" s="7">
        <f>100*(output_transition_aggregates!X21-output_transition_aggregates!X$2)</f>
        <v>-64.611940000000004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-13.214442812998684</v>
      </c>
      <c r="AB21" s="7">
        <f>output_transition_aggregates!AB21</f>
        <v>33.016589400000001</v>
      </c>
      <c r="AC21" s="6">
        <f>output_transition_aggregates!AC21/output_transition_aggregates!AC$2</f>
        <v>0.98782304826680534</v>
      </c>
      <c r="AD21" s="6">
        <f>output_transition_aggregates!AD21/output_transition_aggregates!AD$2</f>
        <v>0.97300408940222005</v>
      </c>
      <c r="AE21" s="2"/>
      <c r="AF21" s="3"/>
      <c r="AG21" s="3"/>
    </row>
    <row r="22" spans="1:33" x14ac:dyDescent="0.35">
      <c r="A22" s="1">
        <f t="shared" si="0"/>
        <v>2012.75</v>
      </c>
      <c r="B22" s="6">
        <f>100*(output_transition_aggregates!B22/output_transition_aggregates!B$2-1)</f>
        <v>-0.33052999999999555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-10.137975006944721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-0.57109168004724209</v>
      </c>
      <c r="K22" s="8">
        <f>100*(output_transition_aggregates!K22-output_transition_aggregates!K$2)</f>
        <v>-0.79414999999999347</v>
      </c>
      <c r="L22" s="6">
        <f>100*(output_transition_aggregates!L22/output_transition_aggregates!L$2-1)</f>
        <v>9.8600554725659215</v>
      </c>
      <c r="M22" s="6">
        <f>100*(output_transition_aggregates!M22-output_transition_aggregates!M$2)</f>
        <v>-3.3220000000000124E-2</v>
      </c>
      <c r="N22" s="6">
        <f>100*(output_transition_aggregates!N22/output_transition_aggregates!N$2-1)</f>
        <v>-0.91334631860076065</v>
      </c>
      <c r="O22" s="6">
        <f>output_transition_aggregates!O22/output_transition_aggregates!O$2</f>
        <v>1.03229087670096</v>
      </c>
      <c r="P22" s="7">
        <f>100*(output_transition_aggregates!P22/SUM(output_transition_aggregates!P22:Q22)-output_transition_aggregates!P$2/SUM(output_transition_aggregates!P$2:Q$2))</f>
        <v>-3.1929489775810171E-2</v>
      </c>
      <c r="Q22" s="6">
        <f>output_transition_aggregates!Q22/output_transition_aggregates!Q$2</f>
        <v>0.97884222699909484</v>
      </c>
      <c r="R22" s="6">
        <f>100*(output_transition_aggregates!R22/output_transition_aggregates!R$2-1)</f>
        <v>-1.7466318377823087</v>
      </c>
      <c r="S22" s="6">
        <f>100*(output_transition_aggregates!S22/output_transition_aggregates!S$2-1)</f>
        <v>-5.566799533982369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5.8484736670083581E-3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</v>
      </c>
      <c r="X22" s="7">
        <f>100*(output_transition_aggregates!X22-output_transition_aggregates!X$2)</f>
        <v>-64.611940000000004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-13.065029892584834</v>
      </c>
      <c r="AB22" s="7">
        <f>output_transition_aggregates!AB22</f>
        <v>33.006144800000001</v>
      </c>
      <c r="AC22" s="6">
        <f>output_transition_aggregates!AC22/output_transition_aggregates!AC$2</f>
        <v>0.98247269203259835</v>
      </c>
      <c r="AD22" s="6">
        <f>output_transition_aggregates!AD22/output_transition_aggregates!AD$2</f>
        <v>0.94399131151137994</v>
      </c>
      <c r="AE22" s="2"/>
      <c r="AF22" s="3"/>
      <c r="AG22" s="3"/>
    </row>
    <row r="23" spans="1:33" x14ac:dyDescent="0.35">
      <c r="A23" s="1">
        <f t="shared" si="0"/>
        <v>2013</v>
      </c>
      <c r="B23" s="6">
        <f>100*(output_transition_aggregates!B23/output_transition_aggregates!B$2-1)</f>
        <v>3.417999999999477E-2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-9.9002066936426658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-0.58265904493983722</v>
      </c>
      <c r="K23" s="8">
        <f>100*(output_transition_aggregates!K23-output_transition_aggregates!K$2)</f>
        <v>-0.60375999999999763</v>
      </c>
      <c r="L23" s="6">
        <f>100*(output_transition_aggregates!L23/output_transition_aggregates!L$2-1)</f>
        <v>10.026054307579413</v>
      </c>
      <c r="M23" s="6">
        <f>100*(output_transition_aggregates!M23-output_transition_aggregates!M$2)</f>
        <v>-1.7700000000000007E-2</v>
      </c>
      <c r="N23" s="6">
        <f>100*(output_transition_aggregates!N23/output_transition_aggregates!N$2-1)</f>
        <v>-0.84322147860208529</v>
      </c>
      <c r="O23" s="6">
        <f>output_transition_aggregates!O23/output_transition_aggregates!O$2</f>
        <v>1.025448223560891</v>
      </c>
      <c r="P23" s="7">
        <f>100*(output_transition_aggregates!P23/SUM(output_transition_aggregates!P23:Q23)-output_transition_aggregates!P$2/SUM(output_transition_aggregates!P$2:Q$2))</f>
        <v>-3.0857455031186448E-2</v>
      </c>
      <c r="Q23" s="6">
        <f>output_transition_aggregates!Q23/output_transition_aggregates!Q$2</f>
        <v>0.97846190804714406</v>
      </c>
      <c r="R23" s="6">
        <f>100*(output_transition_aggregates!R23/output_transition_aggregates!R$2-1)</f>
        <v>-1.4159517834747226</v>
      </c>
      <c r="S23" s="6">
        <f>100*(output_transition_aggregates!S23/output_transition_aggregates!S$2-1)</f>
        <v>-3.6667439024963389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-3.7055859326924276E-2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</v>
      </c>
      <c r="X23" s="7">
        <f>100*(output_transition_aggregates!X23-output_transition_aggregates!X$2)</f>
        <v>-64.611940000000004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-12.926224722521408</v>
      </c>
      <c r="AB23" s="7">
        <f>output_transition_aggregates!AB23</f>
        <v>32.979716699999997</v>
      </c>
      <c r="AC23" s="6">
        <f>output_transition_aggregates!AC23/output_transition_aggregates!AC$2</f>
        <v>0.98578418408256496</v>
      </c>
      <c r="AD23" s="6">
        <f>output_transition_aggregates!AD23/output_transition_aggregates!AD$2</f>
        <v>0.96301807499153236</v>
      </c>
      <c r="AE23" s="2"/>
      <c r="AF23" s="3"/>
      <c r="AG23" s="3"/>
    </row>
    <row r="24" spans="1:33" x14ac:dyDescent="0.35">
      <c r="A24" s="1">
        <f t="shared" si="0"/>
        <v>2013.25</v>
      </c>
      <c r="B24" s="6">
        <f>100*(output_transition_aggregates!B24/output_transition_aggregates!B$2-1)</f>
        <v>-0.54049000000000458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-9.6680139791413211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-0.59627492094843637</v>
      </c>
      <c r="K24" s="8">
        <f>100*(output_transition_aggregates!K24-output_transition_aggregates!K$2)</f>
        <v>-0.87522999999999351</v>
      </c>
      <c r="L24" s="6">
        <f>100*(output_transition_aggregates!L24/output_transition_aggregates!L$2-1)</f>
        <v>10.139395177832689</v>
      </c>
      <c r="M24" s="6">
        <f>100*(output_transition_aggregates!M24-output_transition_aggregates!M$2)</f>
        <v>-3.4140000000000038E-2</v>
      </c>
      <c r="N24" s="6">
        <f>100*(output_transition_aggregates!N24/output_transition_aggregates!N$2-1)</f>
        <v>-1.0018191096832885</v>
      </c>
      <c r="O24" s="6">
        <f>output_transition_aggregates!O24/output_transition_aggregates!O$2</f>
        <v>1.0308444345872623</v>
      </c>
      <c r="P24" s="7">
        <f>100*(output_transition_aggregates!P24/SUM(output_transition_aggregates!P24:Q24)-output_transition_aggregates!P$2/SUM(output_transition_aggregates!P$2:Q$2))</f>
        <v>-3.1033446246384044E-2</v>
      </c>
      <c r="Q24" s="6">
        <f>output_transition_aggregates!Q24/output_transition_aggregates!Q$2</f>
        <v>0.97852432363006803</v>
      </c>
      <c r="R24" s="6">
        <f>100*(output_transition_aggregates!R24/output_transition_aggregates!R$2-1)</f>
        <v>-1.9488066650717673</v>
      </c>
      <c r="S24" s="6">
        <f>100*(output_transition_aggregates!S24/output_transition_aggregates!S$2-1)</f>
        <v>-6.5810710525050613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-3.1832824747818345E-2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</v>
      </c>
      <c r="X24" s="7">
        <f>100*(output_transition_aggregates!X24-output_transition_aggregates!X$2)</f>
        <v>-64.611940000000004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-12.813746740038656</v>
      </c>
      <c r="AB24" s="7">
        <f>output_transition_aggregates!AB24</f>
        <v>32.964275899999997</v>
      </c>
      <c r="AC24" s="6">
        <f>output_transition_aggregates!AC24/output_transition_aggregates!AC$2</f>
        <v>0.9804450551096755</v>
      </c>
      <c r="AD24" s="6">
        <f>output_transition_aggregates!AD24/output_transition_aggregates!AD$2</f>
        <v>0.93381570181523477</v>
      </c>
      <c r="AE24" s="2"/>
      <c r="AF24" s="3"/>
      <c r="AG24" s="3"/>
    </row>
    <row r="25" spans="1:33" x14ac:dyDescent="0.35">
      <c r="A25" s="1">
        <f t="shared" si="0"/>
        <v>2013.5</v>
      </c>
      <c r="B25" s="6">
        <f>100*(output_transition_aggregates!B25/output_transition_aggregates!B$2-1)</f>
        <v>-0.27715999999999852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-9.4412481808060171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-0.60540621856791654</v>
      </c>
      <c r="K25" s="8">
        <f>100*(output_transition_aggregates!K25-output_transition_aggregates!K$2)</f>
        <v>-0.74208000000000052</v>
      </c>
      <c r="L25" s="6">
        <f>100*(output_transition_aggregates!L25/output_transition_aggregates!L$2-1)</f>
        <v>10.381122051127868</v>
      </c>
      <c r="M25" s="6">
        <f>100*(output_transition_aggregates!M25-output_transition_aggregates!M$2)</f>
        <v>-2.1030000000000007E-2</v>
      </c>
      <c r="N25" s="6">
        <f>100*(output_transition_aggregates!N25/output_transition_aggregates!N$2-1)</f>
        <v>-0.96082220400803831</v>
      </c>
      <c r="O25" s="6">
        <f>output_transition_aggregates!O25/output_transition_aggregates!O$2</f>
        <v>1.0272740280738906</v>
      </c>
      <c r="P25" s="7">
        <f>100*(output_transition_aggregates!P25/SUM(output_transition_aggregates!P25:Q25)-output_transition_aggregates!P$2/SUM(output_transition_aggregates!P$2:Q$2))</f>
        <v>-3.1057692215164315E-2</v>
      </c>
      <c r="Q25" s="6">
        <f>output_transition_aggregates!Q25/output_transition_aggregates!Q$2</f>
        <v>0.97853292311038209</v>
      </c>
      <c r="R25" s="6">
        <f>100*(output_transition_aggregates!R25/output_transition_aggregates!R$2-1)</f>
        <v>-1.7229025194815617</v>
      </c>
      <c r="S25" s="6">
        <f>100*(output_transition_aggregates!S25/output_transition_aggregates!S$2-1)</f>
        <v>-5.2774001335300191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-2.81386444023108E-2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</v>
      </c>
      <c r="X25" s="7">
        <f>100*(output_transition_aggregates!X25-output_transition_aggregates!X$2)</f>
        <v>-64.611940000000004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-12.688006895542115</v>
      </c>
      <c r="AB25" s="7">
        <f>output_transition_aggregates!AB25</f>
        <v>32.932889799999998</v>
      </c>
      <c r="AC25" s="6">
        <f>output_transition_aggregates!AC25/output_transition_aggregates!AC$2</f>
        <v>0.98270684675927211</v>
      </c>
      <c r="AD25" s="6">
        <f>output_transition_aggregates!AD25/output_transition_aggregates!AD$2</f>
        <v>0.94686759308694746</v>
      </c>
      <c r="AE25" s="2"/>
      <c r="AF25" s="3"/>
      <c r="AG25" s="3"/>
    </row>
    <row r="26" spans="1:33" x14ac:dyDescent="0.35">
      <c r="A26" s="1">
        <f t="shared" si="0"/>
        <v>2013.75</v>
      </c>
      <c r="B26" s="6">
        <f>100*(output_transition_aggregates!B26/output_transition_aggregates!B$2-1)</f>
        <v>0.26969999999999494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-9.2198349573194172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-0.59720031013984487</v>
      </c>
      <c r="K26" s="8">
        <f>100*(output_transition_aggregates!K26-output_transition_aggregates!K$2)</f>
        <v>-0.4210799999999959</v>
      </c>
      <c r="L26" s="6">
        <f>100*(output_transition_aggregates!L26/output_transition_aggregates!L$2-1)</f>
        <v>10.602653910968996</v>
      </c>
      <c r="M26" s="6">
        <f>100*(output_transition_aggregates!M26-output_transition_aggregates!M$2)</f>
        <v>-7.3900000000000007E-3</v>
      </c>
      <c r="N26" s="6">
        <f>100*(output_transition_aggregates!N26/output_transition_aggregates!N$2-1)</f>
        <v>-0.82401932124670507</v>
      </c>
      <c r="O26" s="6">
        <f>output_transition_aggregates!O26/output_transition_aggregates!O$2</f>
        <v>1.0146971182051026</v>
      </c>
      <c r="P26" s="7">
        <f>100*(output_transition_aggregates!P26/SUM(output_transition_aggregates!P26:Q26)-output_transition_aggregates!P$2/SUM(output_transition_aggregates!P$2:Q$2))</f>
        <v>3.5243162918517645E-2</v>
      </c>
      <c r="Q26" s="6">
        <f>output_transition_aggregates!Q26/output_transition_aggregates!Q$2</f>
        <v>0.97850379583835079</v>
      </c>
      <c r="R26" s="6">
        <f>100*(output_transition_aggregates!R26/output_transition_aggregates!R$2-1)</f>
        <v>-1.195088581150483</v>
      </c>
      <c r="S26" s="6">
        <f>100*(output_transition_aggregates!S26/output_transition_aggregates!S$2-1)</f>
        <v>-2.3665070258699017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-5.1216177270617044E-2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</v>
      </c>
      <c r="X26" s="7">
        <f>100*(output_transition_aggregates!X26-output_transition_aggregates!X$2)</f>
        <v>-64.611940000000004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-12.567827467158111</v>
      </c>
      <c r="AB26" s="7">
        <f>output_transition_aggregates!AB26</f>
        <v>32.912505799999998</v>
      </c>
      <c r="AC26" s="6">
        <f>output_transition_aggregates!AC26/output_transition_aggregates!AC$2</f>
        <v>0.98799278375058741</v>
      </c>
      <c r="AD26" s="6">
        <f>output_transition_aggregates!AD26/output_transition_aggregates!AD$2</f>
        <v>0.97602026301872558</v>
      </c>
      <c r="AE26" s="2"/>
      <c r="AF26" s="3"/>
      <c r="AG26" s="3"/>
    </row>
    <row r="27" spans="1:33" x14ac:dyDescent="0.35">
      <c r="A27" s="1">
        <f t="shared" si="0"/>
        <v>2014</v>
      </c>
      <c r="B27" s="6">
        <f>100*(output_transition_aggregates!B27/output_transition_aggregates!B$2-1)</f>
        <v>-0.94729000000000063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-9.003600845607707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-0.64358445469545611</v>
      </c>
      <c r="K27" s="8">
        <f>100*(output_transition_aggregates!K27-output_transition_aggregates!K$2)</f>
        <v>-0.98213999999999801</v>
      </c>
      <c r="L27" s="6">
        <f>100*(output_transition_aggregates!L27/output_transition_aggregates!L$2-1)</f>
        <v>10.748185884942618</v>
      </c>
      <c r="M27" s="6">
        <f>100*(output_transition_aggregates!M27-output_transition_aggregates!M$2)</f>
        <v>-4.1240000000000027E-2</v>
      </c>
      <c r="N27" s="6">
        <f>100*(output_transition_aggregates!N27/output_transition_aggregates!N$2-1)</f>
        <v>-1.1330271911340062</v>
      </c>
      <c r="O27" s="6">
        <f>output_transition_aggregates!O27/output_transition_aggregates!O$2</f>
        <v>1.0254920443000843</v>
      </c>
      <c r="P27" s="7">
        <f>100*(output_transition_aggregates!P27/SUM(output_transition_aggregates!P27:Q27)-output_transition_aggregates!P$2/SUM(output_transition_aggregates!P$2:Q$2))</f>
        <v>3.2732171973448923E-2</v>
      </c>
      <c r="Q27" s="6">
        <f>output_transition_aggregates!Q27/output_transition_aggregates!Q$2</f>
        <v>0.97937539477856195</v>
      </c>
      <c r="R27" s="6">
        <f>100*(output_transition_aggregates!R27/output_transition_aggregates!R$2-1)</f>
        <v>-2.3014106164077064</v>
      </c>
      <c r="S27" s="6">
        <f>100*(output_transition_aggregates!S27/output_transition_aggregates!S$2-1)</f>
        <v>-8.3345292235196489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-3.0275662117717345E-2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</v>
      </c>
      <c r="X27" s="7">
        <f>100*(output_transition_aggregates!X27-output_transition_aggregates!X$2)</f>
        <v>-64.611940000000004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-12.434447050881037</v>
      </c>
      <c r="AB27" s="7">
        <f>output_transition_aggregates!AB27</f>
        <v>32.904999500000002</v>
      </c>
      <c r="AC27" s="6">
        <f>output_transition_aggregates!AC27/output_transition_aggregates!AC$2</f>
        <v>0.9769084354393972</v>
      </c>
      <c r="AD27" s="6">
        <f>output_transition_aggregates!AD27/output_transition_aggregates!AD$2</f>
        <v>0.91622201842887863</v>
      </c>
      <c r="AE27" s="2"/>
      <c r="AF27" s="3"/>
      <c r="AG27" s="3"/>
    </row>
    <row r="28" spans="1:33" x14ac:dyDescent="0.35">
      <c r="A28" s="1">
        <f t="shared" si="0"/>
        <v>2014.25</v>
      </c>
      <c r="B28" s="6">
        <f>100*(output_transition_aggregates!B28/output_transition_aggregates!B$2-1)</f>
        <v>-0.14600000000000168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-8.7924219434753255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-0.64614707091779078</v>
      </c>
      <c r="K28" s="8">
        <f>100*(output_transition_aggregates!K28-output_transition_aggregates!K$2)</f>
        <v>-0.57250999999999275</v>
      </c>
      <c r="L28" s="6">
        <f>100*(output_transition_aggregates!L28/output_transition_aggregates!L$2-1)</f>
        <v>11.150916122014598</v>
      </c>
      <c r="M28" s="6">
        <f>100*(output_transition_aggregates!M28-output_transition_aggregates!M$2)</f>
        <v>-8.6000000000001006E-3</v>
      </c>
      <c r="N28" s="6">
        <f>100*(output_transition_aggregates!N28/output_transition_aggregates!N$2-1)</f>
        <v>-0.94405778150942199</v>
      </c>
      <c r="O28" s="6">
        <f>output_transition_aggregates!O28/output_transition_aggregates!O$2</f>
        <v>1.0223172764605719</v>
      </c>
      <c r="P28" s="7">
        <f>100*(output_transition_aggregates!P28/SUM(output_transition_aggregates!P28:Q28)-output_transition_aggregates!P$2/SUM(output_transition_aggregates!P$2:Q$2))</f>
        <v>3.0903210884248786E-2</v>
      </c>
      <c r="Q28" s="6">
        <f>output_transition_aggregates!Q28/output_transition_aggregates!Q$2</f>
        <v>0.98001120151661547</v>
      </c>
      <c r="R28" s="6">
        <f>100*(output_transition_aggregates!R28/output_transition_aggregates!R$2-1)</f>
        <v>-1.5791159220878481</v>
      </c>
      <c r="S28" s="6">
        <f>100*(output_transition_aggregates!S28/output_transition_aggregates!S$2-1)</f>
        <v>-4.2880163850812059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-4.70715932014594E-2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</v>
      </c>
      <c r="X28" s="7">
        <f>100*(output_transition_aggregates!X28-output_transition_aggregates!X$2)</f>
        <v>-64.611940000000004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-12.283439228504367</v>
      </c>
      <c r="AB28" s="7">
        <f>output_transition_aggregates!AB28</f>
        <v>32.864311299999997</v>
      </c>
      <c r="AC28" s="6">
        <f>output_transition_aggregates!AC28/output_transition_aggregates!AC$2</f>
        <v>0.98414429211534993</v>
      </c>
      <c r="AD28" s="6">
        <f>output_transition_aggregates!AD28/output_transition_aggregates!AD$2</f>
        <v>0.95675926170258385</v>
      </c>
      <c r="AE28" s="2"/>
      <c r="AF28" s="3"/>
      <c r="AG28" s="3"/>
    </row>
    <row r="29" spans="1:33" x14ac:dyDescent="0.35">
      <c r="A29" s="1">
        <f t="shared" si="0"/>
        <v>2014.5</v>
      </c>
      <c r="B29" s="6">
        <f>100*(output_transition_aggregates!B29/output_transition_aggregates!B$2-1)</f>
        <v>0.59236000000000288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-8.586223909604918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-0.63113124715808988</v>
      </c>
      <c r="K29" s="8">
        <f>100*(output_transition_aggregates!K29-output_transition_aggregates!K$2)</f>
        <v>-0.1758199999999932</v>
      </c>
      <c r="L29" s="6">
        <f>100*(output_transition_aggregates!L29/output_transition_aggregates!L$2-1)</f>
        <v>11.354927948645944</v>
      </c>
      <c r="M29" s="6">
        <f>100*(output_transition_aggregates!M29-output_transition_aggregates!M$2)</f>
        <v>1.0289999999999952E-2</v>
      </c>
      <c r="N29" s="6">
        <f>100*(output_transition_aggregates!N29/output_transition_aggregates!N$2-1)</f>
        <v>-0.75273555811939952</v>
      </c>
      <c r="O29" s="6">
        <f>output_transition_aggregates!O29/output_transition_aggregates!O$2</f>
        <v>1.0191965243893713</v>
      </c>
      <c r="P29" s="7">
        <f>100*(output_transition_aggregates!P29/SUM(output_transition_aggregates!P29:Q29)-output_transition_aggregates!P$2/SUM(output_transition_aggregates!P$2:Q$2))</f>
        <v>2.8641745480060751E-2</v>
      </c>
      <c r="Q29" s="6">
        <f>output_transition_aggregates!Q29/output_transition_aggregates!Q$2</f>
        <v>0.98079847006923138</v>
      </c>
      <c r="R29" s="6">
        <f>100*(output_transition_aggregates!R29/output_transition_aggregates!R$2-1)</f>
        <v>-0.882828353552223</v>
      </c>
      <c r="S29" s="6">
        <f>100*(output_transition_aggregates!S29/output_transition_aggregates!S$2-1)</f>
        <v>-0.46712012894648547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-8.0800175114213724E-2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</v>
      </c>
      <c r="X29" s="7">
        <f>100*(output_transition_aggregates!X29-output_transition_aggregates!X$2)</f>
        <v>-64.611940000000004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-12.124169918315808</v>
      </c>
      <c r="AB29" s="7">
        <f>output_transition_aggregates!AB29</f>
        <v>32.846739300000003</v>
      </c>
      <c r="AC29" s="6">
        <f>output_transition_aggregates!AC29/output_transition_aggregates!AC$2</f>
        <v>0.99112023930956039</v>
      </c>
      <c r="AD29" s="6">
        <f>output_transition_aggregates!AD29/output_transition_aggregates!AD$2</f>
        <v>0.99504124284860684</v>
      </c>
      <c r="AE29" s="2"/>
      <c r="AF29" s="3"/>
      <c r="AG29" s="3"/>
    </row>
    <row r="30" spans="1:33" x14ac:dyDescent="0.35">
      <c r="A30" s="1">
        <f t="shared" si="0"/>
        <v>2014.75</v>
      </c>
      <c r="B30" s="6">
        <f>100*(output_transition_aggregates!B30/output_transition_aggregates!B$2-1)</f>
        <v>-0.10061000000000098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-8.3848332809226989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-0.63447688500395394</v>
      </c>
      <c r="K30" s="8">
        <f>100*(output_transition_aggregates!K30-output_transition_aggregates!K$2)</f>
        <v>-0.48941999999999597</v>
      </c>
      <c r="L30" s="6">
        <f>100*(output_transition_aggregates!L30/output_transition_aggregates!L$2-1)</f>
        <v>11.324135228906984</v>
      </c>
      <c r="M30" s="6">
        <f>100*(output_transition_aggregates!M30-output_transition_aggregates!M$2)</f>
        <v>-1.3570000000000075E-2</v>
      </c>
      <c r="N30" s="6">
        <f>100*(output_transition_aggregates!N30/output_transition_aggregates!N$2-1)</f>
        <v>-0.90982958634836519</v>
      </c>
      <c r="O30" s="6">
        <f>output_transition_aggregates!O30/output_transition_aggregates!O$2</f>
        <v>1.025793244809478</v>
      </c>
      <c r="P30" s="7">
        <f>100*(output_transition_aggregates!P30/SUM(output_transition_aggregates!P30:Q30)-output_transition_aggregates!P$2/SUM(output_transition_aggregates!P$2:Q$2))</f>
        <v>2.5471440308750051E-2</v>
      </c>
      <c r="Q30" s="6">
        <f>output_transition_aggregates!Q30/output_transition_aggregates!Q$2</f>
        <v>0.98190419679605556</v>
      </c>
      <c r="R30" s="6">
        <f>100*(output_transition_aggregates!R30/output_transition_aggregates!R$2-1)</f>
        <v>-1.4988685056036233</v>
      </c>
      <c r="S30" s="6">
        <f>100*(output_transition_aggregates!S30/output_transition_aggregates!S$2-1)</f>
        <v>-3.8930834410839443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-3.9408819842362899E-2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</v>
      </c>
      <c r="X30" s="7">
        <f>100*(output_transition_aggregates!X30-output_transition_aggregates!X$2)</f>
        <v>-64.611940000000004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-11.965349337359976</v>
      </c>
      <c r="AB30" s="7">
        <f>output_transition_aggregates!AB30</f>
        <v>32.850627299999999</v>
      </c>
      <c r="AC30" s="6">
        <f>output_transition_aggregates!AC30/output_transition_aggregates!AC$2</f>
        <v>0.98494909585602763</v>
      </c>
      <c r="AD30" s="6">
        <f>output_transition_aggregates!AD30/output_transition_aggregates!AD$2</f>
        <v>0.960721604355667</v>
      </c>
      <c r="AE30" s="2"/>
      <c r="AF30" s="3"/>
      <c r="AG30" s="3"/>
    </row>
    <row r="31" spans="1:33" x14ac:dyDescent="0.35">
      <c r="A31" s="1">
        <f t="shared" si="0"/>
        <v>2015</v>
      </c>
      <c r="B31" s="6">
        <f>100*(output_transition_aggregates!B31/output_transition_aggregates!B$2-1)</f>
        <v>0.57898000000000671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-8.1881757161113349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-0.63381250302038117</v>
      </c>
      <c r="K31" s="8">
        <f>100*(output_transition_aggregates!K31-output_transition_aggregates!K$2)</f>
        <v>-0.11913000000000062</v>
      </c>
      <c r="L31" s="6">
        <f>100*(output_transition_aggregates!L31/output_transition_aggregates!L$2-1)</f>
        <v>11.442058362066533</v>
      </c>
      <c r="M31" s="6">
        <f>100*(output_transition_aggregates!M31-output_transition_aggregates!M$2)</f>
        <v>1.1139999999999935E-2</v>
      </c>
      <c r="N31" s="6">
        <f>100*(output_transition_aggregates!N31/output_transition_aggregates!N$2-1)</f>
        <v>-0.72926736476467413</v>
      </c>
      <c r="O31" s="6">
        <f>output_transition_aggregates!O31/output_transition_aggregates!O$2</f>
        <v>1.0207937456179259</v>
      </c>
      <c r="P31" s="7">
        <f>100*(output_transition_aggregates!P31/SUM(output_transition_aggregates!P31:Q31)-output_transition_aggregates!P$2/SUM(output_transition_aggregates!P$2:Q$2))</f>
        <v>2.3592895490687563E-2</v>
      </c>
      <c r="Q31" s="6">
        <f>output_transition_aggregates!Q31/output_transition_aggregates!Q$2</f>
        <v>0.98256053132582633</v>
      </c>
      <c r="R31" s="6">
        <f>100*(output_transition_aggregates!R31/output_transition_aggregates!R$2-1)</f>
        <v>-0.85048931122659877</v>
      </c>
      <c r="S31" s="6">
        <f>100*(output_transition_aggregates!S31/output_transition_aggregates!S$2-1)</f>
        <v>-0.27421731849007758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-8.7769386816301601E-2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</v>
      </c>
      <c r="X31" s="7">
        <f>100*(output_transition_aggregates!X31-output_transition_aggregates!X$2)</f>
        <v>-64.611940000000004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-11.773787175760308</v>
      </c>
      <c r="AB31" s="7">
        <f>output_transition_aggregates!AB31</f>
        <v>32.835336099999999</v>
      </c>
      <c r="AC31" s="6">
        <f>output_transition_aggregates!AC31/output_transition_aggregates!AC$2</f>
        <v>0.99144524749381324</v>
      </c>
      <c r="AD31" s="6">
        <f>output_transition_aggregates!AD31/output_transition_aggregates!AD$2</f>
        <v>0.99697930790671974</v>
      </c>
      <c r="AE31" s="2"/>
      <c r="AF31" s="3"/>
      <c r="AG31" s="3"/>
    </row>
    <row r="32" spans="1:33" x14ac:dyDescent="0.35">
      <c r="A32" s="1">
        <f t="shared" si="0"/>
        <v>2015.25</v>
      </c>
      <c r="B32" s="6">
        <f>100*(output_transition_aggregates!B32/output_transition_aggregates!B$2-1)</f>
        <v>0.71829000000001031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-7.9961520934143326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-0.62408800720128443</v>
      </c>
      <c r="K32" s="8">
        <f>100*(output_transition_aggregates!K32-output_transition_aggregates!K$2)</f>
        <v>-2.187000000000161E-2</v>
      </c>
      <c r="L32" s="6">
        <f>100*(output_transition_aggregates!L32/output_transition_aggregates!L$2-1)</f>
        <v>11.382660751959129</v>
      </c>
      <c r="M32" s="6">
        <f>100*(output_transition_aggregates!M32-output_transition_aggregates!M$2)</f>
        <v>1.2109999999999899E-2</v>
      </c>
      <c r="N32" s="6">
        <f>100*(output_transition_aggregates!N32/output_transition_aggregates!N$2-1)</f>
        <v>-0.67326440271701093</v>
      </c>
      <c r="O32" s="6">
        <f>output_transition_aggregates!O32/output_transition_aggregates!O$2</f>
        <v>1.0216120308498002</v>
      </c>
      <c r="P32" s="7">
        <f>100*(output_transition_aggregates!P32/SUM(output_transition_aggregates!P32:Q32)-output_transition_aggregates!P$2/SUM(output_transition_aggregates!P$2:Q$2))</f>
        <v>2.0372654618461272E-2</v>
      </c>
      <c r="Q32" s="6">
        <f>output_transition_aggregates!Q32/output_transition_aggregates!Q$2</f>
        <v>0.98368761805214</v>
      </c>
      <c r="R32" s="6">
        <f>100*(output_transition_aggregates!R32/output_transition_aggregates!R$2-1)</f>
        <v>-0.68595007576621736</v>
      </c>
      <c r="S32" s="6">
        <f>100*(output_transition_aggregates!S32/output_transition_aggregates!S$2-1)</f>
        <v>0.60046941551514799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-4.5625656438880516E-2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</v>
      </c>
      <c r="X32" s="7">
        <f>100*(output_transition_aggregates!X32-output_transition_aggregates!X$2)</f>
        <v>-64.611940000000004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-11.557649261996072</v>
      </c>
      <c r="AB32" s="7">
        <f>output_transition_aggregates!AB32</f>
        <v>32.840289499999997</v>
      </c>
      <c r="AC32" s="6">
        <f>output_transition_aggregates!AC32/output_transition_aggregates!AC$2</f>
        <v>0.99309445776436944</v>
      </c>
      <c r="AD32" s="6">
        <f>output_transition_aggregates!AD32/output_transition_aggregates!AD$2</f>
        <v>1.0057475024571476</v>
      </c>
      <c r="AE32" s="2"/>
      <c r="AF32" s="3"/>
      <c r="AG32" s="3"/>
    </row>
    <row r="33" spans="1:33" x14ac:dyDescent="0.35">
      <c r="A33" s="1">
        <f t="shared" si="0"/>
        <v>2015.5</v>
      </c>
      <c r="B33" s="6">
        <f>100*(output_transition_aggregates!B33/output_transition_aggregates!B$2-1)</f>
        <v>0.74818999999999303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-7.8086137301970222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-0.61778033301198576</v>
      </c>
      <c r="K33" s="8">
        <f>100*(output_transition_aggregates!K33-output_transition_aggregates!K$2)</f>
        <v>1.6740000000003974E-2</v>
      </c>
      <c r="L33" s="6">
        <f>100*(output_transition_aggregates!L33/output_transition_aggregates!L$2-1)</f>
        <v>11.249392366276222</v>
      </c>
      <c r="M33" s="6">
        <f>100*(output_transition_aggregates!M33-output_transition_aggregates!M$2)</f>
        <v>1.1479999999999997E-2</v>
      </c>
      <c r="N33" s="6">
        <f>100*(output_transition_aggregates!N33/output_transition_aggregates!N$2-1)</f>
        <v>-0.64464599494150621</v>
      </c>
      <c r="O33" s="6">
        <f>output_transition_aggregates!O33/output_transition_aggregates!O$2</f>
        <v>1.0200867114055547</v>
      </c>
      <c r="P33" s="7">
        <f>100*(output_transition_aggregates!P33/SUM(output_transition_aggregates!P33:Q33)-output_transition_aggregates!P$2/SUM(output_transition_aggregates!P$2:Q$2))</f>
        <v>1.8465136777929755E-2</v>
      </c>
      <c r="Q33" s="6">
        <f>output_transition_aggregates!Q33/output_transition_aggregates!Q$2</f>
        <v>0.98435643569849551</v>
      </c>
      <c r="R33" s="6">
        <f>100*(output_transition_aggregates!R33/output_transition_aggregates!R$2-1)</f>
        <v>-0.62209381370136319</v>
      </c>
      <c r="S33" s="6">
        <f>100*(output_transition_aggregates!S33/output_transition_aggregates!S$2-1)</f>
        <v>0.92833009027193381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-2.7511744080484582E-2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</v>
      </c>
      <c r="X33" s="7">
        <f>100*(output_transition_aggregates!X33-output_transition_aggregates!X$2)</f>
        <v>-64.611940000000004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-11.340615629026995</v>
      </c>
      <c r="AB33" s="7">
        <f>output_transition_aggregates!AB33</f>
        <v>32.8500035</v>
      </c>
      <c r="AC33" s="6">
        <f>output_transition_aggregates!AC33/output_transition_aggregates!AC$2</f>
        <v>0.99373496169821429</v>
      </c>
      <c r="AD33" s="6">
        <f>output_transition_aggregates!AD33/output_transition_aggregates!AD$2</f>
        <v>1.0090371342880453</v>
      </c>
      <c r="AE33" s="2"/>
      <c r="AF33" s="3"/>
      <c r="AG33" s="3"/>
    </row>
    <row r="34" spans="1:33" x14ac:dyDescent="0.35">
      <c r="A34" s="1">
        <f t="shared" si="0"/>
        <v>2015.75</v>
      </c>
      <c r="B34" s="6">
        <f>100*(output_transition_aggregates!B34/output_transition_aggregates!B$2-1)</f>
        <v>-5.110000000000392E-2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-7.6254615047029572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-0.62526649429119896</v>
      </c>
      <c r="K34" s="8">
        <f>100*(output_transition_aggregates!K34-output_transition_aggregates!K$2)</f>
        <v>-0.35122999999999127</v>
      </c>
      <c r="L34" s="6">
        <f>100*(output_transition_aggregates!L34/output_transition_aggregates!L$2-1)</f>
        <v>11.080666356281977</v>
      </c>
      <c r="M34" s="6">
        <f>100*(output_transition_aggregates!M34-output_transition_aggregates!M$2)</f>
        <v>-1.2299999999999985E-2</v>
      </c>
      <c r="N34" s="6">
        <f>100*(output_transition_aggregates!N34/output_transition_aggregates!N$2-1)</f>
        <v>-0.82543800300760584</v>
      </c>
      <c r="O34" s="6">
        <f>output_transition_aggregates!O34/output_transition_aggregates!O$2</f>
        <v>1.0203952451815073</v>
      </c>
      <c r="P34" s="7">
        <f>100*(output_transition_aggregates!P34/SUM(output_transition_aggregates!P34:Q34)-output_transition_aggregates!P$2/SUM(output_transition_aggregates!P$2:Q$2))</f>
        <v>1.7136663827461984E-2</v>
      </c>
      <c r="Q34" s="6">
        <f>output_transition_aggregates!Q34/output_transition_aggregates!Q$2</f>
        <v>0.98482274945358617</v>
      </c>
      <c r="R34" s="6">
        <f>100*(output_transition_aggregates!R34/output_transition_aggregates!R$2-1)</f>
        <v>-1.328437384592962</v>
      </c>
      <c r="S34" s="6">
        <f>100*(output_transition_aggregates!S34/output_transition_aggregates!S$2-1)</f>
        <v>-2.9831345143306209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-2.4086759801676336E-2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</v>
      </c>
      <c r="X34" s="7">
        <f>100*(output_transition_aggregates!X34-output_transition_aggregates!X$2)</f>
        <v>-64.611940000000004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-11.154450393044202</v>
      </c>
      <c r="AB34" s="7">
        <f>output_transition_aggregates!AB34</f>
        <v>32.861433499999997</v>
      </c>
      <c r="AC34" s="6">
        <f>output_transition_aggregates!AC34/output_transition_aggregates!AC$2</f>
        <v>0.98665916629528272</v>
      </c>
      <c r="AD34" s="6">
        <f>output_transition_aggregates!AD34/output_transition_aggregates!AD$2</f>
        <v>0.96985344591690559</v>
      </c>
      <c r="AE34" s="2"/>
      <c r="AF34" s="3"/>
      <c r="AG34" s="3"/>
    </row>
    <row r="35" spans="1:33" x14ac:dyDescent="0.35">
      <c r="A35" s="1">
        <f t="shared" si="0"/>
        <v>2016</v>
      </c>
      <c r="B35" s="6">
        <f>100*(output_transition_aggregates!B35/output_transition_aggregates!B$2-1)</f>
        <v>-7.0199999999998042E-2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-7.4466210756147895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-0.62988553093888955</v>
      </c>
      <c r="K35" s="8">
        <f>100*(output_transition_aggregates!K35-output_transition_aggregates!K$2)</f>
        <v>-0.33450999999999897</v>
      </c>
      <c r="L35" s="6">
        <f>100*(output_transition_aggregates!L35/output_transition_aggregates!L$2-1)</f>
        <v>11.146588308448614</v>
      </c>
      <c r="M35" s="6">
        <f>100*(output_transition_aggregates!M35-output_transition_aggregates!M$2)</f>
        <v>-7.5399999999999773E-3</v>
      </c>
      <c r="N35" s="6">
        <f>100*(output_transition_aggregates!N35/output_transition_aggregates!N$2-1)</f>
        <v>-0.8247936017852231</v>
      </c>
      <c r="O35" s="6">
        <f>output_transition_aggregates!O35/output_transition_aggregates!O$2</f>
        <v>1.0156810279451114</v>
      </c>
      <c r="P35" s="7">
        <f>100*(output_transition_aggregates!P35/SUM(output_transition_aggregates!P35:Q35)-output_transition_aggregates!P$2/SUM(output_transition_aggregates!P$2:Q$2))</f>
        <v>1.5946739026546572E-2</v>
      </c>
      <c r="Q35" s="6">
        <f>output_transition_aggregates!Q35/output_transition_aggregates!Q$2</f>
        <v>0.98524079515788232</v>
      </c>
      <c r="R35" s="6">
        <f>100*(output_transition_aggregates!R35/output_transition_aggregates!R$2-1)</f>
        <v>-1.3296474698185623</v>
      </c>
      <c r="S35" s="6">
        <f>100*(output_transition_aggregates!S35/output_transition_aggregates!S$2-1)</f>
        <v>-2.9687838320948567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-4.7298212275997953E-2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</v>
      </c>
      <c r="X35" s="7">
        <f>100*(output_transition_aggregates!X35-output_transition_aggregates!X$2)</f>
        <v>-64.611940000000004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-10.973753392362562</v>
      </c>
      <c r="AB35" s="7">
        <f>output_transition_aggregates!AB35</f>
        <v>32.850943899999997</v>
      </c>
      <c r="AC35" s="6">
        <f>output_transition_aggregates!AC35/output_transition_aggregates!AC$2</f>
        <v>0.98664713015346672</v>
      </c>
      <c r="AD35" s="6">
        <f>output_transition_aggregates!AD35/output_transition_aggregates!AD$2</f>
        <v>0.96999713347833427</v>
      </c>
      <c r="AE35" s="2"/>
      <c r="AF35" s="3"/>
      <c r="AG35" s="3"/>
    </row>
    <row r="36" spans="1:33" x14ac:dyDescent="0.35">
      <c r="A36" s="1">
        <f t="shared" si="0"/>
        <v>2016.25</v>
      </c>
      <c r="B36" s="6">
        <f>100*(output_transition_aggregates!B36/output_transition_aggregates!B$2-1)</f>
        <v>-0.36022999999999472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-7.271968540736939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-0.64526122827304189</v>
      </c>
      <c r="K36" s="8">
        <f>100*(output_transition_aggregates!K36-output_transition_aggregates!K$2)</f>
        <v>-0.45733999999999497</v>
      </c>
      <c r="L36" s="6">
        <f>100*(output_transition_aggregates!L36/output_transition_aggregates!L$2-1)</f>
        <v>11.252058647397757</v>
      </c>
      <c r="M36" s="6">
        <f>100*(output_transition_aggregates!M36-output_transition_aggregates!M$2)</f>
        <v>-1.5060000000000073E-2</v>
      </c>
      <c r="N36" s="6">
        <f>100*(output_transition_aggregates!N36/output_transition_aggregates!N$2-1)</f>
        <v>-0.89541298225689347</v>
      </c>
      <c r="O36" s="6">
        <f>output_transition_aggregates!O36/output_transition_aggregates!O$2</f>
        <v>1.0195717730049938</v>
      </c>
      <c r="P36" s="7">
        <f>100*(output_transition_aggregates!P36/SUM(output_transition_aggregates!P36:Q36)-output_transition_aggregates!P$2/SUM(output_transition_aggregates!P$2:Q$2))</f>
        <v>1.412151605148515E-2</v>
      </c>
      <c r="Q36" s="6">
        <f>output_transition_aggregates!Q36/output_transition_aggregates!Q$2</f>
        <v>0.98588270475293271</v>
      </c>
      <c r="R36" s="6">
        <f>100*(output_transition_aggregates!R36/output_transition_aggregates!R$2-1)</f>
        <v>-1.5885442331770694</v>
      </c>
      <c r="S36" s="6">
        <f>100*(output_transition_aggregates!S36/output_transition_aggregates!S$2-1)</f>
        <v>-4.3447323055545777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-3.3507724677779918E-2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</v>
      </c>
      <c r="X36" s="7">
        <f>100*(output_transition_aggregates!X36-output_transition_aggregates!X$2)</f>
        <v>-64.611940000000004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-10.829354760235377</v>
      </c>
      <c r="AB36" s="7">
        <f>output_transition_aggregates!AB36</f>
        <v>32.840688999999998</v>
      </c>
      <c r="AC36" s="6">
        <f>output_transition_aggregates!AC36/output_transition_aggregates!AC$2</f>
        <v>0.98405330923689116</v>
      </c>
      <c r="AD36" s="6">
        <f>output_transition_aggregates!AD36/output_transition_aggregates!AD$2</f>
        <v>0.956210718622161</v>
      </c>
      <c r="AE36" s="2"/>
      <c r="AF36" s="3"/>
      <c r="AG36" s="3"/>
    </row>
    <row r="37" spans="1:33" x14ac:dyDescent="0.35">
      <c r="A37" s="1">
        <f t="shared" si="0"/>
        <v>2016.5</v>
      </c>
      <c r="B37" s="6">
        <f>100*(output_transition_aggregates!B37/output_transition_aggregates!B$2-1)</f>
        <v>-0.32347000000000348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-7.1014295587520699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-0.65501736132944632</v>
      </c>
      <c r="K37" s="8">
        <f>100*(output_transition_aggregates!K37-output_transition_aggregates!K$2)</f>
        <v>-0.41021999999999448</v>
      </c>
      <c r="L37" s="6">
        <f>100*(output_transition_aggregates!L37/output_transition_aggregates!L$2-1)</f>
        <v>11.391018434137013</v>
      </c>
      <c r="M37" s="6">
        <f>100*(output_transition_aggregates!M37-output_transition_aggregates!M$2)</f>
        <v>-1.0600000000000019E-2</v>
      </c>
      <c r="N37" s="6">
        <f>100*(output_transition_aggregates!N37/output_transition_aggregates!N$2-1)</f>
        <v>-0.88365890414627835</v>
      </c>
      <c r="O37" s="6">
        <f>output_transition_aggregates!O37/output_transition_aggregates!O$2</f>
        <v>1.0171628843704839</v>
      </c>
      <c r="P37" s="7">
        <f>100*(output_transition_aggregates!P37/SUM(output_transition_aggregates!P37:Q37)-output_transition_aggregates!P$2/SUM(output_transition_aggregates!P$2:Q$2))</f>
        <v>1.2747418915313308E-2</v>
      </c>
      <c r="Q37" s="6">
        <f>output_transition_aggregates!Q37/output_transition_aggregates!Q$2</f>
        <v>0.98636649487124217</v>
      </c>
      <c r="R37" s="6">
        <f>100*(output_transition_aggregates!R37/output_transition_aggregates!R$2-1)</f>
        <v>-1.5460035900057845</v>
      </c>
      <c r="S37" s="6">
        <f>100*(output_transition_aggregates!S37/output_transition_aggregates!S$2-1)</f>
        <v>-4.0625082462201085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-7.4025644787255665E-2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</v>
      </c>
      <c r="X37" s="7">
        <f>100*(output_transition_aggregates!X37-output_transition_aggregates!X$2)</f>
        <v>-64.611940000000004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-10.695113409965273</v>
      </c>
      <c r="AB37" s="7">
        <f>output_transition_aggregates!AB37</f>
        <v>32.822968699999997</v>
      </c>
      <c r="AC37" s="6">
        <f>output_transition_aggregates!AC37/output_transition_aggregates!AC$2</f>
        <v>0.98447952454910259</v>
      </c>
      <c r="AD37" s="6">
        <f>output_transition_aggregates!AD37/output_transition_aggregates!AD$2</f>
        <v>0.9590374776922802</v>
      </c>
      <c r="AE37" s="2"/>
      <c r="AF37" s="3"/>
      <c r="AG37" s="3"/>
    </row>
    <row r="38" spans="1:33" x14ac:dyDescent="0.35">
      <c r="A38" s="1">
        <f t="shared" si="0"/>
        <v>2016.75</v>
      </c>
      <c r="B38" s="6">
        <f>100*(output_transition_aggregates!B38/output_transition_aggregates!B$2-1)</f>
        <v>6.2900000000087886E-3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-6.9348802274646015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-0.65501340667478702</v>
      </c>
      <c r="K38" s="8">
        <f>100*(output_transition_aggregates!K38-output_transition_aggregates!K$2)</f>
        <v>-0.23691999999999602</v>
      </c>
      <c r="L38" s="6">
        <f>100*(output_transition_aggregates!L38/output_transition_aggregates!L$2-1)</f>
        <v>11.540310603917447</v>
      </c>
      <c r="M38" s="6">
        <f>100*(output_transition_aggregates!M38-output_transition_aggregates!M$2)</f>
        <v>-6.2000000000013433E-4</v>
      </c>
      <c r="N38" s="6">
        <f>100*(output_transition_aggregates!N38/output_transition_aggregates!N$2-1)</f>
        <v>-0.80356832431306424</v>
      </c>
      <c r="O38" s="6">
        <f>output_transition_aggregates!O38/output_transition_aggregates!O$2</f>
        <v>1.0191489475868185</v>
      </c>
      <c r="P38" s="7">
        <f>100*(output_transition_aggregates!P38/SUM(output_transition_aggregates!P38:Q38)-output_transition_aggregates!P$2/SUM(output_transition_aggregates!P$2:Q$2))</f>
        <v>1.0246836782425509E-2</v>
      </c>
      <c r="Q38" s="6">
        <f>output_transition_aggregates!Q38/output_transition_aggregates!Q$2</f>
        <v>0.98724808030472111</v>
      </c>
      <c r="R38" s="6">
        <f>100*(output_transition_aggregates!R38/output_transition_aggregates!R$2-1)</f>
        <v>-1.2393602285883265</v>
      </c>
      <c r="S38" s="6">
        <f>100*(output_transition_aggregates!S38/output_transition_aggregates!S$2-1)</f>
        <v>-2.3495898488262168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-2.2036502784387665E-2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</v>
      </c>
      <c r="X38" s="7">
        <f>100*(output_transition_aggregates!X38-output_transition_aggregates!X$2)</f>
        <v>-64.611940000000004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-10.552996687734739</v>
      </c>
      <c r="AB38" s="7">
        <f>output_transition_aggregates!AB38</f>
        <v>32.806935500000002</v>
      </c>
      <c r="AC38" s="6">
        <f>output_transition_aggregates!AC38/output_transition_aggregates!AC$2</f>
        <v>0.98755145855066606</v>
      </c>
      <c r="AD38" s="6">
        <f>output_transition_aggregates!AD38/output_transition_aggregates!AD$2</f>
        <v>0.97619702583014356</v>
      </c>
      <c r="AE38" s="2"/>
      <c r="AF38" s="3"/>
      <c r="AG38" s="3"/>
    </row>
    <row r="39" spans="1:33" x14ac:dyDescent="0.35">
      <c r="A39" s="1">
        <f t="shared" si="0"/>
        <v>2017</v>
      </c>
      <c r="B39" s="6">
        <f>100*(output_transition_aggregates!B39/output_transition_aggregates!B$2-1)</f>
        <v>-3.3199999999999896E-2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-6.7722214251180972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-0.66283175894576996</v>
      </c>
      <c r="K39" s="8">
        <f>100*(output_transition_aggregates!K39-output_transition_aggregates!K$2)</f>
        <v>-0.23199999999999887</v>
      </c>
      <c r="L39" s="6">
        <f>100*(output_transition_aggregates!L39/output_transition_aggregates!L$2-1)</f>
        <v>11.553311442860847</v>
      </c>
      <c r="M39" s="6">
        <f>100*(output_transition_aggregates!M39-output_transition_aggregates!M$2)</f>
        <v>-2.6100000000001122E-3</v>
      </c>
      <c r="N39" s="6">
        <f>100*(output_transition_aggregates!N39/output_transition_aggregates!N$2-1)</f>
        <v>-0.80416277195231034</v>
      </c>
      <c r="O39" s="6">
        <f>output_transition_aggregates!O39/output_transition_aggregates!O$2</f>
        <v>1.017219940761515</v>
      </c>
      <c r="P39" s="7">
        <f>100*(output_transition_aggregates!P39/SUM(output_transition_aggregates!P39:Q39)-output_transition_aggregates!P$2/SUM(output_transition_aggregates!P$2:Q$2))</f>
        <v>9.3163250999811487E-3</v>
      </c>
      <c r="Q39" s="6">
        <f>output_transition_aggregates!Q39/output_transition_aggregates!Q$2</f>
        <v>0.98757652497219739</v>
      </c>
      <c r="R39" s="6">
        <f>100*(output_transition_aggregates!R39/output_transition_aggregates!R$2-1)</f>
        <v>-1.2579191827433722</v>
      </c>
      <c r="S39" s="6">
        <f>100*(output_transition_aggregates!S39/output_transition_aggregates!S$2-1)</f>
        <v>-2.4175115917003165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-5.312856406955585E-2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</v>
      </c>
      <c r="X39" s="7">
        <f>100*(output_transition_aggregates!X39-output_transition_aggregates!X$2)</f>
        <v>-64.611940000000004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-10.403505500594246</v>
      </c>
      <c r="AB39" s="7">
        <f>output_transition_aggregates!AB39</f>
        <v>32.800689800000001</v>
      </c>
      <c r="AC39" s="6">
        <f>output_transition_aggregates!AC39/output_transition_aggregates!AC$2</f>
        <v>0.98736583665389577</v>
      </c>
      <c r="AD39" s="6">
        <f>output_transition_aggregates!AD39/output_transition_aggregates!AD$2</f>
        <v>0.97551762766233174</v>
      </c>
      <c r="AE39" s="2"/>
      <c r="AF39" s="3"/>
      <c r="AG39" s="3"/>
    </row>
    <row r="40" spans="1:33" x14ac:dyDescent="0.35">
      <c r="A40" s="1">
        <f t="shared" si="0"/>
        <v>2017.25</v>
      </c>
      <c r="B40" s="6">
        <f>100*(output_transition_aggregates!B40/output_transition_aggregates!B$2-1)</f>
        <v>-0.37042000000000463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-6.6133788103952096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-0.66943603223488246</v>
      </c>
      <c r="K40" s="8">
        <f>100*(output_transition_aggregates!K40-output_transition_aggregates!K$2)</f>
        <v>-0.39180999999999244</v>
      </c>
      <c r="L40" s="6">
        <f>100*(output_transition_aggregates!L40/output_transition_aggregates!L$2-1)</f>
        <v>11.572458212024062</v>
      </c>
      <c r="M40" s="6">
        <f>100*(output_transition_aggregates!M40-output_transition_aggregates!M$2)</f>
        <v>-1.243000000000008E-2</v>
      </c>
      <c r="N40" s="6">
        <f>100*(output_transition_aggregates!N40/output_transition_aggregates!N$2-1)</f>
        <v>-0.88968830163013157</v>
      </c>
      <c r="O40" s="6">
        <f>output_transition_aggregates!O40/output_transition_aggregates!O$2</f>
        <v>1.0220672299569304</v>
      </c>
      <c r="P40" s="7">
        <f>100*(output_transition_aggregates!P40/SUM(output_transition_aggregates!P40:Q40)-output_transition_aggregates!P$2/SUM(output_transition_aggregates!P$2:Q$2))</f>
        <v>7.5183068984293472E-3</v>
      </c>
      <c r="Q40" s="6">
        <f>output_transition_aggregates!Q40/output_transition_aggregates!Q$2</f>
        <v>0.98821177690506923</v>
      </c>
      <c r="R40" s="6">
        <f>100*(output_transition_aggregates!R40/output_transition_aggregates!R$2-1)</f>
        <v>-1.5633362813252671</v>
      </c>
      <c r="S40" s="6">
        <f>100*(output_transition_aggregates!S40/output_transition_aggregates!S$2-1)</f>
        <v>-4.0934327012646987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9.2083087652919393E-3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</v>
      </c>
      <c r="X40" s="7">
        <f>100*(output_transition_aggregates!X40-output_transition_aggregates!X$2)</f>
        <v>-64.611940000000004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-10.255414418230291</v>
      </c>
      <c r="AB40" s="7">
        <f>output_transition_aggregates!AB40</f>
        <v>32.794020799999998</v>
      </c>
      <c r="AC40" s="6">
        <f>output_transition_aggregates!AC40/output_transition_aggregates!AC$2</f>
        <v>0.98430580937326839</v>
      </c>
      <c r="AD40" s="6">
        <f>output_transition_aggregates!AD40/output_transition_aggregates!AD$2</f>
        <v>0.95872588353391153</v>
      </c>
      <c r="AE40" s="2"/>
      <c r="AF40" s="3"/>
      <c r="AG40" s="3"/>
    </row>
    <row r="41" spans="1:33" x14ac:dyDescent="0.35">
      <c r="A41" s="1">
        <f t="shared" si="0"/>
        <v>2017.5</v>
      </c>
      <c r="B41" s="6">
        <f>100*(output_transition_aggregates!B41/output_transition_aggregates!B$2-1)</f>
        <v>-7.0380000000003218E-2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-6.4582780419785717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-0.66824568118097893</v>
      </c>
      <c r="K41" s="8">
        <f>100*(output_transition_aggregates!K41-output_transition_aggregates!K$2)</f>
        <v>-0.23898999999999448</v>
      </c>
      <c r="L41" s="6">
        <f>100*(output_transition_aggregates!L41/output_transition_aggregates!L$2-1)</f>
        <v>11.648588584732767</v>
      </c>
      <c r="M41" s="6">
        <f>100*(output_transition_aggregates!M41-output_transition_aggregates!M$2)</f>
        <v>-1.3000000000009532E-4</v>
      </c>
      <c r="N41" s="6">
        <f>100*(output_transition_aggregates!N41/output_transition_aggregates!N$2-1)</f>
        <v>-0.81619659012845958</v>
      </c>
      <c r="O41" s="6">
        <f>output_transition_aggregates!O41/output_transition_aggregates!O$2</f>
        <v>1.0215025684318972</v>
      </c>
      <c r="P41" s="7">
        <f>100*(output_transition_aggregates!P41/SUM(output_transition_aggregates!P41:Q41)-output_transition_aggregates!P$2/SUM(output_transition_aggregates!P$2:Q$2))</f>
        <v>7.5661726003685426E-3</v>
      </c>
      <c r="Q41" s="6">
        <f>output_transition_aggregates!Q41/output_transition_aggregates!Q$2</f>
        <v>0.988194855347032</v>
      </c>
      <c r="R41" s="6">
        <f>100*(output_transition_aggregates!R41/output_transition_aggregates!R$2-1)</f>
        <v>-1.2855278919144064</v>
      </c>
      <c r="S41" s="6">
        <f>100*(output_transition_aggregates!S41/output_transition_aggregates!S$2-1)</f>
        <v>-2.5469930621500159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-9.2558488381775522E-3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</v>
      </c>
      <c r="X41" s="7">
        <f>100*(output_transition_aggregates!X41-output_transition_aggregates!X$2)</f>
        <v>-64.611940000000004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-10.088763686089418</v>
      </c>
      <c r="AB41" s="7">
        <f>output_transition_aggregates!AB41</f>
        <v>32.778143499999999</v>
      </c>
      <c r="AC41" s="6">
        <f>output_transition_aggregates!AC41/output_transition_aggregates!AC$2</f>
        <v>0.98708890832646701</v>
      </c>
      <c r="AD41" s="6">
        <f>output_transition_aggregates!AD41/output_transition_aggregates!AD$2</f>
        <v>0.97421829448106023</v>
      </c>
      <c r="AE41" s="2"/>
      <c r="AF41" s="3"/>
      <c r="AG41" s="3"/>
    </row>
    <row r="42" spans="1:33" x14ac:dyDescent="0.35">
      <c r="B42" s="6"/>
      <c r="C42" s="6"/>
      <c r="D42" s="6">
        <f>100*(output_transition_aggregates!D42/output_transition_aggregates!D$2-1)</f>
        <v>-6.3068199981117345</v>
      </c>
      <c r="E42" s="6"/>
      <c r="F42" s="6"/>
      <c r="G42" s="6"/>
      <c r="H42" s="6"/>
      <c r="I42" s="6"/>
      <c r="J42" s="6">
        <f>100*(output_transition_aggregates!J42/output_transition_aggregates!J$2-1)</f>
        <v>-0.66396674483437668</v>
      </c>
      <c r="K42" s="8">
        <f>100*(output_transition_aggregates!K42-output_transition_aggregates!K$2)</f>
        <v>-0.2363799999999916</v>
      </c>
      <c r="L42" s="6"/>
      <c r="M42" s="6"/>
      <c r="N42" s="6"/>
      <c r="O42" s="6"/>
      <c r="P42" s="7"/>
      <c r="Q42" s="6"/>
      <c r="R42" s="6">
        <f>100*(output_transition_aggregates!R42/output_transition_aggregates!R$2-1)</f>
        <v>-1.2852916988088769</v>
      </c>
      <c r="S42" s="6">
        <f>100*(output_transition_aggregates!S42/output_transition_aggregates!S$2-1)</f>
        <v>-2.5652477083189407</v>
      </c>
      <c r="T42" s="7"/>
      <c r="U42" s="7"/>
      <c r="V42" s="7"/>
      <c r="W42" s="6"/>
      <c r="X42" s="7"/>
      <c r="Y42" s="6"/>
      <c r="Z42" s="6"/>
      <c r="AA42" s="6">
        <f>100*(output_transition_aggregates!AA42/output_transition_aggregates!AA$2-1)</f>
        <v>-9.944380707307543</v>
      </c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E127"/>
  <sheetViews>
    <sheetView zoomScale="70" zoomScaleNormal="70" workbookViewId="0">
      <pane xSplit="1" ySplit="1" topLeftCell="HH100" activePane="bottomRight" state="frozen"/>
      <selection pane="topRight" activeCell="B1" sqref="B1"/>
      <selection pane="bottomLeft" activeCell="A2" sqref="A2"/>
      <selection pane="bottomRight" activeCell="B8" sqref="B8:IG127"/>
    </sheetView>
  </sheetViews>
  <sheetFormatPr defaultRowHeight="14.5" x14ac:dyDescent="0.35"/>
  <cols>
    <col min="1" max="1" width="9.1796875" style="1"/>
    <col min="260" max="260" width="14" bestFit="1" customWidth="1"/>
  </cols>
  <sheetData>
    <row r="1" spans="1:291" s="1" customFormat="1" x14ac:dyDescent="0.35">
      <c r="A1" s="1" t="s">
        <v>0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30</v>
      </c>
      <c r="H1" s="1" t="s">
        <v>60</v>
      </c>
      <c r="I1" s="1" t="s">
        <v>61</v>
      </c>
      <c r="J1" s="1" t="s">
        <v>62</v>
      </c>
      <c r="K1" s="1" t="s">
        <v>63</v>
      </c>
      <c r="L1" s="1" t="s">
        <v>64</v>
      </c>
      <c r="M1" s="1" t="s">
        <v>65</v>
      </c>
      <c r="N1" s="1" t="s">
        <v>66</v>
      </c>
      <c r="O1" s="1" t="s">
        <v>67</v>
      </c>
      <c r="P1" s="1" t="s">
        <v>68</v>
      </c>
      <c r="Q1" s="1" t="s">
        <v>69</v>
      </c>
      <c r="R1" s="1" t="s">
        <v>70</v>
      </c>
      <c r="S1" s="1" t="s">
        <v>71</v>
      </c>
      <c r="T1" s="1" t="s">
        <v>72</v>
      </c>
      <c r="U1" s="1" t="s">
        <v>73</v>
      </c>
      <c r="V1" s="1" t="s">
        <v>74</v>
      </c>
      <c r="W1" s="1" t="s">
        <v>75</v>
      </c>
      <c r="X1" s="1" t="s">
        <v>76</v>
      </c>
      <c r="Y1" s="1" t="s">
        <v>77</v>
      </c>
      <c r="Z1" s="1" t="s">
        <v>78</v>
      </c>
      <c r="AA1" s="1" t="s">
        <v>79</v>
      </c>
      <c r="AB1" s="1" t="s">
        <v>80</v>
      </c>
      <c r="AC1" s="1" t="s">
        <v>81</v>
      </c>
      <c r="AD1" s="1" t="s">
        <v>82</v>
      </c>
      <c r="AE1" s="1" t="s">
        <v>83</v>
      </c>
      <c r="AF1" s="1" t="s">
        <v>84</v>
      </c>
      <c r="AG1" s="1" t="s">
        <v>85</v>
      </c>
      <c r="AH1" s="1" t="s">
        <v>86</v>
      </c>
      <c r="AI1" s="1" t="s">
        <v>87</v>
      </c>
      <c r="AJ1" s="1" t="s">
        <v>88</v>
      </c>
      <c r="AK1" s="1" t="s">
        <v>89</v>
      </c>
      <c r="AL1" s="1" t="s">
        <v>90</v>
      </c>
      <c r="AM1" s="1" t="s">
        <v>91</v>
      </c>
      <c r="AN1" s="1" t="s">
        <v>92</v>
      </c>
      <c r="AO1" s="1" t="s">
        <v>93</v>
      </c>
      <c r="AP1" s="1" t="s">
        <v>94</v>
      </c>
      <c r="AQ1" s="1" t="s">
        <v>95</v>
      </c>
      <c r="AR1" s="1" t="s">
        <v>96</v>
      </c>
      <c r="AS1" s="1" t="s">
        <v>97</v>
      </c>
      <c r="AT1" s="1" t="s">
        <v>98</v>
      </c>
      <c r="AU1" s="1" t="s">
        <v>99</v>
      </c>
      <c r="AV1" s="1" t="s">
        <v>100</v>
      </c>
      <c r="AW1" s="1" t="s">
        <v>101</v>
      </c>
      <c r="AX1" s="1" t="s">
        <v>102</v>
      </c>
      <c r="AY1" s="1" t="s">
        <v>103</v>
      </c>
      <c r="AZ1" s="1" t="s">
        <v>104</v>
      </c>
      <c r="BA1" s="1" t="s">
        <v>105</v>
      </c>
      <c r="BB1" s="1" t="s">
        <v>106</v>
      </c>
      <c r="BC1" s="1" t="s">
        <v>107</v>
      </c>
      <c r="BD1" s="1" t="s">
        <v>108</v>
      </c>
      <c r="BE1" s="1" t="s">
        <v>109</v>
      </c>
      <c r="BF1" s="1" t="s">
        <v>110</v>
      </c>
      <c r="BG1" s="1" t="s">
        <v>111</v>
      </c>
      <c r="BH1" s="1" t="s">
        <v>112</v>
      </c>
      <c r="BI1" s="1" t="s">
        <v>113</v>
      </c>
      <c r="BJ1" s="1" t="s">
        <v>114</v>
      </c>
      <c r="BK1" s="1" t="s">
        <v>115</v>
      </c>
      <c r="BL1" s="1" t="s">
        <v>116</v>
      </c>
      <c r="BM1" s="1" t="s">
        <v>117</v>
      </c>
      <c r="BN1" s="1" t="s">
        <v>118</v>
      </c>
      <c r="BO1" s="1" t="s">
        <v>119</v>
      </c>
      <c r="BP1" s="1" t="s">
        <v>120</v>
      </c>
      <c r="BQ1" s="1" t="s">
        <v>121</v>
      </c>
      <c r="BR1" s="1" t="s">
        <v>122</v>
      </c>
      <c r="BS1" s="1" t="s">
        <v>123</v>
      </c>
      <c r="BT1" s="1" t="s">
        <v>124</v>
      </c>
      <c r="BU1" s="1" t="s">
        <v>125</v>
      </c>
      <c r="BV1" s="1" t="s">
        <v>126</v>
      </c>
      <c r="BW1" s="1" t="s">
        <v>127</v>
      </c>
      <c r="BX1" s="1" t="s">
        <v>128</v>
      </c>
      <c r="BY1" s="1" t="s">
        <v>129</v>
      </c>
      <c r="BZ1" s="1" t="s">
        <v>130</v>
      </c>
      <c r="CA1" s="1" t="s">
        <v>131</v>
      </c>
      <c r="CB1" s="1" t="s">
        <v>132</v>
      </c>
      <c r="CC1" s="1" t="s">
        <v>133</v>
      </c>
      <c r="CD1" s="1" t="s">
        <v>134</v>
      </c>
      <c r="CE1" s="1" t="s">
        <v>135</v>
      </c>
      <c r="CF1" s="1" t="s">
        <v>136</v>
      </c>
      <c r="CG1" s="1" t="s">
        <v>137</v>
      </c>
      <c r="CH1" s="1" t="s">
        <v>138</v>
      </c>
      <c r="CI1" s="1" t="s">
        <v>139</v>
      </c>
      <c r="CJ1" s="1" t="s">
        <v>140</v>
      </c>
      <c r="CK1" s="1" t="s">
        <v>141</v>
      </c>
      <c r="CL1" s="1" t="s">
        <v>142</v>
      </c>
      <c r="CM1" s="1" t="s">
        <v>143</v>
      </c>
      <c r="CN1" s="1" t="s">
        <v>144</v>
      </c>
      <c r="CO1" s="1" t="s">
        <v>145</v>
      </c>
      <c r="CP1" s="1" t="s">
        <v>146</v>
      </c>
      <c r="CQ1" s="1" t="s">
        <v>147</v>
      </c>
      <c r="CR1" s="1" t="s">
        <v>148</v>
      </c>
      <c r="CS1" s="1" t="s">
        <v>149</v>
      </c>
      <c r="CT1" s="1" t="s">
        <v>150</v>
      </c>
      <c r="CU1" s="1" t="s">
        <v>151</v>
      </c>
      <c r="CV1" s="1" t="s">
        <v>152</v>
      </c>
      <c r="CW1" s="1" t="s">
        <v>153</v>
      </c>
      <c r="CX1" s="1" t="s">
        <v>154</v>
      </c>
      <c r="CY1" s="1" t="s">
        <v>155</v>
      </c>
      <c r="CZ1" s="1" t="s">
        <v>156</v>
      </c>
      <c r="DA1" s="1" t="s">
        <v>157</v>
      </c>
      <c r="DB1" s="1" t="s">
        <v>158</v>
      </c>
      <c r="DC1" s="1" t="s">
        <v>159</v>
      </c>
      <c r="DD1" s="1" t="s">
        <v>160</v>
      </c>
      <c r="DE1" s="1" t="s">
        <v>161</v>
      </c>
      <c r="DF1" s="1" t="s">
        <v>162</v>
      </c>
      <c r="DG1" s="1" t="s">
        <v>163</v>
      </c>
      <c r="DH1" s="1" t="s">
        <v>164</v>
      </c>
      <c r="DI1" s="1" t="s">
        <v>165</v>
      </c>
      <c r="DJ1" s="1" t="s">
        <v>166</v>
      </c>
      <c r="DK1" s="1" t="s">
        <v>167</v>
      </c>
      <c r="DL1" s="1" t="s">
        <v>168</v>
      </c>
      <c r="DM1" s="1" t="s">
        <v>169</v>
      </c>
      <c r="DN1" s="1" t="s">
        <v>170</v>
      </c>
      <c r="DO1" s="1" t="s">
        <v>171</v>
      </c>
      <c r="DP1" s="1" t="s">
        <v>172</v>
      </c>
      <c r="DQ1" s="1" t="s">
        <v>173</v>
      </c>
      <c r="DR1" s="1" t="s">
        <v>41</v>
      </c>
      <c r="DS1" s="1" t="s">
        <v>42</v>
      </c>
      <c r="DT1" s="1" t="s">
        <v>43</v>
      </c>
      <c r="DU1" s="1" t="s">
        <v>44</v>
      </c>
      <c r="DV1" s="1" t="s">
        <v>45</v>
      </c>
      <c r="DW1" s="1" t="s">
        <v>46</v>
      </c>
      <c r="DX1" s="1" t="s">
        <v>174</v>
      </c>
      <c r="DY1" s="1" t="s">
        <v>175</v>
      </c>
      <c r="DZ1" s="1" t="s">
        <v>176</v>
      </c>
      <c r="EA1" s="1" t="s">
        <v>177</v>
      </c>
      <c r="EB1" s="1" t="s">
        <v>178</v>
      </c>
      <c r="EC1" s="1" t="s">
        <v>179</v>
      </c>
      <c r="ED1" s="1" t="s">
        <v>180</v>
      </c>
      <c r="EE1" s="1" t="s">
        <v>181</v>
      </c>
      <c r="EF1" s="1" t="s">
        <v>182</v>
      </c>
      <c r="EG1" s="1" t="s">
        <v>183</v>
      </c>
      <c r="EH1" s="1" t="s">
        <v>184</v>
      </c>
      <c r="EI1" s="1" t="s">
        <v>185</v>
      </c>
      <c r="EJ1" s="1" t="s">
        <v>186</v>
      </c>
      <c r="EK1" s="1" t="s">
        <v>187</v>
      </c>
      <c r="EL1" s="1" t="s">
        <v>188</v>
      </c>
      <c r="EM1" s="1" t="s">
        <v>189</v>
      </c>
      <c r="EN1" s="1" t="s">
        <v>190</v>
      </c>
      <c r="EO1" s="1" t="s">
        <v>191</v>
      </c>
      <c r="EP1" s="1" t="s">
        <v>192</v>
      </c>
      <c r="EQ1" s="1" t="s">
        <v>193</v>
      </c>
      <c r="ER1" s="1" t="s">
        <v>194</v>
      </c>
      <c r="ES1" s="1" t="s">
        <v>195</v>
      </c>
      <c r="ET1" s="1" t="s">
        <v>196</v>
      </c>
      <c r="EU1" s="1" t="s">
        <v>197</v>
      </c>
      <c r="EV1" s="1" t="s">
        <v>198</v>
      </c>
      <c r="EW1" s="1" t="s">
        <v>199</v>
      </c>
      <c r="EX1" s="1" t="s">
        <v>200</v>
      </c>
      <c r="EY1" s="1" t="s">
        <v>201</v>
      </c>
      <c r="EZ1" s="1" t="s">
        <v>202</v>
      </c>
      <c r="FA1" s="1" t="s">
        <v>203</v>
      </c>
      <c r="FB1" s="1" t="s">
        <v>204</v>
      </c>
      <c r="FC1" s="1" t="s">
        <v>205</v>
      </c>
      <c r="FD1" s="1" t="s">
        <v>206</v>
      </c>
      <c r="FE1" s="1" t="s">
        <v>207</v>
      </c>
      <c r="FF1" s="1" t="s">
        <v>208</v>
      </c>
      <c r="FG1" s="1" t="s">
        <v>209</v>
      </c>
      <c r="FH1" s="1" t="s">
        <v>210</v>
      </c>
      <c r="FI1" s="1" t="s">
        <v>211</v>
      </c>
      <c r="FJ1" s="1" t="s">
        <v>212</v>
      </c>
      <c r="FK1" s="1" t="s">
        <v>213</v>
      </c>
      <c r="FL1" s="1" t="s">
        <v>214</v>
      </c>
      <c r="FM1" s="1" t="s">
        <v>215</v>
      </c>
      <c r="FN1" s="1" t="s">
        <v>216</v>
      </c>
      <c r="FO1" s="1" t="s">
        <v>217</v>
      </c>
      <c r="FP1" s="1" t="s">
        <v>218</v>
      </c>
      <c r="FQ1" s="1" t="s">
        <v>219</v>
      </c>
      <c r="FR1" s="1" t="s">
        <v>220</v>
      </c>
      <c r="FS1" s="1" t="s">
        <v>221</v>
      </c>
      <c r="FT1" s="1" t="s">
        <v>222</v>
      </c>
      <c r="FU1" s="1" t="s">
        <v>223</v>
      </c>
      <c r="FV1" s="1" t="s">
        <v>224</v>
      </c>
      <c r="FW1" s="1" t="s">
        <v>225</v>
      </c>
      <c r="FX1" s="1" t="s">
        <v>226</v>
      </c>
      <c r="FY1" s="1" t="s">
        <v>227</v>
      </c>
      <c r="FZ1" s="1" t="s">
        <v>228</v>
      </c>
      <c r="GA1" s="1" t="s">
        <v>229</v>
      </c>
      <c r="GB1" s="1" t="s">
        <v>230</v>
      </c>
      <c r="GC1" s="1" t="s">
        <v>231</v>
      </c>
      <c r="GD1" s="1" t="s">
        <v>232</v>
      </c>
      <c r="GE1" s="1" t="s">
        <v>233</v>
      </c>
      <c r="GF1" s="1" t="s">
        <v>234</v>
      </c>
      <c r="GG1" s="1" t="s">
        <v>235</v>
      </c>
      <c r="GH1" s="1" t="s">
        <v>236</v>
      </c>
      <c r="GI1" s="1" t="s">
        <v>237</v>
      </c>
      <c r="GJ1" s="1" t="s">
        <v>238</v>
      </c>
      <c r="GK1" s="1" t="s">
        <v>239</v>
      </c>
      <c r="GL1" s="1" t="s">
        <v>240</v>
      </c>
      <c r="GM1" s="1" t="s">
        <v>241</v>
      </c>
      <c r="GN1" s="1" t="s">
        <v>242</v>
      </c>
      <c r="GO1" s="1" t="s">
        <v>243</v>
      </c>
      <c r="GP1" s="1" t="s">
        <v>244</v>
      </c>
      <c r="GQ1" s="1" t="s">
        <v>245</v>
      </c>
      <c r="GR1" s="1" t="s">
        <v>246</v>
      </c>
      <c r="GS1" s="1" t="s">
        <v>247</v>
      </c>
      <c r="GT1" s="1" t="s">
        <v>248</v>
      </c>
      <c r="GU1" s="1" t="s">
        <v>249</v>
      </c>
      <c r="GV1" s="1" t="s">
        <v>250</v>
      </c>
      <c r="GW1" s="1" t="s">
        <v>251</v>
      </c>
      <c r="GX1" s="1" t="s">
        <v>252</v>
      </c>
      <c r="GY1" s="1" t="s">
        <v>253</v>
      </c>
      <c r="GZ1" s="1" t="s">
        <v>254</v>
      </c>
      <c r="HA1" s="1" t="s">
        <v>255</v>
      </c>
      <c r="HB1" s="1" t="s">
        <v>256</v>
      </c>
      <c r="HC1" s="1" t="s">
        <v>257</v>
      </c>
      <c r="HD1" s="1" t="s">
        <v>258</v>
      </c>
      <c r="HE1" s="1" t="s">
        <v>259</v>
      </c>
      <c r="HF1" s="1" t="s">
        <v>260</v>
      </c>
      <c r="HG1" s="1" t="s">
        <v>261</v>
      </c>
      <c r="HH1" s="1" t="s">
        <v>262</v>
      </c>
      <c r="HI1" s="1" t="s">
        <v>263</v>
      </c>
      <c r="HJ1" s="1" t="s">
        <v>264</v>
      </c>
      <c r="HK1" s="1" t="s">
        <v>265</v>
      </c>
      <c r="HL1" s="1" t="s">
        <v>266</v>
      </c>
      <c r="HM1" s="1" t="s">
        <v>267</v>
      </c>
      <c r="HN1" s="1" t="s">
        <v>268</v>
      </c>
      <c r="HO1" s="1" t="s">
        <v>269</v>
      </c>
      <c r="HP1" s="1" t="s">
        <v>270</v>
      </c>
      <c r="HQ1" s="1" t="s">
        <v>271</v>
      </c>
      <c r="HR1" s="1" t="s">
        <v>272</v>
      </c>
      <c r="HS1" s="1" t="s">
        <v>273</v>
      </c>
      <c r="HT1" s="1" t="s">
        <v>274</v>
      </c>
      <c r="HU1" s="1" t="s">
        <v>275</v>
      </c>
      <c r="HV1" s="1" t="s">
        <v>276</v>
      </c>
      <c r="HW1" s="1" t="s">
        <v>277</v>
      </c>
      <c r="HX1" s="1" t="s">
        <v>278</v>
      </c>
      <c r="HY1" s="1" t="s">
        <v>279</v>
      </c>
      <c r="HZ1" s="1" t="s">
        <v>280</v>
      </c>
      <c r="IA1" s="1" t="s">
        <v>281</v>
      </c>
      <c r="IB1" s="1" t="s">
        <v>282</v>
      </c>
      <c r="IC1" s="1" t="s">
        <v>283</v>
      </c>
      <c r="ID1" s="1" t="s">
        <v>284</v>
      </c>
      <c r="IE1" s="1" t="s">
        <v>285</v>
      </c>
      <c r="IF1" s="1" t="s">
        <v>286</v>
      </c>
      <c r="IG1" s="1" t="s">
        <v>287</v>
      </c>
      <c r="II1" s="1" t="s">
        <v>288</v>
      </c>
      <c r="IL1" s="1" t="s">
        <v>289</v>
      </c>
      <c r="IO1" s="1" t="s">
        <v>356</v>
      </c>
      <c r="IP1" s="1" t="s">
        <v>291</v>
      </c>
      <c r="IQ1" s="1" t="s">
        <v>292</v>
      </c>
      <c r="IR1" s="1" t="s">
        <v>293</v>
      </c>
      <c r="IS1" s="1" t="s">
        <v>294</v>
      </c>
      <c r="IT1" s="1" t="s">
        <v>295</v>
      </c>
      <c r="IU1" s="1" t="s">
        <v>296</v>
      </c>
      <c r="IV1" s="1" t="s">
        <v>297</v>
      </c>
      <c r="IW1" s="1" t="s">
        <v>298</v>
      </c>
      <c r="IX1" s="1" t="s">
        <v>299</v>
      </c>
      <c r="IZ1" s="1" t="s">
        <v>290</v>
      </c>
      <c r="JA1" s="1" t="s">
        <v>291</v>
      </c>
      <c r="JB1" s="1" t="s">
        <v>292</v>
      </c>
      <c r="JC1" s="1" t="s">
        <v>293</v>
      </c>
      <c r="JD1" s="1" t="s">
        <v>294</v>
      </c>
      <c r="JE1" s="1" t="s">
        <v>295</v>
      </c>
      <c r="JF1" s="1" t="s">
        <v>296</v>
      </c>
      <c r="JG1" s="1" t="s">
        <v>297</v>
      </c>
      <c r="JH1" s="1" t="s">
        <v>298</v>
      </c>
      <c r="JI1" s="1" t="s">
        <v>299</v>
      </c>
      <c r="JK1" s="1" t="s">
        <v>358</v>
      </c>
    </row>
    <row r="2" spans="1:291" s="1" customFormat="1" x14ac:dyDescent="0.35">
      <c r="A2" s="1">
        <f t="shared" ref="A2:A6" si="0">A3-1</f>
        <v>-6</v>
      </c>
      <c r="B2" s="10">
        <f t="shared" ref="B2:B6" si="1">B3</f>
        <v>1.0654E-2</v>
      </c>
      <c r="C2" s="10">
        <f t="shared" ref="C2:C6" si="2">C3</f>
        <v>1.0654E-2</v>
      </c>
      <c r="D2" s="10">
        <f t="shared" ref="D2:D6" si="3">D3</f>
        <v>1.06058E-2</v>
      </c>
      <c r="E2" s="10">
        <f t="shared" ref="E2:E6" si="4">E3</f>
        <v>1.04361E-2</v>
      </c>
      <c r="F2" s="10">
        <f t="shared" ref="F2:F6" si="5">F3</f>
        <v>9.7535E-3</v>
      </c>
      <c r="G2" s="10">
        <f t="shared" ref="G2:G6" si="6">G3</f>
        <v>9.1403999999999999E-3</v>
      </c>
      <c r="H2" s="10">
        <f t="shared" ref="H2:H6" si="7">H3</f>
        <v>8.5669000000000006E-3</v>
      </c>
      <c r="I2" s="10">
        <f t="shared" ref="I2:I6" si="8">I3</f>
        <v>7.9711000000000001E-3</v>
      </c>
      <c r="J2" s="10">
        <f t="shared" ref="J2:J6" si="9">J3</f>
        <v>7.4428000000000003E-3</v>
      </c>
      <c r="K2" s="10">
        <f t="shared" ref="K2:K6" si="10">K3</f>
        <v>6.9601000000000003E-3</v>
      </c>
      <c r="L2" s="10">
        <f t="shared" ref="L2:L6" si="11">L3</f>
        <v>6.5317999999999999E-3</v>
      </c>
      <c r="M2" s="10">
        <f t="shared" ref="M2:M6" si="12">M3</f>
        <v>6.1491999999999996E-3</v>
      </c>
      <c r="N2" s="10">
        <f t="shared" ref="N2:N6" si="13">N3</f>
        <v>5.8079999999999998E-3</v>
      </c>
      <c r="O2" s="10">
        <f t="shared" ref="O2:O6" si="14">O3</f>
        <v>5.5024999999999996E-3</v>
      </c>
      <c r="P2" s="10">
        <f t="shared" ref="P2:P6" si="15">P3</f>
        <v>5.2283E-3</v>
      </c>
      <c r="Q2" s="10">
        <f t="shared" ref="Q2:Q6" si="16">Q3</f>
        <v>4.9813000000000001E-3</v>
      </c>
      <c r="R2" s="10">
        <f t="shared" ref="R2:R6" si="17">R3</f>
        <v>4.7580000000000001E-3</v>
      </c>
      <c r="S2" s="10">
        <f t="shared" ref="S2:S6" si="18">S3</f>
        <v>4.5554000000000002E-3</v>
      </c>
      <c r="T2" s="10">
        <f t="shared" ref="T2:T6" si="19">T3</f>
        <v>4.3709999999999999E-3</v>
      </c>
      <c r="U2" s="10">
        <f t="shared" ref="U2:U6" si="20">U3</f>
        <v>4.2025999999999999E-3</v>
      </c>
      <c r="V2" s="10">
        <f t="shared" ref="V2:V6" si="21">V3</f>
        <v>4.0480999999999998E-3</v>
      </c>
      <c r="W2" s="10">
        <f t="shared" ref="W2:W6" si="22">W3</f>
        <v>3.9061E-3</v>
      </c>
      <c r="X2" s="10">
        <f t="shared" ref="X2:X6" si="23">X3</f>
        <v>3.7750000000000001E-3</v>
      </c>
      <c r="Y2" s="10">
        <f t="shared" ref="Y2:Y6" si="24">Y3</f>
        <v>3.6537000000000002E-3</v>
      </c>
      <c r="Z2" s="10">
        <f t="shared" ref="Z2:Z6" si="25">Z3</f>
        <v>3.5412E-3</v>
      </c>
      <c r="AA2" s="10">
        <f t="shared" ref="AA2:AA6" si="26">AA3</f>
        <v>3.4364E-3</v>
      </c>
      <c r="AB2" s="10">
        <f t="shared" ref="AB2:AB6" si="27">AB3</f>
        <v>3.3384999999999999E-3</v>
      </c>
      <c r="AC2" s="10">
        <f t="shared" ref="AC2:AC6" si="28">AC3</f>
        <v>3.2468000000000002E-3</v>
      </c>
      <c r="AD2" s="10">
        <f t="shared" ref="AD2:AD6" si="29">AD3</f>
        <v>3.1606999999999998E-3</v>
      </c>
      <c r="AE2" s="10">
        <f t="shared" ref="AE2:AE6" si="30">AE3</f>
        <v>3.0796999999999999E-3</v>
      </c>
      <c r="AF2" s="10">
        <f t="shared" ref="AF2:AF6" si="31">AF3</f>
        <v>3.0030999999999999E-3</v>
      </c>
      <c r="AG2" s="10">
        <f t="shared" ref="AG2:AG6" si="32">AG3</f>
        <v>2.9307000000000001E-3</v>
      </c>
      <c r="AH2" s="10">
        <f t="shared" ref="AH2:AH6" si="33">AH3</f>
        <v>2.8620999999999998E-3</v>
      </c>
      <c r="AI2" s="10">
        <f t="shared" ref="AI2:AI6" si="34">AI3</f>
        <v>2.7969000000000002E-3</v>
      </c>
      <c r="AJ2" s="10">
        <f t="shared" ref="AJ2:AJ6" si="35">AJ3</f>
        <v>2.7349000000000002E-3</v>
      </c>
      <c r="AK2" s="10">
        <f t="shared" ref="AK2:AK6" si="36">AK3</f>
        <v>2.6759000000000002E-3</v>
      </c>
      <c r="AL2" s="10">
        <f t="shared" ref="AL2:AL6" si="37">AL3</f>
        <v>2.6194999999999999E-3</v>
      </c>
      <c r="AM2" s="10">
        <f t="shared" ref="AM2:AM6" si="38">AM3</f>
        <v>2.5657000000000002E-3</v>
      </c>
      <c r="AN2" s="10">
        <f t="shared" ref="AN2:AN6" si="39">AN3</f>
        <v>2.5143000000000001E-3</v>
      </c>
      <c r="AO2" s="10">
        <f t="shared" ref="AO2:AO6" si="40">AO3</f>
        <v>2.4650000000000002E-3</v>
      </c>
      <c r="AP2" s="10">
        <f t="shared" ref="AP2:AP6" si="41">AP3</f>
        <v>2.4177000000000001E-3</v>
      </c>
      <c r="AQ2" s="10">
        <f t="shared" ref="AQ2:AQ6" si="42">AQ3</f>
        <v>2.3722999999999999E-3</v>
      </c>
      <c r="AR2" s="10">
        <f t="shared" ref="AR2:AR6" si="43">AR3</f>
        <v>2.3287E-3</v>
      </c>
      <c r="AS2" s="10">
        <f t="shared" ref="AS2:AS6" si="44">AS3</f>
        <v>2.2867E-3</v>
      </c>
      <c r="AT2" s="10">
        <f t="shared" ref="AT2:AT6" si="45">AT3</f>
        <v>2.2461999999999998E-3</v>
      </c>
      <c r="AU2" s="10">
        <f t="shared" ref="AU2:AU6" si="46">AU3</f>
        <v>2.2071999999999999E-3</v>
      </c>
      <c r="AV2" s="10">
        <f t="shared" ref="AV2:AV6" si="47">AV3</f>
        <v>2.1695E-3</v>
      </c>
      <c r="AW2" s="10">
        <f t="shared" ref="AW2:AW6" si="48">AW3</f>
        <v>2.1329999999999999E-3</v>
      </c>
      <c r="AX2" s="10">
        <f t="shared" ref="AX2:AX6" si="49">AX3</f>
        <v>2.0977000000000001E-3</v>
      </c>
      <c r="AY2" s="10">
        <f t="shared" ref="AY2:AY6" si="50">AY3</f>
        <v>2.0634E-3</v>
      </c>
      <c r="AZ2" s="10">
        <f t="shared" ref="AZ2:AZ6" si="51">AZ3</f>
        <v>2.0301999999999998E-3</v>
      </c>
      <c r="BA2" s="10">
        <f t="shared" ref="BA2:BA6" si="52">BA3</f>
        <v>1.9980000000000002E-3</v>
      </c>
      <c r="BB2" s="10">
        <f t="shared" ref="BB2:BB6" si="53">BB3</f>
        <v>1.9666000000000002E-3</v>
      </c>
      <c r="BC2" s="10">
        <f t="shared" ref="BC2:BC6" si="54">BC3</f>
        <v>1.9361000000000001E-3</v>
      </c>
      <c r="BD2" s="10">
        <f t="shared" ref="BD2:BD6" si="55">BD3</f>
        <v>1.9063000000000001E-3</v>
      </c>
      <c r="BE2" s="10">
        <f t="shared" ref="BE2:BE6" si="56">BE3</f>
        <v>1.8772999999999999E-3</v>
      </c>
      <c r="BF2" s="10">
        <f t="shared" ref="BF2:BF6" si="57">BF3</f>
        <v>1.8489999999999999E-3</v>
      </c>
      <c r="BG2" s="10">
        <f t="shared" ref="BG2:BG6" si="58">BG3</f>
        <v>1.8213000000000001E-3</v>
      </c>
      <c r="BH2" s="10">
        <f t="shared" ref="BH2:BH6" si="59">BH3</f>
        <v>1.7943E-3</v>
      </c>
      <c r="BI2" s="10">
        <f t="shared" ref="BI2:BI6" si="60">BI3</f>
        <v>1.7677999999999999E-3</v>
      </c>
      <c r="BJ2" s="10">
        <f t="shared" ref="BJ2:BJ6" si="61">BJ3</f>
        <v>1.7419E-3</v>
      </c>
      <c r="BK2" s="10">
        <f t="shared" ref="BK2:BK6" si="62">BK3</f>
        <v>1.7166E-3</v>
      </c>
      <c r="BL2" s="10">
        <f t="shared" ref="BL2:BL6" si="63">BL3</f>
        <v>1.6917E-3</v>
      </c>
      <c r="BM2" s="10">
        <f t="shared" ref="BM2:BM6" si="64">BM3</f>
        <v>1.6673E-3</v>
      </c>
      <c r="BN2" s="10">
        <f t="shared" ref="BN2:BN6" si="65">BN3</f>
        <v>1.6433999999999999E-3</v>
      </c>
      <c r="BO2" s="10">
        <f t="shared" ref="BO2:BO6" si="66">BO3</f>
        <v>1.6199000000000001E-3</v>
      </c>
      <c r="BP2" s="10">
        <f t="shared" ref="BP2:BP6" si="67">BP3</f>
        <v>1.5968E-3</v>
      </c>
      <c r="BQ2" s="10">
        <f t="shared" ref="BQ2:BQ6" si="68">BQ3</f>
        <v>1.5740999999999999E-3</v>
      </c>
      <c r="BR2" s="10">
        <f t="shared" ref="BR2:BR6" si="69">BR3</f>
        <v>1.5518000000000001E-3</v>
      </c>
      <c r="BS2" s="10">
        <f t="shared" ref="BS2:BS6" si="70">BS3</f>
        <v>1.5299000000000001E-3</v>
      </c>
      <c r="BT2" s="10">
        <f t="shared" ref="BT2:BT6" si="71">BT3</f>
        <v>1.5083E-3</v>
      </c>
      <c r="BU2" s="10">
        <f t="shared" ref="BU2:BU6" si="72">BU3</f>
        <v>1.4871000000000001E-3</v>
      </c>
      <c r="BV2" s="10">
        <f t="shared" ref="BV2:BV6" si="73">BV3</f>
        <v>1.4662E-3</v>
      </c>
      <c r="BW2" s="10">
        <f t="shared" ref="BW2:BW6" si="74">BW3</f>
        <v>1.4457000000000001E-3</v>
      </c>
      <c r="BX2" s="10">
        <f t="shared" ref="BX2:BX6" si="75">BX3</f>
        <v>1.4254000000000001E-3</v>
      </c>
      <c r="BY2" s="10">
        <f t="shared" ref="BY2:BY6" si="76">BY3</f>
        <v>1.4055000000000001E-3</v>
      </c>
      <c r="BZ2" s="10">
        <f t="shared" ref="BZ2:BZ6" si="77">BZ3</f>
        <v>1.3858E-3</v>
      </c>
      <c r="CA2" s="10">
        <f t="shared" ref="CA2:CA6" si="78">CA3</f>
        <v>1.3664E-3</v>
      </c>
      <c r="CB2" s="10">
        <f t="shared" ref="CB2:CB6" si="79">CB3</f>
        <v>1.3473999999999999E-3</v>
      </c>
      <c r="CC2" s="10">
        <f t="shared" ref="CC2:CC6" si="80">CC3</f>
        <v>1.3285E-3</v>
      </c>
      <c r="CD2" s="10">
        <f t="shared" ref="CD2:CD6" si="81">CD3</f>
        <v>1.31E-3</v>
      </c>
      <c r="CE2" s="10">
        <f t="shared" ref="CE2:CE6" si="82">CE3</f>
        <v>1.2917E-3</v>
      </c>
      <c r="CF2" s="10">
        <f t="shared" ref="CF2:CF6" si="83">CF3</f>
        <v>1.2737E-3</v>
      </c>
      <c r="CG2" s="10">
        <f t="shared" ref="CG2:CG6" si="84">CG3</f>
        <v>1.2558999999999999E-3</v>
      </c>
      <c r="CH2" s="10">
        <f t="shared" ref="CH2:CH6" si="85">CH3</f>
        <v>1.2384E-3</v>
      </c>
      <c r="CI2" s="10">
        <f t="shared" ref="CI2:CI6" si="86">CI3</f>
        <v>1.2210999999999999E-3</v>
      </c>
      <c r="CJ2" s="10">
        <f t="shared" ref="CJ2:CJ6" si="87">CJ3</f>
        <v>1.2041E-3</v>
      </c>
      <c r="CK2" s="10">
        <f t="shared" ref="CK2:CK6" si="88">CK3</f>
        <v>1.1873000000000001E-3</v>
      </c>
      <c r="CL2" s="10">
        <f t="shared" ref="CL2:CL6" si="89">CL3</f>
        <v>1.1707E-3</v>
      </c>
      <c r="CM2" s="10">
        <f t="shared" ref="CM2:CM6" si="90">CM3</f>
        <v>1.1543E-3</v>
      </c>
      <c r="CN2" s="10">
        <f t="shared" ref="CN2:CN6" si="91">CN3</f>
        <v>1.1382E-3</v>
      </c>
      <c r="CO2" s="10">
        <f t="shared" ref="CO2:CO6" si="92">CO3</f>
        <v>1.1222999999999999E-3</v>
      </c>
      <c r="CP2" s="10">
        <f t="shared" ref="CP2:CP6" si="93">CP3</f>
        <v>1.1065999999999999E-3</v>
      </c>
      <c r="CQ2" s="10">
        <f t="shared" ref="CQ2:CQ6" si="94">CQ3</f>
        <v>1.0911E-3</v>
      </c>
      <c r="CR2" s="10">
        <f t="shared" ref="CR2:CR6" si="95">CR3</f>
        <v>1.0759000000000001E-3</v>
      </c>
      <c r="CS2" s="10">
        <f t="shared" ref="CS2:CS6" si="96">CS3</f>
        <v>1.0608E-3</v>
      </c>
      <c r="CT2" s="10">
        <f t="shared" ref="CT2:CT6" si="97">CT3</f>
        <v>1.0459E-3</v>
      </c>
      <c r="CU2" s="10">
        <f t="shared" ref="CU2:CU6" si="98">CU3</f>
        <v>1.0313E-3</v>
      </c>
      <c r="CV2" s="10">
        <f t="shared" ref="CV2:CV6" si="99">CV3</f>
        <v>1.0168E-3</v>
      </c>
      <c r="CW2" s="10">
        <f t="shared" ref="CW2:CW6" si="100">CW3</f>
        <v>1.0026E-3</v>
      </c>
      <c r="CX2" s="10">
        <f t="shared" ref="CX2:CX6" si="101">CX3</f>
        <v>9.8850000000000001E-4</v>
      </c>
      <c r="CY2" s="10">
        <f t="shared" ref="CY2:CY6" si="102">CY3</f>
        <v>9.7460000000000005E-4</v>
      </c>
      <c r="CZ2" s="10">
        <f t="shared" ref="CZ2:CZ6" si="103">CZ3</f>
        <v>9.6089999999999999E-4</v>
      </c>
      <c r="DA2" s="10">
        <f t="shared" ref="DA2:DA6" si="104">DA3</f>
        <v>9.4740000000000004E-4</v>
      </c>
      <c r="DB2" s="10">
        <f t="shared" ref="DB2:DB6" si="105">DB3</f>
        <v>9.3409999999999999E-4</v>
      </c>
      <c r="DC2" s="10">
        <f t="shared" ref="DC2:DC6" si="106">DC3</f>
        <v>9.2100000000000005E-4</v>
      </c>
      <c r="DD2" s="10">
        <f t="shared" ref="DD2:DD6" si="107">DD3</f>
        <v>9.0799999999999995E-4</v>
      </c>
      <c r="DE2" s="10">
        <f t="shared" ref="DE2:DE6" si="108">DE3</f>
        <v>8.9519999999999997E-4</v>
      </c>
      <c r="DF2" s="10">
        <f t="shared" ref="DF2:DF6" si="109">DF3</f>
        <v>8.8259999999999999E-4</v>
      </c>
      <c r="DG2" s="10">
        <f t="shared" ref="DG2:DG6" si="110">DG3</f>
        <v>8.7020000000000001E-4</v>
      </c>
      <c r="DH2" s="10">
        <f t="shared" ref="DH2:DH6" si="111">DH3</f>
        <v>8.5789999999999998E-4</v>
      </c>
      <c r="DI2" s="10">
        <f t="shared" ref="DI2:DI6" si="112">DI3</f>
        <v>8.4579999999999996E-4</v>
      </c>
      <c r="DJ2" s="10">
        <f t="shared" ref="DJ2:DJ6" si="113">DJ3</f>
        <v>8.3390000000000005E-4</v>
      </c>
      <c r="DK2" s="10">
        <f t="shared" ref="DK2:DK6" si="114">DK3</f>
        <v>8.2209999999999998E-4</v>
      </c>
      <c r="DL2" s="10">
        <f t="shared" ref="DL2:DL6" si="115">DL3</f>
        <v>8.1050000000000002E-4</v>
      </c>
      <c r="DM2" s="10">
        <f t="shared" ref="DM2:DM6" si="116">DM3</f>
        <v>7.9909999999999996E-4</v>
      </c>
      <c r="DN2" s="10">
        <f t="shared" ref="DN2:DN6" si="117">DN3</f>
        <v>7.8779999999999996E-4</v>
      </c>
      <c r="DO2" s="10">
        <f t="shared" ref="DO2:DO6" si="118">DO3</f>
        <v>7.7669999999999996E-4</v>
      </c>
      <c r="DP2" s="10">
        <f t="shared" ref="DP2:DP6" si="119">DP3</f>
        <v>7.6570000000000002E-4</v>
      </c>
      <c r="DQ2" s="10">
        <f t="shared" ref="DQ2:DQ6" si="120">DQ3</f>
        <v>5.3164200000000002E-2</v>
      </c>
      <c r="DR2" s="10">
        <f t="shared" ref="DR2:DR6" si="121">DR3</f>
        <v>0</v>
      </c>
      <c r="DS2" s="10">
        <f t="shared" ref="DS2:DS6" si="122">DS3</f>
        <v>4.8199999999999999E-5</v>
      </c>
      <c r="DT2" s="10">
        <f t="shared" ref="DT2:DT6" si="123">DT3</f>
        <v>1.697E-4</v>
      </c>
      <c r="DU2" s="10">
        <f t="shared" ref="DU2:DU6" si="124">DU3</f>
        <v>6.826E-4</v>
      </c>
      <c r="DV2" s="10">
        <f t="shared" ref="DV2:DV6" si="125">DV3</f>
        <v>6.1309999999999999E-4</v>
      </c>
      <c r="DW2" s="10">
        <f t="shared" ref="DW2:DW6" si="126">DW3</f>
        <v>5.7359999999999996E-4</v>
      </c>
      <c r="DX2" s="10">
        <f t="shared" ref="DX2:DX6" si="127">DX3</f>
        <v>5.9579999999999995E-4</v>
      </c>
      <c r="DY2" s="10">
        <f t="shared" ref="DY2:DY6" si="128">DY3</f>
        <v>5.2820000000000005E-4</v>
      </c>
      <c r="DZ2" s="10">
        <f t="shared" ref="DZ2:DZ6" si="129">DZ3</f>
        <v>4.8280000000000003E-4</v>
      </c>
      <c r="EA2" s="10">
        <f t="shared" ref="EA2:EA6" si="130">EA3</f>
        <v>4.283E-4</v>
      </c>
      <c r="EB2" s="10">
        <f t="shared" ref="EB2:EB6" si="131">EB3</f>
        <v>3.8259999999999998E-4</v>
      </c>
      <c r="EC2" s="10">
        <f t="shared" ref="EC2:EC6" si="132">EC3</f>
        <v>3.412E-4</v>
      </c>
      <c r="ED2" s="10">
        <f t="shared" ref="ED2:ED6" si="133">ED3</f>
        <v>3.055E-4</v>
      </c>
      <c r="EE2" s="10">
        <f t="shared" ref="EE2:EE6" si="134">EE3</f>
        <v>2.742E-4</v>
      </c>
      <c r="EF2" s="10">
        <f t="shared" ref="EF2:EF6" si="135">EF3</f>
        <v>2.4699999999999999E-4</v>
      </c>
      <c r="EG2" s="10">
        <f t="shared" ref="EG2:EG6" si="136">EG3</f>
        <v>2.2330000000000001E-4</v>
      </c>
      <c r="EH2" s="10">
        <f t="shared" ref="EH2:EH6" si="137">EH3</f>
        <v>2.0259999999999999E-4</v>
      </c>
      <c r="EI2" s="10">
        <f t="shared" ref="EI2:EI6" si="138">EI3</f>
        <v>1.8440000000000001E-4</v>
      </c>
      <c r="EJ2" s="10">
        <f t="shared" ref="EJ2:EJ6" si="139">EJ3</f>
        <v>1.685E-4</v>
      </c>
      <c r="EK2" s="10">
        <f t="shared" ref="EK2:EK6" si="140">EK3</f>
        <v>1.5440000000000001E-4</v>
      </c>
      <c r="EL2" s="10">
        <f t="shared" ref="EL2:EL6" si="141">EL3</f>
        <v>1.4200000000000001E-4</v>
      </c>
      <c r="EM2" s="10">
        <f t="shared" ref="EM2:EM6" si="142">EM3</f>
        <v>1.3100000000000001E-4</v>
      </c>
      <c r="EN2" s="10">
        <f t="shared" ref="EN2:EN6" si="143">EN3</f>
        <v>1.2129999999999999E-4</v>
      </c>
      <c r="EO2" s="10">
        <f t="shared" ref="EO2:EO6" si="144">EO3</f>
        <v>1.126E-4</v>
      </c>
      <c r="EP2" s="10">
        <f t="shared" ref="EP2:EP6" si="145">EP3</f>
        <v>1.048E-4</v>
      </c>
      <c r="EQ2" s="10">
        <f t="shared" ref="EQ2:EQ6" si="146">EQ3</f>
        <v>9.7899999999999994E-5</v>
      </c>
      <c r="ER2" s="10">
        <f t="shared" ref="ER2:ER6" si="147">ER3</f>
        <v>9.1700000000000006E-5</v>
      </c>
      <c r="ES2" s="10">
        <f t="shared" ref="ES2:ES6" si="148">ES3</f>
        <v>8.6100000000000006E-5</v>
      </c>
      <c r="ET2" s="10">
        <f t="shared" ref="ET2:ET6" si="149">ET3</f>
        <v>8.1100000000000006E-5</v>
      </c>
      <c r="EU2" s="10">
        <f t="shared" ref="EU2:EU6" si="150">EU3</f>
        <v>7.6500000000000003E-5</v>
      </c>
      <c r="EV2" s="10">
        <f t="shared" ref="EV2:EV6" si="151">EV3</f>
        <v>7.2399999999999998E-5</v>
      </c>
      <c r="EW2" s="10">
        <f t="shared" ref="EW2:EW6" si="152">EW3</f>
        <v>6.86E-5</v>
      </c>
      <c r="EX2" s="10">
        <f t="shared" ref="EX2:EX6" si="153">EX3</f>
        <v>6.5199999999999999E-5</v>
      </c>
      <c r="EY2" s="10">
        <f t="shared" ref="EY2:EY6" si="154">EY3</f>
        <v>6.2000000000000003E-5</v>
      </c>
      <c r="EZ2" s="10">
        <f t="shared" ref="EZ2:EZ6" si="155">EZ3</f>
        <v>5.8999999999999998E-5</v>
      </c>
      <c r="FA2" s="10">
        <f t="shared" ref="FA2:FA6" si="156">FA3</f>
        <v>5.63E-5</v>
      </c>
      <c r="FB2" s="10">
        <f t="shared" ref="FB2:FB6" si="157">FB3</f>
        <v>5.38E-5</v>
      </c>
      <c r="FC2" s="10">
        <f t="shared" ref="FC2:FC6" si="158">FC3</f>
        <v>5.1499999999999998E-5</v>
      </c>
      <c r="FD2" s="10">
        <f t="shared" ref="FD2:FD6" si="159">FD3</f>
        <v>4.9299999999999999E-5</v>
      </c>
      <c r="FE2" s="10">
        <f t="shared" ref="FE2:FE6" si="160">FE3</f>
        <v>4.7299999999999998E-5</v>
      </c>
      <c r="FF2" s="10">
        <f t="shared" ref="FF2:FF6" si="161">FF3</f>
        <v>4.5399999999999999E-5</v>
      </c>
      <c r="FG2" s="10">
        <f t="shared" ref="FG2:FG6" si="162">FG3</f>
        <v>4.3600000000000003E-5</v>
      </c>
      <c r="FH2" s="10">
        <f t="shared" ref="FH2:FH6" si="163">FH3</f>
        <v>4.1999999999999998E-5</v>
      </c>
      <c r="FI2" s="10">
        <f t="shared" ref="FI2:FI6" si="164">FI3</f>
        <v>4.0500000000000002E-5</v>
      </c>
      <c r="FJ2" s="10">
        <f t="shared" ref="FJ2:FJ6" si="165">FJ3</f>
        <v>3.8999999999999999E-5</v>
      </c>
      <c r="FK2" s="10">
        <f t="shared" ref="FK2:FK6" si="166">FK3</f>
        <v>3.7700000000000002E-5</v>
      </c>
      <c r="FL2" s="10">
        <f t="shared" ref="FL2:FL6" si="167">FL3</f>
        <v>3.65E-5</v>
      </c>
      <c r="FM2" s="10">
        <f t="shared" ref="FM2:FM6" si="168">FM3</f>
        <v>3.5299999999999997E-5</v>
      </c>
      <c r="FN2" s="10">
        <f t="shared" ref="FN2:FN6" si="169">FN3</f>
        <v>3.4199999999999998E-5</v>
      </c>
      <c r="FO2" s="10">
        <f t="shared" ref="FO2:FO6" si="170">FO3</f>
        <v>3.3200000000000001E-5</v>
      </c>
      <c r="FP2" s="10">
        <f t="shared" ref="FP2:FP6" si="171">FP3</f>
        <v>3.2299999999999999E-5</v>
      </c>
      <c r="FQ2" s="10">
        <f t="shared" ref="FQ2:FQ6" si="172">FQ3</f>
        <v>3.1399999999999998E-5</v>
      </c>
      <c r="FR2" s="10">
        <f t="shared" ref="FR2:FR6" si="173">FR3</f>
        <v>3.0499999999999999E-5</v>
      </c>
      <c r="FS2" s="10">
        <f t="shared" ref="FS2:FS6" si="174">FS3</f>
        <v>2.9799999999999999E-5</v>
      </c>
      <c r="FT2" s="10">
        <f t="shared" ref="FT2:FT6" si="175">FT3</f>
        <v>2.9E-5</v>
      </c>
      <c r="FU2" s="10">
        <f t="shared" ref="FU2:FU6" si="176">FU3</f>
        <v>2.83E-5</v>
      </c>
      <c r="FV2" s="10">
        <f t="shared" ref="FV2:FV6" si="177">FV3</f>
        <v>2.7699999999999999E-5</v>
      </c>
      <c r="FW2" s="10">
        <f t="shared" ref="FW2:FW6" si="178">FW3</f>
        <v>2.6999999999999999E-5</v>
      </c>
      <c r="FX2" s="10">
        <f t="shared" ref="FX2:FX6" si="179">FX3</f>
        <v>2.65E-5</v>
      </c>
      <c r="FY2" s="10">
        <f t="shared" ref="FY2:FY6" si="180">FY3</f>
        <v>2.5899999999999999E-5</v>
      </c>
      <c r="FZ2" s="10">
        <f t="shared" ref="FZ2:FZ6" si="181">FZ3</f>
        <v>2.5400000000000001E-5</v>
      </c>
      <c r="GA2" s="10">
        <f t="shared" ref="GA2:GA6" si="182">GA3</f>
        <v>2.4899999999999999E-5</v>
      </c>
      <c r="GB2" s="10">
        <f t="shared" ref="GB2:GB6" si="183">GB3</f>
        <v>2.44E-5</v>
      </c>
      <c r="GC2" s="10">
        <f t="shared" ref="GC2:GC6" si="184">GC3</f>
        <v>2.3900000000000002E-5</v>
      </c>
      <c r="GD2" s="10">
        <f t="shared" ref="GD2:GD6" si="185">GD3</f>
        <v>2.3499999999999999E-5</v>
      </c>
      <c r="GE2" s="10">
        <f t="shared" ref="GE2:GE6" si="186">GE3</f>
        <v>2.3099999999999999E-5</v>
      </c>
      <c r="GF2" s="10">
        <f t="shared" ref="GF2:GF6" si="187">GF3</f>
        <v>2.27E-5</v>
      </c>
      <c r="GG2" s="10">
        <f t="shared" ref="GG2:GG6" si="188">GG3</f>
        <v>2.23E-5</v>
      </c>
      <c r="GH2" s="10">
        <f t="shared" ref="GH2:GH6" si="189">GH3</f>
        <v>2.19E-5</v>
      </c>
      <c r="GI2" s="10">
        <f t="shared" ref="GI2:GI6" si="190">GI3</f>
        <v>2.16E-5</v>
      </c>
      <c r="GJ2" s="10">
        <f t="shared" ref="GJ2:GJ6" si="191">GJ3</f>
        <v>2.12E-5</v>
      </c>
      <c r="GK2" s="10">
        <f t="shared" ref="GK2:GK6" si="192">GK3</f>
        <v>2.09E-5</v>
      </c>
      <c r="GL2" s="10">
        <f t="shared" ref="GL2:GL6" si="193">GL3</f>
        <v>2.0599999999999999E-5</v>
      </c>
      <c r="GM2" s="10">
        <f t="shared" ref="GM2:GM6" si="194">GM3</f>
        <v>2.0299999999999999E-5</v>
      </c>
      <c r="GN2" s="10">
        <f t="shared" ref="GN2:GN6" si="195">GN3</f>
        <v>1.9899999999999999E-5</v>
      </c>
      <c r="GO2" s="10">
        <f t="shared" ref="GO2:GO6" si="196">GO3</f>
        <v>1.9700000000000001E-5</v>
      </c>
      <c r="GP2" s="10">
        <f t="shared" ref="GP2:GP6" si="197">GP3</f>
        <v>1.9400000000000001E-5</v>
      </c>
      <c r="GQ2" s="10">
        <f t="shared" ref="GQ2:GQ6" si="198">GQ3</f>
        <v>1.91E-5</v>
      </c>
      <c r="GR2" s="10">
        <f t="shared" ref="GR2:GR6" si="199">GR3</f>
        <v>1.88E-5</v>
      </c>
      <c r="GS2" s="10">
        <f t="shared" ref="GS2:GS6" si="200">GS3</f>
        <v>1.8499999999999999E-5</v>
      </c>
      <c r="GT2" s="10">
        <f t="shared" ref="GT2:GT6" si="201">GT3</f>
        <v>1.8300000000000001E-5</v>
      </c>
      <c r="GU2" s="10">
        <f t="shared" ref="GU2:GU6" si="202">GU3</f>
        <v>1.8E-5</v>
      </c>
      <c r="GV2" s="10">
        <f t="shared" ref="GV2:GV6" si="203">GV3</f>
        <v>1.7799999999999999E-5</v>
      </c>
      <c r="GW2" s="10">
        <f t="shared" ref="GW2:GW6" si="204">GW3</f>
        <v>1.7499999999999998E-5</v>
      </c>
      <c r="GX2" s="10">
        <f t="shared" ref="GX2:GX6" si="205">GX3</f>
        <v>1.73E-5</v>
      </c>
      <c r="GY2" s="10">
        <f t="shared" ref="GY2:GY6" si="206">GY3</f>
        <v>1.7E-5</v>
      </c>
      <c r="GZ2" s="10">
        <f t="shared" ref="GZ2:GZ6" si="207">GZ3</f>
        <v>1.6799999999999998E-5</v>
      </c>
      <c r="HA2" s="10">
        <f t="shared" ref="HA2:HA6" si="208">HA3</f>
        <v>1.66E-5</v>
      </c>
      <c r="HB2" s="10">
        <f t="shared" ref="HB2:HB6" si="209">HB3</f>
        <v>1.6399999999999999E-5</v>
      </c>
      <c r="HC2" s="10">
        <f t="shared" ref="HC2:HC6" si="210">HC3</f>
        <v>1.6099999999999998E-5</v>
      </c>
      <c r="HD2" s="10">
        <f t="shared" ref="HD2:HD6" si="211">HD3</f>
        <v>1.59E-5</v>
      </c>
      <c r="HE2" s="10">
        <f t="shared" ref="HE2:HE6" si="212">HE3</f>
        <v>1.5699999999999999E-5</v>
      </c>
      <c r="HF2" s="10">
        <f t="shared" ref="HF2:HF6" si="213">HF3</f>
        <v>1.5500000000000001E-5</v>
      </c>
      <c r="HG2" s="10">
        <f t="shared" ref="HG2:HG6" si="214">HG3</f>
        <v>1.5299999999999999E-5</v>
      </c>
      <c r="HH2" s="10">
        <f t="shared" ref="HH2:HH6" si="215">HH3</f>
        <v>1.5099999999999999E-5</v>
      </c>
      <c r="HI2" s="10">
        <f t="shared" ref="HI2:HI6" si="216">HI3</f>
        <v>1.49E-5</v>
      </c>
      <c r="HJ2" s="10">
        <f t="shared" ref="HJ2:HJ6" si="217">HJ3</f>
        <v>1.47E-5</v>
      </c>
      <c r="HK2" s="10">
        <f t="shared" ref="HK2:HK6" si="218">HK3</f>
        <v>1.45E-5</v>
      </c>
      <c r="HL2" s="10">
        <f t="shared" ref="HL2:HL6" si="219">HL3</f>
        <v>1.43E-5</v>
      </c>
      <c r="HM2" s="10">
        <f t="shared" ref="HM2:HM6" si="220">HM3</f>
        <v>1.4100000000000001E-5</v>
      </c>
      <c r="HN2" s="10">
        <f t="shared" ref="HN2:HN6" si="221">HN3</f>
        <v>1.3900000000000001E-5</v>
      </c>
      <c r="HO2" s="10">
        <f t="shared" ref="HO2:HO6" si="222">HO3</f>
        <v>1.3699999999999999E-5</v>
      </c>
      <c r="HP2" s="10">
        <f t="shared" ref="HP2:HP6" si="223">HP3</f>
        <v>1.3499999999999999E-5</v>
      </c>
      <c r="HQ2" s="10">
        <f t="shared" ref="HQ2:HQ6" si="224">HQ3</f>
        <v>1.33E-5</v>
      </c>
      <c r="HR2" s="10">
        <f t="shared" ref="HR2:HR6" si="225">HR3</f>
        <v>1.31E-5</v>
      </c>
      <c r="HS2" s="10">
        <f t="shared" ref="HS2:HS6" si="226">HS3</f>
        <v>1.2999999999999999E-5</v>
      </c>
      <c r="HT2" s="10">
        <f t="shared" ref="HT2:HT6" si="227">HT3</f>
        <v>1.2799999999999999E-5</v>
      </c>
      <c r="HU2" s="10">
        <f t="shared" ref="HU2:HU6" si="228">HU3</f>
        <v>1.26E-5</v>
      </c>
      <c r="HV2" s="10">
        <f t="shared" ref="HV2:HV6" si="229">HV3</f>
        <v>1.24E-5</v>
      </c>
      <c r="HW2" s="10">
        <f t="shared" ref="HW2:HW6" si="230">HW3</f>
        <v>1.2300000000000001E-5</v>
      </c>
      <c r="HX2" s="10">
        <f t="shared" ref="HX2:HX6" si="231">HX3</f>
        <v>1.2099999999999999E-5</v>
      </c>
      <c r="HY2" s="10">
        <f t="shared" ref="HY2:HY6" si="232">HY3</f>
        <v>1.19E-5</v>
      </c>
      <c r="HZ2" s="10">
        <f t="shared" ref="HZ2:HZ6" si="233">HZ3</f>
        <v>1.1800000000000001E-5</v>
      </c>
      <c r="IA2" s="10">
        <f t="shared" ref="IA2:IA6" si="234">IA3</f>
        <v>1.1600000000000001E-5</v>
      </c>
      <c r="IB2" s="10">
        <f t="shared" ref="IB2:IB6" si="235">IB3</f>
        <v>1.1399999999999999E-5</v>
      </c>
      <c r="IC2" s="10">
        <f t="shared" ref="IC2:IC6" si="236">IC3</f>
        <v>1.13E-5</v>
      </c>
      <c r="ID2" s="10">
        <f t="shared" ref="ID2:ID6" si="237">ID3</f>
        <v>1.11E-5</v>
      </c>
      <c r="IE2" s="10">
        <f t="shared" ref="IE2:IE6" si="238">IE3</f>
        <v>1.1E-5</v>
      </c>
      <c r="IF2" s="10">
        <f t="shared" ref="IF2:IF6" si="239">IF3</f>
        <v>1.08E-5</v>
      </c>
      <c r="IG2" s="10">
        <f t="shared" ref="IG2:IG6" si="240">IG3</f>
        <v>7.5480000000000002E-4</v>
      </c>
    </row>
    <row r="3" spans="1:291" s="1" customFormat="1" x14ac:dyDescent="0.35">
      <c r="A3" s="1">
        <f t="shared" si="0"/>
        <v>-5</v>
      </c>
      <c r="B3" s="10">
        <f t="shared" si="1"/>
        <v>1.0654E-2</v>
      </c>
      <c r="C3" s="10">
        <f t="shared" si="2"/>
        <v>1.0654E-2</v>
      </c>
      <c r="D3" s="10">
        <f t="shared" si="3"/>
        <v>1.06058E-2</v>
      </c>
      <c r="E3" s="10">
        <f t="shared" si="4"/>
        <v>1.04361E-2</v>
      </c>
      <c r="F3" s="10">
        <f t="shared" si="5"/>
        <v>9.7535E-3</v>
      </c>
      <c r="G3" s="10">
        <f t="shared" si="6"/>
        <v>9.1403999999999999E-3</v>
      </c>
      <c r="H3" s="10">
        <f t="shared" si="7"/>
        <v>8.5669000000000006E-3</v>
      </c>
      <c r="I3" s="10">
        <f t="shared" si="8"/>
        <v>7.9711000000000001E-3</v>
      </c>
      <c r="J3" s="10">
        <f t="shared" si="9"/>
        <v>7.4428000000000003E-3</v>
      </c>
      <c r="K3" s="10">
        <f t="shared" si="10"/>
        <v>6.9601000000000003E-3</v>
      </c>
      <c r="L3" s="10">
        <f t="shared" si="11"/>
        <v>6.5317999999999999E-3</v>
      </c>
      <c r="M3" s="10">
        <f t="shared" si="12"/>
        <v>6.1491999999999996E-3</v>
      </c>
      <c r="N3" s="10">
        <f t="shared" si="13"/>
        <v>5.8079999999999998E-3</v>
      </c>
      <c r="O3" s="10">
        <f t="shared" si="14"/>
        <v>5.5024999999999996E-3</v>
      </c>
      <c r="P3" s="10">
        <f t="shared" si="15"/>
        <v>5.2283E-3</v>
      </c>
      <c r="Q3" s="10">
        <f t="shared" si="16"/>
        <v>4.9813000000000001E-3</v>
      </c>
      <c r="R3" s="10">
        <f t="shared" si="17"/>
        <v>4.7580000000000001E-3</v>
      </c>
      <c r="S3" s="10">
        <f t="shared" si="18"/>
        <v>4.5554000000000002E-3</v>
      </c>
      <c r="T3" s="10">
        <f t="shared" si="19"/>
        <v>4.3709999999999999E-3</v>
      </c>
      <c r="U3" s="10">
        <f t="shared" si="20"/>
        <v>4.2025999999999999E-3</v>
      </c>
      <c r="V3" s="10">
        <f t="shared" si="21"/>
        <v>4.0480999999999998E-3</v>
      </c>
      <c r="W3" s="10">
        <f t="shared" si="22"/>
        <v>3.9061E-3</v>
      </c>
      <c r="X3" s="10">
        <f t="shared" si="23"/>
        <v>3.7750000000000001E-3</v>
      </c>
      <c r="Y3" s="10">
        <f t="shared" si="24"/>
        <v>3.6537000000000002E-3</v>
      </c>
      <c r="Z3" s="10">
        <f t="shared" si="25"/>
        <v>3.5412E-3</v>
      </c>
      <c r="AA3" s="10">
        <f t="shared" si="26"/>
        <v>3.4364E-3</v>
      </c>
      <c r="AB3" s="10">
        <f t="shared" si="27"/>
        <v>3.3384999999999999E-3</v>
      </c>
      <c r="AC3" s="10">
        <f t="shared" si="28"/>
        <v>3.2468000000000002E-3</v>
      </c>
      <c r="AD3" s="10">
        <f t="shared" si="29"/>
        <v>3.1606999999999998E-3</v>
      </c>
      <c r="AE3" s="10">
        <f t="shared" si="30"/>
        <v>3.0796999999999999E-3</v>
      </c>
      <c r="AF3" s="10">
        <f t="shared" si="31"/>
        <v>3.0030999999999999E-3</v>
      </c>
      <c r="AG3" s="10">
        <f t="shared" si="32"/>
        <v>2.9307000000000001E-3</v>
      </c>
      <c r="AH3" s="10">
        <f t="shared" si="33"/>
        <v>2.8620999999999998E-3</v>
      </c>
      <c r="AI3" s="10">
        <f t="shared" si="34"/>
        <v>2.7969000000000002E-3</v>
      </c>
      <c r="AJ3" s="10">
        <f t="shared" si="35"/>
        <v>2.7349000000000002E-3</v>
      </c>
      <c r="AK3" s="10">
        <f t="shared" si="36"/>
        <v>2.6759000000000002E-3</v>
      </c>
      <c r="AL3" s="10">
        <f t="shared" si="37"/>
        <v>2.6194999999999999E-3</v>
      </c>
      <c r="AM3" s="10">
        <f t="shared" si="38"/>
        <v>2.5657000000000002E-3</v>
      </c>
      <c r="AN3" s="10">
        <f t="shared" si="39"/>
        <v>2.5143000000000001E-3</v>
      </c>
      <c r="AO3" s="10">
        <f t="shared" si="40"/>
        <v>2.4650000000000002E-3</v>
      </c>
      <c r="AP3" s="10">
        <f t="shared" si="41"/>
        <v>2.4177000000000001E-3</v>
      </c>
      <c r="AQ3" s="10">
        <f t="shared" si="42"/>
        <v>2.3722999999999999E-3</v>
      </c>
      <c r="AR3" s="10">
        <f t="shared" si="43"/>
        <v>2.3287E-3</v>
      </c>
      <c r="AS3" s="10">
        <f t="shared" si="44"/>
        <v>2.2867E-3</v>
      </c>
      <c r="AT3" s="10">
        <f t="shared" si="45"/>
        <v>2.2461999999999998E-3</v>
      </c>
      <c r="AU3" s="10">
        <f t="shared" si="46"/>
        <v>2.2071999999999999E-3</v>
      </c>
      <c r="AV3" s="10">
        <f t="shared" si="47"/>
        <v>2.1695E-3</v>
      </c>
      <c r="AW3" s="10">
        <f t="shared" si="48"/>
        <v>2.1329999999999999E-3</v>
      </c>
      <c r="AX3" s="10">
        <f t="shared" si="49"/>
        <v>2.0977000000000001E-3</v>
      </c>
      <c r="AY3" s="10">
        <f t="shared" si="50"/>
        <v>2.0634E-3</v>
      </c>
      <c r="AZ3" s="10">
        <f t="shared" si="51"/>
        <v>2.0301999999999998E-3</v>
      </c>
      <c r="BA3" s="10">
        <f t="shared" si="52"/>
        <v>1.9980000000000002E-3</v>
      </c>
      <c r="BB3" s="10">
        <f t="shared" si="53"/>
        <v>1.9666000000000002E-3</v>
      </c>
      <c r="BC3" s="10">
        <f t="shared" si="54"/>
        <v>1.9361000000000001E-3</v>
      </c>
      <c r="BD3" s="10">
        <f t="shared" si="55"/>
        <v>1.9063000000000001E-3</v>
      </c>
      <c r="BE3" s="10">
        <f t="shared" si="56"/>
        <v>1.8772999999999999E-3</v>
      </c>
      <c r="BF3" s="10">
        <f t="shared" si="57"/>
        <v>1.8489999999999999E-3</v>
      </c>
      <c r="BG3" s="10">
        <f t="shared" si="58"/>
        <v>1.8213000000000001E-3</v>
      </c>
      <c r="BH3" s="10">
        <f t="shared" si="59"/>
        <v>1.7943E-3</v>
      </c>
      <c r="BI3" s="10">
        <f t="shared" si="60"/>
        <v>1.7677999999999999E-3</v>
      </c>
      <c r="BJ3" s="10">
        <f t="shared" si="61"/>
        <v>1.7419E-3</v>
      </c>
      <c r="BK3" s="10">
        <f t="shared" si="62"/>
        <v>1.7166E-3</v>
      </c>
      <c r="BL3" s="10">
        <f t="shared" si="63"/>
        <v>1.6917E-3</v>
      </c>
      <c r="BM3" s="10">
        <f t="shared" si="64"/>
        <v>1.6673E-3</v>
      </c>
      <c r="BN3" s="10">
        <f t="shared" si="65"/>
        <v>1.6433999999999999E-3</v>
      </c>
      <c r="BO3" s="10">
        <f t="shared" si="66"/>
        <v>1.6199000000000001E-3</v>
      </c>
      <c r="BP3" s="10">
        <f t="shared" si="67"/>
        <v>1.5968E-3</v>
      </c>
      <c r="BQ3" s="10">
        <f t="shared" si="68"/>
        <v>1.5740999999999999E-3</v>
      </c>
      <c r="BR3" s="10">
        <f t="shared" si="69"/>
        <v>1.5518000000000001E-3</v>
      </c>
      <c r="BS3" s="10">
        <f t="shared" si="70"/>
        <v>1.5299000000000001E-3</v>
      </c>
      <c r="BT3" s="10">
        <f t="shared" si="71"/>
        <v>1.5083E-3</v>
      </c>
      <c r="BU3" s="10">
        <f t="shared" si="72"/>
        <v>1.4871000000000001E-3</v>
      </c>
      <c r="BV3" s="10">
        <f t="shared" si="73"/>
        <v>1.4662E-3</v>
      </c>
      <c r="BW3" s="10">
        <f t="shared" si="74"/>
        <v>1.4457000000000001E-3</v>
      </c>
      <c r="BX3" s="10">
        <f t="shared" si="75"/>
        <v>1.4254000000000001E-3</v>
      </c>
      <c r="BY3" s="10">
        <f t="shared" si="76"/>
        <v>1.4055000000000001E-3</v>
      </c>
      <c r="BZ3" s="10">
        <f t="shared" si="77"/>
        <v>1.3858E-3</v>
      </c>
      <c r="CA3" s="10">
        <f t="shared" si="78"/>
        <v>1.3664E-3</v>
      </c>
      <c r="CB3" s="10">
        <f t="shared" si="79"/>
        <v>1.3473999999999999E-3</v>
      </c>
      <c r="CC3" s="10">
        <f t="shared" si="80"/>
        <v>1.3285E-3</v>
      </c>
      <c r="CD3" s="10">
        <f t="shared" si="81"/>
        <v>1.31E-3</v>
      </c>
      <c r="CE3" s="10">
        <f t="shared" si="82"/>
        <v>1.2917E-3</v>
      </c>
      <c r="CF3" s="10">
        <f t="shared" si="83"/>
        <v>1.2737E-3</v>
      </c>
      <c r="CG3" s="10">
        <f t="shared" si="84"/>
        <v>1.2558999999999999E-3</v>
      </c>
      <c r="CH3" s="10">
        <f t="shared" si="85"/>
        <v>1.2384E-3</v>
      </c>
      <c r="CI3" s="10">
        <f t="shared" si="86"/>
        <v>1.2210999999999999E-3</v>
      </c>
      <c r="CJ3" s="10">
        <f t="shared" si="87"/>
        <v>1.2041E-3</v>
      </c>
      <c r="CK3" s="10">
        <f t="shared" si="88"/>
        <v>1.1873000000000001E-3</v>
      </c>
      <c r="CL3" s="10">
        <f t="shared" si="89"/>
        <v>1.1707E-3</v>
      </c>
      <c r="CM3" s="10">
        <f t="shared" si="90"/>
        <v>1.1543E-3</v>
      </c>
      <c r="CN3" s="10">
        <f t="shared" si="91"/>
        <v>1.1382E-3</v>
      </c>
      <c r="CO3" s="10">
        <f t="shared" si="92"/>
        <v>1.1222999999999999E-3</v>
      </c>
      <c r="CP3" s="10">
        <f t="shared" si="93"/>
        <v>1.1065999999999999E-3</v>
      </c>
      <c r="CQ3" s="10">
        <f t="shared" si="94"/>
        <v>1.0911E-3</v>
      </c>
      <c r="CR3" s="10">
        <f t="shared" si="95"/>
        <v>1.0759000000000001E-3</v>
      </c>
      <c r="CS3" s="10">
        <f t="shared" si="96"/>
        <v>1.0608E-3</v>
      </c>
      <c r="CT3" s="10">
        <f t="shared" si="97"/>
        <v>1.0459E-3</v>
      </c>
      <c r="CU3" s="10">
        <f t="shared" si="98"/>
        <v>1.0313E-3</v>
      </c>
      <c r="CV3" s="10">
        <f t="shared" si="99"/>
        <v>1.0168E-3</v>
      </c>
      <c r="CW3" s="10">
        <f t="shared" si="100"/>
        <v>1.0026E-3</v>
      </c>
      <c r="CX3" s="10">
        <f t="shared" si="101"/>
        <v>9.8850000000000001E-4</v>
      </c>
      <c r="CY3" s="10">
        <f t="shared" si="102"/>
        <v>9.7460000000000005E-4</v>
      </c>
      <c r="CZ3" s="10">
        <f t="shared" si="103"/>
        <v>9.6089999999999999E-4</v>
      </c>
      <c r="DA3" s="10">
        <f t="shared" si="104"/>
        <v>9.4740000000000004E-4</v>
      </c>
      <c r="DB3" s="10">
        <f t="shared" si="105"/>
        <v>9.3409999999999999E-4</v>
      </c>
      <c r="DC3" s="10">
        <f t="shared" si="106"/>
        <v>9.2100000000000005E-4</v>
      </c>
      <c r="DD3" s="10">
        <f t="shared" si="107"/>
        <v>9.0799999999999995E-4</v>
      </c>
      <c r="DE3" s="10">
        <f t="shared" si="108"/>
        <v>8.9519999999999997E-4</v>
      </c>
      <c r="DF3" s="10">
        <f t="shared" si="109"/>
        <v>8.8259999999999999E-4</v>
      </c>
      <c r="DG3" s="10">
        <f t="shared" si="110"/>
        <v>8.7020000000000001E-4</v>
      </c>
      <c r="DH3" s="10">
        <f t="shared" si="111"/>
        <v>8.5789999999999998E-4</v>
      </c>
      <c r="DI3" s="10">
        <f t="shared" si="112"/>
        <v>8.4579999999999996E-4</v>
      </c>
      <c r="DJ3" s="10">
        <f t="shared" si="113"/>
        <v>8.3390000000000005E-4</v>
      </c>
      <c r="DK3" s="10">
        <f t="shared" si="114"/>
        <v>8.2209999999999998E-4</v>
      </c>
      <c r="DL3" s="10">
        <f t="shared" si="115"/>
        <v>8.1050000000000002E-4</v>
      </c>
      <c r="DM3" s="10">
        <f t="shared" si="116"/>
        <v>7.9909999999999996E-4</v>
      </c>
      <c r="DN3" s="10">
        <f t="shared" si="117"/>
        <v>7.8779999999999996E-4</v>
      </c>
      <c r="DO3" s="10">
        <f t="shared" si="118"/>
        <v>7.7669999999999996E-4</v>
      </c>
      <c r="DP3" s="10">
        <f t="shared" si="119"/>
        <v>7.6570000000000002E-4</v>
      </c>
      <c r="DQ3" s="10">
        <f t="shared" si="120"/>
        <v>5.3164200000000002E-2</v>
      </c>
      <c r="DR3" s="10">
        <f t="shared" si="121"/>
        <v>0</v>
      </c>
      <c r="DS3" s="10">
        <f t="shared" si="122"/>
        <v>4.8199999999999999E-5</v>
      </c>
      <c r="DT3" s="10">
        <f t="shared" si="123"/>
        <v>1.697E-4</v>
      </c>
      <c r="DU3" s="10">
        <f t="shared" si="124"/>
        <v>6.826E-4</v>
      </c>
      <c r="DV3" s="10">
        <f t="shared" si="125"/>
        <v>6.1309999999999999E-4</v>
      </c>
      <c r="DW3" s="10">
        <f t="shared" si="126"/>
        <v>5.7359999999999996E-4</v>
      </c>
      <c r="DX3" s="10">
        <f t="shared" si="127"/>
        <v>5.9579999999999995E-4</v>
      </c>
      <c r="DY3" s="10">
        <f t="shared" si="128"/>
        <v>5.2820000000000005E-4</v>
      </c>
      <c r="DZ3" s="10">
        <f t="shared" si="129"/>
        <v>4.8280000000000003E-4</v>
      </c>
      <c r="EA3" s="10">
        <f t="shared" si="130"/>
        <v>4.283E-4</v>
      </c>
      <c r="EB3" s="10">
        <f t="shared" si="131"/>
        <v>3.8259999999999998E-4</v>
      </c>
      <c r="EC3" s="10">
        <f t="shared" si="132"/>
        <v>3.412E-4</v>
      </c>
      <c r="ED3" s="10">
        <f t="shared" si="133"/>
        <v>3.055E-4</v>
      </c>
      <c r="EE3" s="10">
        <f t="shared" si="134"/>
        <v>2.742E-4</v>
      </c>
      <c r="EF3" s="10">
        <f t="shared" si="135"/>
        <v>2.4699999999999999E-4</v>
      </c>
      <c r="EG3" s="10">
        <f t="shared" si="136"/>
        <v>2.2330000000000001E-4</v>
      </c>
      <c r="EH3" s="10">
        <f t="shared" si="137"/>
        <v>2.0259999999999999E-4</v>
      </c>
      <c r="EI3" s="10">
        <f t="shared" si="138"/>
        <v>1.8440000000000001E-4</v>
      </c>
      <c r="EJ3" s="10">
        <f t="shared" si="139"/>
        <v>1.685E-4</v>
      </c>
      <c r="EK3" s="10">
        <f t="shared" si="140"/>
        <v>1.5440000000000001E-4</v>
      </c>
      <c r="EL3" s="10">
        <f t="shared" si="141"/>
        <v>1.4200000000000001E-4</v>
      </c>
      <c r="EM3" s="10">
        <f t="shared" si="142"/>
        <v>1.3100000000000001E-4</v>
      </c>
      <c r="EN3" s="10">
        <f t="shared" si="143"/>
        <v>1.2129999999999999E-4</v>
      </c>
      <c r="EO3" s="10">
        <f t="shared" si="144"/>
        <v>1.126E-4</v>
      </c>
      <c r="EP3" s="10">
        <f t="shared" si="145"/>
        <v>1.048E-4</v>
      </c>
      <c r="EQ3" s="10">
        <f t="shared" si="146"/>
        <v>9.7899999999999994E-5</v>
      </c>
      <c r="ER3" s="10">
        <f t="shared" si="147"/>
        <v>9.1700000000000006E-5</v>
      </c>
      <c r="ES3" s="10">
        <f t="shared" si="148"/>
        <v>8.6100000000000006E-5</v>
      </c>
      <c r="ET3" s="10">
        <f t="shared" si="149"/>
        <v>8.1100000000000006E-5</v>
      </c>
      <c r="EU3" s="10">
        <f t="shared" si="150"/>
        <v>7.6500000000000003E-5</v>
      </c>
      <c r="EV3" s="10">
        <f t="shared" si="151"/>
        <v>7.2399999999999998E-5</v>
      </c>
      <c r="EW3" s="10">
        <f t="shared" si="152"/>
        <v>6.86E-5</v>
      </c>
      <c r="EX3" s="10">
        <f t="shared" si="153"/>
        <v>6.5199999999999999E-5</v>
      </c>
      <c r="EY3" s="10">
        <f t="shared" si="154"/>
        <v>6.2000000000000003E-5</v>
      </c>
      <c r="EZ3" s="10">
        <f t="shared" si="155"/>
        <v>5.8999999999999998E-5</v>
      </c>
      <c r="FA3" s="10">
        <f t="shared" si="156"/>
        <v>5.63E-5</v>
      </c>
      <c r="FB3" s="10">
        <f t="shared" si="157"/>
        <v>5.38E-5</v>
      </c>
      <c r="FC3" s="10">
        <f t="shared" si="158"/>
        <v>5.1499999999999998E-5</v>
      </c>
      <c r="FD3" s="10">
        <f t="shared" si="159"/>
        <v>4.9299999999999999E-5</v>
      </c>
      <c r="FE3" s="10">
        <f t="shared" si="160"/>
        <v>4.7299999999999998E-5</v>
      </c>
      <c r="FF3" s="10">
        <f t="shared" si="161"/>
        <v>4.5399999999999999E-5</v>
      </c>
      <c r="FG3" s="10">
        <f t="shared" si="162"/>
        <v>4.3600000000000003E-5</v>
      </c>
      <c r="FH3" s="10">
        <f t="shared" si="163"/>
        <v>4.1999999999999998E-5</v>
      </c>
      <c r="FI3" s="10">
        <f t="shared" si="164"/>
        <v>4.0500000000000002E-5</v>
      </c>
      <c r="FJ3" s="10">
        <f t="shared" si="165"/>
        <v>3.8999999999999999E-5</v>
      </c>
      <c r="FK3" s="10">
        <f t="shared" si="166"/>
        <v>3.7700000000000002E-5</v>
      </c>
      <c r="FL3" s="10">
        <f t="shared" si="167"/>
        <v>3.65E-5</v>
      </c>
      <c r="FM3" s="10">
        <f t="shared" si="168"/>
        <v>3.5299999999999997E-5</v>
      </c>
      <c r="FN3" s="10">
        <f t="shared" si="169"/>
        <v>3.4199999999999998E-5</v>
      </c>
      <c r="FO3" s="10">
        <f t="shared" si="170"/>
        <v>3.3200000000000001E-5</v>
      </c>
      <c r="FP3" s="10">
        <f t="shared" si="171"/>
        <v>3.2299999999999999E-5</v>
      </c>
      <c r="FQ3" s="10">
        <f t="shared" si="172"/>
        <v>3.1399999999999998E-5</v>
      </c>
      <c r="FR3" s="10">
        <f t="shared" si="173"/>
        <v>3.0499999999999999E-5</v>
      </c>
      <c r="FS3" s="10">
        <f t="shared" si="174"/>
        <v>2.9799999999999999E-5</v>
      </c>
      <c r="FT3" s="10">
        <f t="shared" si="175"/>
        <v>2.9E-5</v>
      </c>
      <c r="FU3" s="10">
        <f t="shared" si="176"/>
        <v>2.83E-5</v>
      </c>
      <c r="FV3" s="10">
        <f t="shared" si="177"/>
        <v>2.7699999999999999E-5</v>
      </c>
      <c r="FW3" s="10">
        <f t="shared" si="178"/>
        <v>2.6999999999999999E-5</v>
      </c>
      <c r="FX3" s="10">
        <f t="shared" si="179"/>
        <v>2.65E-5</v>
      </c>
      <c r="FY3" s="10">
        <f t="shared" si="180"/>
        <v>2.5899999999999999E-5</v>
      </c>
      <c r="FZ3" s="10">
        <f t="shared" si="181"/>
        <v>2.5400000000000001E-5</v>
      </c>
      <c r="GA3" s="10">
        <f t="shared" si="182"/>
        <v>2.4899999999999999E-5</v>
      </c>
      <c r="GB3" s="10">
        <f t="shared" si="183"/>
        <v>2.44E-5</v>
      </c>
      <c r="GC3" s="10">
        <f t="shared" si="184"/>
        <v>2.3900000000000002E-5</v>
      </c>
      <c r="GD3" s="10">
        <f t="shared" si="185"/>
        <v>2.3499999999999999E-5</v>
      </c>
      <c r="GE3" s="10">
        <f t="shared" si="186"/>
        <v>2.3099999999999999E-5</v>
      </c>
      <c r="GF3" s="10">
        <f t="shared" si="187"/>
        <v>2.27E-5</v>
      </c>
      <c r="GG3" s="10">
        <f t="shared" si="188"/>
        <v>2.23E-5</v>
      </c>
      <c r="GH3" s="10">
        <f t="shared" si="189"/>
        <v>2.19E-5</v>
      </c>
      <c r="GI3" s="10">
        <f t="shared" si="190"/>
        <v>2.16E-5</v>
      </c>
      <c r="GJ3" s="10">
        <f t="shared" si="191"/>
        <v>2.12E-5</v>
      </c>
      <c r="GK3" s="10">
        <f t="shared" si="192"/>
        <v>2.09E-5</v>
      </c>
      <c r="GL3" s="10">
        <f t="shared" si="193"/>
        <v>2.0599999999999999E-5</v>
      </c>
      <c r="GM3" s="10">
        <f t="shared" si="194"/>
        <v>2.0299999999999999E-5</v>
      </c>
      <c r="GN3" s="10">
        <f t="shared" si="195"/>
        <v>1.9899999999999999E-5</v>
      </c>
      <c r="GO3" s="10">
        <f t="shared" si="196"/>
        <v>1.9700000000000001E-5</v>
      </c>
      <c r="GP3" s="10">
        <f t="shared" si="197"/>
        <v>1.9400000000000001E-5</v>
      </c>
      <c r="GQ3" s="10">
        <f t="shared" si="198"/>
        <v>1.91E-5</v>
      </c>
      <c r="GR3" s="10">
        <f t="shared" si="199"/>
        <v>1.88E-5</v>
      </c>
      <c r="GS3" s="10">
        <f t="shared" si="200"/>
        <v>1.8499999999999999E-5</v>
      </c>
      <c r="GT3" s="10">
        <f t="shared" si="201"/>
        <v>1.8300000000000001E-5</v>
      </c>
      <c r="GU3" s="10">
        <f t="shared" si="202"/>
        <v>1.8E-5</v>
      </c>
      <c r="GV3" s="10">
        <f t="shared" si="203"/>
        <v>1.7799999999999999E-5</v>
      </c>
      <c r="GW3" s="10">
        <f t="shared" si="204"/>
        <v>1.7499999999999998E-5</v>
      </c>
      <c r="GX3" s="10">
        <f t="shared" si="205"/>
        <v>1.73E-5</v>
      </c>
      <c r="GY3" s="10">
        <f t="shared" si="206"/>
        <v>1.7E-5</v>
      </c>
      <c r="GZ3" s="10">
        <f t="shared" si="207"/>
        <v>1.6799999999999998E-5</v>
      </c>
      <c r="HA3" s="10">
        <f t="shared" si="208"/>
        <v>1.66E-5</v>
      </c>
      <c r="HB3" s="10">
        <f t="shared" si="209"/>
        <v>1.6399999999999999E-5</v>
      </c>
      <c r="HC3" s="10">
        <f t="shared" si="210"/>
        <v>1.6099999999999998E-5</v>
      </c>
      <c r="HD3" s="10">
        <f t="shared" si="211"/>
        <v>1.59E-5</v>
      </c>
      <c r="HE3" s="10">
        <f t="shared" si="212"/>
        <v>1.5699999999999999E-5</v>
      </c>
      <c r="HF3" s="10">
        <f t="shared" si="213"/>
        <v>1.5500000000000001E-5</v>
      </c>
      <c r="HG3" s="10">
        <f t="shared" si="214"/>
        <v>1.5299999999999999E-5</v>
      </c>
      <c r="HH3" s="10">
        <f t="shared" si="215"/>
        <v>1.5099999999999999E-5</v>
      </c>
      <c r="HI3" s="10">
        <f t="shared" si="216"/>
        <v>1.49E-5</v>
      </c>
      <c r="HJ3" s="10">
        <f t="shared" si="217"/>
        <v>1.47E-5</v>
      </c>
      <c r="HK3" s="10">
        <f t="shared" si="218"/>
        <v>1.45E-5</v>
      </c>
      <c r="HL3" s="10">
        <f t="shared" si="219"/>
        <v>1.43E-5</v>
      </c>
      <c r="HM3" s="10">
        <f t="shared" si="220"/>
        <v>1.4100000000000001E-5</v>
      </c>
      <c r="HN3" s="10">
        <f t="shared" si="221"/>
        <v>1.3900000000000001E-5</v>
      </c>
      <c r="HO3" s="10">
        <f t="shared" si="222"/>
        <v>1.3699999999999999E-5</v>
      </c>
      <c r="HP3" s="10">
        <f t="shared" si="223"/>
        <v>1.3499999999999999E-5</v>
      </c>
      <c r="HQ3" s="10">
        <f t="shared" si="224"/>
        <v>1.33E-5</v>
      </c>
      <c r="HR3" s="10">
        <f t="shared" si="225"/>
        <v>1.31E-5</v>
      </c>
      <c r="HS3" s="10">
        <f t="shared" si="226"/>
        <v>1.2999999999999999E-5</v>
      </c>
      <c r="HT3" s="10">
        <f t="shared" si="227"/>
        <v>1.2799999999999999E-5</v>
      </c>
      <c r="HU3" s="10">
        <f t="shared" si="228"/>
        <v>1.26E-5</v>
      </c>
      <c r="HV3" s="10">
        <f t="shared" si="229"/>
        <v>1.24E-5</v>
      </c>
      <c r="HW3" s="10">
        <f t="shared" si="230"/>
        <v>1.2300000000000001E-5</v>
      </c>
      <c r="HX3" s="10">
        <f t="shared" si="231"/>
        <v>1.2099999999999999E-5</v>
      </c>
      <c r="HY3" s="10">
        <f t="shared" si="232"/>
        <v>1.19E-5</v>
      </c>
      <c r="HZ3" s="10">
        <f t="shared" si="233"/>
        <v>1.1800000000000001E-5</v>
      </c>
      <c r="IA3" s="10">
        <f t="shared" si="234"/>
        <v>1.1600000000000001E-5</v>
      </c>
      <c r="IB3" s="10">
        <f t="shared" si="235"/>
        <v>1.1399999999999999E-5</v>
      </c>
      <c r="IC3" s="10">
        <f t="shared" si="236"/>
        <v>1.13E-5</v>
      </c>
      <c r="ID3" s="10">
        <f t="shared" si="237"/>
        <v>1.11E-5</v>
      </c>
      <c r="IE3" s="10">
        <f t="shared" si="238"/>
        <v>1.1E-5</v>
      </c>
      <c r="IF3" s="10">
        <f t="shared" si="239"/>
        <v>1.08E-5</v>
      </c>
      <c r="IG3" s="10">
        <f t="shared" si="240"/>
        <v>7.5480000000000002E-4</v>
      </c>
    </row>
    <row r="4" spans="1:291" s="1" customFormat="1" x14ac:dyDescent="0.35">
      <c r="A4" s="1">
        <f t="shared" si="0"/>
        <v>-4</v>
      </c>
      <c r="B4" s="10">
        <f t="shared" si="1"/>
        <v>1.0654E-2</v>
      </c>
      <c r="C4" s="10">
        <f t="shared" si="2"/>
        <v>1.0654E-2</v>
      </c>
      <c r="D4" s="10">
        <f t="shared" si="3"/>
        <v>1.06058E-2</v>
      </c>
      <c r="E4" s="10">
        <f t="shared" si="4"/>
        <v>1.04361E-2</v>
      </c>
      <c r="F4" s="10">
        <f t="shared" si="5"/>
        <v>9.7535E-3</v>
      </c>
      <c r="G4" s="10">
        <f t="shared" si="6"/>
        <v>9.1403999999999999E-3</v>
      </c>
      <c r="H4" s="10">
        <f t="shared" si="7"/>
        <v>8.5669000000000006E-3</v>
      </c>
      <c r="I4" s="10">
        <f t="shared" si="8"/>
        <v>7.9711000000000001E-3</v>
      </c>
      <c r="J4" s="10">
        <f t="shared" si="9"/>
        <v>7.4428000000000003E-3</v>
      </c>
      <c r="K4" s="10">
        <f t="shared" si="10"/>
        <v>6.9601000000000003E-3</v>
      </c>
      <c r="L4" s="10">
        <f t="shared" si="11"/>
        <v>6.5317999999999999E-3</v>
      </c>
      <c r="M4" s="10">
        <f t="shared" si="12"/>
        <v>6.1491999999999996E-3</v>
      </c>
      <c r="N4" s="10">
        <f t="shared" si="13"/>
        <v>5.8079999999999998E-3</v>
      </c>
      <c r="O4" s="10">
        <f t="shared" si="14"/>
        <v>5.5024999999999996E-3</v>
      </c>
      <c r="P4" s="10">
        <f t="shared" si="15"/>
        <v>5.2283E-3</v>
      </c>
      <c r="Q4" s="10">
        <f t="shared" si="16"/>
        <v>4.9813000000000001E-3</v>
      </c>
      <c r="R4" s="10">
        <f t="shared" si="17"/>
        <v>4.7580000000000001E-3</v>
      </c>
      <c r="S4" s="10">
        <f t="shared" si="18"/>
        <v>4.5554000000000002E-3</v>
      </c>
      <c r="T4" s="10">
        <f t="shared" si="19"/>
        <v>4.3709999999999999E-3</v>
      </c>
      <c r="U4" s="10">
        <f t="shared" si="20"/>
        <v>4.2025999999999999E-3</v>
      </c>
      <c r="V4" s="10">
        <f t="shared" si="21"/>
        <v>4.0480999999999998E-3</v>
      </c>
      <c r="W4" s="10">
        <f t="shared" si="22"/>
        <v>3.9061E-3</v>
      </c>
      <c r="X4" s="10">
        <f t="shared" si="23"/>
        <v>3.7750000000000001E-3</v>
      </c>
      <c r="Y4" s="10">
        <f t="shared" si="24"/>
        <v>3.6537000000000002E-3</v>
      </c>
      <c r="Z4" s="10">
        <f t="shared" si="25"/>
        <v>3.5412E-3</v>
      </c>
      <c r="AA4" s="10">
        <f t="shared" si="26"/>
        <v>3.4364E-3</v>
      </c>
      <c r="AB4" s="10">
        <f t="shared" si="27"/>
        <v>3.3384999999999999E-3</v>
      </c>
      <c r="AC4" s="10">
        <f t="shared" si="28"/>
        <v>3.2468000000000002E-3</v>
      </c>
      <c r="AD4" s="10">
        <f t="shared" si="29"/>
        <v>3.1606999999999998E-3</v>
      </c>
      <c r="AE4" s="10">
        <f t="shared" si="30"/>
        <v>3.0796999999999999E-3</v>
      </c>
      <c r="AF4" s="10">
        <f t="shared" si="31"/>
        <v>3.0030999999999999E-3</v>
      </c>
      <c r="AG4" s="10">
        <f t="shared" si="32"/>
        <v>2.9307000000000001E-3</v>
      </c>
      <c r="AH4" s="10">
        <f t="shared" si="33"/>
        <v>2.8620999999999998E-3</v>
      </c>
      <c r="AI4" s="10">
        <f t="shared" si="34"/>
        <v>2.7969000000000002E-3</v>
      </c>
      <c r="AJ4" s="10">
        <f t="shared" si="35"/>
        <v>2.7349000000000002E-3</v>
      </c>
      <c r="AK4" s="10">
        <f t="shared" si="36"/>
        <v>2.6759000000000002E-3</v>
      </c>
      <c r="AL4" s="10">
        <f t="shared" si="37"/>
        <v>2.6194999999999999E-3</v>
      </c>
      <c r="AM4" s="10">
        <f t="shared" si="38"/>
        <v>2.5657000000000002E-3</v>
      </c>
      <c r="AN4" s="10">
        <f t="shared" si="39"/>
        <v>2.5143000000000001E-3</v>
      </c>
      <c r="AO4" s="10">
        <f t="shared" si="40"/>
        <v>2.4650000000000002E-3</v>
      </c>
      <c r="AP4" s="10">
        <f t="shared" si="41"/>
        <v>2.4177000000000001E-3</v>
      </c>
      <c r="AQ4" s="10">
        <f t="shared" si="42"/>
        <v>2.3722999999999999E-3</v>
      </c>
      <c r="AR4" s="10">
        <f t="shared" si="43"/>
        <v>2.3287E-3</v>
      </c>
      <c r="AS4" s="10">
        <f t="shared" si="44"/>
        <v>2.2867E-3</v>
      </c>
      <c r="AT4" s="10">
        <f t="shared" si="45"/>
        <v>2.2461999999999998E-3</v>
      </c>
      <c r="AU4" s="10">
        <f t="shared" si="46"/>
        <v>2.2071999999999999E-3</v>
      </c>
      <c r="AV4" s="10">
        <f t="shared" si="47"/>
        <v>2.1695E-3</v>
      </c>
      <c r="AW4" s="10">
        <f t="shared" si="48"/>
        <v>2.1329999999999999E-3</v>
      </c>
      <c r="AX4" s="10">
        <f t="shared" si="49"/>
        <v>2.0977000000000001E-3</v>
      </c>
      <c r="AY4" s="10">
        <f t="shared" si="50"/>
        <v>2.0634E-3</v>
      </c>
      <c r="AZ4" s="10">
        <f t="shared" si="51"/>
        <v>2.0301999999999998E-3</v>
      </c>
      <c r="BA4" s="10">
        <f t="shared" si="52"/>
        <v>1.9980000000000002E-3</v>
      </c>
      <c r="BB4" s="10">
        <f t="shared" si="53"/>
        <v>1.9666000000000002E-3</v>
      </c>
      <c r="BC4" s="10">
        <f t="shared" si="54"/>
        <v>1.9361000000000001E-3</v>
      </c>
      <c r="BD4" s="10">
        <f t="shared" si="55"/>
        <v>1.9063000000000001E-3</v>
      </c>
      <c r="BE4" s="10">
        <f t="shared" si="56"/>
        <v>1.8772999999999999E-3</v>
      </c>
      <c r="BF4" s="10">
        <f t="shared" si="57"/>
        <v>1.8489999999999999E-3</v>
      </c>
      <c r="BG4" s="10">
        <f t="shared" si="58"/>
        <v>1.8213000000000001E-3</v>
      </c>
      <c r="BH4" s="10">
        <f t="shared" si="59"/>
        <v>1.7943E-3</v>
      </c>
      <c r="BI4" s="10">
        <f t="shared" si="60"/>
        <v>1.7677999999999999E-3</v>
      </c>
      <c r="BJ4" s="10">
        <f t="shared" si="61"/>
        <v>1.7419E-3</v>
      </c>
      <c r="BK4" s="10">
        <f t="shared" si="62"/>
        <v>1.7166E-3</v>
      </c>
      <c r="BL4" s="10">
        <f t="shared" si="63"/>
        <v>1.6917E-3</v>
      </c>
      <c r="BM4" s="10">
        <f t="shared" si="64"/>
        <v>1.6673E-3</v>
      </c>
      <c r="BN4" s="10">
        <f t="shared" si="65"/>
        <v>1.6433999999999999E-3</v>
      </c>
      <c r="BO4" s="10">
        <f t="shared" si="66"/>
        <v>1.6199000000000001E-3</v>
      </c>
      <c r="BP4" s="10">
        <f t="shared" si="67"/>
        <v>1.5968E-3</v>
      </c>
      <c r="BQ4" s="10">
        <f t="shared" si="68"/>
        <v>1.5740999999999999E-3</v>
      </c>
      <c r="BR4" s="10">
        <f t="shared" si="69"/>
        <v>1.5518000000000001E-3</v>
      </c>
      <c r="BS4" s="10">
        <f t="shared" si="70"/>
        <v>1.5299000000000001E-3</v>
      </c>
      <c r="BT4" s="10">
        <f t="shared" si="71"/>
        <v>1.5083E-3</v>
      </c>
      <c r="BU4" s="10">
        <f t="shared" si="72"/>
        <v>1.4871000000000001E-3</v>
      </c>
      <c r="BV4" s="10">
        <f t="shared" si="73"/>
        <v>1.4662E-3</v>
      </c>
      <c r="BW4" s="10">
        <f t="shared" si="74"/>
        <v>1.4457000000000001E-3</v>
      </c>
      <c r="BX4" s="10">
        <f t="shared" si="75"/>
        <v>1.4254000000000001E-3</v>
      </c>
      <c r="BY4" s="10">
        <f t="shared" si="76"/>
        <v>1.4055000000000001E-3</v>
      </c>
      <c r="BZ4" s="10">
        <f t="shared" si="77"/>
        <v>1.3858E-3</v>
      </c>
      <c r="CA4" s="10">
        <f t="shared" si="78"/>
        <v>1.3664E-3</v>
      </c>
      <c r="CB4" s="10">
        <f t="shared" si="79"/>
        <v>1.3473999999999999E-3</v>
      </c>
      <c r="CC4" s="10">
        <f t="shared" si="80"/>
        <v>1.3285E-3</v>
      </c>
      <c r="CD4" s="10">
        <f t="shared" si="81"/>
        <v>1.31E-3</v>
      </c>
      <c r="CE4" s="10">
        <f t="shared" si="82"/>
        <v>1.2917E-3</v>
      </c>
      <c r="CF4" s="10">
        <f t="shared" si="83"/>
        <v>1.2737E-3</v>
      </c>
      <c r="CG4" s="10">
        <f t="shared" si="84"/>
        <v>1.2558999999999999E-3</v>
      </c>
      <c r="CH4" s="10">
        <f t="shared" si="85"/>
        <v>1.2384E-3</v>
      </c>
      <c r="CI4" s="10">
        <f t="shared" si="86"/>
        <v>1.2210999999999999E-3</v>
      </c>
      <c r="CJ4" s="10">
        <f t="shared" si="87"/>
        <v>1.2041E-3</v>
      </c>
      <c r="CK4" s="10">
        <f t="shared" si="88"/>
        <v>1.1873000000000001E-3</v>
      </c>
      <c r="CL4" s="10">
        <f t="shared" si="89"/>
        <v>1.1707E-3</v>
      </c>
      <c r="CM4" s="10">
        <f t="shared" si="90"/>
        <v>1.1543E-3</v>
      </c>
      <c r="CN4" s="10">
        <f t="shared" si="91"/>
        <v>1.1382E-3</v>
      </c>
      <c r="CO4" s="10">
        <f t="shared" si="92"/>
        <v>1.1222999999999999E-3</v>
      </c>
      <c r="CP4" s="10">
        <f t="shared" si="93"/>
        <v>1.1065999999999999E-3</v>
      </c>
      <c r="CQ4" s="10">
        <f t="shared" si="94"/>
        <v>1.0911E-3</v>
      </c>
      <c r="CR4" s="10">
        <f t="shared" si="95"/>
        <v>1.0759000000000001E-3</v>
      </c>
      <c r="CS4" s="10">
        <f t="shared" si="96"/>
        <v>1.0608E-3</v>
      </c>
      <c r="CT4" s="10">
        <f t="shared" si="97"/>
        <v>1.0459E-3</v>
      </c>
      <c r="CU4" s="10">
        <f t="shared" si="98"/>
        <v>1.0313E-3</v>
      </c>
      <c r="CV4" s="10">
        <f t="shared" si="99"/>
        <v>1.0168E-3</v>
      </c>
      <c r="CW4" s="10">
        <f t="shared" si="100"/>
        <v>1.0026E-3</v>
      </c>
      <c r="CX4" s="10">
        <f t="shared" si="101"/>
        <v>9.8850000000000001E-4</v>
      </c>
      <c r="CY4" s="10">
        <f t="shared" si="102"/>
        <v>9.7460000000000005E-4</v>
      </c>
      <c r="CZ4" s="10">
        <f t="shared" si="103"/>
        <v>9.6089999999999999E-4</v>
      </c>
      <c r="DA4" s="10">
        <f t="shared" si="104"/>
        <v>9.4740000000000004E-4</v>
      </c>
      <c r="DB4" s="10">
        <f t="shared" si="105"/>
        <v>9.3409999999999999E-4</v>
      </c>
      <c r="DC4" s="10">
        <f t="shared" si="106"/>
        <v>9.2100000000000005E-4</v>
      </c>
      <c r="DD4" s="10">
        <f t="shared" si="107"/>
        <v>9.0799999999999995E-4</v>
      </c>
      <c r="DE4" s="10">
        <f t="shared" si="108"/>
        <v>8.9519999999999997E-4</v>
      </c>
      <c r="DF4" s="10">
        <f t="shared" si="109"/>
        <v>8.8259999999999999E-4</v>
      </c>
      <c r="DG4" s="10">
        <f t="shared" si="110"/>
        <v>8.7020000000000001E-4</v>
      </c>
      <c r="DH4" s="10">
        <f t="shared" si="111"/>
        <v>8.5789999999999998E-4</v>
      </c>
      <c r="DI4" s="10">
        <f t="shared" si="112"/>
        <v>8.4579999999999996E-4</v>
      </c>
      <c r="DJ4" s="10">
        <f t="shared" si="113"/>
        <v>8.3390000000000005E-4</v>
      </c>
      <c r="DK4" s="10">
        <f t="shared" si="114"/>
        <v>8.2209999999999998E-4</v>
      </c>
      <c r="DL4" s="10">
        <f t="shared" si="115"/>
        <v>8.1050000000000002E-4</v>
      </c>
      <c r="DM4" s="10">
        <f t="shared" si="116"/>
        <v>7.9909999999999996E-4</v>
      </c>
      <c r="DN4" s="10">
        <f t="shared" si="117"/>
        <v>7.8779999999999996E-4</v>
      </c>
      <c r="DO4" s="10">
        <f t="shared" si="118"/>
        <v>7.7669999999999996E-4</v>
      </c>
      <c r="DP4" s="10">
        <f t="shared" si="119"/>
        <v>7.6570000000000002E-4</v>
      </c>
      <c r="DQ4" s="10">
        <f t="shared" si="120"/>
        <v>5.3164200000000002E-2</v>
      </c>
      <c r="DR4" s="10">
        <f t="shared" si="121"/>
        <v>0</v>
      </c>
      <c r="DS4" s="10">
        <f t="shared" si="122"/>
        <v>4.8199999999999999E-5</v>
      </c>
      <c r="DT4" s="10">
        <f t="shared" si="123"/>
        <v>1.697E-4</v>
      </c>
      <c r="DU4" s="10">
        <f t="shared" si="124"/>
        <v>6.826E-4</v>
      </c>
      <c r="DV4" s="10">
        <f t="shared" si="125"/>
        <v>6.1309999999999999E-4</v>
      </c>
      <c r="DW4" s="10">
        <f t="shared" si="126"/>
        <v>5.7359999999999996E-4</v>
      </c>
      <c r="DX4" s="10">
        <f t="shared" si="127"/>
        <v>5.9579999999999995E-4</v>
      </c>
      <c r="DY4" s="10">
        <f t="shared" si="128"/>
        <v>5.2820000000000005E-4</v>
      </c>
      <c r="DZ4" s="10">
        <f t="shared" si="129"/>
        <v>4.8280000000000003E-4</v>
      </c>
      <c r="EA4" s="10">
        <f t="shared" si="130"/>
        <v>4.283E-4</v>
      </c>
      <c r="EB4" s="10">
        <f t="shared" si="131"/>
        <v>3.8259999999999998E-4</v>
      </c>
      <c r="EC4" s="10">
        <f t="shared" si="132"/>
        <v>3.412E-4</v>
      </c>
      <c r="ED4" s="10">
        <f t="shared" si="133"/>
        <v>3.055E-4</v>
      </c>
      <c r="EE4" s="10">
        <f t="shared" si="134"/>
        <v>2.742E-4</v>
      </c>
      <c r="EF4" s="10">
        <f t="shared" si="135"/>
        <v>2.4699999999999999E-4</v>
      </c>
      <c r="EG4" s="10">
        <f t="shared" si="136"/>
        <v>2.2330000000000001E-4</v>
      </c>
      <c r="EH4" s="10">
        <f t="shared" si="137"/>
        <v>2.0259999999999999E-4</v>
      </c>
      <c r="EI4" s="10">
        <f t="shared" si="138"/>
        <v>1.8440000000000001E-4</v>
      </c>
      <c r="EJ4" s="10">
        <f t="shared" si="139"/>
        <v>1.685E-4</v>
      </c>
      <c r="EK4" s="10">
        <f t="shared" si="140"/>
        <v>1.5440000000000001E-4</v>
      </c>
      <c r="EL4" s="10">
        <f t="shared" si="141"/>
        <v>1.4200000000000001E-4</v>
      </c>
      <c r="EM4" s="10">
        <f t="shared" si="142"/>
        <v>1.3100000000000001E-4</v>
      </c>
      <c r="EN4" s="10">
        <f t="shared" si="143"/>
        <v>1.2129999999999999E-4</v>
      </c>
      <c r="EO4" s="10">
        <f t="shared" si="144"/>
        <v>1.126E-4</v>
      </c>
      <c r="EP4" s="10">
        <f t="shared" si="145"/>
        <v>1.048E-4</v>
      </c>
      <c r="EQ4" s="10">
        <f t="shared" si="146"/>
        <v>9.7899999999999994E-5</v>
      </c>
      <c r="ER4" s="10">
        <f t="shared" si="147"/>
        <v>9.1700000000000006E-5</v>
      </c>
      <c r="ES4" s="10">
        <f t="shared" si="148"/>
        <v>8.6100000000000006E-5</v>
      </c>
      <c r="ET4" s="10">
        <f t="shared" si="149"/>
        <v>8.1100000000000006E-5</v>
      </c>
      <c r="EU4" s="10">
        <f t="shared" si="150"/>
        <v>7.6500000000000003E-5</v>
      </c>
      <c r="EV4" s="10">
        <f t="shared" si="151"/>
        <v>7.2399999999999998E-5</v>
      </c>
      <c r="EW4" s="10">
        <f t="shared" si="152"/>
        <v>6.86E-5</v>
      </c>
      <c r="EX4" s="10">
        <f t="shared" si="153"/>
        <v>6.5199999999999999E-5</v>
      </c>
      <c r="EY4" s="10">
        <f t="shared" si="154"/>
        <v>6.2000000000000003E-5</v>
      </c>
      <c r="EZ4" s="10">
        <f t="shared" si="155"/>
        <v>5.8999999999999998E-5</v>
      </c>
      <c r="FA4" s="10">
        <f t="shared" si="156"/>
        <v>5.63E-5</v>
      </c>
      <c r="FB4" s="10">
        <f t="shared" si="157"/>
        <v>5.38E-5</v>
      </c>
      <c r="FC4" s="10">
        <f t="shared" si="158"/>
        <v>5.1499999999999998E-5</v>
      </c>
      <c r="FD4" s="10">
        <f t="shared" si="159"/>
        <v>4.9299999999999999E-5</v>
      </c>
      <c r="FE4" s="10">
        <f t="shared" si="160"/>
        <v>4.7299999999999998E-5</v>
      </c>
      <c r="FF4" s="10">
        <f t="shared" si="161"/>
        <v>4.5399999999999999E-5</v>
      </c>
      <c r="FG4" s="10">
        <f t="shared" si="162"/>
        <v>4.3600000000000003E-5</v>
      </c>
      <c r="FH4" s="10">
        <f t="shared" si="163"/>
        <v>4.1999999999999998E-5</v>
      </c>
      <c r="FI4" s="10">
        <f t="shared" si="164"/>
        <v>4.0500000000000002E-5</v>
      </c>
      <c r="FJ4" s="10">
        <f t="shared" si="165"/>
        <v>3.8999999999999999E-5</v>
      </c>
      <c r="FK4" s="10">
        <f t="shared" si="166"/>
        <v>3.7700000000000002E-5</v>
      </c>
      <c r="FL4" s="10">
        <f t="shared" si="167"/>
        <v>3.65E-5</v>
      </c>
      <c r="FM4" s="10">
        <f t="shared" si="168"/>
        <v>3.5299999999999997E-5</v>
      </c>
      <c r="FN4" s="10">
        <f t="shared" si="169"/>
        <v>3.4199999999999998E-5</v>
      </c>
      <c r="FO4" s="10">
        <f t="shared" si="170"/>
        <v>3.3200000000000001E-5</v>
      </c>
      <c r="FP4" s="10">
        <f t="shared" si="171"/>
        <v>3.2299999999999999E-5</v>
      </c>
      <c r="FQ4" s="10">
        <f t="shared" si="172"/>
        <v>3.1399999999999998E-5</v>
      </c>
      <c r="FR4" s="10">
        <f t="shared" si="173"/>
        <v>3.0499999999999999E-5</v>
      </c>
      <c r="FS4" s="10">
        <f t="shared" si="174"/>
        <v>2.9799999999999999E-5</v>
      </c>
      <c r="FT4" s="10">
        <f t="shared" si="175"/>
        <v>2.9E-5</v>
      </c>
      <c r="FU4" s="10">
        <f t="shared" si="176"/>
        <v>2.83E-5</v>
      </c>
      <c r="FV4" s="10">
        <f t="shared" si="177"/>
        <v>2.7699999999999999E-5</v>
      </c>
      <c r="FW4" s="10">
        <f t="shared" si="178"/>
        <v>2.6999999999999999E-5</v>
      </c>
      <c r="FX4" s="10">
        <f t="shared" si="179"/>
        <v>2.65E-5</v>
      </c>
      <c r="FY4" s="10">
        <f t="shared" si="180"/>
        <v>2.5899999999999999E-5</v>
      </c>
      <c r="FZ4" s="10">
        <f t="shared" si="181"/>
        <v>2.5400000000000001E-5</v>
      </c>
      <c r="GA4" s="10">
        <f t="shared" si="182"/>
        <v>2.4899999999999999E-5</v>
      </c>
      <c r="GB4" s="10">
        <f t="shared" si="183"/>
        <v>2.44E-5</v>
      </c>
      <c r="GC4" s="10">
        <f t="shared" si="184"/>
        <v>2.3900000000000002E-5</v>
      </c>
      <c r="GD4" s="10">
        <f t="shared" si="185"/>
        <v>2.3499999999999999E-5</v>
      </c>
      <c r="GE4" s="10">
        <f t="shared" si="186"/>
        <v>2.3099999999999999E-5</v>
      </c>
      <c r="GF4" s="10">
        <f t="shared" si="187"/>
        <v>2.27E-5</v>
      </c>
      <c r="GG4" s="10">
        <f t="shared" si="188"/>
        <v>2.23E-5</v>
      </c>
      <c r="GH4" s="10">
        <f t="shared" si="189"/>
        <v>2.19E-5</v>
      </c>
      <c r="GI4" s="10">
        <f t="shared" si="190"/>
        <v>2.16E-5</v>
      </c>
      <c r="GJ4" s="10">
        <f t="shared" si="191"/>
        <v>2.12E-5</v>
      </c>
      <c r="GK4" s="10">
        <f t="shared" si="192"/>
        <v>2.09E-5</v>
      </c>
      <c r="GL4" s="10">
        <f t="shared" si="193"/>
        <v>2.0599999999999999E-5</v>
      </c>
      <c r="GM4" s="10">
        <f t="shared" si="194"/>
        <v>2.0299999999999999E-5</v>
      </c>
      <c r="GN4" s="10">
        <f t="shared" si="195"/>
        <v>1.9899999999999999E-5</v>
      </c>
      <c r="GO4" s="10">
        <f t="shared" si="196"/>
        <v>1.9700000000000001E-5</v>
      </c>
      <c r="GP4" s="10">
        <f t="shared" si="197"/>
        <v>1.9400000000000001E-5</v>
      </c>
      <c r="GQ4" s="10">
        <f t="shared" si="198"/>
        <v>1.91E-5</v>
      </c>
      <c r="GR4" s="10">
        <f t="shared" si="199"/>
        <v>1.88E-5</v>
      </c>
      <c r="GS4" s="10">
        <f t="shared" si="200"/>
        <v>1.8499999999999999E-5</v>
      </c>
      <c r="GT4" s="10">
        <f t="shared" si="201"/>
        <v>1.8300000000000001E-5</v>
      </c>
      <c r="GU4" s="10">
        <f t="shared" si="202"/>
        <v>1.8E-5</v>
      </c>
      <c r="GV4" s="10">
        <f t="shared" si="203"/>
        <v>1.7799999999999999E-5</v>
      </c>
      <c r="GW4" s="10">
        <f t="shared" si="204"/>
        <v>1.7499999999999998E-5</v>
      </c>
      <c r="GX4" s="10">
        <f t="shared" si="205"/>
        <v>1.73E-5</v>
      </c>
      <c r="GY4" s="10">
        <f t="shared" si="206"/>
        <v>1.7E-5</v>
      </c>
      <c r="GZ4" s="10">
        <f t="shared" si="207"/>
        <v>1.6799999999999998E-5</v>
      </c>
      <c r="HA4" s="10">
        <f t="shared" si="208"/>
        <v>1.66E-5</v>
      </c>
      <c r="HB4" s="10">
        <f t="shared" si="209"/>
        <v>1.6399999999999999E-5</v>
      </c>
      <c r="HC4" s="10">
        <f t="shared" si="210"/>
        <v>1.6099999999999998E-5</v>
      </c>
      <c r="HD4" s="10">
        <f t="shared" si="211"/>
        <v>1.59E-5</v>
      </c>
      <c r="HE4" s="10">
        <f t="shared" si="212"/>
        <v>1.5699999999999999E-5</v>
      </c>
      <c r="HF4" s="10">
        <f t="shared" si="213"/>
        <v>1.5500000000000001E-5</v>
      </c>
      <c r="HG4" s="10">
        <f t="shared" si="214"/>
        <v>1.5299999999999999E-5</v>
      </c>
      <c r="HH4" s="10">
        <f t="shared" si="215"/>
        <v>1.5099999999999999E-5</v>
      </c>
      <c r="HI4" s="10">
        <f t="shared" si="216"/>
        <v>1.49E-5</v>
      </c>
      <c r="HJ4" s="10">
        <f t="shared" si="217"/>
        <v>1.47E-5</v>
      </c>
      <c r="HK4" s="10">
        <f t="shared" si="218"/>
        <v>1.45E-5</v>
      </c>
      <c r="HL4" s="10">
        <f t="shared" si="219"/>
        <v>1.43E-5</v>
      </c>
      <c r="HM4" s="10">
        <f t="shared" si="220"/>
        <v>1.4100000000000001E-5</v>
      </c>
      <c r="HN4" s="10">
        <f t="shared" si="221"/>
        <v>1.3900000000000001E-5</v>
      </c>
      <c r="HO4" s="10">
        <f t="shared" si="222"/>
        <v>1.3699999999999999E-5</v>
      </c>
      <c r="HP4" s="10">
        <f t="shared" si="223"/>
        <v>1.3499999999999999E-5</v>
      </c>
      <c r="HQ4" s="10">
        <f t="shared" si="224"/>
        <v>1.33E-5</v>
      </c>
      <c r="HR4" s="10">
        <f t="shared" si="225"/>
        <v>1.31E-5</v>
      </c>
      <c r="HS4" s="10">
        <f t="shared" si="226"/>
        <v>1.2999999999999999E-5</v>
      </c>
      <c r="HT4" s="10">
        <f t="shared" si="227"/>
        <v>1.2799999999999999E-5</v>
      </c>
      <c r="HU4" s="10">
        <f t="shared" si="228"/>
        <v>1.26E-5</v>
      </c>
      <c r="HV4" s="10">
        <f t="shared" si="229"/>
        <v>1.24E-5</v>
      </c>
      <c r="HW4" s="10">
        <f t="shared" si="230"/>
        <v>1.2300000000000001E-5</v>
      </c>
      <c r="HX4" s="10">
        <f t="shared" si="231"/>
        <v>1.2099999999999999E-5</v>
      </c>
      <c r="HY4" s="10">
        <f t="shared" si="232"/>
        <v>1.19E-5</v>
      </c>
      <c r="HZ4" s="10">
        <f t="shared" si="233"/>
        <v>1.1800000000000001E-5</v>
      </c>
      <c r="IA4" s="10">
        <f t="shared" si="234"/>
        <v>1.1600000000000001E-5</v>
      </c>
      <c r="IB4" s="10">
        <f t="shared" si="235"/>
        <v>1.1399999999999999E-5</v>
      </c>
      <c r="IC4" s="10">
        <f t="shared" si="236"/>
        <v>1.13E-5</v>
      </c>
      <c r="ID4" s="10">
        <f t="shared" si="237"/>
        <v>1.11E-5</v>
      </c>
      <c r="IE4" s="10">
        <f t="shared" si="238"/>
        <v>1.1E-5</v>
      </c>
      <c r="IF4" s="10">
        <f t="shared" si="239"/>
        <v>1.08E-5</v>
      </c>
      <c r="IG4" s="10">
        <f t="shared" si="240"/>
        <v>7.5480000000000002E-4</v>
      </c>
    </row>
    <row r="5" spans="1:291" s="1" customFormat="1" x14ac:dyDescent="0.35">
      <c r="A5" s="1">
        <f t="shared" si="0"/>
        <v>-3</v>
      </c>
      <c r="B5" s="10">
        <f t="shared" si="1"/>
        <v>1.0654E-2</v>
      </c>
      <c r="C5" s="10">
        <f t="shared" si="2"/>
        <v>1.0654E-2</v>
      </c>
      <c r="D5" s="10">
        <f t="shared" si="3"/>
        <v>1.06058E-2</v>
      </c>
      <c r="E5" s="10">
        <f t="shared" si="4"/>
        <v>1.04361E-2</v>
      </c>
      <c r="F5" s="10">
        <f t="shared" si="5"/>
        <v>9.7535E-3</v>
      </c>
      <c r="G5" s="10">
        <f t="shared" si="6"/>
        <v>9.1403999999999999E-3</v>
      </c>
      <c r="H5" s="10">
        <f t="shared" si="7"/>
        <v>8.5669000000000006E-3</v>
      </c>
      <c r="I5" s="10">
        <f t="shared" si="8"/>
        <v>7.9711000000000001E-3</v>
      </c>
      <c r="J5" s="10">
        <f t="shared" si="9"/>
        <v>7.4428000000000003E-3</v>
      </c>
      <c r="K5" s="10">
        <f t="shared" si="10"/>
        <v>6.9601000000000003E-3</v>
      </c>
      <c r="L5" s="10">
        <f t="shared" si="11"/>
        <v>6.5317999999999999E-3</v>
      </c>
      <c r="M5" s="10">
        <f t="shared" si="12"/>
        <v>6.1491999999999996E-3</v>
      </c>
      <c r="N5" s="10">
        <f t="shared" si="13"/>
        <v>5.8079999999999998E-3</v>
      </c>
      <c r="O5" s="10">
        <f t="shared" si="14"/>
        <v>5.5024999999999996E-3</v>
      </c>
      <c r="P5" s="10">
        <f t="shared" si="15"/>
        <v>5.2283E-3</v>
      </c>
      <c r="Q5" s="10">
        <f t="shared" si="16"/>
        <v>4.9813000000000001E-3</v>
      </c>
      <c r="R5" s="10">
        <f t="shared" si="17"/>
        <v>4.7580000000000001E-3</v>
      </c>
      <c r="S5" s="10">
        <f t="shared" si="18"/>
        <v>4.5554000000000002E-3</v>
      </c>
      <c r="T5" s="10">
        <f t="shared" si="19"/>
        <v>4.3709999999999999E-3</v>
      </c>
      <c r="U5" s="10">
        <f t="shared" si="20"/>
        <v>4.2025999999999999E-3</v>
      </c>
      <c r="V5" s="10">
        <f t="shared" si="21"/>
        <v>4.0480999999999998E-3</v>
      </c>
      <c r="W5" s="10">
        <f t="shared" si="22"/>
        <v>3.9061E-3</v>
      </c>
      <c r="X5" s="10">
        <f t="shared" si="23"/>
        <v>3.7750000000000001E-3</v>
      </c>
      <c r="Y5" s="10">
        <f t="shared" si="24"/>
        <v>3.6537000000000002E-3</v>
      </c>
      <c r="Z5" s="10">
        <f t="shared" si="25"/>
        <v>3.5412E-3</v>
      </c>
      <c r="AA5" s="10">
        <f t="shared" si="26"/>
        <v>3.4364E-3</v>
      </c>
      <c r="AB5" s="10">
        <f t="shared" si="27"/>
        <v>3.3384999999999999E-3</v>
      </c>
      <c r="AC5" s="10">
        <f t="shared" si="28"/>
        <v>3.2468000000000002E-3</v>
      </c>
      <c r="AD5" s="10">
        <f t="shared" si="29"/>
        <v>3.1606999999999998E-3</v>
      </c>
      <c r="AE5" s="10">
        <f t="shared" si="30"/>
        <v>3.0796999999999999E-3</v>
      </c>
      <c r="AF5" s="10">
        <f t="shared" si="31"/>
        <v>3.0030999999999999E-3</v>
      </c>
      <c r="AG5" s="10">
        <f t="shared" si="32"/>
        <v>2.9307000000000001E-3</v>
      </c>
      <c r="AH5" s="10">
        <f t="shared" si="33"/>
        <v>2.8620999999999998E-3</v>
      </c>
      <c r="AI5" s="10">
        <f t="shared" si="34"/>
        <v>2.7969000000000002E-3</v>
      </c>
      <c r="AJ5" s="10">
        <f t="shared" si="35"/>
        <v>2.7349000000000002E-3</v>
      </c>
      <c r="AK5" s="10">
        <f t="shared" si="36"/>
        <v>2.6759000000000002E-3</v>
      </c>
      <c r="AL5" s="10">
        <f t="shared" si="37"/>
        <v>2.6194999999999999E-3</v>
      </c>
      <c r="AM5" s="10">
        <f t="shared" si="38"/>
        <v>2.5657000000000002E-3</v>
      </c>
      <c r="AN5" s="10">
        <f t="shared" si="39"/>
        <v>2.5143000000000001E-3</v>
      </c>
      <c r="AO5" s="10">
        <f t="shared" si="40"/>
        <v>2.4650000000000002E-3</v>
      </c>
      <c r="AP5" s="10">
        <f t="shared" si="41"/>
        <v>2.4177000000000001E-3</v>
      </c>
      <c r="AQ5" s="10">
        <f t="shared" si="42"/>
        <v>2.3722999999999999E-3</v>
      </c>
      <c r="AR5" s="10">
        <f t="shared" si="43"/>
        <v>2.3287E-3</v>
      </c>
      <c r="AS5" s="10">
        <f t="shared" si="44"/>
        <v>2.2867E-3</v>
      </c>
      <c r="AT5" s="10">
        <f t="shared" si="45"/>
        <v>2.2461999999999998E-3</v>
      </c>
      <c r="AU5" s="10">
        <f t="shared" si="46"/>
        <v>2.2071999999999999E-3</v>
      </c>
      <c r="AV5" s="10">
        <f t="shared" si="47"/>
        <v>2.1695E-3</v>
      </c>
      <c r="AW5" s="10">
        <f t="shared" si="48"/>
        <v>2.1329999999999999E-3</v>
      </c>
      <c r="AX5" s="10">
        <f t="shared" si="49"/>
        <v>2.0977000000000001E-3</v>
      </c>
      <c r="AY5" s="10">
        <f t="shared" si="50"/>
        <v>2.0634E-3</v>
      </c>
      <c r="AZ5" s="10">
        <f t="shared" si="51"/>
        <v>2.0301999999999998E-3</v>
      </c>
      <c r="BA5" s="10">
        <f t="shared" si="52"/>
        <v>1.9980000000000002E-3</v>
      </c>
      <c r="BB5" s="10">
        <f t="shared" si="53"/>
        <v>1.9666000000000002E-3</v>
      </c>
      <c r="BC5" s="10">
        <f t="shared" si="54"/>
        <v>1.9361000000000001E-3</v>
      </c>
      <c r="BD5" s="10">
        <f t="shared" si="55"/>
        <v>1.9063000000000001E-3</v>
      </c>
      <c r="BE5" s="10">
        <f t="shared" si="56"/>
        <v>1.8772999999999999E-3</v>
      </c>
      <c r="BF5" s="10">
        <f t="shared" si="57"/>
        <v>1.8489999999999999E-3</v>
      </c>
      <c r="BG5" s="10">
        <f t="shared" si="58"/>
        <v>1.8213000000000001E-3</v>
      </c>
      <c r="BH5" s="10">
        <f t="shared" si="59"/>
        <v>1.7943E-3</v>
      </c>
      <c r="BI5" s="10">
        <f t="shared" si="60"/>
        <v>1.7677999999999999E-3</v>
      </c>
      <c r="BJ5" s="10">
        <f t="shared" si="61"/>
        <v>1.7419E-3</v>
      </c>
      <c r="BK5" s="10">
        <f t="shared" si="62"/>
        <v>1.7166E-3</v>
      </c>
      <c r="BL5" s="10">
        <f t="shared" si="63"/>
        <v>1.6917E-3</v>
      </c>
      <c r="BM5" s="10">
        <f t="shared" si="64"/>
        <v>1.6673E-3</v>
      </c>
      <c r="BN5" s="10">
        <f t="shared" si="65"/>
        <v>1.6433999999999999E-3</v>
      </c>
      <c r="BO5" s="10">
        <f t="shared" si="66"/>
        <v>1.6199000000000001E-3</v>
      </c>
      <c r="BP5" s="10">
        <f t="shared" si="67"/>
        <v>1.5968E-3</v>
      </c>
      <c r="BQ5" s="10">
        <f t="shared" si="68"/>
        <v>1.5740999999999999E-3</v>
      </c>
      <c r="BR5" s="10">
        <f t="shared" si="69"/>
        <v>1.5518000000000001E-3</v>
      </c>
      <c r="BS5" s="10">
        <f t="shared" si="70"/>
        <v>1.5299000000000001E-3</v>
      </c>
      <c r="BT5" s="10">
        <f t="shared" si="71"/>
        <v>1.5083E-3</v>
      </c>
      <c r="BU5" s="10">
        <f t="shared" si="72"/>
        <v>1.4871000000000001E-3</v>
      </c>
      <c r="BV5" s="10">
        <f t="shared" si="73"/>
        <v>1.4662E-3</v>
      </c>
      <c r="BW5" s="10">
        <f t="shared" si="74"/>
        <v>1.4457000000000001E-3</v>
      </c>
      <c r="BX5" s="10">
        <f t="shared" si="75"/>
        <v>1.4254000000000001E-3</v>
      </c>
      <c r="BY5" s="10">
        <f t="shared" si="76"/>
        <v>1.4055000000000001E-3</v>
      </c>
      <c r="BZ5" s="10">
        <f t="shared" si="77"/>
        <v>1.3858E-3</v>
      </c>
      <c r="CA5" s="10">
        <f t="shared" si="78"/>
        <v>1.3664E-3</v>
      </c>
      <c r="CB5" s="10">
        <f t="shared" si="79"/>
        <v>1.3473999999999999E-3</v>
      </c>
      <c r="CC5" s="10">
        <f t="shared" si="80"/>
        <v>1.3285E-3</v>
      </c>
      <c r="CD5" s="10">
        <f t="shared" si="81"/>
        <v>1.31E-3</v>
      </c>
      <c r="CE5" s="10">
        <f t="shared" si="82"/>
        <v>1.2917E-3</v>
      </c>
      <c r="CF5" s="10">
        <f t="shared" si="83"/>
        <v>1.2737E-3</v>
      </c>
      <c r="CG5" s="10">
        <f t="shared" si="84"/>
        <v>1.2558999999999999E-3</v>
      </c>
      <c r="CH5" s="10">
        <f t="shared" si="85"/>
        <v>1.2384E-3</v>
      </c>
      <c r="CI5" s="10">
        <f t="shared" si="86"/>
        <v>1.2210999999999999E-3</v>
      </c>
      <c r="CJ5" s="10">
        <f t="shared" si="87"/>
        <v>1.2041E-3</v>
      </c>
      <c r="CK5" s="10">
        <f t="shared" si="88"/>
        <v>1.1873000000000001E-3</v>
      </c>
      <c r="CL5" s="10">
        <f t="shared" si="89"/>
        <v>1.1707E-3</v>
      </c>
      <c r="CM5" s="10">
        <f t="shared" si="90"/>
        <v>1.1543E-3</v>
      </c>
      <c r="CN5" s="10">
        <f t="shared" si="91"/>
        <v>1.1382E-3</v>
      </c>
      <c r="CO5" s="10">
        <f t="shared" si="92"/>
        <v>1.1222999999999999E-3</v>
      </c>
      <c r="CP5" s="10">
        <f t="shared" si="93"/>
        <v>1.1065999999999999E-3</v>
      </c>
      <c r="CQ5" s="10">
        <f t="shared" si="94"/>
        <v>1.0911E-3</v>
      </c>
      <c r="CR5" s="10">
        <f t="shared" si="95"/>
        <v>1.0759000000000001E-3</v>
      </c>
      <c r="CS5" s="10">
        <f t="shared" si="96"/>
        <v>1.0608E-3</v>
      </c>
      <c r="CT5" s="10">
        <f t="shared" si="97"/>
        <v>1.0459E-3</v>
      </c>
      <c r="CU5" s="10">
        <f t="shared" si="98"/>
        <v>1.0313E-3</v>
      </c>
      <c r="CV5" s="10">
        <f t="shared" si="99"/>
        <v>1.0168E-3</v>
      </c>
      <c r="CW5" s="10">
        <f t="shared" si="100"/>
        <v>1.0026E-3</v>
      </c>
      <c r="CX5" s="10">
        <f t="shared" si="101"/>
        <v>9.8850000000000001E-4</v>
      </c>
      <c r="CY5" s="10">
        <f t="shared" si="102"/>
        <v>9.7460000000000005E-4</v>
      </c>
      <c r="CZ5" s="10">
        <f t="shared" si="103"/>
        <v>9.6089999999999999E-4</v>
      </c>
      <c r="DA5" s="10">
        <f t="shared" si="104"/>
        <v>9.4740000000000004E-4</v>
      </c>
      <c r="DB5" s="10">
        <f t="shared" si="105"/>
        <v>9.3409999999999999E-4</v>
      </c>
      <c r="DC5" s="10">
        <f t="shared" si="106"/>
        <v>9.2100000000000005E-4</v>
      </c>
      <c r="DD5" s="10">
        <f t="shared" si="107"/>
        <v>9.0799999999999995E-4</v>
      </c>
      <c r="DE5" s="10">
        <f t="shared" si="108"/>
        <v>8.9519999999999997E-4</v>
      </c>
      <c r="DF5" s="10">
        <f t="shared" si="109"/>
        <v>8.8259999999999999E-4</v>
      </c>
      <c r="DG5" s="10">
        <f t="shared" si="110"/>
        <v>8.7020000000000001E-4</v>
      </c>
      <c r="DH5" s="10">
        <f t="shared" si="111"/>
        <v>8.5789999999999998E-4</v>
      </c>
      <c r="DI5" s="10">
        <f t="shared" si="112"/>
        <v>8.4579999999999996E-4</v>
      </c>
      <c r="DJ5" s="10">
        <f t="shared" si="113"/>
        <v>8.3390000000000005E-4</v>
      </c>
      <c r="DK5" s="10">
        <f t="shared" si="114"/>
        <v>8.2209999999999998E-4</v>
      </c>
      <c r="DL5" s="10">
        <f t="shared" si="115"/>
        <v>8.1050000000000002E-4</v>
      </c>
      <c r="DM5" s="10">
        <f t="shared" si="116"/>
        <v>7.9909999999999996E-4</v>
      </c>
      <c r="DN5" s="10">
        <f t="shared" si="117"/>
        <v>7.8779999999999996E-4</v>
      </c>
      <c r="DO5" s="10">
        <f t="shared" si="118"/>
        <v>7.7669999999999996E-4</v>
      </c>
      <c r="DP5" s="10">
        <f t="shared" si="119"/>
        <v>7.6570000000000002E-4</v>
      </c>
      <c r="DQ5" s="10">
        <f t="shared" si="120"/>
        <v>5.3164200000000002E-2</v>
      </c>
      <c r="DR5" s="10">
        <f t="shared" si="121"/>
        <v>0</v>
      </c>
      <c r="DS5" s="10">
        <f t="shared" si="122"/>
        <v>4.8199999999999999E-5</v>
      </c>
      <c r="DT5" s="10">
        <f t="shared" si="123"/>
        <v>1.697E-4</v>
      </c>
      <c r="DU5" s="10">
        <f t="shared" si="124"/>
        <v>6.826E-4</v>
      </c>
      <c r="DV5" s="10">
        <f t="shared" si="125"/>
        <v>6.1309999999999999E-4</v>
      </c>
      <c r="DW5" s="10">
        <f t="shared" si="126"/>
        <v>5.7359999999999996E-4</v>
      </c>
      <c r="DX5" s="10">
        <f t="shared" si="127"/>
        <v>5.9579999999999995E-4</v>
      </c>
      <c r="DY5" s="10">
        <f t="shared" si="128"/>
        <v>5.2820000000000005E-4</v>
      </c>
      <c r="DZ5" s="10">
        <f t="shared" si="129"/>
        <v>4.8280000000000003E-4</v>
      </c>
      <c r="EA5" s="10">
        <f t="shared" si="130"/>
        <v>4.283E-4</v>
      </c>
      <c r="EB5" s="10">
        <f t="shared" si="131"/>
        <v>3.8259999999999998E-4</v>
      </c>
      <c r="EC5" s="10">
        <f t="shared" si="132"/>
        <v>3.412E-4</v>
      </c>
      <c r="ED5" s="10">
        <f t="shared" si="133"/>
        <v>3.055E-4</v>
      </c>
      <c r="EE5" s="10">
        <f t="shared" si="134"/>
        <v>2.742E-4</v>
      </c>
      <c r="EF5" s="10">
        <f t="shared" si="135"/>
        <v>2.4699999999999999E-4</v>
      </c>
      <c r="EG5" s="10">
        <f t="shared" si="136"/>
        <v>2.2330000000000001E-4</v>
      </c>
      <c r="EH5" s="10">
        <f t="shared" si="137"/>
        <v>2.0259999999999999E-4</v>
      </c>
      <c r="EI5" s="10">
        <f t="shared" si="138"/>
        <v>1.8440000000000001E-4</v>
      </c>
      <c r="EJ5" s="10">
        <f t="shared" si="139"/>
        <v>1.685E-4</v>
      </c>
      <c r="EK5" s="10">
        <f t="shared" si="140"/>
        <v>1.5440000000000001E-4</v>
      </c>
      <c r="EL5" s="10">
        <f t="shared" si="141"/>
        <v>1.4200000000000001E-4</v>
      </c>
      <c r="EM5" s="10">
        <f t="shared" si="142"/>
        <v>1.3100000000000001E-4</v>
      </c>
      <c r="EN5" s="10">
        <f t="shared" si="143"/>
        <v>1.2129999999999999E-4</v>
      </c>
      <c r="EO5" s="10">
        <f t="shared" si="144"/>
        <v>1.126E-4</v>
      </c>
      <c r="EP5" s="10">
        <f t="shared" si="145"/>
        <v>1.048E-4</v>
      </c>
      <c r="EQ5" s="10">
        <f t="shared" si="146"/>
        <v>9.7899999999999994E-5</v>
      </c>
      <c r="ER5" s="10">
        <f t="shared" si="147"/>
        <v>9.1700000000000006E-5</v>
      </c>
      <c r="ES5" s="10">
        <f t="shared" si="148"/>
        <v>8.6100000000000006E-5</v>
      </c>
      <c r="ET5" s="10">
        <f t="shared" si="149"/>
        <v>8.1100000000000006E-5</v>
      </c>
      <c r="EU5" s="10">
        <f t="shared" si="150"/>
        <v>7.6500000000000003E-5</v>
      </c>
      <c r="EV5" s="10">
        <f t="shared" si="151"/>
        <v>7.2399999999999998E-5</v>
      </c>
      <c r="EW5" s="10">
        <f t="shared" si="152"/>
        <v>6.86E-5</v>
      </c>
      <c r="EX5" s="10">
        <f t="shared" si="153"/>
        <v>6.5199999999999999E-5</v>
      </c>
      <c r="EY5" s="10">
        <f t="shared" si="154"/>
        <v>6.2000000000000003E-5</v>
      </c>
      <c r="EZ5" s="10">
        <f t="shared" si="155"/>
        <v>5.8999999999999998E-5</v>
      </c>
      <c r="FA5" s="10">
        <f t="shared" si="156"/>
        <v>5.63E-5</v>
      </c>
      <c r="FB5" s="10">
        <f t="shared" si="157"/>
        <v>5.38E-5</v>
      </c>
      <c r="FC5" s="10">
        <f t="shared" si="158"/>
        <v>5.1499999999999998E-5</v>
      </c>
      <c r="FD5" s="10">
        <f t="shared" si="159"/>
        <v>4.9299999999999999E-5</v>
      </c>
      <c r="FE5" s="10">
        <f t="shared" si="160"/>
        <v>4.7299999999999998E-5</v>
      </c>
      <c r="FF5" s="10">
        <f t="shared" si="161"/>
        <v>4.5399999999999999E-5</v>
      </c>
      <c r="FG5" s="10">
        <f t="shared" si="162"/>
        <v>4.3600000000000003E-5</v>
      </c>
      <c r="FH5" s="10">
        <f t="shared" si="163"/>
        <v>4.1999999999999998E-5</v>
      </c>
      <c r="FI5" s="10">
        <f t="shared" si="164"/>
        <v>4.0500000000000002E-5</v>
      </c>
      <c r="FJ5" s="10">
        <f t="shared" si="165"/>
        <v>3.8999999999999999E-5</v>
      </c>
      <c r="FK5" s="10">
        <f t="shared" si="166"/>
        <v>3.7700000000000002E-5</v>
      </c>
      <c r="FL5" s="10">
        <f t="shared" si="167"/>
        <v>3.65E-5</v>
      </c>
      <c r="FM5" s="10">
        <f t="shared" si="168"/>
        <v>3.5299999999999997E-5</v>
      </c>
      <c r="FN5" s="10">
        <f t="shared" si="169"/>
        <v>3.4199999999999998E-5</v>
      </c>
      <c r="FO5" s="10">
        <f t="shared" si="170"/>
        <v>3.3200000000000001E-5</v>
      </c>
      <c r="FP5" s="10">
        <f t="shared" si="171"/>
        <v>3.2299999999999999E-5</v>
      </c>
      <c r="FQ5" s="10">
        <f t="shared" si="172"/>
        <v>3.1399999999999998E-5</v>
      </c>
      <c r="FR5" s="10">
        <f t="shared" si="173"/>
        <v>3.0499999999999999E-5</v>
      </c>
      <c r="FS5" s="10">
        <f t="shared" si="174"/>
        <v>2.9799999999999999E-5</v>
      </c>
      <c r="FT5" s="10">
        <f t="shared" si="175"/>
        <v>2.9E-5</v>
      </c>
      <c r="FU5" s="10">
        <f t="shared" si="176"/>
        <v>2.83E-5</v>
      </c>
      <c r="FV5" s="10">
        <f t="shared" si="177"/>
        <v>2.7699999999999999E-5</v>
      </c>
      <c r="FW5" s="10">
        <f t="shared" si="178"/>
        <v>2.6999999999999999E-5</v>
      </c>
      <c r="FX5" s="10">
        <f t="shared" si="179"/>
        <v>2.65E-5</v>
      </c>
      <c r="FY5" s="10">
        <f t="shared" si="180"/>
        <v>2.5899999999999999E-5</v>
      </c>
      <c r="FZ5" s="10">
        <f t="shared" si="181"/>
        <v>2.5400000000000001E-5</v>
      </c>
      <c r="GA5" s="10">
        <f t="shared" si="182"/>
        <v>2.4899999999999999E-5</v>
      </c>
      <c r="GB5" s="10">
        <f t="shared" si="183"/>
        <v>2.44E-5</v>
      </c>
      <c r="GC5" s="10">
        <f t="shared" si="184"/>
        <v>2.3900000000000002E-5</v>
      </c>
      <c r="GD5" s="10">
        <f t="shared" si="185"/>
        <v>2.3499999999999999E-5</v>
      </c>
      <c r="GE5" s="10">
        <f t="shared" si="186"/>
        <v>2.3099999999999999E-5</v>
      </c>
      <c r="GF5" s="10">
        <f t="shared" si="187"/>
        <v>2.27E-5</v>
      </c>
      <c r="GG5" s="10">
        <f t="shared" si="188"/>
        <v>2.23E-5</v>
      </c>
      <c r="GH5" s="10">
        <f t="shared" si="189"/>
        <v>2.19E-5</v>
      </c>
      <c r="GI5" s="10">
        <f t="shared" si="190"/>
        <v>2.16E-5</v>
      </c>
      <c r="GJ5" s="10">
        <f t="shared" si="191"/>
        <v>2.12E-5</v>
      </c>
      <c r="GK5" s="10">
        <f t="shared" si="192"/>
        <v>2.09E-5</v>
      </c>
      <c r="GL5" s="10">
        <f t="shared" si="193"/>
        <v>2.0599999999999999E-5</v>
      </c>
      <c r="GM5" s="10">
        <f t="shared" si="194"/>
        <v>2.0299999999999999E-5</v>
      </c>
      <c r="GN5" s="10">
        <f t="shared" si="195"/>
        <v>1.9899999999999999E-5</v>
      </c>
      <c r="GO5" s="10">
        <f t="shared" si="196"/>
        <v>1.9700000000000001E-5</v>
      </c>
      <c r="GP5" s="10">
        <f t="shared" si="197"/>
        <v>1.9400000000000001E-5</v>
      </c>
      <c r="GQ5" s="10">
        <f t="shared" si="198"/>
        <v>1.91E-5</v>
      </c>
      <c r="GR5" s="10">
        <f t="shared" si="199"/>
        <v>1.88E-5</v>
      </c>
      <c r="GS5" s="10">
        <f t="shared" si="200"/>
        <v>1.8499999999999999E-5</v>
      </c>
      <c r="GT5" s="10">
        <f t="shared" si="201"/>
        <v>1.8300000000000001E-5</v>
      </c>
      <c r="GU5" s="10">
        <f t="shared" si="202"/>
        <v>1.8E-5</v>
      </c>
      <c r="GV5" s="10">
        <f t="shared" si="203"/>
        <v>1.7799999999999999E-5</v>
      </c>
      <c r="GW5" s="10">
        <f t="shared" si="204"/>
        <v>1.7499999999999998E-5</v>
      </c>
      <c r="GX5" s="10">
        <f t="shared" si="205"/>
        <v>1.73E-5</v>
      </c>
      <c r="GY5" s="10">
        <f t="shared" si="206"/>
        <v>1.7E-5</v>
      </c>
      <c r="GZ5" s="10">
        <f t="shared" si="207"/>
        <v>1.6799999999999998E-5</v>
      </c>
      <c r="HA5" s="10">
        <f t="shared" si="208"/>
        <v>1.66E-5</v>
      </c>
      <c r="HB5" s="10">
        <f t="shared" si="209"/>
        <v>1.6399999999999999E-5</v>
      </c>
      <c r="HC5" s="10">
        <f t="shared" si="210"/>
        <v>1.6099999999999998E-5</v>
      </c>
      <c r="HD5" s="10">
        <f t="shared" si="211"/>
        <v>1.59E-5</v>
      </c>
      <c r="HE5" s="10">
        <f t="shared" si="212"/>
        <v>1.5699999999999999E-5</v>
      </c>
      <c r="HF5" s="10">
        <f t="shared" si="213"/>
        <v>1.5500000000000001E-5</v>
      </c>
      <c r="HG5" s="10">
        <f t="shared" si="214"/>
        <v>1.5299999999999999E-5</v>
      </c>
      <c r="HH5" s="10">
        <f t="shared" si="215"/>
        <v>1.5099999999999999E-5</v>
      </c>
      <c r="HI5" s="10">
        <f t="shared" si="216"/>
        <v>1.49E-5</v>
      </c>
      <c r="HJ5" s="10">
        <f t="shared" si="217"/>
        <v>1.47E-5</v>
      </c>
      <c r="HK5" s="10">
        <f t="shared" si="218"/>
        <v>1.45E-5</v>
      </c>
      <c r="HL5" s="10">
        <f t="shared" si="219"/>
        <v>1.43E-5</v>
      </c>
      <c r="HM5" s="10">
        <f t="shared" si="220"/>
        <v>1.4100000000000001E-5</v>
      </c>
      <c r="HN5" s="10">
        <f t="shared" si="221"/>
        <v>1.3900000000000001E-5</v>
      </c>
      <c r="HO5" s="10">
        <f t="shared" si="222"/>
        <v>1.3699999999999999E-5</v>
      </c>
      <c r="HP5" s="10">
        <f t="shared" si="223"/>
        <v>1.3499999999999999E-5</v>
      </c>
      <c r="HQ5" s="10">
        <f t="shared" si="224"/>
        <v>1.33E-5</v>
      </c>
      <c r="HR5" s="10">
        <f t="shared" si="225"/>
        <v>1.31E-5</v>
      </c>
      <c r="HS5" s="10">
        <f t="shared" si="226"/>
        <v>1.2999999999999999E-5</v>
      </c>
      <c r="HT5" s="10">
        <f t="shared" si="227"/>
        <v>1.2799999999999999E-5</v>
      </c>
      <c r="HU5" s="10">
        <f t="shared" si="228"/>
        <v>1.26E-5</v>
      </c>
      <c r="HV5" s="10">
        <f t="shared" si="229"/>
        <v>1.24E-5</v>
      </c>
      <c r="HW5" s="10">
        <f t="shared" si="230"/>
        <v>1.2300000000000001E-5</v>
      </c>
      <c r="HX5" s="10">
        <f t="shared" si="231"/>
        <v>1.2099999999999999E-5</v>
      </c>
      <c r="HY5" s="10">
        <f t="shared" si="232"/>
        <v>1.19E-5</v>
      </c>
      <c r="HZ5" s="10">
        <f t="shared" si="233"/>
        <v>1.1800000000000001E-5</v>
      </c>
      <c r="IA5" s="10">
        <f t="shared" si="234"/>
        <v>1.1600000000000001E-5</v>
      </c>
      <c r="IB5" s="10">
        <f t="shared" si="235"/>
        <v>1.1399999999999999E-5</v>
      </c>
      <c r="IC5" s="10">
        <f t="shared" si="236"/>
        <v>1.13E-5</v>
      </c>
      <c r="ID5" s="10">
        <f t="shared" si="237"/>
        <v>1.11E-5</v>
      </c>
      <c r="IE5" s="10">
        <f t="shared" si="238"/>
        <v>1.1E-5</v>
      </c>
      <c r="IF5" s="10">
        <f t="shared" si="239"/>
        <v>1.08E-5</v>
      </c>
      <c r="IG5" s="10">
        <f t="shared" si="240"/>
        <v>7.5480000000000002E-4</v>
      </c>
    </row>
    <row r="6" spans="1:291" s="1" customFormat="1" x14ac:dyDescent="0.35">
      <c r="A6" s="1">
        <f t="shared" si="0"/>
        <v>-2</v>
      </c>
      <c r="B6" s="10">
        <f t="shared" si="1"/>
        <v>1.0654E-2</v>
      </c>
      <c r="C6" s="10">
        <f t="shared" si="2"/>
        <v>1.0654E-2</v>
      </c>
      <c r="D6" s="10">
        <f t="shared" si="3"/>
        <v>1.06058E-2</v>
      </c>
      <c r="E6" s="10">
        <f t="shared" si="4"/>
        <v>1.04361E-2</v>
      </c>
      <c r="F6" s="10">
        <f t="shared" si="5"/>
        <v>9.7535E-3</v>
      </c>
      <c r="G6" s="10">
        <f t="shared" si="6"/>
        <v>9.1403999999999999E-3</v>
      </c>
      <c r="H6" s="10">
        <f t="shared" si="7"/>
        <v>8.5669000000000006E-3</v>
      </c>
      <c r="I6" s="10">
        <f t="shared" si="8"/>
        <v>7.9711000000000001E-3</v>
      </c>
      <c r="J6" s="10">
        <f t="shared" si="9"/>
        <v>7.4428000000000003E-3</v>
      </c>
      <c r="K6" s="10">
        <f t="shared" si="10"/>
        <v>6.9601000000000003E-3</v>
      </c>
      <c r="L6" s="10">
        <f t="shared" si="11"/>
        <v>6.5317999999999999E-3</v>
      </c>
      <c r="M6" s="10">
        <f t="shared" si="12"/>
        <v>6.1491999999999996E-3</v>
      </c>
      <c r="N6" s="10">
        <f t="shared" si="13"/>
        <v>5.8079999999999998E-3</v>
      </c>
      <c r="O6" s="10">
        <f t="shared" si="14"/>
        <v>5.5024999999999996E-3</v>
      </c>
      <c r="P6" s="10">
        <f t="shared" si="15"/>
        <v>5.2283E-3</v>
      </c>
      <c r="Q6" s="10">
        <f t="shared" si="16"/>
        <v>4.9813000000000001E-3</v>
      </c>
      <c r="R6" s="10">
        <f t="shared" si="17"/>
        <v>4.7580000000000001E-3</v>
      </c>
      <c r="S6" s="10">
        <f t="shared" si="18"/>
        <v>4.5554000000000002E-3</v>
      </c>
      <c r="T6" s="10">
        <f t="shared" si="19"/>
        <v>4.3709999999999999E-3</v>
      </c>
      <c r="U6" s="10">
        <f t="shared" si="20"/>
        <v>4.2025999999999999E-3</v>
      </c>
      <c r="V6" s="10">
        <f t="shared" si="21"/>
        <v>4.0480999999999998E-3</v>
      </c>
      <c r="W6" s="10">
        <f t="shared" si="22"/>
        <v>3.9061E-3</v>
      </c>
      <c r="X6" s="10">
        <f t="shared" si="23"/>
        <v>3.7750000000000001E-3</v>
      </c>
      <c r="Y6" s="10">
        <f t="shared" si="24"/>
        <v>3.6537000000000002E-3</v>
      </c>
      <c r="Z6" s="10">
        <f t="shared" si="25"/>
        <v>3.5412E-3</v>
      </c>
      <c r="AA6" s="10">
        <f t="shared" si="26"/>
        <v>3.4364E-3</v>
      </c>
      <c r="AB6" s="10">
        <f t="shared" si="27"/>
        <v>3.3384999999999999E-3</v>
      </c>
      <c r="AC6" s="10">
        <f t="shared" si="28"/>
        <v>3.2468000000000002E-3</v>
      </c>
      <c r="AD6" s="10">
        <f t="shared" si="29"/>
        <v>3.1606999999999998E-3</v>
      </c>
      <c r="AE6" s="10">
        <f t="shared" si="30"/>
        <v>3.0796999999999999E-3</v>
      </c>
      <c r="AF6" s="10">
        <f t="shared" si="31"/>
        <v>3.0030999999999999E-3</v>
      </c>
      <c r="AG6" s="10">
        <f t="shared" si="32"/>
        <v>2.9307000000000001E-3</v>
      </c>
      <c r="AH6" s="10">
        <f t="shared" si="33"/>
        <v>2.8620999999999998E-3</v>
      </c>
      <c r="AI6" s="10">
        <f t="shared" si="34"/>
        <v>2.7969000000000002E-3</v>
      </c>
      <c r="AJ6" s="10">
        <f t="shared" si="35"/>
        <v>2.7349000000000002E-3</v>
      </c>
      <c r="AK6" s="10">
        <f t="shared" si="36"/>
        <v>2.6759000000000002E-3</v>
      </c>
      <c r="AL6" s="10">
        <f t="shared" si="37"/>
        <v>2.6194999999999999E-3</v>
      </c>
      <c r="AM6" s="10">
        <f t="shared" si="38"/>
        <v>2.5657000000000002E-3</v>
      </c>
      <c r="AN6" s="10">
        <f t="shared" si="39"/>
        <v>2.5143000000000001E-3</v>
      </c>
      <c r="AO6" s="10">
        <f t="shared" si="40"/>
        <v>2.4650000000000002E-3</v>
      </c>
      <c r="AP6" s="10">
        <f t="shared" si="41"/>
        <v>2.4177000000000001E-3</v>
      </c>
      <c r="AQ6" s="10">
        <f t="shared" si="42"/>
        <v>2.3722999999999999E-3</v>
      </c>
      <c r="AR6" s="10">
        <f t="shared" si="43"/>
        <v>2.3287E-3</v>
      </c>
      <c r="AS6" s="10">
        <f t="shared" si="44"/>
        <v>2.2867E-3</v>
      </c>
      <c r="AT6" s="10">
        <f t="shared" si="45"/>
        <v>2.2461999999999998E-3</v>
      </c>
      <c r="AU6" s="10">
        <f t="shared" si="46"/>
        <v>2.2071999999999999E-3</v>
      </c>
      <c r="AV6" s="10">
        <f t="shared" si="47"/>
        <v>2.1695E-3</v>
      </c>
      <c r="AW6" s="10">
        <f t="shared" si="48"/>
        <v>2.1329999999999999E-3</v>
      </c>
      <c r="AX6" s="10">
        <f t="shared" si="49"/>
        <v>2.0977000000000001E-3</v>
      </c>
      <c r="AY6" s="10">
        <f t="shared" si="50"/>
        <v>2.0634E-3</v>
      </c>
      <c r="AZ6" s="10">
        <f t="shared" si="51"/>
        <v>2.0301999999999998E-3</v>
      </c>
      <c r="BA6" s="10">
        <f t="shared" si="52"/>
        <v>1.9980000000000002E-3</v>
      </c>
      <c r="BB6" s="10">
        <f t="shared" si="53"/>
        <v>1.9666000000000002E-3</v>
      </c>
      <c r="BC6" s="10">
        <f t="shared" si="54"/>
        <v>1.9361000000000001E-3</v>
      </c>
      <c r="BD6" s="10">
        <f t="shared" si="55"/>
        <v>1.9063000000000001E-3</v>
      </c>
      <c r="BE6" s="10">
        <f t="shared" si="56"/>
        <v>1.8772999999999999E-3</v>
      </c>
      <c r="BF6" s="10">
        <f t="shared" si="57"/>
        <v>1.8489999999999999E-3</v>
      </c>
      <c r="BG6" s="10">
        <f t="shared" si="58"/>
        <v>1.8213000000000001E-3</v>
      </c>
      <c r="BH6" s="10">
        <f t="shared" si="59"/>
        <v>1.7943E-3</v>
      </c>
      <c r="BI6" s="10">
        <f t="shared" si="60"/>
        <v>1.7677999999999999E-3</v>
      </c>
      <c r="BJ6" s="10">
        <f t="shared" si="61"/>
        <v>1.7419E-3</v>
      </c>
      <c r="BK6" s="10">
        <f t="shared" si="62"/>
        <v>1.7166E-3</v>
      </c>
      <c r="BL6" s="10">
        <f t="shared" si="63"/>
        <v>1.6917E-3</v>
      </c>
      <c r="BM6" s="10">
        <f t="shared" si="64"/>
        <v>1.6673E-3</v>
      </c>
      <c r="BN6" s="10">
        <f t="shared" si="65"/>
        <v>1.6433999999999999E-3</v>
      </c>
      <c r="BO6" s="10">
        <f t="shared" si="66"/>
        <v>1.6199000000000001E-3</v>
      </c>
      <c r="BP6" s="10">
        <f t="shared" si="67"/>
        <v>1.5968E-3</v>
      </c>
      <c r="BQ6" s="10">
        <f t="shared" si="68"/>
        <v>1.5740999999999999E-3</v>
      </c>
      <c r="BR6" s="10">
        <f t="shared" si="69"/>
        <v>1.5518000000000001E-3</v>
      </c>
      <c r="BS6" s="10">
        <f t="shared" si="70"/>
        <v>1.5299000000000001E-3</v>
      </c>
      <c r="BT6" s="10">
        <f t="shared" si="71"/>
        <v>1.5083E-3</v>
      </c>
      <c r="BU6" s="10">
        <f t="shared" si="72"/>
        <v>1.4871000000000001E-3</v>
      </c>
      <c r="BV6" s="10">
        <f t="shared" si="73"/>
        <v>1.4662E-3</v>
      </c>
      <c r="BW6" s="10">
        <f t="shared" si="74"/>
        <v>1.4457000000000001E-3</v>
      </c>
      <c r="BX6" s="10">
        <f t="shared" si="75"/>
        <v>1.4254000000000001E-3</v>
      </c>
      <c r="BY6" s="10">
        <f t="shared" si="76"/>
        <v>1.4055000000000001E-3</v>
      </c>
      <c r="BZ6" s="10">
        <f t="shared" si="77"/>
        <v>1.3858E-3</v>
      </c>
      <c r="CA6" s="10">
        <f t="shared" si="78"/>
        <v>1.3664E-3</v>
      </c>
      <c r="CB6" s="10">
        <f t="shared" si="79"/>
        <v>1.3473999999999999E-3</v>
      </c>
      <c r="CC6" s="10">
        <f t="shared" si="80"/>
        <v>1.3285E-3</v>
      </c>
      <c r="CD6" s="10">
        <f t="shared" si="81"/>
        <v>1.31E-3</v>
      </c>
      <c r="CE6" s="10">
        <f t="shared" si="82"/>
        <v>1.2917E-3</v>
      </c>
      <c r="CF6" s="10">
        <f t="shared" si="83"/>
        <v>1.2737E-3</v>
      </c>
      <c r="CG6" s="10">
        <f t="shared" si="84"/>
        <v>1.2558999999999999E-3</v>
      </c>
      <c r="CH6" s="10">
        <f t="shared" si="85"/>
        <v>1.2384E-3</v>
      </c>
      <c r="CI6" s="10">
        <f t="shared" si="86"/>
        <v>1.2210999999999999E-3</v>
      </c>
      <c r="CJ6" s="10">
        <f t="shared" si="87"/>
        <v>1.2041E-3</v>
      </c>
      <c r="CK6" s="10">
        <f t="shared" si="88"/>
        <v>1.1873000000000001E-3</v>
      </c>
      <c r="CL6" s="10">
        <f t="shared" si="89"/>
        <v>1.1707E-3</v>
      </c>
      <c r="CM6" s="10">
        <f t="shared" si="90"/>
        <v>1.1543E-3</v>
      </c>
      <c r="CN6" s="10">
        <f t="shared" si="91"/>
        <v>1.1382E-3</v>
      </c>
      <c r="CO6" s="10">
        <f t="shared" si="92"/>
        <v>1.1222999999999999E-3</v>
      </c>
      <c r="CP6" s="10">
        <f t="shared" si="93"/>
        <v>1.1065999999999999E-3</v>
      </c>
      <c r="CQ6" s="10">
        <f t="shared" si="94"/>
        <v>1.0911E-3</v>
      </c>
      <c r="CR6" s="10">
        <f t="shared" si="95"/>
        <v>1.0759000000000001E-3</v>
      </c>
      <c r="CS6" s="10">
        <f t="shared" si="96"/>
        <v>1.0608E-3</v>
      </c>
      <c r="CT6" s="10">
        <f t="shared" si="97"/>
        <v>1.0459E-3</v>
      </c>
      <c r="CU6" s="10">
        <f t="shared" si="98"/>
        <v>1.0313E-3</v>
      </c>
      <c r="CV6" s="10">
        <f t="shared" si="99"/>
        <v>1.0168E-3</v>
      </c>
      <c r="CW6" s="10">
        <f t="shared" si="100"/>
        <v>1.0026E-3</v>
      </c>
      <c r="CX6" s="10">
        <f t="shared" si="101"/>
        <v>9.8850000000000001E-4</v>
      </c>
      <c r="CY6" s="10">
        <f t="shared" si="102"/>
        <v>9.7460000000000005E-4</v>
      </c>
      <c r="CZ6" s="10">
        <f t="shared" si="103"/>
        <v>9.6089999999999999E-4</v>
      </c>
      <c r="DA6" s="10">
        <f t="shared" si="104"/>
        <v>9.4740000000000004E-4</v>
      </c>
      <c r="DB6" s="10">
        <f t="shared" si="105"/>
        <v>9.3409999999999999E-4</v>
      </c>
      <c r="DC6" s="10">
        <f t="shared" si="106"/>
        <v>9.2100000000000005E-4</v>
      </c>
      <c r="DD6" s="10">
        <f t="shared" si="107"/>
        <v>9.0799999999999995E-4</v>
      </c>
      <c r="DE6" s="10">
        <f t="shared" si="108"/>
        <v>8.9519999999999997E-4</v>
      </c>
      <c r="DF6" s="10">
        <f t="shared" si="109"/>
        <v>8.8259999999999999E-4</v>
      </c>
      <c r="DG6" s="10">
        <f t="shared" si="110"/>
        <v>8.7020000000000001E-4</v>
      </c>
      <c r="DH6" s="10">
        <f t="shared" si="111"/>
        <v>8.5789999999999998E-4</v>
      </c>
      <c r="DI6" s="10">
        <f t="shared" si="112"/>
        <v>8.4579999999999996E-4</v>
      </c>
      <c r="DJ6" s="10">
        <f t="shared" si="113"/>
        <v>8.3390000000000005E-4</v>
      </c>
      <c r="DK6" s="10">
        <f t="shared" si="114"/>
        <v>8.2209999999999998E-4</v>
      </c>
      <c r="DL6" s="10">
        <f t="shared" si="115"/>
        <v>8.1050000000000002E-4</v>
      </c>
      <c r="DM6" s="10">
        <f t="shared" si="116"/>
        <v>7.9909999999999996E-4</v>
      </c>
      <c r="DN6" s="10">
        <f t="shared" si="117"/>
        <v>7.8779999999999996E-4</v>
      </c>
      <c r="DO6" s="10">
        <f t="shared" si="118"/>
        <v>7.7669999999999996E-4</v>
      </c>
      <c r="DP6" s="10">
        <f t="shared" si="119"/>
        <v>7.6570000000000002E-4</v>
      </c>
      <c r="DQ6" s="10">
        <f t="shared" si="120"/>
        <v>5.3164200000000002E-2</v>
      </c>
      <c r="DR6" s="10">
        <f t="shared" si="121"/>
        <v>0</v>
      </c>
      <c r="DS6" s="10">
        <f t="shared" si="122"/>
        <v>4.8199999999999999E-5</v>
      </c>
      <c r="DT6" s="10">
        <f t="shared" si="123"/>
        <v>1.697E-4</v>
      </c>
      <c r="DU6" s="10">
        <f t="shared" si="124"/>
        <v>6.826E-4</v>
      </c>
      <c r="DV6" s="10">
        <f t="shared" si="125"/>
        <v>6.1309999999999999E-4</v>
      </c>
      <c r="DW6" s="10">
        <f t="shared" si="126"/>
        <v>5.7359999999999996E-4</v>
      </c>
      <c r="DX6" s="10">
        <f t="shared" si="127"/>
        <v>5.9579999999999995E-4</v>
      </c>
      <c r="DY6" s="10">
        <f t="shared" si="128"/>
        <v>5.2820000000000005E-4</v>
      </c>
      <c r="DZ6" s="10">
        <f t="shared" si="129"/>
        <v>4.8280000000000003E-4</v>
      </c>
      <c r="EA6" s="10">
        <f t="shared" si="130"/>
        <v>4.283E-4</v>
      </c>
      <c r="EB6" s="10">
        <f t="shared" si="131"/>
        <v>3.8259999999999998E-4</v>
      </c>
      <c r="EC6" s="10">
        <f t="shared" si="132"/>
        <v>3.412E-4</v>
      </c>
      <c r="ED6" s="10">
        <f t="shared" si="133"/>
        <v>3.055E-4</v>
      </c>
      <c r="EE6" s="10">
        <f t="shared" si="134"/>
        <v>2.742E-4</v>
      </c>
      <c r="EF6" s="10">
        <f t="shared" si="135"/>
        <v>2.4699999999999999E-4</v>
      </c>
      <c r="EG6" s="10">
        <f t="shared" si="136"/>
        <v>2.2330000000000001E-4</v>
      </c>
      <c r="EH6" s="10">
        <f t="shared" si="137"/>
        <v>2.0259999999999999E-4</v>
      </c>
      <c r="EI6" s="10">
        <f t="shared" si="138"/>
        <v>1.8440000000000001E-4</v>
      </c>
      <c r="EJ6" s="10">
        <f t="shared" si="139"/>
        <v>1.685E-4</v>
      </c>
      <c r="EK6" s="10">
        <f t="shared" si="140"/>
        <v>1.5440000000000001E-4</v>
      </c>
      <c r="EL6" s="10">
        <f t="shared" si="141"/>
        <v>1.4200000000000001E-4</v>
      </c>
      <c r="EM6" s="10">
        <f t="shared" si="142"/>
        <v>1.3100000000000001E-4</v>
      </c>
      <c r="EN6" s="10">
        <f t="shared" si="143"/>
        <v>1.2129999999999999E-4</v>
      </c>
      <c r="EO6" s="10">
        <f t="shared" si="144"/>
        <v>1.126E-4</v>
      </c>
      <c r="EP6" s="10">
        <f t="shared" si="145"/>
        <v>1.048E-4</v>
      </c>
      <c r="EQ6" s="10">
        <f t="shared" si="146"/>
        <v>9.7899999999999994E-5</v>
      </c>
      <c r="ER6" s="10">
        <f t="shared" si="147"/>
        <v>9.1700000000000006E-5</v>
      </c>
      <c r="ES6" s="10">
        <f t="shared" si="148"/>
        <v>8.6100000000000006E-5</v>
      </c>
      <c r="ET6" s="10">
        <f t="shared" si="149"/>
        <v>8.1100000000000006E-5</v>
      </c>
      <c r="EU6" s="10">
        <f t="shared" si="150"/>
        <v>7.6500000000000003E-5</v>
      </c>
      <c r="EV6" s="10">
        <f t="shared" si="151"/>
        <v>7.2399999999999998E-5</v>
      </c>
      <c r="EW6" s="10">
        <f t="shared" si="152"/>
        <v>6.86E-5</v>
      </c>
      <c r="EX6" s="10">
        <f t="shared" si="153"/>
        <v>6.5199999999999999E-5</v>
      </c>
      <c r="EY6" s="10">
        <f t="shared" si="154"/>
        <v>6.2000000000000003E-5</v>
      </c>
      <c r="EZ6" s="10">
        <f t="shared" si="155"/>
        <v>5.8999999999999998E-5</v>
      </c>
      <c r="FA6" s="10">
        <f t="shared" si="156"/>
        <v>5.63E-5</v>
      </c>
      <c r="FB6" s="10">
        <f t="shared" si="157"/>
        <v>5.38E-5</v>
      </c>
      <c r="FC6" s="10">
        <f t="shared" si="158"/>
        <v>5.1499999999999998E-5</v>
      </c>
      <c r="FD6" s="10">
        <f t="shared" si="159"/>
        <v>4.9299999999999999E-5</v>
      </c>
      <c r="FE6" s="10">
        <f t="shared" si="160"/>
        <v>4.7299999999999998E-5</v>
      </c>
      <c r="FF6" s="10">
        <f t="shared" si="161"/>
        <v>4.5399999999999999E-5</v>
      </c>
      <c r="FG6" s="10">
        <f t="shared" si="162"/>
        <v>4.3600000000000003E-5</v>
      </c>
      <c r="FH6" s="10">
        <f t="shared" si="163"/>
        <v>4.1999999999999998E-5</v>
      </c>
      <c r="FI6" s="10">
        <f t="shared" si="164"/>
        <v>4.0500000000000002E-5</v>
      </c>
      <c r="FJ6" s="10">
        <f t="shared" si="165"/>
        <v>3.8999999999999999E-5</v>
      </c>
      <c r="FK6" s="10">
        <f t="shared" si="166"/>
        <v>3.7700000000000002E-5</v>
      </c>
      <c r="FL6" s="10">
        <f t="shared" si="167"/>
        <v>3.65E-5</v>
      </c>
      <c r="FM6" s="10">
        <f t="shared" si="168"/>
        <v>3.5299999999999997E-5</v>
      </c>
      <c r="FN6" s="10">
        <f t="shared" si="169"/>
        <v>3.4199999999999998E-5</v>
      </c>
      <c r="FO6" s="10">
        <f t="shared" si="170"/>
        <v>3.3200000000000001E-5</v>
      </c>
      <c r="FP6" s="10">
        <f t="shared" si="171"/>
        <v>3.2299999999999999E-5</v>
      </c>
      <c r="FQ6" s="10">
        <f t="shared" si="172"/>
        <v>3.1399999999999998E-5</v>
      </c>
      <c r="FR6" s="10">
        <f t="shared" si="173"/>
        <v>3.0499999999999999E-5</v>
      </c>
      <c r="FS6" s="10">
        <f t="shared" si="174"/>
        <v>2.9799999999999999E-5</v>
      </c>
      <c r="FT6" s="10">
        <f t="shared" si="175"/>
        <v>2.9E-5</v>
      </c>
      <c r="FU6" s="10">
        <f t="shared" si="176"/>
        <v>2.83E-5</v>
      </c>
      <c r="FV6" s="10">
        <f t="shared" si="177"/>
        <v>2.7699999999999999E-5</v>
      </c>
      <c r="FW6" s="10">
        <f t="shared" si="178"/>
        <v>2.6999999999999999E-5</v>
      </c>
      <c r="FX6" s="10">
        <f t="shared" si="179"/>
        <v>2.65E-5</v>
      </c>
      <c r="FY6" s="10">
        <f t="shared" si="180"/>
        <v>2.5899999999999999E-5</v>
      </c>
      <c r="FZ6" s="10">
        <f t="shared" si="181"/>
        <v>2.5400000000000001E-5</v>
      </c>
      <c r="GA6" s="10">
        <f t="shared" si="182"/>
        <v>2.4899999999999999E-5</v>
      </c>
      <c r="GB6" s="10">
        <f t="shared" si="183"/>
        <v>2.44E-5</v>
      </c>
      <c r="GC6" s="10">
        <f t="shared" si="184"/>
        <v>2.3900000000000002E-5</v>
      </c>
      <c r="GD6" s="10">
        <f t="shared" si="185"/>
        <v>2.3499999999999999E-5</v>
      </c>
      <c r="GE6" s="10">
        <f t="shared" si="186"/>
        <v>2.3099999999999999E-5</v>
      </c>
      <c r="GF6" s="10">
        <f t="shared" si="187"/>
        <v>2.27E-5</v>
      </c>
      <c r="GG6" s="10">
        <f t="shared" si="188"/>
        <v>2.23E-5</v>
      </c>
      <c r="GH6" s="10">
        <f t="shared" si="189"/>
        <v>2.19E-5</v>
      </c>
      <c r="GI6" s="10">
        <f t="shared" si="190"/>
        <v>2.16E-5</v>
      </c>
      <c r="GJ6" s="10">
        <f t="shared" si="191"/>
        <v>2.12E-5</v>
      </c>
      <c r="GK6" s="10">
        <f t="shared" si="192"/>
        <v>2.09E-5</v>
      </c>
      <c r="GL6" s="10">
        <f t="shared" si="193"/>
        <v>2.0599999999999999E-5</v>
      </c>
      <c r="GM6" s="10">
        <f t="shared" si="194"/>
        <v>2.0299999999999999E-5</v>
      </c>
      <c r="GN6" s="10">
        <f t="shared" si="195"/>
        <v>1.9899999999999999E-5</v>
      </c>
      <c r="GO6" s="10">
        <f t="shared" si="196"/>
        <v>1.9700000000000001E-5</v>
      </c>
      <c r="GP6" s="10">
        <f t="shared" si="197"/>
        <v>1.9400000000000001E-5</v>
      </c>
      <c r="GQ6" s="10">
        <f t="shared" si="198"/>
        <v>1.91E-5</v>
      </c>
      <c r="GR6" s="10">
        <f t="shared" si="199"/>
        <v>1.88E-5</v>
      </c>
      <c r="GS6" s="10">
        <f t="shared" si="200"/>
        <v>1.8499999999999999E-5</v>
      </c>
      <c r="GT6" s="10">
        <f t="shared" si="201"/>
        <v>1.8300000000000001E-5</v>
      </c>
      <c r="GU6" s="10">
        <f t="shared" si="202"/>
        <v>1.8E-5</v>
      </c>
      <c r="GV6" s="10">
        <f t="shared" si="203"/>
        <v>1.7799999999999999E-5</v>
      </c>
      <c r="GW6" s="10">
        <f t="shared" si="204"/>
        <v>1.7499999999999998E-5</v>
      </c>
      <c r="GX6" s="10">
        <f t="shared" si="205"/>
        <v>1.73E-5</v>
      </c>
      <c r="GY6" s="10">
        <f t="shared" si="206"/>
        <v>1.7E-5</v>
      </c>
      <c r="GZ6" s="10">
        <f t="shared" si="207"/>
        <v>1.6799999999999998E-5</v>
      </c>
      <c r="HA6" s="10">
        <f t="shared" si="208"/>
        <v>1.66E-5</v>
      </c>
      <c r="HB6" s="10">
        <f t="shared" si="209"/>
        <v>1.6399999999999999E-5</v>
      </c>
      <c r="HC6" s="10">
        <f t="shared" si="210"/>
        <v>1.6099999999999998E-5</v>
      </c>
      <c r="HD6" s="10">
        <f t="shared" si="211"/>
        <v>1.59E-5</v>
      </c>
      <c r="HE6" s="10">
        <f t="shared" si="212"/>
        <v>1.5699999999999999E-5</v>
      </c>
      <c r="HF6" s="10">
        <f t="shared" si="213"/>
        <v>1.5500000000000001E-5</v>
      </c>
      <c r="HG6" s="10">
        <f t="shared" si="214"/>
        <v>1.5299999999999999E-5</v>
      </c>
      <c r="HH6" s="10">
        <f t="shared" si="215"/>
        <v>1.5099999999999999E-5</v>
      </c>
      <c r="HI6" s="10">
        <f t="shared" si="216"/>
        <v>1.49E-5</v>
      </c>
      <c r="HJ6" s="10">
        <f t="shared" si="217"/>
        <v>1.47E-5</v>
      </c>
      <c r="HK6" s="10">
        <f t="shared" si="218"/>
        <v>1.45E-5</v>
      </c>
      <c r="HL6" s="10">
        <f t="shared" si="219"/>
        <v>1.43E-5</v>
      </c>
      <c r="HM6" s="10">
        <f t="shared" si="220"/>
        <v>1.4100000000000001E-5</v>
      </c>
      <c r="HN6" s="10">
        <f t="shared" si="221"/>
        <v>1.3900000000000001E-5</v>
      </c>
      <c r="HO6" s="10">
        <f t="shared" si="222"/>
        <v>1.3699999999999999E-5</v>
      </c>
      <c r="HP6" s="10">
        <f t="shared" si="223"/>
        <v>1.3499999999999999E-5</v>
      </c>
      <c r="HQ6" s="10">
        <f t="shared" si="224"/>
        <v>1.33E-5</v>
      </c>
      <c r="HR6" s="10">
        <f t="shared" si="225"/>
        <v>1.31E-5</v>
      </c>
      <c r="HS6" s="10">
        <f t="shared" si="226"/>
        <v>1.2999999999999999E-5</v>
      </c>
      <c r="HT6" s="10">
        <f t="shared" si="227"/>
        <v>1.2799999999999999E-5</v>
      </c>
      <c r="HU6" s="10">
        <f t="shared" si="228"/>
        <v>1.26E-5</v>
      </c>
      <c r="HV6" s="10">
        <f t="shared" si="229"/>
        <v>1.24E-5</v>
      </c>
      <c r="HW6" s="10">
        <f t="shared" si="230"/>
        <v>1.2300000000000001E-5</v>
      </c>
      <c r="HX6" s="10">
        <f t="shared" si="231"/>
        <v>1.2099999999999999E-5</v>
      </c>
      <c r="HY6" s="10">
        <f t="shared" si="232"/>
        <v>1.19E-5</v>
      </c>
      <c r="HZ6" s="10">
        <f t="shared" si="233"/>
        <v>1.1800000000000001E-5</v>
      </c>
      <c r="IA6" s="10">
        <f t="shared" si="234"/>
        <v>1.1600000000000001E-5</v>
      </c>
      <c r="IB6" s="10">
        <f t="shared" si="235"/>
        <v>1.1399999999999999E-5</v>
      </c>
      <c r="IC6" s="10">
        <f t="shared" si="236"/>
        <v>1.13E-5</v>
      </c>
      <c r="ID6" s="10">
        <f t="shared" si="237"/>
        <v>1.11E-5</v>
      </c>
      <c r="IE6" s="10">
        <f t="shared" si="238"/>
        <v>1.1E-5</v>
      </c>
      <c r="IF6" s="10">
        <f t="shared" si="239"/>
        <v>1.08E-5</v>
      </c>
      <c r="IG6" s="10">
        <f t="shared" si="240"/>
        <v>7.5480000000000002E-4</v>
      </c>
      <c r="JV6" s="13" t="s">
        <v>366</v>
      </c>
      <c r="JW6" s="13"/>
      <c r="JX6" s="13"/>
    </row>
    <row r="7" spans="1:291" s="1" customFormat="1" x14ac:dyDescent="0.35">
      <c r="A7" s="1">
        <f>A8-1</f>
        <v>-1</v>
      </c>
      <c r="B7" s="10">
        <f>B8</f>
        <v>1.0654E-2</v>
      </c>
      <c r="C7" s="10">
        <f t="shared" ref="C7:BN7" si="241">C8</f>
        <v>1.0654E-2</v>
      </c>
      <c r="D7" s="10">
        <f t="shared" si="241"/>
        <v>1.06058E-2</v>
      </c>
      <c r="E7" s="10">
        <f t="shared" si="241"/>
        <v>1.04361E-2</v>
      </c>
      <c r="F7" s="10">
        <f t="shared" si="241"/>
        <v>9.7535E-3</v>
      </c>
      <c r="G7" s="10">
        <f t="shared" si="241"/>
        <v>9.1403999999999999E-3</v>
      </c>
      <c r="H7" s="10">
        <f t="shared" si="241"/>
        <v>8.5669000000000006E-3</v>
      </c>
      <c r="I7" s="10">
        <f t="shared" si="241"/>
        <v>7.9711000000000001E-3</v>
      </c>
      <c r="J7" s="10">
        <f t="shared" si="241"/>
        <v>7.4428000000000003E-3</v>
      </c>
      <c r="K7" s="10">
        <f t="shared" si="241"/>
        <v>6.9601000000000003E-3</v>
      </c>
      <c r="L7" s="10">
        <f t="shared" si="241"/>
        <v>6.5317999999999999E-3</v>
      </c>
      <c r="M7" s="10">
        <f t="shared" si="241"/>
        <v>6.1491999999999996E-3</v>
      </c>
      <c r="N7" s="10">
        <f t="shared" si="241"/>
        <v>5.8079999999999998E-3</v>
      </c>
      <c r="O7" s="10">
        <f t="shared" si="241"/>
        <v>5.5024999999999996E-3</v>
      </c>
      <c r="P7" s="10">
        <f t="shared" si="241"/>
        <v>5.2283E-3</v>
      </c>
      <c r="Q7" s="10">
        <f t="shared" si="241"/>
        <v>4.9813000000000001E-3</v>
      </c>
      <c r="R7" s="10">
        <f t="shared" si="241"/>
        <v>4.7580000000000001E-3</v>
      </c>
      <c r="S7" s="10">
        <f t="shared" si="241"/>
        <v>4.5554000000000002E-3</v>
      </c>
      <c r="T7" s="10">
        <f t="shared" si="241"/>
        <v>4.3709999999999999E-3</v>
      </c>
      <c r="U7" s="10">
        <f t="shared" si="241"/>
        <v>4.2025999999999999E-3</v>
      </c>
      <c r="V7" s="10">
        <f t="shared" si="241"/>
        <v>4.0480999999999998E-3</v>
      </c>
      <c r="W7" s="10">
        <f t="shared" si="241"/>
        <v>3.9061E-3</v>
      </c>
      <c r="X7" s="10">
        <f t="shared" si="241"/>
        <v>3.7750000000000001E-3</v>
      </c>
      <c r="Y7" s="10">
        <f t="shared" si="241"/>
        <v>3.6537000000000002E-3</v>
      </c>
      <c r="Z7" s="10">
        <f t="shared" si="241"/>
        <v>3.5412E-3</v>
      </c>
      <c r="AA7" s="10">
        <f t="shared" si="241"/>
        <v>3.4364E-3</v>
      </c>
      <c r="AB7" s="10">
        <f t="shared" si="241"/>
        <v>3.3384999999999999E-3</v>
      </c>
      <c r="AC7" s="10">
        <f t="shared" si="241"/>
        <v>3.2468000000000002E-3</v>
      </c>
      <c r="AD7" s="10">
        <f t="shared" si="241"/>
        <v>3.1606999999999998E-3</v>
      </c>
      <c r="AE7" s="10">
        <f t="shared" si="241"/>
        <v>3.0796999999999999E-3</v>
      </c>
      <c r="AF7" s="10">
        <f t="shared" si="241"/>
        <v>3.0030999999999999E-3</v>
      </c>
      <c r="AG7" s="10">
        <f t="shared" si="241"/>
        <v>2.9307000000000001E-3</v>
      </c>
      <c r="AH7" s="10">
        <f t="shared" si="241"/>
        <v>2.8620999999999998E-3</v>
      </c>
      <c r="AI7" s="10">
        <f t="shared" si="241"/>
        <v>2.7969000000000002E-3</v>
      </c>
      <c r="AJ7" s="10">
        <f t="shared" si="241"/>
        <v>2.7349000000000002E-3</v>
      </c>
      <c r="AK7" s="10">
        <f t="shared" si="241"/>
        <v>2.6759000000000002E-3</v>
      </c>
      <c r="AL7" s="10">
        <f t="shared" si="241"/>
        <v>2.6194999999999999E-3</v>
      </c>
      <c r="AM7" s="10">
        <f t="shared" si="241"/>
        <v>2.5657000000000002E-3</v>
      </c>
      <c r="AN7" s="10">
        <f t="shared" si="241"/>
        <v>2.5143000000000001E-3</v>
      </c>
      <c r="AO7" s="10">
        <f t="shared" si="241"/>
        <v>2.4650000000000002E-3</v>
      </c>
      <c r="AP7" s="10">
        <f t="shared" si="241"/>
        <v>2.4177000000000001E-3</v>
      </c>
      <c r="AQ7" s="10">
        <f t="shared" si="241"/>
        <v>2.3722999999999999E-3</v>
      </c>
      <c r="AR7" s="10">
        <f t="shared" si="241"/>
        <v>2.3287E-3</v>
      </c>
      <c r="AS7" s="10">
        <f t="shared" si="241"/>
        <v>2.2867E-3</v>
      </c>
      <c r="AT7" s="10">
        <f t="shared" si="241"/>
        <v>2.2461999999999998E-3</v>
      </c>
      <c r="AU7" s="10">
        <f t="shared" si="241"/>
        <v>2.2071999999999999E-3</v>
      </c>
      <c r="AV7" s="10">
        <f t="shared" si="241"/>
        <v>2.1695E-3</v>
      </c>
      <c r="AW7" s="10">
        <f t="shared" si="241"/>
        <v>2.1329999999999999E-3</v>
      </c>
      <c r="AX7" s="10">
        <f t="shared" si="241"/>
        <v>2.0977000000000001E-3</v>
      </c>
      <c r="AY7" s="10">
        <f t="shared" si="241"/>
        <v>2.0634E-3</v>
      </c>
      <c r="AZ7" s="10">
        <f t="shared" si="241"/>
        <v>2.0301999999999998E-3</v>
      </c>
      <c r="BA7" s="10">
        <f t="shared" si="241"/>
        <v>1.9980000000000002E-3</v>
      </c>
      <c r="BB7" s="10">
        <f t="shared" si="241"/>
        <v>1.9666000000000002E-3</v>
      </c>
      <c r="BC7" s="10">
        <f t="shared" si="241"/>
        <v>1.9361000000000001E-3</v>
      </c>
      <c r="BD7" s="10">
        <f t="shared" si="241"/>
        <v>1.9063000000000001E-3</v>
      </c>
      <c r="BE7" s="10">
        <f t="shared" si="241"/>
        <v>1.8772999999999999E-3</v>
      </c>
      <c r="BF7" s="10">
        <f t="shared" si="241"/>
        <v>1.8489999999999999E-3</v>
      </c>
      <c r="BG7" s="10">
        <f t="shared" si="241"/>
        <v>1.8213000000000001E-3</v>
      </c>
      <c r="BH7" s="10">
        <f t="shared" si="241"/>
        <v>1.7943E-3</v>
      </c>
      <c r="BI7" s="10">
        <f t="shared" si="241"/>
        <v>1.7677999999999999E-3</v>
      </c>
      <c r="BJ7" s="10">
        <f t="shared" si="241"/>
        <v>1.7419E-3</v>
      </c>
      <c r="BK7" s="10">
        <f t="shared" si="241"/>
        <v>1.7166E-3</v>
      </c>
      <c r="BL7" s="10">
        <f t="shared" si="241"/>
        <v>1.6917E-3</v>
      </c>
      <c r="BM7" s="10">
        <f t="shared" si="241"/>
        <v>1.6673E-3</v>
      </c>
      <c r="BN7" s="10">
        <f t="shared" si="241"/>
        <v>1.6433999999999999E-3</v>
      </c>
      <c r="BO7" s="10">
        <f t="shared" ref="BO7:DZ7" si="242">BO8</f>
        <v>1.6199000000000001E-3</v>
      </c>
      <c r="BP7" s="10">
        <f t="shared" si="242"/>
        <v>1.5968E-3</v>
      </c>
      <c r="BQ7" s="10">
        <f t="shared" si="242"/>
        <v>1.5740999999999999E-3</v>
      </c>
      <c r="BR7" s="10">
        <f t="shared" si="242"/>
        <v>1.5518000000000001E-3</v>
      </c>
      <c r="BS7" s="10">
        <f t="shared" si="242"/>
        <v>1.5299000000000001E-3</v>
      </c>
      <c r="BT7" s="10">
        <f t="shared" si="242"/>
        <v>1.5083E-3</v>
      </c>
      <c r="BU7" s="10">
        <f t="shared" si="242"/>
        <v>1.4871000000000001E-3</v>
      </c>
      <c r="BV7" s="10">
        <f t="shared" si="242"/>
        <v>1.4662E-3</v>
      </c>
      <c r="BW7" s="10">
        <f t="shared" si="242"/>
        <v>1.4457000000000001E-3</v>
      </c>
      <c r="BX7" s="10">
        <f t="shared" si="242"/>
        <v>1.4254000000000001E-3</v>
      </c>
      <c r="BY7" s="10">
        <f t="shared" si="242"/>
        <v>1.4055000000000001E-3</v>
      </c>
      <c r="BZ7" s="10">
        <f t="shared" si="242"/>
        <v>1.3858E-3</v>
      </c>
      <c r="CA7" s="10">
        <f t="shared" si="242"/>
        <v>1.3664E-3</v>
      </c>
      <c r="CB7" s="10">
        <f t="shared" si="242"/>
        <v>1.3473999999999999E-3</v>
      </c>
      <c r="CC7" s="10">
        <f t="shared" si="242"/>
        <v>1.3285E-3</v>
      </c>
      <c r="CD7" s="10">
        <f t="shared" si="242"/>
        <v>1.31E-3</v>
      </c>
      <c r="CE7" s="10">
        <f t="shared" si="242"/>
        <v>1.2917E-3</v>
      </c>
      <c r="CF7" s="10">
        <f t="shared" si="242"/>
        <v>1.2737E-3</v>
      </c>
      <c r="CG7" s="10">
        <f t="shared" si="242"/>
        <v>1.2558999999999999E-3</v>
      </c>
      <c r="CH7" s="10">
        <f t="shared" si="242"/>
        <v>1.2384E-3</v>
      </c>
      <c r="CI7" s="10">
        <f t="shared" si="242"/>
        <v>1.2210999999999999E-3</v>
      </c>
      <c r="CJ7" s="10">
        <f t="shared" si="242"/>
        <v>1.2041E-3</v>
      </c>
      <c r="CK7" s="10">
        <f t="shared" si="242"/>
        <v>1.1873000000000001E-3</v>
      </c>
      <c r="CL7" s="10">
        <f t="shared" si="242"/>
        <v>1.1707E-3</v>
      </c>
      <c r="CM7" s="10">
        <f t="shared" si="242"/>
        <v>1.1543E-3</v>
      </c>
      <c r="CN7" s="10">
        <f t="shared" si="242"/>
        <v>1.1382E-3</v>
      </c>
      <c r="CO7" s="10">
        <f t="shared" si="242"/>
        <v>1.1222999999999999E-3</v>
      </c>
      <c r="CP7" s="10">
        <f t="shared" si="242"/>
        <v>1.1065999999999999E-3</v>
      </c>
      <c r="CQ7" s="10">
        <f t="shared" si="242"/>
        <v>1.0911E-3</v>
      </c>
      <c r="CR7" s="10">
        <f t="shared" si="242"/>
        <v>1.0759000000000001E-3</v>
      </c>
      <c r="CS7" s="10">
        <f t="shared" si="242"/>
        <v>1.0608E-3</v>
      </c>
      <c r="CT7" s="10">
        <f t="shared" si="242"/>
        <v>1.0459E-3</v>
      </c>
      <c r="CU7" s="10">
        <f t="shared" si="242"/>
        <v>1.0313E-3</v>
      </c>
      <c r="CV7" s="10">
        <f t="shared" si="242"/>
        <v>1.0168E-3</v>
      </c>
      <c r="CW7" s="10">
        <f t="shared" si="242"/>
        <v>1.0026E-3</v>
      </c>
      <c r="CX7" s="10">
        <f t="shared" si="242"/>
        <v>9.8850000000000001E-4</v>
      </c>
      <c r="CY7" s="10">
        <f t="shared" si="242"/>
        <v>9.7460000000000005E-4</v>
      </c>
      <c r="CZ7" s="10">
        <f t="shared" si="242"/>
        <v>9.6089999999999999E-4</v>
      </c>
      <c r="DA7" s="10">
        <f t="shared" si="242"/>
        <v>9.4740000000000004E-4</v>
      </c>
      <c r="DB7" s="10">
        <f t="shared" si="242"/>
        <v>9.3409999999999999E-4</v>
      </c>
      <c r="DC7" s="10">
        <f t="shared" si="242"/>
        <v>9.2100000000000005E-4</v>
      </c>
      <c r="DD7" s="10">
        <f t="shared" si="242"/>
        <v>9.0799999999999995E-4</v>
      </c>
      <c r="DE7" s="10">
        <f t="shared" si="242"/>
        <v>8.9519999999999997E-4</v>
      </c>
      <c r="DF7" s="10">
        <f t="shared" si="242"/>
        <v>8.8259999999999999E-4</v>
      </c>
      <c r="DG7" s="10">
        <f t="shared" si="242"/>
        <v>8.7020000000000001E-4</v>
      </c>
      <c r="DH7" s="10">
        <f t="shared" si="242"/>
        <v>8.5789999999999998E-4</v>
      </c>
      <c r="DI7" s="10">
        <f t="shared" si="242"/>
        <v>8.4579999999999996E-4</v>
      </c>
      <c r="DJ7" s="10">
        <f t="shared" si="242"/>
        <v>8.3390000000000005E-4</v>
      </c>
      <c r="DK7" s="10">
        <f t="shared" si="242"/>
        <v>8.2209999999999998E-4</v>
      </c>
      <c r="DL7" s="10">
        <f t="shared" si="242"/>
        <v>8.1050000000000002E-4</v>
      </c>
      <c r="DM7" s="10">
        <f t="shared" si="242"/>
        <v>7.9909999999999996E-4</v>
      </c>
      <c r="DN7" s="10">
        <f t="shared" si="242"/>
        <v>7.8779999999999996E-4</v>
      </c>
      <c r="DO7" s="10">
        <f t="shared" si="242"/>
        <v>7.7669999999999996E-4</v>
      </c>
      <c r="DP7" s="10">
        <f t="shared" si="242"/>
        <v>7.6570000000000002E-4</v>
      </c>
      <c r="DQ7" s="10">
        <f t="shared" si="242"/>
        <v>5.3164200000000002E-2</v>
      </c>
      <c r="DR7" s="10">
        <f t="shared" si="242"/>
        <v>0</v>
      </c>
      <c r="DS7" s="10">
        <f t="shared" si="242"/>
        <v>4.8199999999999999E-5</v>
      </c>
      <c r="DT7" s="10">
        <f t="shared" si="242"/>
        <v>1.697E-4</v>
      </c>
      <c r="DU7" s="10">
        <f t="shared" si="242"/>
        <v>6.826E-4</v>
      </c>
      <c r="DV7" s="10">
        <f t="shared" si="242"/>
        <v>6.1309999999999999E-4</v>
      </c>
      <c r="DW7" s="10">
        <f t="shared" si="242"/>
        <v>5.7359999999999996E-4</v>
      </c>
      <c r="DX7" s="10">
        <f t="shared" si="242"/>
        <v>5.9579999999999995E-4</v>
      </c>
      <c r="DY7" s="10">
        <f t="shared" si="242"/>
        <v>5.2820000000000005E-4</v>
      </c>
      <c r="DZ7" s="10">
        <f t="shared" si="242"/>
        <v>4.8280000000000003E-4</v>
      </c>
      <c r="EA7" s="10">
        <f t="shared" ref="EA7:GL7" si="243">EA8</f>
        <v>4.283E-4</v>
      </c>
      <c r="EB7" s="10">
        <f t="shared" si="243"/>
        <v>3.8259999999999998E-4</v>
      </c>
      <c r="EC7" s="10">
        <f t="shared" si="243"/>
        <v>3.412E-4</v>
      </c>
      <c r="ED7" s="10">
        <f t="shared" si="243"/>
        <v>3.055E-4</v>
      </c>
      <c r="EE7" s="10">
        <f t="shared" si="243"/>
        <v>2.742E-4</v>
      </c>
      <c r="EF7" s="10">
        <f t="shared" si="243"/>
        <v>2.4699999999999999E-4</v>
      </c>
      <c r="EG7" s="10">
        <f t="shared" si="243"/>
        <v>2.2330000000000001E-4</v>
      </c>
      <c r="EH7" s="10">
        <f t="shared" si="243"/>
        <v>2.0259999999999999E-4</v>
      </c>
      <c r="EI7" s="10">
        <f t="shared" si="243"/>
        <v>1.8440000000000001E-4</v>
      </c>
      <c r="EJ7" s="10">
        <f t="shared" si="243"/>
        <v>1.685E-4</v>
      </c>
      <c r="EK7" s="10">
        <f t="shared" si="243"/>
        <v>1.5440000000000001E-4</v>
      </c>
      <c r="EL7" s="10">
        <f t="shared" si="243"/>
        <v>1.4200000000000001E-4</v>
      </c>
      <c r="EM7" s="10">
        <f t="shared" si="243"/>
        <v>1.3100000000000001E-4</v>
      </c>
      <c r="EN7" s="10">
        <f t="shared" si="243"/>
        <v>1.2129999999999999E-4</v>
      </c>
      <c r="EO7" s="10">
        <f t="shared" si="243"/>
        <v>1.126E-4</v>
      </c>
      <c r="EP7" s="10">
        <f t="shared" si="243"/>
        <v>1.048E-4</v>
      </c>
      <c r="EQ7" s="10">
        <f t="shared" si="243"/>
        <v>9.7899999999999994E-5</v>
      </c>
      <c r="ER7" s="10">
        <f t="shared" si="243"/>
        <v>9.1700000000000006E-5</v>
      </c>
      <c r="ES7" s="10">
        <f t="shared" si="243"/>
        <v>8.6100000000000006E-5</v>
      </c>
      <c r="ET7" s="10">
        <f t="shared" si="243"/>
        <v>8.1100000000000006E-5</v>
      </c>
      <c r="EU7" s="10">
        <f t="shared" si="243"/>
        <v>7.6500000000000003E-5</v>
      </c>
      <c r="EV7" s="10">
        <f t="shared" si="243"/>
        <v>7.2399999999999998E-5</v>
      </c>
      <c r="EW7" s="10">
        <f t="shared" si="243"/>
        <v>6.86E-5</v>
      </c>
      <c r="EX7" s="10">
        <f t="shared" si="243"/>
        <v>6.5199999999999999E-5</v>
      </c>
      <c r="EY7" s="10">
        <f t="shared" si="243"/>
        <v>6.2000000000000003E-5</v>
      </c>
      <c r="EZ7" s="10">
        <f t="shared" si="243"/>
        <v>5.8999999999999998E-5</v>
      </c>
      <c r="FA7" s="10">
        <f t="shared" si="243"/>
        <v>5.63E-5</v>
      </c>
      <c r="FB7" s="10">
        <f t="shared" si="243"/>
        <v>5.38E-5</v>
      </c>
      <c r="FC7" s="10">
        <f t="shared" si="243"/>
        <v>5.1499999999999998E-5</v>
      </c>
      <c r="FD7" s="10">
        <f t="shared" si="243"/>
        <v>4.9299999999999999E-5</v>
      </c>
      <c r="FE7" s="10">
        <f t="shared" si="243"/>
        <v>4.7299999999999998E-5</v>
      </c>
      <c r="FF7" s="10">
        <f t="shared" si="243"/>
        <v>4.5399999999999999E-5</v>
      </c>
      <c r="FG7" s="10">
        <f t="shared" si="243"/>
        <v>4.3600000000000003E-5</v>
      </c>
      <c r="FH7" s="10">
        <f t="shared" si="243"/>
        <v>4.1999999999999998E-5</v>
      </c>
      <c r="FI7" s="10">
        <f t="shared" si="243"/>
        <v>4.0500000000000002E-5</v>
      </c>
      <c r="FJ7" s="10">
        <f t="shared" si="243"/>
        <v>3.8999999999999999E-5</v>
      </c>
      <c r="FK7" s="10">
        <f t="shared" si="243"/>
        <v>3.7700000000000002E-5</v>
      </c>
      <c r="FL7" s="10">
        <f t="shared" si="243"/>
        <v>3.65E-5</v>
      </c>
      <c r="FM7" s="10">
        <f t="shared" si="243"/>
        <v>3.5299999999999997E-5</v>
      </c>
      <c r="FN7" s="10">
        <f t="shared" si="243"/>
        <v>3.4199999999999998E-5</v>
      </c>
      <c r="FO7" s="10">
        <f t="shared" si="243"/>
        <v>3.3200000000000001E-5</v>
      </c>
      <c r="FP7" s="10">
        <f t="shared" si="243"/>
        <v>3.2299999999999999E-5</v>
      </c>
      <c r="FQ7" s="10">
        <f t="shared" si="243"/>
        <v>3.1399999999999998E-5</v>
      </c>
      <c r="FR7" s="10">
        <f t="shared" si="243"/>
        <v>3.0499999999999999E-5</v>
      </c>
      <c r="FS7" s="10">
        <f t="shared" si="243"/>
        <v>2.9799999999999999E-5</v>
      </c>
      <c r="FT7" s="10">
        <f t="shared" si="243"/>
        <v>2.9E-5</v>
      </c>
      <c r="FU7" s="10">
        <f t="shared" si="243"/>
        <v>2.83E-5</v>
      </c>
      <c r="FV7" s="10">
        <f t="shared" si="243"/>
        <v>2.7699999999999999E-5</v>
      </c>
      <c r="FW7" s="10">
        <f t="shared" si="243"/>
        <v>2.6999999999999999E-5</v>
      </c>
      <c r="FX7" s="10">
        <f t="shared" si="243"/>
        <v>2.65E-5</v>
      </c>
      <c r="FY7" s="10">
        <f t="shared" si="243"/>
        <v>2.5899999999999999E-5</v>
      </c>
      <c r="FZ7" s="10">
        <f t="shared" si="243"/>
        <v>2.5400000000000001E-5</v>
      </c>
      <c r="GA7" s="10">
        <f t="shared" si="243"/>
        <v>2.4899999999999999E-5</v>
      </c>
      <c r="GB7" s="10">
        <f t="shared" si="243"/>
        <v>2.44E-5</v>
      </c>
      <c r="GC7" s="10">
        <f t="shared" si="243"/>
        <v>2.3900000000000002E-5</v>
      </c>
      <c r="GD7" s="10">
        <f t="shared" si="243"/>
        <v>2.3499999999999999E-5</v>
      </c>
      <c r="GE7" s="10">
        <f t="shared" si="243"/>
        <v>2.3099999999999999E-5</v>
      </c>
      <c r="GF7" s="10">
        <f t="shared" si="243"/>
        <v>2.27E-5</v>
      </c>
      <c r="GG7" s="10">
        <f t="shared" si="243"/>
        <v>2.23E-5</v>
      </c>
      <c r="GH7" s="10">
        <f t="shared" si="243"/>
        <v>2.19E-5</v>
      </c>
      <c r="GI7" s="10">
        <f t="shared" si="243"/>
        <v>2.16E-5</v>
      </c>
      <c r="GJ7" s="10">
        <f t="shared" si="243"/>
        <v>2.12E-5</v>
      </c>
      <c r="GK7" s="10">
        <f t="shared" si="243"/>
        <v>2.09E-5</v>
      </c>
      <c r="GL7" s="10">
        <f t="shared" si="243"/>
        <v>2.0599999999999999E-5</v>
      </c>
      <c r="GM7" s="10">
        <f t="shared" ref="GM7:IG7" si="244">GM8</f>
        <v>2.0299999999999999E-5</v>
      </c>
      <c r="GN7" s="10">
        <f t="shared" si="244"/>
        <v>1.9899999999999999E-5</v>
      </c>
      <c r="GO7" s="10">
        <f t="shared" si="244"/>
        <v>1.9700000000000001E-5</v>
      </c>
      <c r="GP7" s="10">
        <f t="shared" si="244"/>
        <v>1.9400000000000001E-5</v>
      </c>
      <c r="GQ7" s="10">
        <f t="shared" si="244"/>
        <v>1.91E-5</v>
      </c>
      <c r="GR7" s="10">
        <f t="shared" si="244"/>
        <v>1.88E-5</v>
      </c>
      <c r="GS7" s="10">
        <f t="shared" si="244"/>
        <v>1.8499999999999999E-5</v>
      </c>
      <c r="GT7" s="10">
        <f t="shared" si="244"/>
        <v>1.8300000000000001E-5</v>
      </c>
      <c r="GU7" s="10">
        <f t="shared" si="244"/>
        <v>1.8E-5</v>
      </c>
      <c r="GV7" s="10">
        <f t="shared" si="244"/>
        <v>1.7799999999999999E-5</v>
      </c>
      <c r="GW7" s="10">
        <f t="shared" si="244"/>
        <v>1.7499999999999998E-5</v>
      </c>
      <c r="GX7" s="10">
        <f t="shared" si="244"/>
        <v>1.73E-5</v>
      </c>
      <c r="GY7" s="10">
        <f t="shared" si="244"/>
        <v>1.7E-5</v>
      </c>
      <c r="GZ7" s="10">
        <f t="shared" si="244"/>
        <v>1.6799999999999998E-5</v>
      </c>
      <c r="HA7" s="10">
        <f t="shared" si="244"/>
        <v>1.66E-5</v>
      </c>
      <c r="HB7" s="10">
        <f t="shared" si="244"/>
        <v>1.6399999999999999E-5</v>
      </c>
      <c r="HC7" s="10">
        <f t="shared" si="244"/>
        <v>1.6099999999999998E-5</v>
      </c>
      <c r="HD7" s="10">
        <f t="shared" si="244"/>
        <v>1.59E-5</v>
      </c>
      <c r="HE7" s="10">
        <f t="shared" si="244"/>
        <v>1.5699999999999999E-5</v>
      </c>
      <c r="HF7" s="10">
        <f t="shared" si="244"/>
        <v>1.5500000000000001E-5</v>
      </c>
      <c r="HG7" s="10">
        <f t="shared" si="244"/>
        <v>1.5299999999999999E-5</v>
      </c>
      <c r="HH7" s="10">
        <f t="shared" si="244"/>
        <v>1.5099999999999999E-5</v>
      </c>
      <c r="HI7" s="10">
        <f t="shared" si="244"/>
        <v>1.49E-5</v>
      </c>
      <c r="HJ7" s="10">
        <f t="shared" si="244"/>
        <v>1.47E-5</v>
      </c>
      <c r="HK7" s="10">
        <f t="shared" si="244"/>
        <v>1.45E-5</v>
      </c>
      <c r="HL7" s="10">
        <f t="shared" si="244"/>
        <v>1.43E-5</v>
      </c>
      <c r="HM7" s="10">
        <f t="shared" si="244"/>
        <v>1.4100000000000001E-5</v>
      </c>
      <c r="HN7" s="10">
        <f t="shared" si="244"/>
        <v>1.3900000000000001E-5</v>
      </c>
      <c r="HO7" s="10">
        <f t="shared" si="244"/>
        <v>1.3699999999999999E-5</v>
      </c>
      <c r="HP7" s="10">
        <f t="shared" si="244"/>
        <v>1.3499999999999999E-5</v>
      </c>
      <c r="HQ7" s="10">
        <f t="shared" si="244"/>
        <v>1.33E-5</v>
      </c>
      <c r="HR7" s="10">
        <f t="shared" si="244"/>
        <v>1.31E-5</v>
      </c>
      <c r="HS7" s="10">
        <f t="shared" si="244"/>
        <v>1.2999999999999999E-5</v>
      </c>
      <c r="HT7" s="10">
        <f t="shared" si="244"/>
        <v>1.2799999999999999E-5</v>
      </c>
      <c r="HU7" s="10">
        <f t="shared" si="244"/>
        <v>1.26E-5</v>
      </c>
      <c r="HV7" s="10">
        <f t="shared" si="244"/>
        <v>1.24E-5</v>
      </c>
      <c r="HW7" s="10">
        <f t="shared" si="244"/>
        <v>1.2300000000000001E-5</v>
      </c>
      <c r="HX7" s="10">
        <f t="shared" si="244"/>
        <v>1.2099999999999999E-5</v>
      </c>
      <c r="HY7" s="10">
        <f t="shared" si="244"/>
        <v>1.19E-5</v>
      </c>
      <c r="HZ7" s="10">
        <f t="shared" si="244"/>
        <v>1.1800000000000001E-5</v>
      </c>
      <c r="IA7" s="10">
        <f t="shared" si="244"/>
        <v>1.1600000000000001E-5</v>
      </c>
      <c r="IB7" s="10">
        <f t="shared" si="244"/>
        <v>1.1399999999999999E-5</v>
      </c>
      <c r="IC7" s="10">
        <f t="shared" si="244"/>
        <v>1.13E-5</v>
      </c>
      <c r="ID7" s="10">
        <f t="shared" si="244"/>
        <v>1.11E-5</v>
      </c>
      <c r="IE7" s="10">
        <f t="shared" si="244"/>
        <v>1.1E-5</v>
      </c>
      <c r="IF7" s="10">
        <f t="shared" si="244"/>
        <v>1.08E-5</v>
      </c>
      <c r="IG7" s="10">
        <f t="shared" si="244"/>
        <v>7.5480000000000002E-4</v>
      </c>
      <c r="JK7" s="1" t="s">
        <v>357</v>
      </c>
      <c r="JL7" s="1" t="s">
        <v>291</v>
      </c>
      <c r="JM7" s="1" t="s">
        <v>292</v>
      </c>
      <c r="JN7" s="1" t="s">
        <v>293</v>
      </c>
      <c r="JO7" s="1" t="s">
        <v>294</v>
      </c>
      <c r="JP7" s="1" t="s">
        <v>295</v>
      </c>
      <c r="JQ7" s="1" t="s">
        <v>296</v>
      </c>
      <c r="JR7" s="1" t="s">
        <v>297</v>
      </c>
      <c r="JS7" s="1" t="s">
        <v>298</v>
      </c>
      <c r="JT7" s="1" t="s">
        <v>299</v>
      </c>
      <c r="JV7" s="12" t="s">
        <v>357</v>
      </c>
      <c r="JW7" s="12" t="s">
        <v>291</v>
      </c>
      <c r="JX7" s="12" t="s">
        <v>292</v>
      </c>
      <c r="JY7" s="12" t="s">
        <v>293</v>
      </c>
      <c r="JZ7" s="12" t="s">
        <v>294</v>
      </c>
      <c r="KA7" s="12" t="s">
        <v>295</v>
      </c>
      <c r="KB7" s="12" t="s">
        <v>296</v>
      </c>
      <c r="KC7" s="12" t="s">
        <v>297</v>
      </c>
      <c r="KD7" s="12" t="s">
        <v>298</v>
      </c>
      <c r="KE7" s="12" t="s">
        <v>299</v>
      </c>
    </row>
    <row r="8" spans="1:291" x14ac:dyDescent="0.35">
      <c r="A8" s="1">
        <v>0</v>
      </c>
      <c r="B8" s="4">
        <v>1.0654E-2</v>
      </c>
      <c r="C8" s="4">
        <v>1.0654E-2</v>
      </c>
      <c r="D8" s="4">
        <v>1.06058E-2</v>
      </c>
      <c r="E8" s="4">
        <v>1.04361E-2</v>
      </c>
      <c r="F8" s="4">
        <v>9.7535E-3</v>
      </c>
      <c r="G8" s="4">
        <v>9.1403999999999999E-3</v>
      </c>
      <c r="H8" s="4">
        <v>8.5669000000000006E-3</v>
      </c>
      <c r="I8" s="4">
        <v>7.9711000000000001E-3</v>
      </c>
      <c r="J8" s="4">
        <v>7.4428000000000003E-3</v>
      </c>
      <c r="K8" s="4">
        <v>6.9601000000000003E-3</v>
      </c>
      <c r="L8" s="4">
        <v>6.5317999999999999E-3</v>
      </c>
      <c r="M8" s="4">
        <v>6.1491999999999996E-3</v>
      </c>
      <c r="N8" s="4">
        <v>5.8079999999999998E-3</v>
      </c>
      <c r="O8" s="4">
        <v>5.5024999999999996E-3</v>
      </c>
      <c r="P8" s="4">
        <v>5.2283E-3</v>
      </c>
      <c r="Q8" s="4">
        <v>4.9813000000000001E-3</v>
      </c>
      <c r="R8" s="4">
        <v>4.7580000000000001E-3</v>
      </c>
      <c r="S8" s="4">
        <v>4.5554000000000002E-3</v>
      </c>
      <c r="T8" s="4">
        <v>4.3709999999999999E-3</v>
      </c>
      <c r="U8" s="4">
        <v>4.2025999999999999E-3</v>
      </c>
      <c r="V8" s="4">
        <v>4.0480999999999998E-3</v>
      </c>
      <c r="W8" s="4">
        <v>3.9061E-3</v>
      </c>
      <c r="X8" s="4">
        <v>3.7750000000000001E-3</v>
      </c>
      <c r="Y8" s="4">
        <v>3.6537000000000002E-3</v>
      </c>
      <c r="Z8" s="4">
        <v>3.5412E-3</v>
      </c>
      <c r="AA8" s="4">
        <v>3.4364E-3</v>
      </c>
      <c r="AB8" s="4">
        <v>3.3384999999999999E-3</v>
      </c>
      <c r="AC8" s="4">
        <v>3.2468000000000002E-3</v>
      </c>
      <c r="AD8" s="4">
        <v>3.1606999999999998E-3</v>
      </c>
      <c r="AE8" s="4">
        <v>3.0796999999999999E-3</v>
      </c>
      <c r="AF8" s="4">
        <v>3.0030999999999999E-3</v>
      </c>
      <c r="AG8" s="4">
        <v>2.9307000000000001E-3</v>
      </c>
      <c r="AH8" s="4">
        <v>2.8620999999999998E-3</v>
      </c>
      <c r="AI8" s="4">
        <v>2.7969000000000002E-3</v>
      </c>
      <c r="AJ8" s="4">
        <v>2.7349000000000002E-3</v>
      </c>
      <c r="AK8" s="4">
        <v>2.6759000000000002E-3</v>
      </c>
      <c r="AL8" s="4">
        <v>2.6194999999999999E-3</v>
      </c>
      <c r="AM8" s="4">
        <v>2.5657000000000002E-3</v>
      </c>
      <c r="AN8" s="4">
        <v>2.5143000000000001E-3</v>
      </c>
      <c r="AO8" s="4">
        <v>2.4650000000000002E-3</v>
      </c>
      <c r="AP8" s="4">
        <v>2.4177000000000001E-3</v>
      </c>
      <c r="AQ8" s="4">
        <v>2.3722999999999999E-3</v>
      </c>
      <c r="AR8" s="4">
        <v>2.3287E-3</v>
      </c>
      <c r="AS8" s="4">
        <v>2.2867E-3</v>
      </c>
      <c r="AT8" s="4">
        <v>2.2461999999999998E-3</v>
      </c>
      <c r="AU8" s="4">
        <v>2.2071999999999999E-3</v>
      </c>
      <c r="AV8" s="4">
        <v>2.1695E-3</v>
      </c>
      <c r="AW8" s="4">
        <v>2.1329999999999999E-3</v>
      </c>
      <c r="AX8" s="4">
        <v>2.0977000000000001E-3</v>
      </c>
      <c r="AY8" s="4">
        <v>2.0634E-3</v>
      </c>
      <c r="AZ8" s="4">
        <v>2.0301999999999998E-3</v>
      </c>
      <c r="BA8" s="4">
        <v>1.9980000000000002E-3</v>
      </c>
      <c r="BB8" s="4">
        <v>1.9666000000000002E-3</v>
      </c>
      <c r="BC8" s="4">
        <v>1.9361000000000001E-3</v>
      </c>
      <c r="BD8" s="4">
        <v>1.9063000000000001E-3</v>
      </c>
      <c r="BE8" s="4">
        <v>1.8772999999999999E-3</v>
      </c>
      <c r="BF8" s="4">
        <v>1.8489999999999999E-3</v>
      </c>
      <c r="BG8" s="4">
        <v>1.8213000000000001E-3</v>
      </c>
      <c r="BH8" s="4">
        <v>1.7943E-3</v>
      </c>
      <c r="BI8" s="4">
        <v>1.7677999999999999E-3</v>
      </c>
      <c r="BJ8" s="4">
        <v>1.7419E-3</v>
      </c>
      <c r="BK8" s="4">
        <v>1.7166E-3</v>
      </c>
      <c r="BL8" s="4">
        <v>1.6917E-3</v>
      </c>
      <c r="BM8" s="4">
        <v>1.6673E-3</v>
      </c>
      <c r="BN8" s="4">
        <v>1.6433999999999999E-3</v>
      </c>
      <c r="BO8" s="4">
        <v>1.6199000000000001E-3</v>
      </c>
      <c r="BP8" s="4">
        <v>1.5968E-3</v>
      </c>
      <c r="BQ8" s="4">
        <v>1.5740999999999999E-3</v>
      </c>
      <c r="BR8" s="4">
        <v>1.5518000000000001E-3</v>
      </c>
      <c r="BS8" s="4">
        <v>1.5299000000000001E-3</v>
      </c>
      <c r="BT8" s="4">
        <v>1.5083E-3</v>
      </c>
      <c r="BU8" s="4">
        <v>1.4871000000000001E-3</v>
      </c>
      <c r="BV8" s="4">
        <v>1.4662E-3</v>
      </c>
      <c r="BW8" s="4">
        <v>1.4457000000000001E-3</v>
      </c>
      <c r="BX8" s="4">
        <v>1.4254000000000001E-3</v>
      </c>
      <c r="BY8" s="4">
        <v>1.4055000000000001E-3</v>
      </c>
      <c r="BZ8" s="4">
        <v>1.3858E-3</v>
      </c>
      <c r="CA8" s="4">
        <v>1.3664E-3</v>
      </c>
      <c r="CB8" s="4">
        <v>1.3473999999999999E-3</v>
      </c>
      <c r="CC8" s="4">
        <v>1.3285E-3</v>
      </c>
      <c r="CD8" s="4">
        <v>1.31E-3</v>
      </c>
      <c r="CE8" s="4">
        <v>1.2917E-3</v>
      </c>
      <c r="CF8" s="4">
        <v>1.2737E-3</v>
      </c>
      <c r="CG8" s="4">
        <v>1.2558999999999999E-3</v>
      </c>
      <c r="CH8" s="4">
        <v>1.2384E-3</v>
      </c>
      <c r="CI8" s="4">
        <v>1.2210999999999999E-3</v>
      </c>
      <c r="CJ8" s="4">
        <v>1.2041E-3</v>
      </c>
      <c r="CK8" s="4">
        <v>1.1873000000000001E-3</v>
      </c>
      <c r="CL8" s="4">
        <v>1.1707E-3</v>
      </c>
      <c r="CM8" s="4">
        <v>1.1543E-3</v>
      </c>
      <c r="CN8" s="4">
        <v>1.1382E-3</v>
      </c>
      <c r="CO8" s="4">
        <v>1.1222999999999999E-3</v>
      </c>
      <c r="CP8" s="4">
        <v>1.1065999999999999E-3</v>
      </c>
      <c r="CQ8" s="4">
        <v>1.0911E-3</v>
      </c>
      <c r="CR8" s="4">
        <v>1.0759000000000001E-3</v>
      </c>
      <c r="CS8" s="4">
        <v>1.0608E-3</v>
      </c>
      <c r="CT8" s="4">
        <v>1.0459E-3</v>
      </c>
      <c r="CU8" s="4">
        <v>1.0313E-3</v>
      </c>
      <c r="CV8" s="4">
        <v>1.0168E-3</v>
      </c>
      <c r="CW8" s="4">
        <v>1.0026E-3</v>
      </c>
      <c r="CX8" s="4">
        <v>9.8850000000000001E-4</v>
      </c>
      <c r="CY8" s="4">
        <v>9.7460000000000005E-4</v>
      </c>
      <c r="CZ8" s="4">
        <v>9.6089999999999999E-4</v>
      </c>
      <c r="DA8" s="4">
        <v>9.4740000000000004E-4</v>
      </c>
      <c r="DB8" s="4">
        <v>9.3409999999999999E-4</v>
      </c>
      <c r="DC8" s="4">
        <v>9.2100000000000005E-4</v>
      </c>
      <c r="DD8" s="4">
        <v>9.0799999999999995E-4</v>
      </c>
      <c r="DE8" s="4">
        <v>8.9519999999999997E-4</v>
      </c>
      <c r="DF8" s="4">
        <v>8.8259999999999999E-4</v>
      </c>
      <c r="DG8" s="4">
        <v>8.7020000000000001E-4</v>
      </c>
      <c r="DH8" s="4">
        <v>8.5789999999999998E-4</v>
      </c>
      <c r="DI8" s="4">
        <v>8.4579999999999996E-4</v>
      </c>
      <c r="DJ8" s="4">
        <v>8.3390000000000005E-4</v>
      </c>
      <c r="DK8" s="4">
        <v>8.2209999999999998E-4</v>
      </c>
      <c r="DL8" s="4">
        <v>8.1050000000000002E-4</v>
      </c>
      <c r="DM8" s="4">
        <v>7.9909999999999996E-4</v>
      </c>
      <c r="DN8" s="4">
        <v>7.8779999999999996E-4</v>
      </c>
      <c r="DO8" s="4">
        <v>7.7669999999999996E-4</v>
      </c>
      <c r="DP8" s="4">
        <v>7.6570000000000002E-4</v>
      </c>
      <c r="DQ8" s="4">
        <v>5.3164200000000002E-2</v>
      </c>
      <c r="DR8" s="4">
        <v>0</v>
      </c>
      <c r="DS8" s="4">
        <v>4.8199999999999999E-5</v>
      </c>
      <c r="DT8" s="4">
        <v>1.697E-4</v>
      </c>
      <c r="DU8" s="4">
        <v>6.826E-4</v>
      </c>
      <c r="DV8" s="4">
        <v>6.1309999999999999E-4</v>
      </c>
      <c r="DW8" s="4">
        <v>5.7359999999999996E-4</v>
      </c>
      <c r="DX8" s="4">
        <v>5.9579999999999995E-4</v>
      </c>
      <c r="DY8" s="4">
        <v>5.2820000000000005E-4</v>
      </c>
      <c r="DZ8" s="4">
        <v>4.8280000000000003E-4</v>
      </c>
      <c r="EA8" s="4">
        <v>4.283E-4</v>
      </c>
      <c r="EB8" s="4">
        <v>3.8259999999999998E-4</v>
      </c>
      <c r="EC8" s="4">
        <v>3.412E-4</v>
      </c>
      <c r="ED8" s="4">
        <v>3.055E-4</v>
      </c>
      <c r="EE8" s="4">
        <v>2.742E-4</v>
      </c>
      <c r="EF8" s="4">
        <v>2.4699999999999999E-4</v>
      </c>
      <c r="EG8" s="4">
        <v>2.2330000000000001E-4</v>
      </c>
      <c r="EH8" s="4">
        <v>2.0259999999999999E-4</v>
      </c>
      <c r="EI8" s="4">
        <v>1.8440000000000001E-4</v>
      </c>
      <c r="EJ8" s="4">
        <v>1.685E-4</v>
      </c>
      <c r="EK8" s="4">
        <v>1.5440000000000001E-4</v>
      </c>
      <c r="EL8" s="4">
        <v>1.4200000000000001E-4</v>
      </c>
      <c r="EM8" s="4">
        <v>1.3100000000000001E-4</v>
      </c>
      <c r="EN8" s="4">
        <v>1.2129999999999999E-4</v>
      </c>
      <c r="EO8" s="4">
        <v>1.126E-4</v>
      </c>
      <c r="EP8" s="4">
        <v>1.048E-4</v>
      </c>
      <c r="EQ8" s="4">
        <v>9.7899999999999994E-5</v>
      </c>
      <c r="ER8" s="4">
        <v>9.1700000000000006E-5</v>
      </c>
      <c r="ES8" s="4">
        <v>8.6100000000000006E-5</v>
      </c>
      <c r="ET8" s="4">
        <v>8.1100000000000006E-5</v>
      </c>
      <c r="EU8" s="4">
        <v>7.6500000000000003E-5</v>
      </c>
      <c r="EV8" s="4">
        <v>7.2399999999999998E-5</v>
      </c>
      <c r="EW8" s="4">
        <v>6.86E-5</v>
      </c>
      <c r="EX8" s="4">
        <v>6.5199999999999999E-5</v>
      </c>
      <c r="EY8" s="4">
        <v>6.2000000000000003E-5</v>
      </c>
      <c r="EZ8" s="4">
        <v>5.8999999999999998E-5</v>
      </c>
      <c r="FA8" s="4">
        <v>5.63E-5</v>
      </c>
      <c r="FB8" s="4">
        <v>5.38E-5</v>
      </c>
      <c r="FC8" s="4">
        <v>5.1499999999999998E-5</v>
      </c>
      <c r="FD8" s="4">
        <v>4.9299999999999999E-5</v>
      </c>
      <c r="FE8" s="4">
        <v>4.7299999999999998E-5</v>
      </c>
      <c r="FF8" s="4">
        <v>4.5399999999999999E-5</v>
      </c>
      <c r="FG8" s="4">
        <v>4.3600000000000003E-5</v>
      </c>
      <c r="FH8" s="4">
        <v>4.1999999999999998E-5</v>
      </c>
      <c r="FI8" s="4">
        <v>4.0500000000000002E-5</v>
      </c>
      <c r="FJ8" s="4">
        <v>3.8999999999999999E-5</v>
      </c>
      <c r="FK8" s="4">
        <v>3.7700000000000002E-5</v>
      </c>
      <c r="FL8" s="4">
        <v>3.65E-5</v>
      </c>
      <c r="FM8" s="4">
        <v>3.5299999999999997E-5</v>
      </c>
      <c r="FN8" s="4">
        <v>3.4199999999999998E-5</v>
      </c>
      <c r="FO8" s="4">
        <v>3.3200000000000001E-5</v>
      </c>
      <c r="FP8" s="4">
        <v>3.2299999999999999E-5</v>
      </c>
      <c r="FQ8" s="4">
        <v>3.1399999999999998E-5</v>
      </c>
      <c r="FR8" s="4">
        <v>3.0499999999999999E-5</v>
      </c>
      <c r="FS8" s="4">
        <v>2.9799999999999999E-5</v>
      </c>
      <c r="FT8" s="4">
        <v>2.9E-5</v>
      </c>
      <c r="FU8" s="4">
        <v>2.83E-5</v>
      </c>
      <c r="FV8" s="4">
        <v>2.7699999999999999E-5</v>
      </c>
      <c r="FW8" s="4">
        <v>2.6999999999999999E-5</v>
      </c>
      <c r="FX8" s="4">
        <v>2.65E-5</v>
      </c>
      <c r="FY8" s="4">
        <v>2.5899999999999999E-5</v>
      </c>
      <c r="FZ8" s="4">
        <v>2.5400000000000001E-5</v>
      </c>
      <c r="GA8" s="4">
        <v>2.4899999999999999E-5</v>
      </c>
      <c r="GB8" s="4">
        <v>2.44E-5</v>
      </c>
      <c r="GC8" s="4">
        <v>2.3900000000000002E-5</v>
      </c>
      <c r="GD8" s="4">
        <v>2.3499999999999999E-5</v>
      </c>
      <c r="GE8" s="4">
        <v>2.3099999999999999E-5</v>
      </c>
      <c r="GF8" s="4">
        <v>2.27E-5</v>
      </c>
      <c r="GG8" s="4">
        <v>2.23E-5</v>
      </c>
      <c r="GH8" s="4">
        <v>2.19E-5</v>
      </c>
      <c r="GI8" s="4">
        <v>2.16E-5</v>
      </c>
      <c r="GJ8" s="4">
        <v>2.12E-5</v>
      </c>
      <c r="GK8" s="4">
        <v>2.09E-5</v>
      </c>
      <c r="GL8" s="4">
        <v>2.0599999999999999E-5</v>
      </c>
      <c r="GM8" s="4">
        <v>2.0299999999999999E-5</v>
      </c>
      <c r="GN8" s="4">
        <v>1.9899999999999999E-5</v>
      </c>
      <c r="GO8" s="4">
        <v>1.9700000000000001E-5</v>
      </c>
      <c r="GP8" s="4">
        <v>1.9400000000000001E-5</v>
      </c>
      <c r="GQ8" s="4">
        <v>1.91E-5</v>
      </c>
      <c r="GR8" s="4">
        <v>1.88E-5</v>
      </c>
      <c r="GS8" s="4">
        <v>1.8499999999999999E-5</v>
      </c>
      <c r="GT8" s="4">
        <v>1.8300000000000001E-5</v>
      </c>
      <c r="GU8" s="4">
        <v>1.8E-5</v>
      </c>
      <c r="GV8" s="4">
        <v>1.7799999999999999E-5</v>
      </c>
      <c r="GW8" s="4">
        <v>1.7499999999999998E-5</v>
      </c>
      <c r="GX8" s="4">
        <v>1.73E-5</v>
      </c>
      <c r="GY8" s="4">
        <v>1.7E-5</v>
      </c>
      <c r="GZ8" s="4">
        <v>1.6799999999999998E-5</v>
      </c>
      <c r="HA8" s="4">
        <v>1.66E-5</v>
      </c>
      <c r="HB8" s="4">
        <v>1.6399999999999999E-5</v>
      </c>
      <c r="HC8" s="4">
        <v>1.6099999999999998E-5</v>
      </c>
      <c r="HD8" s="4">
        <v>1.59E-5</v>
      </c>
      <c r="HE8" s="4">
        <v>1.5699999999999999E-5</v>
      </c>
      <c r="HF8" s="4">
        <v>1.5500000000000001E-5</v>
      </c>
      <c r="HG8" s="4">
        <v>1.5299999999999999E-5</v>
      </c>
      <c r="HH8" s="4">
        <v>1.5099999999999999E-5</v>
      </c>
      <c r="HI8" s="4">
        <v>1.49E-5</v>
      </c>
      <c r="HJ8" s="4">
        <v>1.47E-5</v>
      </c>
      <c r="HK8" s="4">
        <v>1.45E-5</v>
      </c>
      <c r="HL8" s="4">
        <v>1.43E-5</v>
      </c>
      <c r="HM8" s="4">
        <v>1.4100000000000001E-5</v>
      </c>
      <c r="HN8" s="4">
        <v>1.3900000000000001E-5</v>
      </c>
      <c r="HO8" s="4">
        <v>1.3699999999999999E-5</v>
      </c>
      <c r="HP8" s="4">
        <v>1.3499999999999999E-5</v>
      </c>
      <c r="HQ8" s="4">
        <v>1.33E-5</v>
      </c>
      <c r="HR8" s="4">
        <v>1.31E-5</v>
      </c>
      <c r="HS8" s="4">
        <v>1.2999999999999999E-5</v>
      </c>
      <c r="HT8" s="4">
        <v>1.2799999999999999E-5</v>
      </c>
      <c r="HU8" s="4">
        <v>1.26E-5</v>
      </c>
      <c r="HV8" s="4">
        <v>1.24E-5</v>
      </c>
      <c r="HW8" s="4">
        <v>1.2300000000000001E-5</v>
      </c>
      <c r="HX8" s="4">
        <v>1.2099999999999999E-5</v>
      </c>
      <c r="HY8" s="4">
        <v>1.19E-5</v>
      </c>
      <c r="HZ8" s="4">
        <v>1.1800000000000001E-5</v>
      </c>
      <c r="IA8" s="4">
        <v>1.1600000000000001E-5</v>
      </c>
      <c r="IB8" s="4">
        <v>1.1399999999999999E-5</v>
      </c>
      <c r="IC8" s="4">
        <v>1.13E-5</v>
      </c>
      <c r="ID8" s="4">
        <v>1.11E-5</v>
      </c>
      <c r="IE8" s="4">
        <v>1.1E-5</v>
      </c>
      <c r="IF8" s="4">
        <v>1.08E-5</v>
      </c>
      <c r="IG8" s="4">
        <v>7.5480000000000002E-4</v>
      </c>
      <c r="IH8" s="4"/>
      <c r="II8" s="4">
        <f>(SUM(C5:DQ5)-SUM(G9:DQ9))/IL8</f>
        <v>0.11498167756396181</v>
      </c>
      <c r="IL8">
        <f>SUM(C2:DQ9)/8</f>
        <v>0.36048700000000011</v>
      </c>
      <c r="IP8" s="4">
        <f>SUM(C8:F8)</f>
        <v>4.1449399999999997E-2</v>
      </c>
      <c r="IQ8" s="4">
        <f>SUM(G8:J8)</f>
        <v>3.3121200000000003E-2</v>
      </c>
      <c r="IR8" s="4">
        <f>SUM(K8:N8)</f>
        <v>2.5449100000000002E-2</v>
      </c>
      <c r="IS8" s="4">
        <f>SUM(O8:R8)</f>
        <v>2.0470099999999998E-2</v>
      </c>
      <c r="IT8" s="4">
        <f>SUM(S8:V8)</f>
        <v>1.7177100000000001E-2</v>
      </c>
      <c r="IU8" s="4">
        <f>SUM(W8:AP8)</f>
        <v>6.0723899999999997E-2</v>
      </c>
      <c r="IV8" s="4">
        <f>SUM(AQ8:BJ8)</f>
        <v>4.0593499999999998E-2</v>
      </c>
      <c r="IW8" s="4">
        <f>SUM(BK8:CD8)</f>
        <v>3.0067800000000002E-2</v>
      </c>
      <c r="IX8" s="4">
        <f>SUM(CE8:DQ8)</f>
        <v>9.1434899999999986E-2</v>
      </c>
      <c r="IZ8" s="4"/>
      <c r="JA8" s="4">
        <f>SUM(C5:F5)-SUM(G9:J9)</f>
        <v>8.3281999999999939E-3</v>
      </c>
      <c r="JB8" s="4">
        <f>SUM(G5:J5)-SUM(K9:N9)</f>
        <v>7.6721000000000011E-3</v>
      </c>
      <c r="JC8" s="4">
        <f>SUM(K5:N5)-SUM(O9:R9)</f>
        <v>4.9790000000000043E-3</v>
      </c>
      <c r="JD8" s="4">
        <f>SUM(O5:R5)-SUM(S9:V9)</f>
        <v>3.2929999999999973E-3</v>
      </c>
      <c r="JE8" s="4">
        <f>SUM(S5:V5)-SUM(W9:Z9)</f>
        <v>2.3011000000000021E-3</v>
      </c>
      <c r="JF8" s="4">
        <f>SUM(W5:AP5)-SUM(AA9:AT9)</f>
        <v>5.6420999999999902E-3</v>
      </c>
      <c r="JG8" s="4">
        <f>SUM(AQ5:BJ5)-SUM(AU9:BN9)</f>
        <v>2.5149000000000074E-3</v>
      </c>
      <c r="JH8" s="4">
        <f>SUM(BK5:CD5)-SUM(BO9:CH9)</f>
        <v>1.6593000000000059E-3</v>
      </c>
      <c r="JI8" s="4">
        <f>SUM(CE5:DQ5)-SUM(CI9:DQ9)</f>
        <v>5.0596999999999864E-3</v>
      </c>
      <c r="JK8">
        <v>2007.75</v>
      </c>
      <c r="JL8">
        <f>100*JA8/IP8</f>
        <v>20.092450071653619</v>
      </c>
      <c r="JM8">
        <f t="shared" ref="JM8:JT8" si="245">100*JB8/IQ8</f>
        <v>23.163713875101145</v>
      </c>
      <c r="JN8">
        <f t="shared" si="245"/>
        <v>19.564542557497138</v>
      </c>
      <c r="JO8">
        <f t="shared" si="245"/>
        <v>16.086877934157613</v>
      </c>
      <c r="JP8">
        <f t="shared" si="245"/>
        <v>13.3963241757922</v>
      </c>
      <c r="JQ8">
        <f t="shared" si="245"/>
        <v>9.2913992678335724</v>
      </c>
      <c r="JR8">
        <f t="shared" si="245"/>
        <v>6.1953268380405921</v>
      </c>
      <c r="JS8">
        <f t="shared" si="245"/>
        <v>5.5185281264342771</v>
      </c>
      <c r="JT8">
        <f t="shared" si="245"/>
        <v>5.5336638417059438</v>
      </c>
      <c r="JV8" s="12">
        <f>JK8</f>
        <v>2007.75</v>
      </c>
      <c r="JW8" s="12">
        <f>JL8-JL$8</f>
        <v>0</v>
      </c>
      <c r="JX8" s="12">
        <f t="shared" ref="JX8:KE8" si="246">JM8-JM$8</f>
        <v>0</v>
      </c>
      <c r="JY8" s="12">
        <f t="shared" si="246"/>
        <v>0</v>
      </c>
      <c r="JZ8" s="12">
        <f t="shared" si="246"/>
        <v>0</v>
      </c>
      <c r="KA8" s="12">
        <f t="shared" si="246"/>
        <v>0</v>
      </c>
      <c r="KB8" s="12">
        <f t="shared" si="246"/>
        <v>0</v>
      </c>
      <c r="KC8" s="12">
        <f t="shared" si="246"/>
        <v>0</v>
      </c>
      <c r="KD8" s="12">
        <f t="shared" si="246"/>
        <v>0</v>
      </c>
      <c r="KE8" s="12">
        <f t="shared" si="246"/>
        <v>0</v>
      </c>
    </row>
    <row r="9" spans="1:291" x14ac:dyDescent="0.35">
      <c r="A9" s="1">
        <v>1</v>
      </c>
      <c r="B9" s="4">
        <v>9.2341000000000003E-3</v>
      </c>
      <c r="C9" s="4">
        <v>1.0654E-2</v>
      </c>
      <c r="D9" s="4">
        <v>1.06058E-2</v>
      </c>
      <c r="E9" s="4">
        <v>1.04361E-2</v>
      </c>
      <c r="F9" s="4">
        <v>9.7535E-3</v>
      </c>
      <c r="G9" s="4">
        <v>9.1403999999999999E-3</v>
      </c>
      <c r="H9" s="4">
        <v>8.5669000000000006E-3</v>
      </c>
      <c r="I9" s="4">
        <v>7.9711000000000001E-3</v>
      </c>
      <c r="J9" s="4">
        <v>7.4428000000000003E-3</v>
      </c>
      <c r="K9" s="4">
        <v>6.9601000000000003E-3</v>
      </c>
      <c r="L9" s="4">
        <v>6.5317999999999999E-3</v>
      </c>
      <c r="M9" s="4">
        <v>6.1491999999999996E-3</v>
      </c>
      <c r="N9" s="4">
        <v>5.8079999999999998E-3</v>
      </c>
      <c r="O9" s="4">
        <v>5.5024999999999996E-3</v>
      </c>
      <c r="P9" s="4">
        <v>5.2283E-3</v>
      </c>
      <c r="Q9" s="4">
        <v>4.9813000000000001E-3</v>
      </c>
      <c r="R9" s="4">
        <v>4.7580000000000001E-3</v>
      </c>
      <c r="S9" s="4">
        <v>4.5554000000000002E-3</v>
      </c>
      <c r="T9" s="4">
        <v>4.3709999999999999E-3</v>
      </c>
      <c r="U9" s="4">
        <v>4.2025999999999999E-3</v>
      </c>
      <c r="V9" s="4">
        <v>4.0480999999999998E-3</v>
      </c>
      <c r="W9" s="4">
        <v>3.9061E-3</v>
      </c>
      <c r="X9" s="4">
        <v>3.7750000000000001E-3</v>
      </c>
      <c r="Y9" s="4">
        <v>3.6537000000000002E-3</v>
      </c>
      <c r="Z9" s="4">
        <v>3.5412E-3</v>
      </c>
      <c r="AA9" s="4">
        <v>3.4364E-3</v>
      </c>
      <c r="AB9" s="4">
        <v>3.3384999999999999E-3</v>
      </c>
      <c r="AC9" s="4">
        <v>3.2468000000000002E-3</v>
      </c>
      <c r="AD9" s="4">
        <v>3.1606999999999998E-3</v>
      </c>
      <c r="AE9" s="4">
        <v>3.0796999999999999E-3</v>
      </c>
      <c r="AF9" s="4">
        <v>3.0030999999999999E-3</v>
      </c>
      <c r="AG9" s="4">
        <v>2.9307000000000001E-3</v>
      </c>
      <c r="AH9" s="4">
        <v>2.8620999999999998E-3</v>
      </c>
      <c r="AI9" s="4">
        <v>2.7969000000000002E-3</v>
      </c>
      <c r="AJ9" s="4">
        <v>2.7349000000000002E-3</v>
      </c>
      <c r="AK9" s="4">
        <v>2.6759000000000002E-3</v>
      </c>
      <c r="AL9" s="4">
        <v>2.6194999999999999E-3</v>
      </c>
      <c r="AM9" s="4">
        <v>2.5657000000000002E-3</v>
      </c>
      <c r="AN9" s="4">
        <v>2.5143000000000001E-3</v>
      </c>
      <c r="AO9" s="4">
        <v>2.4650000000000002E-3</v>
      </c>
      <c r="AP9" s="4">
        <v>2.4177000000000001E-3</v>
      </c>
      <c r="AQ9" s="4">
        <v>2.3722999999999999E-3</v>
      </c>
      <c r="AR9" s="4">
        <v>2.3287E-3</v>
      </c>
      <c r="AS9" s="4">
        <v>2.2867E-3</v>
      </c>
      <c r="AT9" s="4">
        <v>2.2461999999999998E-3</v>
      </c>
      <c r="AU9" s="4">
        <v>2.2071999999999999E-3</v>
      </c>
      <c r="AV9" s="4">
        <v>2.1695E-3</v>
      </c>
      <c r="AW9" s="4">
        <v>2.1329999999999999E-3</v>
      </c>
      <c r="AX9" s="4">
        <v>2.0977000000000001E-3</v>
      </c>
      <c r="AY9" s="4">
        <v>2.0634E-3</v>
      </c>
      <c r="AZ9" s="4">
        <v>2.0301999999999998E-3</v>
      </c>
      <c r="BA9" s="4">
        <v>1.9980000000000002E-3</v>
      </c>
      <c r="BB9" s="4">
        <v>1.9666000000000002E-3</v>
      </c>
      <c r="BC9" s="4">
        <v>1.9361000000000001E-3</v>
      </c>
      <c r="BD9" s="4">
        <v>1.9063000000000001E-3</v>
      </c>
      <c r="BE9" s="4">
        <v>1.8772999999999999E-3</v>
      </c>
      <c r="BF9" s="4">
        <v>1.8489999999999999E-3</v>
      </c>
      <c r="BG9" s="4">
        <v>1.8213000000000001E-3</v>
      </c>
      <c r="BH9" s="4">
        <v>1.7943E-3</v>
      </c>
      <c r="BI9" s="4">
        <v>1.7677999999999999E-3</v>
      </c>
      <c r="BJ9" s="4">
        <v>1.7419E-3</v>
      </c>
      <c r="BK9" s="4">
        <v>1.7166E-3</v>
      </c>
      <c r="BL9" s="4">
        <v>1.6917E-3</v>
      </c>
      <c r="BM9" s="4">
        <v>1.6673E-3</v>
      </c>
      <c r="BN9" s="4">
        <v>1.6433999999999999E-3</v>
      </c>
      <c r="BO9" s="4">
        <v>1.6199000000000001E-3</v>
      </c>
      <c r="BP9" s="4">
        <v>1.5968E-3</v>
      </c>
      <c r="BQ9" s="4">
        <v>1.5740999999999999E-3</v>
      </c>
      <c r="BR9" s="4">
        <v>1.5518000000000001E-3</v>
      </c>
      <c r="BS9" s="4">
        <v>1.5299000000000001E-3</v>
      </c>
      <c r="BT9" s="4">
        <v>1.5083E-3</v>
      </c>
      <c r="BU9" s="4">
        <v>1.4871000000000001E-3</v>
      </c>
      <c r="BV9" s="4">
        <v>1.4662E-3</v>
      </c>
      <c r="BW9" s="4">
        <v>1.4457000000000001E-3</v>
      </c>
      <c r="BX9" s="4">
        <v>1.4254000000000001E-3</v>
      </c>
      <c r="BY9" s="4">
        <v>1.4055000000000001E-3</v>
      </c>
      <c r="BZ9" s="4">
        <v>1.3858E-3</v>
      </c>
      <c r="CA9" s="4">
        <v>1.3664E-3</v>
      </c>
      <c r="CB9" s="4">
        <v>1.3473999999999999E-3</v>
      </c>
      <c r="CC9" s="4">
        <v>1.3285E-3</v>
      </c>
      <c r="CD9" s="4">
        <v>1.31E-3</v>
      </c>
      <c r="CE9" s="4">
        <v>1.2917E-3</v>
      </c>
      <c r="CF9" s="4">
        <v>1.2737E-3</v>
      </c>
      <c r="CG9" s="4">
        <v>1.2558999999999999E-3</v>
      </c>
      <c r="CH9" s="4">
        <v>1.2384E-3</v>
      </c>
      <c r="CI9" s="4">
        <v>1.2210999999999999E-3</v>
      </c>
      <c r="CJ9" s="4">
        <v>1.2041E-3</v>
      </c>
      <c r="CK9" s="4">
        <v>1.1873000000000001E-3</v>
      </c>
      <c r="CL9" s="4">
        <v>1.1707E-3</v>
      </c>
      <c r="CM9" s="4">
        <v>1.1543E-3</v>
      </c>
      <c r="CN9" s="4">
        <v>1.1382E-3</v>
      </c>
      <c r="CO9" s="4">
        <v>1.1222999999999999E-3</v>
      </c>
      <c r="CP9" s="4">
        <v>1.1065999999999999E-3</v>
      </c>
      <c r="CQ9" s="4">
        <v>1.0911E-3</v>
      </c>
      <c r="CR9" s="4">
        <v>1.0759000000000001E-3</v>
      </c>
      <c r="CS9" s="4">
        <v>1.0608E-3</v>
      </c>
      <c r="CT9" s="4">
        <v>1.0459E-3</v>
      </c>
      <c r="CU9" s="4">
        <v>1.0313E-3</v>
      </c>
      <c r="CV9" s="4">
        <v>1.0168E-3</v>
      </c>
      <c r="CW9" s="4">
        <v>1.0026E-3</v>
      </c>
      <c r="CX9" s="4">
        <v>9.8850000000000001E-4</v>
      </c>
      <c r="CY9" s="4">
        <v>9.7460000000000005E-4</v>
      </c>
      <c r="CZ9" s="4">
        <v>9.6089999999999999E-4</v>
      </c>
      <c r="DA9" s="4">
        <v>9.4740000000000004E-4</v>
      </c>
      <c r="DB9" s="4">
        <v>9.3409999999999999E-4</v>
      </c>
      <c r="DC9" s="4">
        <v>9.2100000000000005E-4</v>
      </c>
      <c r="DD9" s="4">
        <v>9.0799999999999995E-4</v>
      </c>
      <c r="DE9" s="4">
        <v>8.9519999999999997E-4</v>
      </c>
      <c r="DF9" s="4">
        <v>8.8259999999999999E-4</v>
      </c>
      <c r="DG9" s="4">
        <v>8.7020000000000001E-4</v>
      </c>
      <c r="DH9" s="4">
        <v>8.5789999999999998E-4</v>
      </c>
      <c r="DI9" s="4">
        <v>8.4579999999999996E-4</v>
      </c>
      <c r="DJ9" s="4">
        <v>8.3390000000000005E-4</v>
      </c>
      <c r="DK9" s="4">
        <v>8.2209999999999998E-4</v>
      </c>
      <c r="DL9" s="4">
        <v>8.1050000000000002E-4</v>
      </c>
      <c r="DM9" s="4">
        <v>7.9909999999999996E-4</v>
      </c>
      <c r="DN9" s="4">
        <v>7.8779999999999996E-4</v>
      </c>
      <c r="DO9" s="4">
        <v>7.7669999999999996E-4</v>
      </c>
      <c r="DP9" s="4">
        <v>7.6570000000000002E-4</v>
      </c>
      <c r="DQ9" s="4">
        <v>5.3164200000000002E-2</v>
      </c>
      <c r="DR9" s="4">
        <v>0</v>
      </c>
      <c r="DS9" s="4">
        <v>1.158E-4</v>
      </c>
      <c r="DT9" s="4">
        <v>3.6630000000000001E-4</v>
      </c>
      <c r="DU9" s="4">
        <v>7.0299999999999996E-4</v>
      </c>
      <c r="DV9" s="4">
        <v>6.5090000000000005E-4</v>
      </c>
      <c r="DW9" s="4">
        <v>6.2819999999999998E-4</v>
      </c>
      <c r="DX9" s="4">
        <v>6.3710000000000004E-4</v>
      </c>
      <c r="DY9" s="4">
        <v>5.6700000000000001E-4</v>
      </c>
      <c r="DZ9" s="4">
        <v>5.1320000000000001E-4</v>
      </c>
      <c r="EA9" s="4">
        <v>4.5409999999999998E-4</v>
      </c>
      <c r="EB9" s="4">
        <v>4.0339999999999999E-4</v>
      </c>
      <c r="EC9" s="4">
        <v>3.5829999999999998E-4</v>
      </c>
      <c r="ED9" s="4">
        <v>3.1940000000000001E-4</v>
      </c>
      <c r="EE9" s="4">
        <v>2.855E-4</v>
      </c>
      <c r="EF9" s="4">
        <v>2.5619999999999999E-4</v>
      </c>
      <c r="EG9" s="4">
        <v>2.308E-4</v>
      </c>
      <c r="EH9" s="4">
        <v>2.087E-4</v>
      </c>
      <c r="EI9" s="4">
        <v>1.894E-4</v>
      </c>
      <c r="EJ9" s="4">
        <v>1.7259999999999999E-4</v>
      </c>
      <c r="EK9" s="4">
        <v>1.5779999999999999E-4</v>
      </c>
      <c r="EL9" s="4">
        <v>1.448E-4</v>
      </c>
      <c r="EM9" s="4">
        <v>1.3329999999999999E-4</v>
      </c>
      <c r="EN9" s="4">
        <v>1.2320000000000001E-4</v>
      </c>
      <c r="EO9" s="4">
        <v>1.141E-4</v>
      </c>
      <c r="EP9" s="4">
        <v>1.061E-4</v>
      </c>
      <c r="EQ9" s="4">
        <v>9.8999999999999994E-5</v>
      </c>
      <c r="ER9" s="4">
        <v>9.2600000000000001E-5</v>
      </c>
      <c r="ES9" s="4">
        <v>8.6899999999999998E-5</v>
      </c>
      <c r="ET9" s="4">
        <v>8.1699999999999994E-5</v>
      </c>
      <c r="EU9" s="4">
        <v>7.7100000000000004E-5</v>
      </c>
      <c r="EV9" s="4">
        <v>7.2899999999999997E-5</v>
      </c>
      <c r="EW9" s="4">
        <v>6.8999999999999997E-5</v>
      </c>
      <c r="EX9" s="4">
        <v>6.5500000000000006E-5</v>
      </c>
      <c r="EY9" s="4">
        <v>6.2299999999999996E-5</v>
      </c>
      <c r="EZ9" s="4">
        <v>5.9299999999999998E-5</v>
      </c>
      <c r="FA9" s="4">
        <v>5.66E-5</v>
      </c>
      <c r="FB9" s="4">
        <v>5.3999999999999998E-5</v>
      </c>
      <c r="FC9" s="4">
        <v>5.1700000000000003E-5</v>
      </c>
      <c r="FD9" s="4">
        <v>4.9499999999999997E-5</v>
      </c>
      <c r="FE9" s="4">
        <v>4.74E-5</v>
      </c>
      <c r="FF9" s="4">
        <v>4.5500000000000001E-5</v>
      </c>
      <c r="FG9" s="4">
        <v>4.3800000000000001E-5</v>
      </c>
      <c r="FH9" s="4">
        <v>4.21E-5</v>
      </c>
      <c r="FI9" s="4">
        <v>4.0599999999999998E-5</v>
      </c>
      <c r="FJ9" s="4">
        <v>3.9199999999999997E-5</v>
      </c>
      <c r="FK9" s="4">
        <v>3.7799999999999997E-5</v>
      </c>
      <c r="FL9" s="4">
        <v>3.6600000000000002E-5</v>
      </c>
      <c r="FM9" s="4">
        <v>3.54E-5</v>
      </c>
      <c r="FN9" s="4">
        <v>3.43E-5</v>
      </c>
      <c r="FO9" s="4">
        <v>3.3300000000000003E-5</v>
      </c>
      <c r="FP9" s="4">
        <v>3.2400000000000001E-5</v>
      </c>
      <c r="FQ9" s="4">
        <v>3.15E-5</v>
      </c>
      <c r="FR9" s="4">
        <v>3.0599999999999998E-5</v>
      </c>
      <c r="FS9" s="4">
        <v>2.9799999999999999E-5</v>
      </c>
      <c r="FT9" s="4">
        <v>2.9099999999999999E-5</v>
      </c>
      <c r="FU9" s="4">
        <v>2.8399999999999999E-5</v>
      </c>
      <c r="FV9" s="4">
        <v>2.7699999999999999E-5</v>
      </c>
      <c r="FW9" s="4">
        <v>2.7100000000000001E-5</v>
      </c>
      <c r="FX9" s="4">
        <v>2.65E-5</v>
      </c>
      <c r="FY9" s="4">
        <v>2.5999999999999998E-5</v>
      </c>
      <c r="FZ9" s="4">
        <v>2.5400000000000001E-5</v>
      </c>
      <c r="GA9" s="4">
        <v>2.4899999999999999E-5</v>
      </c>
      <c r="GB9" s="4">
        <v>2.4499999999999999E-5</v>
      </c>
      <c r="GC9" s="4">
        <v>2.4000000000000001E-5</v>
      </c>
      <c r="GD9" s="4">
        <v>2.3600000000000001E-5</v>
      </c>
      <c r="GE9" s="4">
        <v>2.3099999999999999E-5</v>
      </c>
      <c r="GF9" s="4">
        <v>2.27E-5</v>
      </c>
      <c r="GG9" s="4">
        <v>2.2399999999999999E-5</v>
      </c>
      <c r="GH9" s="4">
        <v>2.1999999999999999E-5</v>
      </c>
      <c r="GI9" s="4">
        <v>2.16E-5</v>
      </c>
      <c r="GJ9" s="4">
        <v>2.1299999999999999E-5</v>
      </c>
      <c r="GK9" s="4">
        <v>2.09E-5</v>
      </c>
      <c r="GL9" s="4">
        <v>2.0599999999999999E-5</v>
      </c>
      <c r="GM9" s="4">
        <v>2.0299999999999999E-5</v>
      </c>
      <c r="GN9" s="4">
        <v>2.0000000000000002E-5</v>
      </c>
      <c r="GO9" s="4">
        <v>1.9700000000000001E-5</v>
      </c>
      <c r="GP9" s="4">
        <v>1.9400000000000001E-5</v>
      </c>
      <c r="GQ9" s="4">
        <v>1.91E-5</v>
      </c>
      <c r="GR9" s="4">
        <v>1.88E-5</v>
      </c>
      <c r="GS9" s="4">
        <v>1.8600000000000001E-5</v>
      </c>
      <c r="GT9" s="4">
        <v>1.8300000000000001E-5</v>
      </c>
      <c r="GU9" s="4">
        <v>1.8099999999999999E-5</v>
      </c>
      <c r="GV9" s="4">
        <v>1.7799999999999999E-5</v>
      </c>
      <c r="GW9" s="4">
        <v>1.7600000000000001E-5</v>
      </c>
      <c r="GX9" s="4">
        <v>1.73E-5</v>
      </c>
      <c r="GY9" s="4">
        <v>1.7099999999999999E-5</v>
      </c>
      <c r="GZ9" s="4">
        <v>1.6799999999999998E-5</v>
      </c>
      <c r="HA9" s="4">
        <v>1.66E-5</v>
      </c>
      <c r="HB9" s="4">
        <v>1.6399999999999999E-5</v>
      </c>
      <c r="HC9" s="4">
        <v>1.6200000000000001E-5</v>
      </c>
      <c r="HD9" s="4">
        <v>1.59E-5</v>
      </c>
      <c r="HE9" s="4">
        <v>1.5699999999999999E-5</v>
      </c>
      <c r="HF9" s="4">
        <v>1.5500000000000001E-5</v>
      </c>
      <c r="HG9" s="4">
        <v>1.5299999999999999E-5</v>
      </c>
      <c r="HH9" s="4">
        <v>1.5099999999999999E-5</v>
      </c>
      <c r="HI9" s="4">
        <v>1.49E-5</v>
      </c>
      <c r="HJ9" s="4">
        <v>1.47E-5</v>
      </c>
      <c r="HK9" s="4">
        <v>1.45E-5</v>
      </c>
      <c r="HL9" s="4">
        <v>1.43E-5</v>
      </c>
      <c r="HM9" s="4">
        <v>1.4100000000000001E-5</v>
      </c>
      <c r="HN9" s="4">
        <v>1.3900000000000001E-5</v>
      </c>
      <c r="HO9" s="4">
        <v>1.3699999999999999E-5</v>
      </c>
      <c r="HP9" s="4">
        <v>1.3499999999999999E-5</v>
      </c>
      <c r="HQ9" s="4">
        <v>1.33E-5</v>
      </c>
      <c r="HR9" s="4">
        <v>1.31E-5</v>
      </c>
      <c r="HS9" s="4">
        <v>1.2999999999999999E-5</v>
      </c>
      <c r="HT9" s="4">
        <v>1.2799999999999999E-5</v>
      </c>
      <c r="HU9" s="4">
        <v>1.26E-5</v>
      </c>
      <c r="HV9" s="4">
        <v>1.24E-5</v>
      </c>
      <c r="HW9" s="4">
        <v>1.2300000000000001E-5</v>
      </c>
      <c r="HX9" s="4">
        <v>1.2099999999999999E-5</v>
      </c>
      <c r="HY9" s="4">
        <v>1.19E-5</v>
      </c>
      <c r="HZ9" s="4">
        <v>1.1800000000000001E-5</v>
      </c>
      <c r="IA9" s="4">
        <v>1.1600000000000001E-5</v>
      </c>
      <c r="IB9" s="4">
        <v>1.1399999999999999E-5</v>
      </c>
      <c r="IC9" s="4">
        <v>1.13E-5</v>
      </c>
      <c r="ID9" s="4">
        <v>1.11E-5</v>
      </c>
      <c r="IE9" s="4">
        <v>1.1E-5</v>
      </c>
      <c r="IF9" s="4">
        <v>1.08E-5</v>
      </c>
      <c r="IG9" s="4">
        <v>7.5500000000000003E-4</v>
      </c>
      <c r="IH9" s="4"/>
      <c r="II9" s="4">
        <f t="shared" ref="II9:II51" si="247">(SUM(C6:DQ6)-SUM(G10:DQ10))/IL9</f>
        <v>0.11602736483716349</v>
      </c>
      <c r="IL9">
        <f t="shared" ref="IL9:IL63" si="248">SUM(C3:DQ10)/8</f>
        <v>0.36023053750000011</v>
      </c>
      <c r="IP9" s="4">
        <f t="shared" ref="IP9:IP65" si="249">SUM(C9:F9)</f>
        <v>4.1449399999999997E-2</v>
      </c>
      <c r="IQ9" s="4">
        <f t="shared" ref="IQ9:IQ65" si="250">SUM(G9:J9)</f>
        <v>3.3121200000000003E-2</v>
      </c>
      <c r="IR9" s="4">
        <f t="shared" ref="IR9:IR65" si="251">SUM(K9:N9)</f>
        <v>2.5449100000000002E-2</v>
      </c>
      <c r="IS9" s="4">
        <f t="shared" ref="IS9:IS65" si="252">SUM(O9:R9)</f>
        <v>2.0470099999999998E-2</v>
      </c>
      <c r="IT9" s="4">
        <f t="shared" ref="IT9:IT65" si="253">SUM(S9:V9)</f>
        <v>1.7177100000000001E-2</v>
      </c>
      <c r="IU9" s="4">
        <f t="shared" ref="IU9:IU65" si="254">SUM(W9:AP9)</f>
        <v>6.0723899999999997E-2</v>
      </c>
      <c r="IV9" s="4">
        <f t="shared" ref="IV9:IV65" si="255">SUM(AQ9:BJ9)</f>
        <v>4.0593499999999998E-2</v>
      </c>
      <c r="IW9" s="4">
        <f t="shared" ref="IW9:IW65" si="256">SUM(BK9:CD9)</f>
        <v>3.0067800000000002E-2</v>
      </c>
      <c r="IX9" s="4">
        <f t="shared" ref="IX9:IX65" si="257">SUM(CE9:DQ9)</f>
        <v>9.1434899999999986E-2</v>
      </c>
      <c r="IZ9" s="4"/>
      <c r="JA9" s="4">
        <f t="shared" ref="JA9:JA12" si="258">SUM(C6:F6)-SUM(G10:J10)</f>
        <v>8.500599999999997E-3</v>
      </c>
      <c r="JB9" s="4">
        <f t="shared" ref="JB9:JB12" si="259">SUM(G6:J6)-SUM(K10:N10)</f>
        <v>7.7664000000000066E-3</v>
      </c>
      <c r="JC9" s="4">
        <f t="shared" ref="JC9:JC47" si="260">SUM(K6:N6)-SUM(O10:R10)</f>
        <v>5.0209000000000018E-3</v>
      </c>
      <c r="JD9" s="4">
        <f t="shared" ref="JD9:JD47" si="261">SUM(O6:R6)-SUM(S10:V10)</f>
        <v>3.3115999999999979E-3</v>
      </c>
      <c r="JE9" s="4">
        <f t="shared" ref="JE9:JE47" si="262">SUM(S6:V6)-SUM(W10:Z10)</f>
        <v>2.3096000000000002E-3</v>
      </c>
      <c r="JF9" s="4">
        <f t="shared" ref="JF9:JF47" si="263">SUM(W6:AP6)-SUM(AA10:AT10)</f>
        <v>5.6505999999999987E-3</v>
      </c>
      <c r="JG9" s="4">
        <f t="shared" ref="JG9:JG47" si="264">SUM(AQ6:BJ6)-SUM(AU10:BN10)</f>
        <v>2.5168999999999955E-3</v>
      </c>
      <c r="JH9" s="4">
        <f t="shared" ref="JH9:JH47" si="265">SUM(BK6:CD6)-SUM(BO10:CH10)</f>
        <v>1.6599000000000058E-3</v>
      </c>
      <c r="JI9" s="4">
        <f t="shared" ref="JI9:JI47" si="266">SUM(CE6:DQ6)-SUM(CI10:DQ10)</f>
        <v>5.0600999999999841E-3</v>
      </c>
      <c r="JK9">
        <f>JK8+0.25</f>
        <v>2008</v>
      </c>
      <c r="JL9">
        <f t="shared" ref="JL9:JL23" si="267">100*JA9/IP9</f>
        <v>20.508378890888643</v>
      </c>
      <c r="JM9">
        <f t="shared" ref="JM9:JM23" si="268">100*JB9/IQ9</f>
        <v>23.448425781674594</v>
      </c>
      <c r="JN9">
        <f t="shared" ref="JN9:JN23" si="269">100*JC9/IR9</f>
        <v>19.729184922060117</v>
      </c>
      <c r="JO9">
        <f t="shared" ref="JO9:JO23" si="270">100*JD9/IS9</f>
        <v>16.177742170287384</v>
      </c>
      <c r="JP9">
        <f t="shared" ref="JP9:JP23" si="271">100*JE9/IT9</f>
        <v>13.445808663860607</v>
      </c>
      <c r="JQ9">
        <f t="shared" ref="JQ9:JQ23" si="272">100*JF9/IU9</f>
        <v>9.3053970512434141</v>
      </c>
      <c r="JR9">
        <f t="shared" ref="JR9:JR23" si="273">100*JG9/IV9</f>
        <v>6.2002537352039004</v>
      </c>
      <c r="JS9">
        <f t="shared" ref="JS9:JS23" si="274">100*JH9/IW9</f>
        <v>5.5205236166264431</v>
      </c>
      <c r="JT9">
        <f t="shared" ref="JT9:JT23" si="275">100*JI9/IX9</f>
        <v>5.5341013114248332</v>
      </c>
      <c r="JV9" s="12">
        <f>JV8+0.25</f>
        <v>2008</v>
      </c>
      <c r="JW9" s="12">
        <f>JL9-JL$8</f>
        <v>0.41592881923502389</v>
      </c>
      <c r="JX9" s="12">
        <f t="shared" ref="JX9:JX23" si="276">JM9-JM$8</f>
        <v>0.28471190657344891</v>
      </c>
      <c r="JY9" s="12">
        <f t="shared" ref="JY9:JY23" si="277">JN9-JN$8</f>
        <v>0.16464236456297954</v>
      </c>
      <c r="JZ9" s="12">
        <f t="shared" ref="JZ9:JZ23" si="278">JO9-JO$8</f>
        <v>9.0864236129771569E-2</v>
      </c>
      <c r="KA9" s="12">
        <f t="shared" ref="KA9:KA23" si="279">JP9-JP$8</f>
        <v>4.9484488068406662E-2</v>
      </c>
      <c r="KB9" s="12">
        <f t="shared" ref="KB9:KB23" si="280">JQ9-JQ$8</f>
        <v>1.3997783409841702E-2</v>
      </c>
      <c r="KC9" s="12">
        <f t="shared" ref="KC9:KC23" si="281">JR9-JR$8</f>
        <v>4.926897163308297E-3</v>
      </c>
      <c r="KD9" s="12">
        <f t="shared" ref="KD9:KD23" si="282">JS9-JS$8</f>
        <v>1.9954901921659385E-3</v>
      </c>
      <c r="KE9" s="12">
        <f t="shared" ref="KE9:KE23" si="283">JT9-JT$8</f>
        <v>4.3746971888936059E-4</v>
      </c>
    </row>
    <row r="10" spans="1:291" x14ac:dyDescent="0.35">
      <c r="A10" s="1">
        <v>2</v>
      </c>
      <c r="B10" s="4">
        <v>9.8733999999999992E-3</v>
      </c>
      <c r="C10" s="4">
        <v>9.2341000000000003E-3</v>
      </c>
      <c r="D10" s="4">
        <v>1.0538199999999999E-2</v>
      </c>
      <c r="E10" s="4">
        <v>1.02395E-2</v>
      </c>
      <c r="F10" s="4">
        <v>9.7330999999999997E-3</v>
      </c>
      <c r="G10" s="4">
        <v>9.1027E-3</v>
      </c>
      <c r="H10" s="4">
        <v>8.5121999999999993E-3</v>
      </c>
      <c r="I10" s="4">
        <v>7.9298000000000007E-3</v>
      </c>
      <c r="J10" s="4">
        <v>7.4041000000000003E-3</v>
      </c>
      <c r="K10" s="4">
        <v>6.9296000000000002E-3</v>
      </c>
      <c r="L10" s="4">
        <v>6.5059000000000002E-3</v>
      </c>
      <c r="M10" s="4">
        <v>6.1284E-3</v>
      </c>
      <c r="N10" s="4">
        <v>5.7908999999999999E-3</v>
      </c>
      <c r="O10" s="4">
        <v>5.4885999999999997E-3</v>
      </c>
      <c r="P10" s="4">
        <v>5.2170000000000003E-3</v>
      </c>
      <c r="Q10" s="4">
        <v>4.9721000000000001E-3</v>
      </c>
      <c r="R10" s="4">
        <v>4.7505000000000004E-3</v>
      </c>
      <c r="S10" s="4">
        <v>4.5493E-3</v>
      </c>
      <c r="T10" s="4">
        <v>4.3660000000000001E-3</v>
      </c>
      <c r="U10" s="4">
        <v>4.1985E-3</v>
      </c>
      <c r="V10" s="4">
        <v>4.0447E-3</v>
      </c>
      <c r="W10" s="4">
        <v>3.9033000000000002E-3</v>
      </c>
      <c r="X10" s="4">
        <v>3.7726999999999999E-3</v>
      </c>
      <c r="Y10" s="4">
        <v>3.6519E-3</v>
      </c>
      <c r="Z10" s="4">
        <v>3.5396E-3</v>
      </c>
      <c r="AA10" s="4">
        <v>3.4351E-3</v>
      </c>
      <c r="AB10" s="4">
        <v>3.3373999999999999E-3</v>
      </c>
      <c r="AC10" s="4">
        <v>3.2458999999999999E-3</v>
      </c>
      <c r="AD10" s="4">
        <v>3.16E-3</v>
      </c>
      <c r="AE10" s="4">
        <v>3.0790000000000001E-3</v>
      </c>
      <c r="AF10" s="4">
        <v>3.0025999999999998E-3</v>
      </c>
      <c r="AG10" s="4">
        <v>2.9302E-3</v>
      </c>
      <c r="AH10" s="4">
        <v>2.8617E-3</v>
      </c>
      <c r="AI10" s="4">
        <v>2.7966000000000002E-3</v>
      </c>
      <c r="AJ10" s="4">
        <v>2.7345999999999998E-3</v>
      </c>
      <c r="AK10" s="4">
        <v>2.6756000000000002E-3</v>
      </c>
      <c r="AL10" s="4">
        <v>2.6193000000000002E-3</v>
      </c>
      <c r="AM10" s="4">
        <v>2.5655000000000001E-3</v>
      </c>
      <c r="AN10" s="4">
        <v>2.5141E-3</v>
      </c>
      <c r="AO10" s="4">
        <v>2.4648000000000001E-3</v>
      </c>
      <c r="AP10" s="4">
        <v>2.4174999999999999E-3</v>
      </c>
      <c r="AQ10" s="4">
        <v>2.3722000000000001E-3</v>
      </c>
      <c r="AR10" s="4">
        <v>2.3284999999999998E-3</v>
      </c>
      <c r="AS10" s="4">
        <v>2.2866000000000002E-3</v>
      </c>
      <c r="AT10" s="4">
        <v>2.2461E-3</v>
      </c>
      <c r="AU10" s="4">
        <v>2.2071E-3</v>
      </c>
      <c r="AV10" s="4">
        <v>2.1692999999999999E-3</v>
      </c>
      <c r="AW10" s="4">
        <v>2.1329000000000001E-3</v>
      </c>
      <c r="AX10" s="4">
        <v>2.0975999999999998E-3</v>
      </c>
      <c r="AY10" s="4">
        <v>2.0633000000000001E-3</v>
      </c>
      <c r="AZ10" s="4">
        <v>2.0301E-3</v>
      </c>
      <c r="BA10" s="4">
        <v>1.9978999999999999E-3</v>
      </c>
      <c r="BB10" s="4">
        <v>1.9664999999999999E-3</v>
      </c>
      <c r="BC10" s="4">
        <v>1.936E-3</v>
      </c>
      <c r="BD10" s="4">
        <v>1.9062E-3</v>
      </c>
      <c r="BE10" s="4">
        <v>1.8772000000000001E-3</v>
      </c>
      <c r="BF10" s="4">
        <v>1.8488999999999999E-3</v>
      </c>
      <c r="BG10" s="4">
        <v>1.8212E-3</v>
      </c>
      <c r="BH10" s="4">
        <v>1.7941999999999999E-3</v>
      </c>
      <c r="BI10" s="4">
        <v>1.7677000000000001E-3</v>
      </c>
      <c r="BJ10" s="4">
        <v>1.7419E-3</v>
      </c>
      <c r="BK10" s="4">
        <v>1.7164999999999999E-3</v>
      </c>
      <c r="BL10" s="4">
        <v>1.6915999999999999E-3</v>
      </c>
      <c r="BM10" s="4">
        <v>1.6672E-3</v>
      </c>
      <c r="BN10" s="4">
        <v>1.6433000000000001E-3</v>
      </c>
      <c r="BO10" s="4">
        <v>1.6198E-3</v>
      </c>
      <c r="BP10" s="4">
        <v>1.5966999999999999E-3</v>
      </c>
      <c r="BQ10" s="4">
        <v>1.5740999999999999E-3</v>
      </c>
      <c r="BR10" s="4">
        <v>1.5518000000000001E-3</v>
      </c>
      <c r="BS10" s="4">
        <v>1.5298E-3</v>
      </c>
      <c r="BT10" s="4">
        <v>1.5083E-3</v>
      </c>
      <c r="BU10" s="4">
        <v>1.4871000000000001E-3</v>
      </c>
      <c r="BV10" s="4">
        <v>1.4662E-3</v>
      </c>
      <c r="BW10" s="4">
        <v>1.4456E-3</v>
      </c>
      <c r="BX10" s="4">
        <v>1.4254000000000001E-3</v>
      </c>
      <c r="BY10" s="4">
        <v>1.4054E-3</v>
      </c>
      <c r="BZ10" s="4">
        <v>1.3858E-3</v>
      </c>
      <c r="CA10" s="4">
        <v>1.3664E-3</v>
      </c>
      <c r="CB10" s="4">
        <v>1.3473000000000001E-3</v>
      </c>
      <c r="CC10" s="4">
        <v>1.3285E-3</v>
      </c>
      <c r="CD10" s="4">
        <v>1.31E-3</v>
      </c>
      <c r="CE10" s="4">
        <v>1.2917E-3</v>
      </c>
      <c r="CF10" s="4">
        <v>1.2737E-3</v>
      </c>
      <c r="CG10" s="4">
        <v>1.2558999999999999E-3</v>
      </c>
      <c r="CH10" s="4">
        <v>1.2384E-3</v>
      </c>
      <c r="CI10" s="4">
        <v>1.2210999999999999E-3</v>
      </c>
      <c r="CJ10" s="4">
        <v>1.2041E-3</v>
      </c>
      <c r="CK10" s="4">
        <v>1.1873000000000001E-3</v>
      </c>
      <c r="CL10" s="4">
        <v>1.1707E-3</v>
      </c>
      <c r="CM10" s="4">
        <v>1.1543E-3</v>
      </c>
      <c r="CN10" s="4">
        <v>1.1382E-3</v>
      </c>
      <c r="CO10" s="4">
        <v>1.1222999999999999E-3</v>
      </c>
      <c r="CP10" s="4">
        <v>1.1065999999999999E-3</v>
      </c>
      <c r="CQ10" s="4">
        <v>1.0911E-3</v>
      </c>
      <c r="CR10" s="4">
        <v>1.0758E-3</v>
      </c>
      <c r="CS10" s="4">
        <v>1.0608E-3</v>
      </c>
      <c r="CT10" s="4">
        <v>1.0459E-3</v>
      </c>
      <c r="CU10" s="4">
        <v>1.0313E-3</v>
      </c>
      <c r="CV10" s="4">
        <v>1.0168E-3</v>
      </c>
      <c r="CW10" s="4">
        <v>1.0024999999999999E-3</v>
      </c>
      <c r="CX10" s="4">
        <v>9.8850000000000001E-4</v>
      </c>
      <c r="CY10" s="4">
        <v>9.7460000000000005E-4</v>
      </c>
      <c r="CZ10" s="4">
        <v>9.6089999999999999E-4</v>
      </c>
      <c r="DA10" s="4">
        <v>9.4740000000000004E-4</v>
      </c>
      <c r="DB10" s="4">
        <v>9.3409999999999999E-4</v>
      </c>
      <c r="DC10" s="4">
        <v>9.209E-4</v>
      </c>
      <c r="DD10" s="4">
        <v>9.0799999999999995E-4</v>
      </c>
      <c r="DE10" s="4">
        <v>8.9519999999999997E-4</v>
      </c>
      <c r="DF10" s="4">
        <v>8.8259999999999999E-4</v>
      </c>
      <c r="DG10" s="4">
        <v>8.7020000000000001E-4</v>
      </c>
      <c r="DH10" s="4">
        <v>8.5789999999999998E-4</v>
      </c>
      <c r="DI10" s="4">
        <v>8.4579999999999996E-4</v>
      </c>
      <c r="DJ10" s="4">
        <v>8.3390000000000005E-4</v>
      </c>
      <c r="DK10" s="4">
        <v>8.2209999999999998E-4</v>
      </c>
      <c r="DL10" s="4">
        <v>8.1050000000000002E-4</v>
      </c>
      <c r="DM10" s="4">
        <v>7.9909999999999996E-4</v>
      </c>
      <c r="DN10" s="4">
        <v>7.8779999999999996E-4</v>
      </c>
      <c r="DO10" s="4">
        <v>7.7669999999999996E-4</v>
      </c>
      <c r="DP10" s="4">
        <v>7.6570000000000002E-4</v>
      </c>
      <c r="DQ10" s="4">
        <v>5.3164099999999999E-2</v>
      </c>
      <c r="DR10" s="4">
        <v>0</v>
      </c>
      <c r="DS10" s="4">
        <v>9.9599999999999995E-5</v>
      </c>
      <c r="DT10" s="4">
        <v>4.2959999999999998E-4</v>
      </c>
      <c r="DU10" s="4">
        <v>6.7730000000000004E-4</v>
      </c>
      <c r="DV10" s="4">
        <v>7.9639999999999995E-4</v>
      </c>
      <c r="DW10" s="4">
        <v>8.1119999999999999E-4</v>
      </c>
      <c r="DX10" s="4">
        <v>8.1209999999999995E-4</v>
      </c>
      <c r="DY10" s="4">
        <v>7.3379999999999995E-4</v>
      </c>
      <c r="DZ10" s="4">
        <v>6.6109999999999997E-4</v>
      </c>
      <c r="EA10" s="4">
        <v>5.8640000000000005E-4</v>
      </c>
      <c r="EB10" s="4">
        <v>5.2119999999999998E-4</v>
      </c>
      <c r="EC10" s="4">
        <v>4.6309999999999998E-4</v>
      </c>
      <c r="ED10" s="4">
        <v>4.124E-4</v>
      </c>
      <c r="EE10" s="4">
        <v>3.68E-4</v>
      </c>
      <c r="EF10" s="4">
        <v>3.2919999999999998E-4</v>
      </c>
      <c r="EG10" s="4">
        <v>2.9520000000000002E-4</v>
      </c>
      <c r="EH10" s="4">
        <v>2.655E-4</v>
      </c>
      <c r="EI10" s="4">
        <v>2.3929999999999999E-4</v>
      </c>
      <c r="EJ10" s="4">
        <v>2.163E-4</v>
      </c>
      <c r="EK10" s="4">
        <v>1.9589999999999999E-4</v>
      </c>
      <c r="EL10" s="4">
        <v>1.7780000000000001E-4</v>
      </c>
      <c r="EM10" s="4">
        <v>1.618E-4</v>
      </c>
      <c r="EN10" s="4">
        <v>1.4750000000000001E-4</v>
      </c>
      <c r="EO10" s="4">
        <v>1.348E-4</v>
      </c>
      <c r="EP10" s="4">
        <v>1.2349999999999999E-4</v>
      </c>
      <c r="EQ10" s="4">
        <v>1.1340000000000001E-4</v>
      </c>
      <c r="ER10" s="4">
        <v>1.044E-4</v>
      </c>
      <c r="ES10" s="4">
        <v>9.6299999999999996E-5</v>
      </c>
      <c r="ET10" s="4">
        <v>8.8999999999999995E-5</v>
      </c>
      <c r="EU10" s="4">
        <v>8.2399999999999997E-5</v>
      </c>
      <c r="EV10" s="4">
        <v>7.6500000000000003E-5</v>
      </c>
      <c r="EW10" s="4">
        <v>7.1199999999999996E-5</v>
      </c>
      <c r="EX10" s="4">
        <v>6.6299999999999999E-5</v>
      </c>
      <c r="EY10" s="4">
        <v>6.19E-5</v>
      </c>
      <c r="EZ10" s="4">
        <v>5.7899999999999998E-5</v>
      </c>
      <c r="FA10" s="4">
        <v>5.4299999999999998E-5</v>
      </c>
      <c r="FB10" s="4">
        <v>5.1E-5</v>
      </c>
      <c r="FC10" s="4">
        <v>4.8000000000000001E-5</v>
      </c>
      <c r="FD10" s="4">
        <v>4.5200000000000001E-5</v>
      </c>
      <c r="FE10" s="4">
        <v>4.2700000000000001E-5</v>
      </c>
      <c r="FF10" s="4">
        <v>4.0500000000000002E-5</v>
      </c>
      <c r="FG10" s="4">
        <v>3.8500000000000001E-5</v>
      </c>
      <c r="FH10" s="4">
        <v>3.6600000000000002E-5</v>
      </c>
      <c r="FI10" s="4">
        <v>3.4900000000000001E-5</v>
      </c>
      <c r="FJ10" s="4">
        <v>3.3399999999999999E-5</v>
      </c>
      <c r="FK10" s="4">
        <v>3.1999999999999999E-5</v>
      </c>
      <c r="FL10" s="4">
        <v>3.0800000000000003E-5</v>
      </c>
      <c r="FM10" s="4">
        <v>2.9600000000000001E-5</v>
      </c>
      <c r="FN10" s="4">
        <v>2.8600000000000001E-5</v>
      </c>
      <c r="FO10" s="4">
        <v>2.7699999999999999E-5</v>
      </c>
      <c r="FP10" s="4">
        <v>2.6800000000000001E-5</v>
      </c>
      <c r="FQ10" s="4">
        <v>2.5999999999999998E-5</v>
      </c>
      <c r="FR10" s="4">
        <v>2.5299999999999998E-5</v>
      </c>
      <c r="FS10" s="4">
        <v>2.4600000000000002E-5</v>
      </c>
      <c r="FT10" s="4">
        <v>2.4000000000000001E-5</v>
      </c>
      <c r="FU10" s="4">
        <v>2.34E-5</v>
      </c>
      <c r="FV10" s="4">
        <v>2.2900000000000001E-5</v>
      </c>
      <c r="FW10" s="4">
        <v>2.2399999999999999E-5</v>
      </c>
      <c r="FX10" s="4">
        <v>2.19E-5</v>
      </c>
      <c r="FY10" s="4">
        <v>2.1399999999999998E-5</v>
      </c>
      <c r="FZ10" s="4">
        <v>2.0999999999999999E-5</v>
      </c>
      <c r="GA10" s="4">
        <v>2.0599999999999999E-5</v>
      </c>
      <c r="GB10" s="4">
        <v>2.02E-5</v>
      </c>
      <c r="GC10" s="4">
        <v>1.98E-5</v>
      </c>
      <c r="GD10" s="4">
        <v>1.9400000000000001E-5</v>
      </c>
      <c r="GE10" s="4">
        <v>1.9000000000000001E-5</v>
      </c>
      <c r="GF10" s="4">
        <v>1.8600000000000001E-5</v>
      </c>
      <c r="GG10" s="4">
        <v>1.8300000000000001E-5</v>
      </c>
      <c r="GH10" s="4">
        <v>1.7900000000000001E-5</v>
      </c>
      <c r="GI10" s="4">
        <v>1.7499999999999998E-5</v>
      </c>
      <c r="GJ10" s="4">
        <v>1.7200000000000001E-5</v>
      </c>
      <c r="GK10" s="4">
        <v>1.6799999999999998E-5</v>
      </c>
      <c r="GL10" s="4">
        <v>1.6500000000000001E-5</v>
      </c>
      <c r="GM10" s="4">
        <v>1.6099999999999998E-5</v>
      </c>
      <c r="GN10" s="4">
        <v>1.5800000000000001E-5</v>
      </c>
      <c r="GO10" s="4">
        <v>1.5400000000000002E-5</v>
      </c>
      <c r="GP10" s="4">
        <v>1.5099999999999999E-5</v>
      </c>
      <c r="GQ10" s="4">
        <v>1.4800000000000001E-5</v>
      </c>
      <c r="GR10" s="4">
        <v>1.4399999999999999E-5</v>
      </c>
      <c r="GS10" s="4">
        <v>1.4100000000000001E-5</v>
      </c>
      <c r="GT10" s="4">
        <v>1.38E-5</v>
      </c>
      <c r="GU10" s="4">
        <v>1.34E-5</v>
      </c>
      <c r="GV10" s="4">
        <v>1.31E-5</v>
      </c>
      <c r="GW10" s="4">
        <v>1.2799999999999999E-5</v>
      </c>
      <c r="GX10" s="4">
        <v>1.2500000000000001E-5</v>
      </c>
      <c r="GY10" s="4">
        <v>1.2099999999999999E-5</v>
      </c>
      <c r="GZ10" s="4">
        <v>1.1800000000000001E-5</v>
      </c>
      <c r="HA10" s="4">
        <v>1.15E-5</v>
      </c>
      <c r="HB10" s="4">
        <v>1.1199999999999999E-5</v>
      </c>
      <c r="HC10" s="4">
        <v>1.0900000000000001E-5</v>
      </c>
      <c r="HD10" s="4">
        <v>1.06E-5</v>
      </c>
      <c r="HE10" s="4">
        <v>1.03E-5</v>
      </c>
      <c r="HF10" s="4">
        <v>1.01E-5</v>
      </c>
      <c r="HG10" s="4">
        <v>9.7999999999999993E-6</v>
      </c>
      <c r="HH10" s="4">
        <v>9.5000000000000005E-6</v>
      </c>
      <c r="HI10" s="4">
        <v>9.2E-6</v>
      </c>
      <c r="HJ10" s="4">
        <v>9.0000000000000002E-6</v>
      </c>
      <c r="HK10" s="4">
        <v>8.6999999999999997E-6</v>
      </c>
      <c r="HL10" s="4">
        <v>8.3999999999999992E-6</v>
      </c>
      <c r="HM10" s="4">
        <v>8.1999999999999994E-6</v>
      </c>
      <c r="HN10" s="4">
        <v>7.9999999999999996E-6</v>
      </c>
      <c r="HO10" s="4">
        <v>7.7000000000000008E-6</v>
      </c>
      <c r="HP10" s="4">
        <v>7.5000000000000002E-6</v>
      </c>
      <c r="HQ10" s="4">
        <v>7.1999999999999997E-6</v>
      </c>
      <c r="HR10" s="4">
        <v>6.9999999999999999E-6</v>
      </c>
      <c r="HS10" s="4">
        <v>6.8000000000000001E-6</v>
      </c>
      <c r="HT10" s="4">
        <v>6.6000000000000003E-6</v>
      </c>
      <c r="HU10" s="4">
        <v>6.3999999999999997E-6</v>
      </c>
      <c r="HV10" s="4">
        <v>6.1999999999999999E-6</v>
      </c>
      <c r="HW10" s="4">
        <v>6.0000000000000002E-6</v>
      </c>
      <c r="HX10" s="4">
        <v>5.8000000000000004E-6</v>
      </c>
      <c r="HY10" s="4">
        <v>5.5999999999999997E-6</v>
      </c>
      <c r="HZ10" s="4">
        <v>5.4E-6</v>
      </c>
      <c r="IA10" s="4">
        <v>5.2000000000000002E-6</v>
      </c>
      <c r="IB10" s="4">
        <v>5.1000000000000003E-6</v>
      </c>
      <c r="IC10" s="4">
        <v>4.8999999999999997E-6</v>
      </c>
      <c r="ID10" s="4">
        <v>4.6999999999999999E-6</v>
      </c>
      <c r="IE10" s="4">
        <v>4.6E-6</v>
      </c>
      <c r="IF10" s="4">
        <v>4.4000000000000002E-6</v>
      </c>
      <c r="IG10" s="4">
        <v>1.5330000000000001E-4</v>
      </c>
      <c r="IH10" s="4"/>
      <c r="II10" s="4">
        <f t="shared" si="247"/>
        <v>0.1194973152074849</v>
      </c>
      <c r="IL10">
        <f t="shared" si="248"/>
        <v>0.3596926000000002</v>
      </c>
      <c r="IP10" s="4">
        <f t="shared" si="249"/>
        <v>3.97449E-2</v>
      </c>
      <c r="IQ10" s="4">
        <f t="shared" si="250"/>
        <v>3.29488E-2</v>
      </c>
      <c r="IR10" s="4">
        <f t="shared" si="251"/>
        <v>2.5354799999999997E-2</v>
      </c>
      <c r="IS10" s="4">
        <f t="shared" si="252"/>
        <v>2.0428200000000001E-2</v>
      </c>
      <c r="IT10" s="4">
        <f t="shared" si="253"/>
        <v>1.71585E-2</v>
      </c>
      <c r="IU10" s="4">
        <f t="shared" si="254"/>
        <v>6.0707400000000009E-2</v>
      </c>
      <c r="IV10" s="4">
        <f t="shared" si="255"/>
        <v>4.05914E-2</v>
      </c>
      <c r="IW10" s="4">
        <f t="shared" si="256"/>
        <v>3.0066800000000001E-2</v>
      </c>
      <c r="IX10" s="4">
        <f t="shared" si="257"/>
        <v>9.1434499999999988E-2</v>
      </c>
      <c r="IZ10" s="4"/>
      <c r="JA10" s="4">
        <f t="shared" si="258"/>
        <v>9.3251999999999988E-3</v>
      </c>
      <c r="JB10" s="4">
        <f t="shared" si="259"/>
        <v>8.3850000000000036E-3</v>
      </c>
      <c r="JC10" s="4">
        <f t="shared" si="260"/>
        <v>5.3853000000000026E-3</v>
      </c>
      <c r="JD10" s="4">
        <f t="shared" si="261"/>
        <v>3.5228999999999989E-3</v>
      </c>
      <c r="JE10" s="4">
        <f t="shared" si="262"/>
        <v>2.4265000000000016E-3</v>
      </c>
      <c r="JF10" s="4">
        <f t="shared" si="263"/>
        <v>5.6912999999999894E-3</v>
      </c>
      <c r="JG10" s="4">
        <f t="shared" si="264"/>
        <v>2.416599999999991E-3</v>
      </c>
      <c r="JH10" s="4">
        <f t="shared" si="265"/>
        <v>1.5750999999999994E-3</v>
      </c>
      <c r="JI10" s="4">
        <f t="shared" si="266"/>
        <v>4.2543999999999915E-3</v>
      </c>
      <c r="JK10">
        <f t="shared" ref="JK10:JK27" si="284">JK9+0.25</f>
        <v>2008.25</v>
      </c>
      <c r="JL10">
        <f t="shared" si="267"/>
        <v>23.462632941584957</v>
      </c>
      <c r="JM10">
        <f t="shared" si="268"/>
        <v>25.448574758413063</v>
      </c>
      <c r="JN10">
        <f t="shared" si="269"/>
        <v>21.239765251550015</v>
      </c>
      <c r="JO10">
        <f t="shared" si="270"/>
        <v>17.245278585484765</v>
      </c>
      <c r="JP10">
        <f t="shared" si="271"/>
        <v>14.141679051199123</v>
      </c>
      <c r="JQ10">
        <f t="shared" si="272"/>
        <v>9.3749691141442195</v>
      </c>
      <c r="JR10">
        <f t="shared" si="273"/>
        <v>5.9534778302792981</v>
      </c>
      <c r="JS10">
        <f t="shared" si="274"/>
        <v>5.2386685646626816</v>
      </c>
      <c r="JT10">
        <f t="shared" si="275"/>
        <v>4.6529482853846114</v>
      </c>
      <c r="JV10" s="12">
        <f t="shared" ref="JV10:JV27" si="285">JV9+0.25</f>
        <v>2008.25</v>
      </c>
      <c r="JW10" s="12">
        <f t="shared" ref="JW10:JW22" si="286">JL10-JL$8</f>
        <v>3.3701828699313374</v>
      </c>
      <c r="JX10" s="12">
        <f t="shared" si="276"/>
        <v>2.2848608833119179</v>
      </c>
      <c r="JY10" s="12">
        <f t="shared" si="277"/>
        <v>1.6752226940528772</v>
      </c>
      <c r="JZ10" s="12">
        <f t="shared" si="278"/>
        <v>1.1584006513271525</v>
      </c>
      <c r="KA10" s="12">
        <f t="shared" si="279"/>
        <v>0.7453548754069228</v>
      </c>
      <c r="KB10" s="12">
        <f t="shared" si="280"/>
        <v>8.3569846310647122E-2</v>
      </c>
      <c r="KC10" s="12">
        <f t="shared" si="281"/>
        <v>-0.24184900776129403</v>
      </c>
      <c r="KD10" s="12">
        <f t="shared" si="282"/>
        <v>-0.27985956177159554</v>
      </c>
      <c r="KE10" s="12">
        <f t="shared" si="283"/>
        <v>-0.88071555632133247</v>
      </c>
    </row>
    <row r="11" spans="1:291" x14ac:dyDescent="0.35">
      <c r="A11" s="1">
        <v>3</v>
      </c>
      <c r="B11" s="4">
        <v>9.8733999999999992E-3</v>
      </c>
      <c r="C11" s="4">
        <v>9.8733999999999992E-3</v>
      </c>
      <c r="D11" s="4">
        <v>9.1345999999999997E-3</v>
      </c>
      <c r="E11" s="4">
        <v>1.0108600000000001E-2</v>
      </c>
      <c r="F11" s="4">
        <v>9.5621999999999999E-3</v>
      </c>
      <c r="G11" s="4">
        <v>8.9367000000000005E-3</v>
      </c>
      <c r="H11" s="4">
        <v>8.2915000000000003E-3</v>
      </c>
      <c r="I11" s="4">
        <v>7.7000999999999997E-3</v>
      </c>
      <c r="J11" s="4">
        <v>7.1958999999999999E-3</v>
      </c>
      <c r="K11" s="4">
        <v>6.7429999999999999E-3</v>
      </c>
      <c r="L11" s="4">
        <v>6.3432000000000002E-3</v>
      </c>
      <c r="M11" s="4">
        <v>5.9846999999999999E-3</v>
      </c>
      <c r="N11" s="4">
        <v>5.6652999999999998E-3</v>
      </c>
      <c r="O11" s="4">
        <v>5.3784999999999996E-3</v>
      </c>
      <c r="P11" s="4">
        <v>5.1206999999999997E-3</v>
      </c>
      <c r="Q11" s="4">
        <v>4.8878000000000003E-3</v>
      </c>
      <c r="R11" s="4">
        <v>4.6768000000000001E-3</v>
      </c>
      <c r="S11" s="4">
        <v>4.4850000000000003E-3</v>
      </c>
      <c r="T11" s="4">
        <v>4.3099999999999996E-3</v>
      </c>
      <c r="U11" s="4">
        <v>4.1497000000000001E-3</v>
      </c>
      <c r="V11" s="4">
        <v>4.0025E-3</v>
      </c>
      <c r="W11" s="4">
        <v>3.8668999999999999E-3</v>
      </c>
      <c r="X11" s="4">
        <v>3.7415E-3</v>
      </c>
      <c r="Y11" s="4">
        <v>3.6251999999999999E-3</v>
      </c>
      <c r="Z11" s="4">
        <v>3.5170000000000002E-3</v>
      </c>
      <c r="AA11" s="4">
        <v>3.4161E-3</v>
      </c>
      <c r="AB11" s="4">
        <v>3.3216999999999999E-3</v>
      </c>
      <c r="AC11" s="4">
        <v>3.2330000000000002E-3</v>
      </c>
      <c r="AD11" s="4">
        <v>3.1495999999999998E-3</v>
      </c>
      <c r="AE11" s="4">
        <v>3.0709999999999999E-3</v>
      </c>
      <c r="AF11" s="4">
        <v>2.9965999999999999E-3</v>
      </c>
      <c r="AG11" s="4">
        <v>2.9261000000000001E-3</v>
      </c>
      <c r="AH11" s="4">
        <v>2.8590999999999998E-3</v>
      </c>
      <c r="AI11" s="4">
        <v>2.7954E-3</v>
      </c>
      <c r="AJ11" s="4">
        <v>2.7347000000000001E-3</v>
      </c>
      <c r="AK11" s="4">
        <v>2.6767000000000002E-3</v>
      </c>
      <c r="AL11" s="4">
        <v>2.6213999999999999E-3</v>
      </c>
      <c r="AM11" s="4">
        <v>2.5684000000000002E-3</v>
      </c>
      <c r="AN11" s="4">
        <v>2.5176E-3</v>
      </c>
      <c r="AO11" s="4">
        <v>2.4689E-3</v>
      </c>
      <c r="AP11" s="4">
        <v>2.4220999999999999E-3</v>
      </c>
      <c r="AQ11" s="4">
        <v>2.3770000000000002E-3</v>
      </c>
      <c r="AR11" s="4">
        <v>2.3337000000000002E-3</v>
      </c>
      <c r="AS11" s="4">
        <v>2.2918999999999999E-3</v>
      </c>
      <c r="AT11" s="4">
        <v>2.2515999999999999E-3</v>
      </c>
      <c r="AU11" s="4">
        <v>2.2127000000000002E-3</v>
      </c>
      <c r="AV11" s="4">
        <v>2.1749999999999999E-3</v>
      </c>
      <c r="AW11" s="4">
        <v>2.1386E-3</v>
      </c>
      <c r="AX11" s="4">
        <v>2.1031999999999999E-3</v>
      </c>
      <c r="AY11" s="4">
        <v>2.0690000000000001E-3</v>
      </c>
      <c r="AZ11" s="4">
        <v>2.0357000000000001E-3</v>
      </c>
      <c r="BA11" s="4">
        <v>2.0033E-3</v>
      </c>
      <c r="BB11" s="4">
        <v>1.9719E-3</v>
      </c>
      <c r="BC11" s="4">
        <v>1.9411999999999999E-3</v>
      </c>
      <c r="BD11" s="4">
        <v>1.9113000000000001E-3</v>
      </c>
      <c r="BE11" s="4">
        <v>1.8822000000000001E-3</v>
      </c>
      <c r="BF11" s="4">
        <v>1.8538000000000001E-3</v>
      </c>
      <c r="BG11" s="4">
        <v>1.8259999999999999E-3</v>
      </c>
      <c r="BH11" s="4">
        <v>1.7987999999999999E-3</v>
      </c>
      <c r="BI11" s="4">
        <v>1.7723000000000001E-3</v>
      </c>
      <c r="BJ11" s="4">
        <v>1.7462999999999999E-3</v>
      </c>
      <c r="BK11" s="4">
        <v>1.7208E-3</v>
      </c>
      <c r="BL11" s="4">
        <v>1.6959E-3</v>
      </c>
      <c r="BM11" s="4">
        <v>1.6714E-3</v>
      </c>
      <c r="BN11" s="4">
        <v>1.6475000000000001E-3</v>
      </c>
      <c r="BO11" s="4">
        <v>1.6239E-3</v>
      </c>
      <c r="BP11" s="4">
        <v>1.6008000000000001E-3</v>
      </c>
      <c r="BQ11" s="4">
        <v>1.5781E-3</v>
      </c>
      <c r="BR11" s="4">
        <v>1.5558E-3</v>
      </c>
      <c r="BS11" s="4">
        <v>1.5338999999999999E-3</v>
      </c>
      <c r="BT11" s="4">
        <v>1.5123000000000001E-3</v>
      </c>
      <c r="BU11" s="4">
        <v>1.4911E-3</v>
      </c>
      <c r="BV11" s="4">
        <v>1.4702000000000001E-3</v>
      </c>
      <c r="BW11" s="4">
        <v>1.4496999999999999E-3</v>
      </c>
      <c r="BX11" s="4">
        <v>1.4295E-3</v>
      </c>
      <c r="BY11" s="4">
        <v>1.4096E-3</v>
      </c>
      <c r="BZ11" s="4">
        <v>1.39E-3</v>
      </c>
      <c r="CA11" s="4">
        <v>1.3707000000000001E-3</v>
      </c>
      <c r="CB11" s="4">
        <v>1.3515999999999999E-3</v>
      </c>
      <c r="CC11" s="4">
        <v>1.3328999999999999E-3</v>
      </c>
      <c r="CD11" s="4">
        <v>1.3144000000000001E-3</v>
      </c>
      <c r="CE11" s="4">
        <v>1.2962E-3</v>
      </c>
      <c r="CF11" s="4">
        <v>1.2783E-3</v>
      </c>
      <c r="CG11" s="4">
        <v>1.2606E-3</v>
      </c>
      <c r="CH11" s="4">
        <v>1.2431E-3</v>
      </c>
      <c r="CI11" s="4">
        <v>1.2259E-3</v>
      </c>
      <c r="CJ11" s="4">
        <v>1.209E-3</v>
      </c>
      <c r="CK11" s="4">
        <v>1.1922E-3</v>
      </c>
      <c r="CL11" s="4">
        <v>1.1757E-3</v>
      </c>
      <c r="CM11" s="4">
        <v>1.1594000000000001E-3</v>
      </c>
      <c r="CN11" s="4">
        <v>1.1433999999999999E-3</v>
      </c>
      <c r="CO11" s="4">
        <v>1.1276000000000001E-3</v>
      </c>
      <c r="CP11" s="4">
        <v>1.1119000000000001E-3</v>
      </c>
      <c r="CQ11" s="4">
        <v>1.0965E-3</v>
      </c>
      <c r="CR11" s="4">
        <v>1.0813000000000001E-3</v>
      </c>
      <c r="CS11" s="4">
        <v>1.0663000000000001E-3</v>
      </c>
      <c r="CT11" s="4">
        <v>1.0514999999999999E-3</v>
      </c>
      <c r="CU11" s="4">
        <v>1.0369999999999999E-3</v>
      </c>
      <c r="CV11" s="4">
        <v>1.0226E-3</v>
      </c>
      <c r="CW11" s="4">
        <v>1.0084E-3</v>
      </c>
      <c r="CX11" s="4">
        <v>9.9430000000000004E-4</v>
      </c>
      <c r="CY11" s="4">
        <v>9.8050000000000003E-4</v>
      </c>
      <c r="CZ11" s="4">
        <v>9.6690000000000003E-4</v>
      </c>
      <c r="DA11" s="4">
        <v>9.5339999999999997E-4</v>
      </c>
      <c r="DB11" s="4">
        <v>9.4019999999999998E-4</v>
      </c>
      <c r="DC11" s="4">
        <v>9.2710000000000004E-4</v>
      </c>
      <c r="DD11" s="4">
        <v>9.1410000000000005E-4</v>
      </c>
      <c r="DE11" s="4">
        <v>9.0140000000000001E-4</v>
      </c>
      <c r="DF11" s="4">
        <v>8.8880000000000003E-4</v>
      </c>
      <c r="DG11" s="4">
        <v>8.7640000000000005E-4</v>
      </c>
      <c r="DH11" s="4">
        <v>8.6419999999999997E-4</v>
      </c>
      <c r="DI11" s="4">
        <v>8.5209999999999995E-4</v>
      </c>
      <c r="DJ11" s="4">
        <v>8.4020000000000004E-4</v>
      </c>
      <c r="DK11" s="4">
        <v>8.2850000000000003E-4</v>
      </c>
      <c r="DL11" s="4">
        <v>8.1689999999999996E-4</v>
      </c>
      <c r="DM11" s="4">
        <v>8.0539999999999995E-4</v>
      </c>
      <c r="DN11" s="4">
        <v>7.9420000000000001E-4</v>
      </c>
      <c r="DO11" s="4">
        <v>7.8299999999999995E-4</v>
      </c>
      <c r="DP11" s="4">
        <v>7.7209999999999996E-4</v>
      </c>
      <c r="DQ11" s="4">
        <v>5.3772100000000003E-2</v>
      </c>
      <c r="DR11" s="4">
        <v>0</v>
      </c>
      <c r="DS11" s="4">
        <v>1.3359999999999999E-4</v>
      </c>
      <c r="DT11" s="4">
        <v>3.3780000000000003E-4</v>
      </c>
      <c r="DU11" s="4">
        <v>6.4190000000000004E-4</v>
      </c>
      <c r="DV11" s="4">
        <v>7.9440000000000001E-4</v>
      </c>
      <c r="DW11" s="4">
        <v>8.0199999999999998E-4</v>
      </c>
      <c r="DX11" s="4">
        <v>7.2539999999999996E-4</v>
      </c>
      <c r="DY11" s="4">
        <v>6.2390000000000004E-4</v>
      </c>
      <c r="DZ11" s="4">
        <v>5.6459999999999995E-4</v>
      </c>
      <c r="EA11" s="4">
        <v>4.9969999999999995E-4</v>
      </c>
      <c r="EB11" s="4">
        <v>4.4630000000000001E-4</v>
      </c>
      <c r="EC11" s="4">
        <v>3.971E-4</v>
      </c>
      <c r="ED11" s="4">
        <v>3.5490000000000001E-4</v>
      </c>
      <c r="EE11" s="4">
        <v>3.1760000000000002E-4</v>
      </c>
      <c r="EF11" s="4">
        <v>2.8519999999999999E-4</v>
      </c>
      <c r="EG11" s="4">
        <v>2.5690000000000001E-4</v>
      </c>
      <c r="EH11" s="4">
        <v>2.32E-4</v>
      </c>
      <c r="EI11" s="4">
        <v>2.1029999999999999E-4</v>
      </c>
      <c r="EJ11" s="4">
        <v>1.9110000000000001E-4</v>
      </c>
      <c r="EK11" s="4">
        <v>1.7420000000000001E-4</v>
      </c>
      <c r="EL11" s="4">
        <v>1.593E-4</v>
      </c>
      <c r="EM11" s="4">
        <v>1.461E-4</v>
      </c>
      <c r="EN11" s="4">
        <v>1.3439999999999999E-4</v>
      </c>
      <c r="EO11" s="4">
        <v>1.239E-4</v>
      </c>
      <c r="EP11" s="4">
        <v>1.1459999999999999E-4</v>
      </c>
      <c r="EQ11" s="4">
        <v>1.063E-4</v>
      </c>
      <c r="ER11" s="4">
        <v>9.8900000000000005E-5</v>
      </c>
      <c r="ES11" s="4">
        <v>9.2200000000000005E-5</v>
      </c>
      <c r="ET11" s="4">
        <v>8.6100000000000006E-5</v>
      </c>
      <c r="EU11" s="4">
        <v>8.0699999999999996E-5</v>
      </c>
      <c r="EV11" s="4">
        <v>7.5699999999999997E-5</v>
      </c>
      <c r="EW11" s="4">
        <v>7.1099999999999994E-5</v>
      </c>
      <c r="EX11" s="4">
        <v>6.69E-5</v>
      </c>
      <c r="EY11" s="4">
        <v>6.3100000000000002E-5</v>
      </c>
      <c r="EZ11" s="4">
        <v>5.9599999999999999E-5</v>
      </c>
      <c r="FA11" s="4">
        <v>5.6400000000000002E-5</v>
      </c>
      <c r="FB11" s="4">
        <v>5.3399999999999997E-5</v>
      </c>
      <c r="FC11" s="4">
        <v>5.0699999999999999E-5</v>
      </c>
      <c r="FD11" s="4">
        <v>4.8199999999999999E-5</v>
      </c>
      <c r="FE11" s="4">
        <v>4.5800000000000002E-5</v>
      </c>
      <c r="FF11" s="4">
        <v>4.3699999999999998E-5</v>
      </c>
      <c r="FG11" s="4">
        <v>4.1699999999999997E-5</v>
      </c>
      <c r="FH11" s="4">
        <v>3.9900000000000001E-5</v>
      </c>
      <c r="FI11" s="4">
        <v>3.82E-5</v>
      </c>
      <c r="FJ11" s="4">
        <v>3.6699999999999998E-5</v>
      </c>
      <c r="FK11" s="4">
        <v>3.5299999999999997E-5</v>
      </c>
      <c r="FL11" s="4">
        <v>3.4E-5</v>
      </c>
      <c r="FM11" s="4">
        <v>3.2799999999999998E-5</v>
      </c>
      <c r="FN11" s="4">
        <v>3.1699999999999998E-5</v>
      </c>
      <c r="FO11" s="4">
        <v>3.0599999999999998E-5</v>
      </c>
      <c r="FP11" s="4">
        <v>2.97E-5</v>
      </c>
      <c r="FQ11" s="4">
        <v>2.8799999999999999E-5</v>
      </c>
      <c r="FR11" s="4">
        <v>2.8E-5</v>
      </c>
      <c r="FS11" s="4">
        <v>2.73E-5</v>
      </c>
      <c r="FT11" s="4">
        <v>2.6599999999999999E-5</v>
      </c>
      <c r="FU11" s="4">
        <v>2.5899999999999999E-5</v>
      </c>
      <c r="FV11" s="4">
        <v>2.5299999999999998E-5</v>
      </c>
      <c r="FW11" s="4">
        <v>2.4700000000000001E-5</v>
      </c>
      <c r="FX11" s="4">
        <v>2.4199999999999999E-5</v>
      </c>
      <c r="FY11" s="4">
        <v>2.37E-5</v>
      </c>
      <c r="FZ11" s="4">
        <v>2.3200000000000001E-5</v>
      </c>
      <c r="GA11" s="4">
        <v>2.27E-5</v>
      </c>
      <c r="GB11" s="4">
        <v>2.23E-5</v>
      </c>
      <c r="GC11" s="4">
        <v>2.19E-5</v>
      </c>
      <c r="GD11" s="4">
        <v>2.1500000000000001E-5</v>
      </c>
      <c r="GE11" s="4">
        <v>2.1100000000000001E-5</v>
      </c>
      <c r="GF11" s="4">
        <v>2.0699999999999998E-5</v>
      </c>
      <c r="GG11" s="4">
        <v>2.0299999999999999E-5</v>
      </c>
      <c r="GH11" s="4">
        <v>1.9899999999999999E-5</v>
      </c>
      <c r="GI11" s="4">
        <v>1.9599999999999999E-5</v>
      </c>
      <c r="GJ11" s="4">
        <v>1.9199999999999999E-5</v>
      </c>
      <c r="GK11" s="4">
        <v>1.8899999999999999E-5</v>
      </c>
      <c r="GL11" s="4">
        <v>1.8499999999999999E-5</v>
      </c>
      <c r="GM11" s="4">
        <v>1.8199999999999999E-5</v>
      </c>
      <c r="GN11" s="4">
        <v>1.7799999999999999E-5</v>
      </c>
      <c r="GO11" s="4">
        <v>1.7499999999999998E-5</v>
      </c>
      <c r="GP11" s="4">
        <v>1.7200000000000001E-5</v>
      </c>
      <c r="GQ11" s="4">
        <v>1.6799999999999998E-5</v>
      </c>
      <c r="GR11" s="4">
        <v>1.6500000000000001E-5</v>
      </c>
      <c r="GS11" s="4">
        <v>1.6200000000000001E-5</v>
      </c>
      <c r="GT11" s="4">
        <v>1.59E-5</v>
      </c>
      <c r="GU11" s="4">
        <v>1.5500000000000001E-5</v>
      </c>
      <c r="GV11" s="4">
        <v>1.52E-5</v>
      </c>
      <c r="GW11" s="4">
        <v>1.49E-5</v>
      </c>
      <c r="GX11" s="4">
        <v>1.4600000000000001E-5</v>
      </c>
      <c r="GY11" s="4">
        <v>1.43E-5</v>
      </c>
      <c r="GZ11" s="4">
        <v>1.4E-5</v>
      </c>
      <c r="HA11" s="4">
        <v>1.3699999999999999E-5</v>
      </c>
      <c r="HB11" s="4">
        <v>1.34E-5</v>
      </c>
      <c r="HC11" s="4">
        <v>1.31E-5</v>
      </c>
      <c r="HD11" s="4">
        <v>1.2799999999999999E-5</v>
      </c>
      <c r="HE11" s="4">
        <v>1.2500000000000001E-5</v>
      </c>
      <c r="HF11" s="4">
        <v>1.22E-5</v>
      </c>
      <c r="HG11" s="4">
        <v>1.19E-5</v>
      </c>
      <c r="HH11" s="4">
        <v>1.1600000000000001E-5</v>
      </c>
      <c r="HI11" s="4">
        <v>1.1399999999999999E-5</v>
      </c>
      <c r="HJ11" s="4">
        <v>1.11E-5</v>
      </c>
      <c r="HK11" s="4">
        <v>1.08E-5</v>
      </c>
      <c r="HL11" s="4">
        <v>1.0499999999999999E-5</v>
      </c>
      <c r="HM11" s="4">
        <v>1.03E-5</v>
      </c>
      <c r="HN11" s="4">
        <v>1.0000000000000001E-5</v>
      </c>
      <c r="HO11" s="4">
        <v>9.7999999999999993E-6</v>
      </c>
      <c r="HP11" s="4">
        <v>9.5000000000000005E-6</v>
      </c>
      <c r="HQ11" s="4">
        <v>9.3000000000000007E-6</v>
      </c>
      <c r="HR11" s="4">
        <v>9.0000000000000002E-6</v>
      </c>
      <c r="HS11" s="4">
        <v>8.8000000000000004E-6</v>
      </c>
      <c r="HT11" s="4">
        <v>8.6000000000000007E-6</v>
      </c>
      <c r="HU11" s="4">
        <v>8.3000000000000002E-6</v>
      </c>
      <c r="HV11" s="4">
        <v>8.1000000000000004E-6</v>
      </c>
      <c r="HW11" s="4">
        <v>7.9000000000000006E-6</v>
      </c>
      <c r="HX11" s="4">
        <v>7.7000000000000008E-6</v>
      </c>
      <c r="HY11" s="4">
        <v>7.5000000000000002E-6</v>
      </c>
      <c r="HZ11" s="4">
        <v>7.3000000000000004E-6</v>
      </c>
      <c r="IA11" s="4">
        <v>7.0999999999999998E-6</v>
      </c>
      <c r="IB11" s="4">
        <v>6.9E-6</v>
      </c>
      <c r="IC11" s="4">
        <v>6.7000000000000002E-6</v>
      </c>
      <c r="ID11" s="4">
        <v>6.4999999999999996E-6</v>
      </c>
      <c r="IE11" s="4">
        <v>6.2999999999999998E-6</v>
      </c>
      <c r="IF11" s="4">
        <v>6.1999999999999999E-6</v>
      </c>
      <c r="IG11" s="4">
        <v>2.4929999999999999E-4</v>
      </c>
      <c r="IH11" s="4"/>
      <c r="II11" s="4">
        <f t="shared" si="247"/>
        <v>0.12176303378928688</v>
      </c>
      <c r="IL11">
        <f t="shared" si="248"/>
        <v>0.35896362499999973</v>
      </c>
      <c r="IP11" s="4">
        <f t="shared" si="249"/>
        <v>3.8678799999999999E-2</v>
      </c>
      <c r="IQ11" s="4">
        <f t="shared" si="250"/>
        <v>3.2124199999999999E-2</v>
      </c>
      <c r="IR11" s="4">
        <f t="shared" si="251"/>
        <v>2.47362E-2</v>
      </c>
      <c r="IS11" s="4">
        <f t="shared" si="252"/>
        <v>2.00638E-2</v>
      </c>
      <c r="IT11" s="4">
        <f t="shared" si="253"/>
        <v>1.6947199999999999E-2</v>
      </c>
      <c r="IU11" s="4">
        <f t="shared" si="254"/>
        <v>6.0529000000000013E-2</v>
      </c>
      <c r="IV11" s="4">
        <f t="shared" si="255"/>
        <v>4.0695500000000003E-2</v>
      </c>
      <c r="IW11" s="4">
        <f t="shared" si="256"/>
        <v>3.0150099999999999E-2</v>
      </c>
      <c r="IX11" s="4">
        <f t="shared" si="257"/>
        <v>9.2258699999999999E-2</v>
      </c>
      <c r="IZ11" s="4"/>
      <c r="JA11" s="4">
        <f t="shared" si="258"/>
        <v>9.9046999999999955E-3</v>
      </c>
      <c r="JB11" s="4">
        <f t="shared" si="259"/>
        <v>8.7622000000000047E-3</v>
      </c>
      <c r="JC11" s="4">
        <f t="shared" si="260"/>
        <v>5.6115000000000019E-3</v>
      </c>
      <c r="JD11" s="4">
        <f t="shared" si="261"/>
        <v>3.6561999999999983E-3</v>
      </c>
      <c r="JE11" s="4">
        <f t="shared" si="262"/>
        <v>2.5047000000000003E-3</v>
      </c>
      <c r="JF11" s="4">
        <f t="shared" si="263"/>
        <v>5.7594000000000048E-3</v>
      </c>
      <c r="JG11" s="4">
        <f t="shared" si="264"/>
        <v>2.3677000000000004E-3</v>
      </c>
      <c r="JH11" s="4">
        <f t="shared" si="265"/>
        <v>1.5320000000000021E-3</v>
      </c>
      <c r="JI11" s="4">
        <f t="shared" si="266"/>
        <v>3.6100999999999772E-3</v>
      </c>
      <c r="JK11">
        <f t="shared" si="284"/>
        <v>2008.5</v>
      </c>
      <c r="JL11">
        <f t="shared" si="267"/>
        <v>25.607567970050766</v>
      </c>
      <c r="JM11">
        <f t="shared" si="268"/>
        <v>27.276009986240918</v>
      </c>
      <c r="JN11">
        <f t="shared" si="269"/>
        <v>22.685376088485707</v>
      </c>
      <c r="JO11">
        <f t="shared" si="270"/>
        <v>18.22286904773771</v>
      </c>
      <c r="JP11">
        <f t="shared" si="271"/>
        <v>14.779432590634443</v>
      </c>
      <c r="JQ11">
        <f t="shared" si="272"/>
        <v>9.5151084604074132</v>
      </c>
      <c r="JR11">
        <f t="shared" si="273"/>
        <v>5.8180879949871613</v>
      </c>
      <c r="JS11">
        <f t="shared" si="274"/>
        <v>5.0812435116301513</v>
      </c>
      <c r="JT11">
        <f t="shared" si="275"/>
        <v>3.9130185012361731</v>
      </c>
      <c r="JV11" s="12">
        <f t="shared" si="285"/>
        <v>2008.5</v>
      </c>
      <c r="JW11" s="12">
        <f t="shared" si="286"/>
        <v>5.5151178983971469</v>
      </c>
      <c r="JX11" s="12">
        <f t="shared" si="276"/>
        <v>4.1122961111397736</v>
      </c>
      <c r="JY11" s="12">
        <f t="shared" si="277"/>
        <v>3.1208335309885697</v>
      </c>
      <c r="JZ11" s="12">
        <f t="shared" si="278"/>
        <v>2.1359911135800971</v>
      </c>
      <c r="KA11" s="12">
        <f t="shared" si="279"/>
        <v>1.3831084148422423</v>
      </c>
      <c r="KB11" s="12">
        <f t="shared" si="280"/>
        <v>0.22370919257384081</v>
      </c>
      <c r="KC11" s="12">
        <f t="shared" si="281"/>
        <v>-0.37723884305343081</v>
      </c>
      <c r="KD11" s="12">
        <f t="shared" si="282"/>
        <v>-0.43728461480412584</v>
      </c>
      <c r="KE11" s="12">
        <f t="shared" si="283"/>
        <v>-1.6206453404697707</v>
      </c>
    </row>
    <row r="12" spans="1:291" x14ac:dyDescent="0.35">
      <c r="A12" s="1">
        <v>4</v>
      </c>
      <c r="B12" s="4">
        <v>9.8733999999999992E-3</v>
      </c>
      <c r="C12" s="4">
        <v>9.8733999999999992E-3</v>
      </c>
      <c r="D12" s="4">
        <v>9.7397999999999998E-3</v>
      </c>
      <c r="E12" s="4">
        <v>8.7968000000000005E-3</v>
      </c>
      <c r="F12" s="4">
        <v>9.4666999999999998E-3</v>
      </c>
      <c r="G12" s="4">
        <v>8.7677999999999992E-3</v>
      </c>
      <c r="H12" s="4">
        <v>8.1346999999999999E-3</v>
      </c>
      <c r="I12" s="4">
        <v>7.5661000000000001E-3</v>
      </c>
      <c r="J12" s="4">
        <v>7.0761000000000001E-3</v>
      </c>
      <c r="K12" s="4">
        <v>6.6312999999999997E-3</v>
      </c>
      <c r="L12" s="4">
        <v>6.2432E-3</v>
      </c>
      <c r="M12" s="4">
        <v>5.8969000000000001E-3</v>
      </c>
      <c r="N12" s="4">
        <v>5.5875999999999999E-3</v>
      </c>
      <c r="O12" s="4">
        <v>5.3103999999999998E-3</v>
      </c>
      <c r="P12" s="4">
        <v>5.0609000000000001E-3</v>
      </c>
      <c r="Q12" s="4">
        <v>4.8354000000000001E-3</v>
      </c>
      <c r="R12" s="4">
        <v>4.6309000000000003E-3</v>
      </c>
      <c r="S12" s="4">
        <v>4.4447999999999996E-3</v>
      </c>
      <c r="T12" s="4">
        <v>4.2747000000000002E-3</v>
      </c>
      <c r="U12" s="4">
        <v>4.1189E-3</v>
      </c>
      <c r="V12" s="4">
        <v>3.9754999999999999E-3</v>
      </c>
      <c r="W12" s="4">
        <v>3.8432000000000002E-3</v>
      </c>
      <c r="X12" s="4">
        <v>3.7207999999999998E-3</v>
      </c>
      <c r="Y12" s="4">
        <v>3.6070999999999998E-3</v>
      </c>
      <c r="Z12" s="4">
        <v>3.5013000000000002E-3</v>
      </c>
      <c r="AA12" s="4">
        <v>3.4023999999999999E-3</v>
      </c>
      <c r="AB12" s="4">
        <v>3.3097999999999999E-3</v>
      </c>
      <c r="AC12" s="4">
        <v>3.2228000000000001E-3</v>
      </c>
      <c r="AD12" s="4">
        <v>3.1408999999999999E-3</v>
      </c>
      <c r="AE12" s="4">
        <v>3.0634999999999998E-3</v>
      </c>
      <c r="AF12" s="4">
        <v>2.9903E-3</v>
      </c>
      <c r="AG12" s="4">
        <v>2.9209000000000001E-3</v>
      </c>
      <c r="AH12" s="4">
        <v>2.8549000000000001E-3</v>
      </c>
      <c r="AI12" s="4">
        <v>2.7921000000000001E-3</v>
      </c>
      <c r="AJ12" s="4">
        <v>2.7323E-3</v>
      </c>
      <c r="AK12" s="4">
        <v>2.6751000000000001E-3</v>
      </c>
      <c r="AL12" s="4">
        <v>2.6202999999999999E-3</v>
      </c>
      <c r="AM12" s="4">
        <v>2.5679000000000001E-3</v>
      </c>
      <c r="AN12" s="4">
        <v>2.5176999999999999E-3</v>
      </c>
      <c r="AO12" s="4">
        <v>2.4694000000000001E-3</v>
      </c>
      <c r="AP12" s="4">
        <v>2.4229999999999998E-3</v>
      </c>
      <c r="AQ12" s="4">
        <v>2.3784000000000001E-3</v>
      </c>
      <c r="AR12" s="4">
        <v>2.3352999999999998E-3</v>
      </c>
      <c r="AS12" s="4">
        <v>2.2937999999999999E-3</v>
      </c>
      <c r="AT12" s="4">
        <v>2.2537E-3</v>
      </c>
      <c r="AU12" s="4">
        <v>2.2149000000000001E-3</v>
      </c>
      <c r="AV12" s="4">
        <v>2.1773999999999999E-3</v>
      </c>
      <c r="AW12" s="4">
        <v>2.1410999999999999E-3</v>
      </c>
      <c r="AX12" s="4">
        <v>2.1058000000000001E-3</v>
      </c>
      <c r="AY12" s="4">
        <v>2.0715999999999998E-3</v>
      </c>
      <c r="AZ12" s="4">
        <v>2.0382999999999998E-3</v>
      </c>
      <c r="BA12" s="4">
        <v>2.006E-3</v>
      </c>
      <c r="BB12" s="4">
        <v>1.9745000000000001E-3</v>
      </c>
      <c r="BC12" s="4">
        <v>1.9438000000000001E-3</v>
      </c>
      <c r="BD12" s="4">
        <v>1.9139000000000001E-3</v>
      </c>
      <c r="BE12" s="4">
        <v>1.8848000000000001E-3</v>
      </c>
      <c r="BF12" s="4">
        <v>1.8563E-3</v>
      </c>
      <c r="BG12" s="4">
        <v>1.8285E-3</v>
      </c>
      <c r="BH12" s="4">
        <v>1.8013E-3</v>
      </c>
      <c r="BI12" s="4">
        <v>1.7746000000000001E-3</v>
      </c>
      <c r="BJ12" s="4">
        <v>1.7485999999999999E-3</v>
      </c>
      <c r="BK12" s="4">
        <v>1.7231E-3</v>
      </c>
      <c r="BL12" s="4">
        <v>1.6980999999999999E-3</v>
      </c>
      <c r="BM12" s="4">
        <v>1.6735999999999999E-3</v>
      </c>
      <c r="BN12" s="4">
        <v>1.6496E-3</v>
      </c>
      <c r="BO12" s="4">
        <v>1.6260000000000001E-3</v>
      </c>
      <c r="BP12" s="4">
        <v>1.6029E-3</v>
      </c>
      <c r="BQ12" s="4">
        <v>1.5801000000000001E-3</v>
      </c>
      <c r="BR12" s="4">
        <v>1.5578E-3</v>
      </c>
      <c r="BS12" s="4">
        <v>1.5359E-3</v>
      </c>
      <c r="BT12" s="4">
        <v>1.5143000000000001E-3</v>
      </c>
      <c r="BU12" s="4">
        <v>1.4931E-3</v>
      </c>
      <c r="BV12" s="4">
        <v>1.4721999999999999E-3</v>
      </c>
      <c r="BW12" s="4">
        <v>1.4517E-3</v>
      </c>
      <c r="BX12" s="4">
        <v>1.4315E-3</v>
      </c>
      <c r="BY12" s="4">
        <v>1.4117000000000001E-3</v>
      </c>
      <c r="BZ12" s="4">
        <v>1.3921000000000001E-3</v>
      </c>
      <c r="CA12" s="4">
        <v>1.3728E-3</v>
      </c>
      <c r="CB12" s="4">
        <v>1.3538000000000001E-3</v>
      </c>
      <c r="CC12" s="4">
        <v>1.3351000000000001E-3</v>
      </c>
      <c r="CD12" s="4">
        <v>1.3167000000000001E-3</v>
      </c>
      <c r="CE12" s="4">
        <v>1.2986E-3</v>
      </c>
      <c r="CF12" s="4">
        <v>1.2807000000000001E-3</v>
      </c>
      <c r="CG12" s="4">
        <v>1.2631000000000001E-3</v>
      </c>
      <c r="CH12" s="4">
        <v>1.2457E-3</v>
      </c>
      <c r="CI12" s="4">
        <v>1.2285E-3</v>
      </c>
      <c r="CJ12" s="4">
        <v>1.2116E-3</v>
      </c>
      <c r="CK12" s="4">
        <v>1.1950000000000001E-3</v>
      </c>
      <c r="CL12" s="4">
        <v>1.1785999999999999E-3</v>
      </c>
      <c r="CM12" s="4">
        <v>1.1624000000000001E-3</v>
      </c>
      <c r="CN12" s="4">
        <v>1.1463999999999999E-3</v>
      </c>
      <c r="CO12" s="4">
        <v>1.1306000000000001E-3</v>
      </c>
      <c r="CP12" s="4">
        <v>1.1150999999999999E-3</v>
      </c>
      <c r="CQ12" s="4">
        <v>1.0996999999999999E-3</v>
      </c>
      <c r="CR12" s="4">
        <v>1.0846E-3</v>
      </c>
      <c r="CS12" s="4">
        <v>1.0697E-3</v>
      </c>
      <c r="CT12" s="4">
        <v>1.0549999999999999E-3</v>
      </c>
      <c r="CU12" s="4">
        <v>1.0405E-3</v>
      </c>
      <c r="CV12" s="4">
        <v>1.0261000000000001E-3</v>
      </c>
      <c r="CW12" s="4">
        <v>1.0120000000000001E-3</v>
      </c>
      <c r="CX12" s="4">
        <v>9.9810000000000003E-4</v>
      </c>
      <c r="CY12" s="4">
        <v>9.8430000000000002E-4</v>
      </c>
      <c r="CZ12" s="4">
        <v>9.7070000000000001E-4</v>
      </c>
      <c r="DA12" s="4">
        <v>9.5739999999999996E-4</v>
      </c>
      <c r="DB12" s="4">
        <v>9.4410000000000002E-4</v>
      </c>
      <c r="DC12" s="4">
        <v>9.3110000000000003E-4</v>
      </c>
      <c r="DD12" s="4">
        <v>9.1830000000000004E-4</v>
      </c>
      <c r="DE12" s="4">
        <v>9.056E-4</v>
      </c>
      <c r="DF12" s="4">
        <v>8.9300000000000002E-4</v>
      </c>
      <c r="DG12" s="4">
        <v>8.8069999999999999E-4</v>
      </c>
      <c r="DH12" s="4">
        <v>8.6850000000000002E-4</v>
      </c>
      <c r="DI12" s="4">
        <v>8.5649999999999995E-4</v>
      </c>
      <c r="DJ12" s="4">
        <v>8.4460000000000004E-4</v>
      </c>
      <c r="DK12" s="4">
        <v>8.3290000000000002E-4</v>
      </c>
      <c r="DL12" s="4">
        <v>8.2140000000000002E-4</v>
      </c>
      <c r="DM12" s="4">
        <v>8.0999999999999996E-4</v>
      </c>
      <c r="DN12" s="4">
        <v>7.9869999999999995E-4</v>
      </c>
      <c r="DO12" s="4">
        <v>7.8770000000000001E-4</v>
      </c>
      <c r="DP12" s="4">
        <v>7.7669999999999996E-4</v>
      </c>
      <c r="DQ12" s="4">
        <v>5.4288700000000002E-2</v>
      </c>
      <c r="DR12" s="4">
        <v>0</v>
      </c>
      <c r="DS12" s="4">
        <v>1.3310000000000001E-4</v>
      </c>
      <c r="DT12" s="4">
        <v>4.0170000000000001E-4</v>
      </c>
      <c r="DU12" s="4">
        <v>4.0880000000000002E-4</v>
      </c>
      <c r="DV12" s="4">
        <v>7.4260000000000005E-4</v>
      </c>
      <c r="DW12" s="4">
        <v>7.3059999999999998E-4</v>
      </c>
      <c r="DX12" s="4">
        <v>6.558E-4</v>
      </c>
      <c r="DY12" s="4">
        <v>5.7109999999999995E-4</v>
      </c>
      <c r="DZ12" s="4">
        <v>5.1230000000000004E-4</v>
      </c>
      <c r="EA12" s="4">
        <v>4.5120000000000002E-4</v>
      </c>
      <c r="EB12" s="4">
        <v>4.0180000000000001E-4</v>
      </c>
      <c r="EC12" s="4">
        <v>3.5819999999999998E-4</v>
      </c>
      <c r="ED12" s="4">
        <v>3.2089999999999999E-4</v>
      </c>
      <c r="EE12" s="4">
        <v>2.8860000000000002E-4</v>
      </c>
      <c r="EF12" s="4">
        <v>2.6049999999999999E-4</v>
      </c>
      <c r="EG12" s="4">
        <v>2.3599999999999999E-4</v>
      </c>
      <c r="EH12" s="4">
        <v>2.1460000000000001E-4</v>
      </c>
      <c r="EI12" s="4">
        <v>1.9560000000000001E-4</v>
      </c>
      <c r="EJ12" s="4">
        <v>1.7890000000000001E-4</v>
      </c>
      <c r="EK12" s="4">
        <v>1.641E-4</v>
      </c>
      <c r="EL12" s="4">
        <v>1.5090000000000001E-4</v>
      </c>
      <c r="EM12" s="4">
        <v>1.3909999999999999E-4</v>
      </c>
      <c r="EN12" s="4">
        <v>1.2860000000000001E-4</v>
      </c>
      <c r="EO12" s="4">
        <v>1.1909999999999999E-4</v>
      </c>
      <c r="EP12" s="4">
        <v>1.1069999999999999E-4</v>
      </c>
      <c r="EQ12" s="4">
        <v>1.03E-4</v>
      </c>
      <c r="ER12" s="4">
        <v>9.6199999999999994E-5</v>
      </c>
      <c r="ES12" s="4">
        <v>9.0000000000000006E-5</v>
      </c>
      <c r="ET12" s="4">
        <v>8.4300000000000003E-5</v>
      </c>
      <c r="EU12" s="4">
        <v>7.9200000000000001E-5</v>
      </c>
      <c r="EV12" s="4">
        <v>7.4499999999999995E-5</v>
      </c>
      <c r="EW12" s="4">
        <v>7.0199999999999999E-5</v>
      </c>
      <c r="EX12" s="4">
        <v>6.6199999999999996E-5</v>
      </c>
      <c r="EY12" s="4">
        <v>6.2600000000000004E-5</v>
      </c>
      <c r="EZ12" s="4">
        <v>5.9200000000000002E-5</v>
      </c>
      <c r="FA12" s="4">
        <v>5.6100000000000002E-5</v>
      </c>
      <c r="FB12" s="4">
        <v>5.3300000000000001E-5</v>
      </c>
      <c r="FC12" s="4">
        <v>5.0599999999999997E-5</v>
      </c>
      <c r="FD12" s="4">
        <v>4.8199999999999999E-5</v>
      </c>
      <c r="FE12" s="4">
        <v>4.5899999999999998E-5</v>
      </c>
      <c r="FF12" s="4">
        <v>4.3900000000000003E-5</v>
      </c>
      <c r="FG12" s="4">
        <v>4.1900000000000002E-5</v>
      </c>
      <c r="FH12" s="4">
        <v>4.0200000000000001E-5</v>
      </c>
      <c r="FI12" s="4">
        <v>3.8500000000000001E-5</v>
      </c>
      <c r="FJ12" s="4">
        <v>3.6999999999999998E-5</v>
      </c>
      <c r="FK12" s="4">
        <v>3.5599999999999998E-5</v>
      </c>
      <c r="FL12" s="4">
        <v>3.43E-5</v>
      </c>
      <c r="FM12" s="4">
        <v>3.3099999999999998E-5</v>
      </c>
      <c r="FN12" s="4">
        <v>3.1999999999999999E-5</v>
      </c>
      <c r="FO12" s="4">
        <v>3.1000000000000001E-5</v>
      </c>
      <c r="FP12" s="4">
        <v>3.01E-5</v>
      </c>
      <c r="FQ12" s="4">
        <v>2.9200000000000002E-5</v>
      </c>
      <c r="FR12" s="4">
        <v>2.8399999999999999E-5</v>
      </c>
      <c r="FS12" s="4">
        <v>2.7699999999999999E-5</v>
      </c>
      <c r="FT12" s="4">
        <v>2.6999999999999999E-5</v>
      </c>
      <c r="FU12" s="4">
        <v>2.6299999999999999E-5</v>
      </c>
      <c r="FV12" s="4">
        <v>2.5700000000000001E-5</v>
      </c>
      <c r="FW12" s="4">
        <v>2.5199999999999999E-5</v>
      </c>
      <c r="FX12" s="4">
        <v>2.4700000000000001E-5</v>
      </c>
      <c r="FY12" s="4">
        <v>2.4199999999999999E-5</v>
      </c>
      <c r="FZ12" s="4">
        <v>2.37E-5</v>
      </c>
      <c r="GA12" s="4">
        <v>2.3300000000000001E-5</v>
      </c>
      <c r="GB12" s="4">
        <v>2.2900000000000001E-5</v>
      </c>
      <c r="GC12" s="4">
        <v>2.2500000000000001E-5</v>
      </c>
      <c r="GD12" s="4">
        <v>2.2099999999999998E-5</v>
      </c>
      <c r="GE12" s="4">
        <v>2.1800000000000001E-5</v>
      </c>
      <c r="GF12" s="4">
        <v>2.1500000000000001E-5</v>
      </c>
      <c r="GG12" s="4">
        <v>2.1100000000000001E-5</v>
      </c>
      <c r="GH12" s="4">
        <v>2.0800000000000001E-5</v>
      </c>
      <c r="GI12" s="4">
        <v>2.05E-5</v>
      </c>
      <c r="GJ12" s="4">
        <v>2.02E-5</v>
      </c>
      <c r="GK12" s="4">
        <v>1.9899999999999999E-5</v>
      </c>
      <c r="GL12" s="4">
        <v>1.9700000000000001E-5</v>
      </c>
      <c r="GM12" s="4">
        <v>1.9400000000000001E-5</v>
      </c>
      <c r="GN12" s="4">
        <v>1.91E-5</v>
      </c>
      <c r="GO12" s="4">
        <v>1.8899999999999999E-5</v>
      </c>
      <c r="GP12" s="4">
        <v>1.8600000000000001E-5</v>
      </c>
      <c r="GQ12" s="4">
        <v>1.8300000000000001E-5</v>
      </c>
      <c r="GR12" s="4">
        <v>1.8099999999999999E-5</v>
      </c>
      <c r="GS12" s="4">
        <v>1.7799999999999999E-5</v>
      </c>
      <c r="GT12" s="4">
        <v>1.7600000000000001E-5</v>
      </c>
      <c r="GU12" s="4">
        <v>1.73E-5</v>
      </c>
      <c r="GV12" s="4">
        <v>1.7E-5</v>
      </c>
      <c r="GW12" s="4">
        <v>1.6799999999999998E-5</v>
      </c>
      <c r="GX12" s="4">
        <v>1.6500000000000001E-5</v>
      </c>
      <c r="GY12" s="4">
        <v>1.63E-5</v>
      </c>
      <c r="GZ12" s="4">
        <v>1.5999999999999999E-5</v>
      </c>
      <c r="HA12" s="4">
        <v>1.5800000000000001E-5</v>
      </c>
      <c r="HB12" s="4">
        <v>1.5500000000000001E-5</v>
      </c>
      <c r="HC12" s="4">
        <v>1.5299999999999999E-5</v>
      </c>
      <c r="HD12" s="4">
        <v>1.5099999999999999E-5</v>
      </c>
      <c r="HE12" s="4">
        <v>1.4800000000000001E-5</v>
      </c>
      <c r="HF12" s="4">
        <v>1.4600000000000001E-5</v>
      </c>
      <c r="HG12" s="4">
        <v>1.43E-5</v>
      </c>
      <c r="HH12" s="4">
        <v>1.4100000000000001E-5</v>
      </c>
      <c r="HI12" s="4">
        <v>1.38E-5</v>
      </c>
      <c r="HJ12" s="4">
        <v>1.36E-5</v>
      </c>
      <c r="HK12" s="4">
        <v>1.34E-5</v>
      </c>
      <c r="HL12" s="4">
        <v>1.31E-5</v>
      </c>
      <c r="HM12" s="4">
        <v>1.29E-5</v>
      </c>
      <c r="HN12" s="4">
        <v>1.27E-5</v>
      </c>
      <c r="HO12" s="4">
        <v>1.24E-5</v>
      </c>
      <c r="HP12" s="4">
        <v>1.22E-5</v>
      </c>
      <c r="HQ12" s="4">
        <v>1.2E-5</v>
      </c>
      <c r="HR12" s="4">
        <v>1.17E-5</v>
      </c>
      <c r="HS12" s="4">
        <v>1.15E-5</v>
      </c>
      <c r="HT12" s="4">
        <v>1.13E-5</v>
      </c>
      <c r="HU12" s="4">
        <v>1.11E-5</v>
      </c>
      <c r="HV12" s="4">
        <v>1.0900000000000001E-5</v>
      </c>
      <c r="HW12" s="4">
        <v>1.0699999999999999E-5</v>
      </c>
      <c r="HX12" s="4">
        <v>1.0499999999999999E-5</v>
      </c>
      <c r="HY12" s="4">
        <v>1.0200000000000001E-5</v>
      </c>
      <c r="HZ12" s="4">
        <v>1.0000000000000001E-5</v>
      </c>
      <c r="IA12" s="4">
        <v>9.7999999999999993E-6</v>
      </c>
      <c r="IB12" s="4">
        <v>9.5999999999999996E-6</v>
      </c>
      <c r="IC12" s="4">
        <v>9.3999999999999998E-6</v>
      </c>
      <c r="ID12" s="4">
        <v>9.3000000000000007E-6</v>
      </c>
      <c r="IE12" s="4">
        <v>9.0999999999999993E-6</v>
      </c>
      <c r="IF12" s="4">
        <v>8.8999999999999995E-6</v>
      </c>
      <c r="IG12" s="4">
        <v>4.5600000000000003E-4</v>
      </c>
      <c r="IH12" s="4"/>
      <c r="II12" s="4">
        <f t="shared" si="247"/>
        <v>0.12349061976353487</v>
      </c>
      <c r="IL12">
        <f t="shared" si="248"/>
        <v>0.35810331249999977</v>
      </c>
      <c r="IP12" s="4">
        <f t="shared" si="249"/>
        <v>3.7876699999999999E-2</v>
      </c>
      <c r="IQ12" s="4">
        <f t="shared" si="250"/>
        <v>3.1544700000000002E-2</v>
      </c>
      <c r="IR12" s="4">
        <f t="shared" si="251"/>
        <v>2.4358999999999999E-2</v>
      </c>
      <c r="IS12" s="4">
        <f t="shared" si="252"/>
        <v>1.98376E-2</v>
      </c>
      <c r="IT12" s="4">
        <f t="shared" si="253"/>
        <v>1.68139E-2</v>
      </c>
      <c r="IU12" s="4">
        <f t="shared" si="254"/>
        <v>6.0375699999999997E-2</v>
      </c>
      <c r="IV12" s="4">
        <f t="shared" si="255"/>
        <v>4.0742599999999997E-2</v>
      </c>
      <c r="IW12" s="4">
        <f t="shared" si="256"/>
        <v>3.0192099999999999E-2</v>
      </c>
      <c r="IX12" s="4">
        <f t="shared" si="257"/>
        <v>9.2912900000000007E-2</v>
      </c>
      <c r="IZ12" s="4"/>
      <c r="JA12" s="4">
        <f t="shared" si="258"/>
        <v>1.0214399999999998E-2</v>
      </c>
      <c r="JB12" s="4">
        <f t="shared" si="259"/>
        <v>8.9971000000000044E-3</v>
      </c>
      <c r="JC12" s="4">
        <f t="shared" si="260"/>
        <v>5.7609000000000028E-3</v>
      </c>
      <c r="JD12" s="4">
        <f t="shared" si="261"/>
        <v>3.7540000000000004E-3</v>
      </c>
      <c r="JE12" s="4">
        <f t="shared" si="262"/>
        <v>2.5682000000000014E-3</v>
      </c>
      <c r="JF12" s="4">
        <f t="shared" si="263"/>
        <v>5.8265999999999943E-3</v>
      </c>
      <c r="JG12" s="4">
        <f t="shared" si="264"/>
        <v>2.3274999999999893E-3</v>
      </c>
      <c r="JH12" s="4">
        <f t="shared" si="265"/>
        <v>1.5145999999999979E-3</v>
      </c>
      <c r="JI12" s="4">
        <f t="shared" si="266"/>
        <v>3.259099999999987E-3</v>
      </c>
      <c r="JK12">
        <f t="shared" si="284"/>
        <v>2008.75</v>
      </c>
      <c r="JL12">
        <f t="shared" si="267"/>
        <v>26.967502448734972</v>
      </c>
      <c r="JM12">
        <f t="shared" si="268"/>
        <v>28.521748502918093</v>
      </c>
      <c r="JN12">
        <f t="shared" si="269"/>
        <v>23.649985631594088</v>
      </c>
      <c r="JO12">
        <f t="shared" si="270"/>
        <v>18.923660120175832</v>
      </c>
      <c r="JP12">
        <f t="shared" si="271"/>
        <v>15.274267124224609</v>
      </c>
      <c r="JQ12">
        <f t="shared" si="272"/>
        <v>9.6505713391314618</v>
      </c>
      <c r="JR12">
        <f t="shared" si="273"/>
        <v>5.7126938388811448</v>
      </c>
      <c r="JS12">
        <f t="shared" si="274"/>
        <v>5.0165440628508717</v>
      </c>
      <c r="JT12">
        <f t="shared" si="275"/>
        <v>3.5076937648055186</v>
      </c>
      <c r="JV12" s="12">
        <f t="shared" si="285"/>
        <v>2008.75</v>
      </c>
      <c r="JW12" s="12">
        <f t="shared" si="286"/>
        <v>6.875052377081353</v>
      </c>
      <c r="JX12" s="12">
        <f t="shared" si="276"/>
        <v>5.3580346278169486</v>
      </c>
      <c r="JY12" s="12">
        <f t="shared" si="277"/>
        <v>4.0854430740969505</v>
      </c>
      <c r="JZ12" s="12">
        <f t="shared" si="278"/>
        <v>2.836782186018219</v>
      </c>
      <c r="KA12" s="12">
        <f t="shared" si="279"/>
        <v>1.8779429484324091</v>
      </c>
      <c r="KB12" s="12">
        <f t="shared" si="280"/>
        <v>0.35917207129788942</v>
      </c>
      <c r="KC12" s="12">
        <f t="shared" si="281"/>
        <v>-0.48263299915944735</v>
      </c>
      <c r="KD12" s="12">
        <f t="shared" si="282"/>
        <v>-0.50198406358340542</v>
      </c>
      <c r="KE12" s="12">
        <f t="shared" si="283"/>
        <v>-2.0259700769004252</v>
      </c>
    </row>
    <row r="13" spans="1:291" x14ac:dyDescent="0.35">
      <c r="A13" s="1">
        <v>5</v>
      </c>
      <c r="B13" s="4">
        <v>1.0309199999999999E-2</v>
      </c>
      <c r="C13" s="4">
        <v>9.8733999999999992E-3</v>
      </c>
      <c r="D13" s="4">
        <v>9.7403000000000003E-3</v>
      </c>
      <c r="E13" s="4">
        <v>9.3381999999999996E-3</v>
      </c>
      <c r="F13" s="4">
        <v>8.3879999999999996E-3</v>
      </c>
      <c r="G13" s="4">
        <v>8.7241000000000003E-3</v>
      </c>
      <c r="H13" s="4">
        <v>8.0371000000000001E-3</v>
      </c>
      <c r="I13" s="4">
        <v>7.4789000000000001E-3</v>
      </c>
      <c r="J13" s="4">
        <v>6.9949000000000001E-3</v>
      </c>
      <c r="K13" s="4">
        <v>6.5637999999999998E-3</v>
      </c>
      <c r="L13" s="4">
        <v>6.1801E-3</v>
      </c>
      <c r="M13" s="4">
        <v>5.8415000000000003E-3</v>
      </c>
      <c r="N13" s="4">
        <v>5.5386999999999997E-3</v>
      </c>
      <c r="O13" s="4">
        <v>5.2667E-3</v>
      </c>
      <c r="P13" s="4">
        <v>5.0217999999999999E-3</v>
      </c>
      <c r="Q13" s="4">
        <v>4.8003000000000004E-3</v>
      </c>
      <c r="R13" s="4">
        <v>4.5994E-3</v>
      </c>
      <c r="S13" s="4">
        <v>4.4164E-3</v>
      </c>
      <c r="T13" s="4">
        <v>4.2490999999999996E-3</v>
      </c>
      <c r="U13" s="4">
        <v>4.0958000000000001E-3</v>
      </c>
      <c r="V13" s="4">
        <v>3.9547999999999996E-3</v>
      </c>
      <c r="W13" s="4">
        <v>3.8246E-3</v>
      </c>
      <c r="X13" s="4">
        <v>3.7041000000000001E-3</v>
      </c>
      <c r="Y13" s="4">
        <v>3.5921999999999998E-3</v>
      </c>
      <c r="Z13" s="4">
        <v>3.4880000000000002E-3</v>
      </c>
      <c r="AA13" s="4">
        <v>3.3906000000000001E-3</v>
      </c>
      <c r="AB13" s="4">
        <v>3.2992999999999998E-3</v>
      </c>
      <c r="AC13" s="4">
        <v>3.2136000000000001E-3</v>
      </c>
      <c r="AD13" s="4">
        <v>3.1327999999999998E-3</v>
      </c>
      <c r="AE13" s="4">
        <v>3.0565000000000002E-3</v>
      </c>
      <c r="AF13" s="4">
        <v>2.9843000000000001E-3</v>
      </c>
      <c r="AG13" s="4">
        <v>2.9158000000000001E-3</v>
      </c>
      <c r="AH13" s="4">
        <v>2.8506999999999998E-3</v>
      </c>
      <c r="AI13" s="4">
        <v>2.7886999999999999E-3</v>
      </c>
      <c r="AJ13" s="4">
        <v>2.7296E-3</v>
      </c>
      <c r="AK13" s="4">
        <v>2.673E-3</v>
      </c>
      <c r="AL13" s="4">
        <v>2.6189E-3</v>
      </c>
      <c r="AM13" s="4">
        <v>2.5671000000000001E-3</v>
      </c>
      <c r="AN13" s="4">
        <v>2.5173000000000001E-3</v>
      </c>
      <c r="AO13" s="4">
        <v>2.4694999999999999E-3</v>
      </c>
      <c r="AP13" s="4">
        <v>2.4234999999999999E-3</v>
      </c>
      <c r="AQ13" s="4">
        <v>2.3792000000000002E-3</v>
      </c>
      <c r="AR13" s="4">
        <v>2.3364000000000002E-3</v>
      </c>
      <c r="AS13" s="4">
        <v>2.2951999999999998E-3</v>
      </c>
      <c r="AT13" s="4">
        <v>2.2553E-3</v>
      </c>
      <c r="AU13" s="4">
        <v>2.2166999999999998E-3</v>
      </c>
      <c r="AV13" s="4">
        <v>2.1792999999999999E-3</v>
      </c>
      <c r="AW13" s="4">
        <v>2.1431000000000002E-3</v>
      </c>
      <c r="AX13" s="4">
        <v>2.1078999999999998E-3</v>
      </c>
      <c r="AY13" s="4">
        <v>2.0738000000000002E-3</v>
      </c>
      <c r="AZ13" s="4">
        <v>2.0406000000000001E-3</v>
      </c>
      <c r="BA13" s="4">
        <v>2.0081999999999999E-3</v>
      </c>
      <c r="BB13" s="4">
        <v>1.9767999999999999E-3</v>
      </c>
      <c r="BC13" s="4">
        <v>1.9461000000000001E-3</v>
      </c>
      <c r="BD13" s="4">
        <v>1.9162000000000001E-3</v>
      </c>
      <c r="BE13" s="4">
        <v>1.887E-3</v>
      </c>
      <c r="BF13" s="4">
        <v>1.8584000000000001E-3</v>
      </c>
      <c r="BG13" s="4">
        <v>1.8305000000000001E-3</v>
      </c>
      <c r="BH13" s="4">
        <v>1.8033000000000001E-3</v>
      </c>
      <c r="BI13" s="4">
        <v>1.7765999999999999E-3</v>
      </c>
      <c r="BJ13" s="4">
        <v>1.7505000000000001E-3</v>
      </c>
      <c r="BK13" s="4">
        <v>1.7248999999999999E-3</v>
      </c>
      <c r="BL13" s="4">
        <v>1.6998E-3</v>
      </c>
      <c r="BM13" s="4">
        <v>1.6752E-3</v>
      </c>
      <c r="BN13" s="4">
        <v>1.6511E-3</v>
      </c>
      <c r="BO13" s="4">
        <v>1.6274E-3</v>
      </c>
      <c r="BP13" s="4">
        <v>1.6042000000000001E-3</v>
      </c>
      <c r="BQ13" s="4">
        <v>1.5813999999999999E-3</v>
      </c>
      <c r="BR13" s="4">
        <v>1.5590000000000001E-3</v>
      </c>
      <c r="BS13" s="4">
        <v>1.537E-3</v>
      </c>
      <c r="BT13" s="4">
        <v>1.5153E-3</v>
      </c>
      <c r="BU13" s="4">
        <v>1.4940999999999999E-3</v>
      </c>
      <c r="BV13" s="4">
        <v>1.4732E-3</v>
      </c>
      <c r="BW13" s="4">
        <v>1.4526000000000001E-3</v>
      </c>
      <c r="BX13" s="4">
        <v>1.4323000000000001E-3</v>
      </c>
      <c r="BY13" s="4">
        <v>1.4124000000000001E-3</v>
      </c>
      <c r="BZ13" s="4">
        <v>1.3928E-3</v>
      </c>
      <c r="CA13" s="4">
        <v>1.3734999999999999E-3</v>
      </c>
      <c r="CB13" s="4">
        <v>1.3545E-3</v>
      </c>
      <c r="CC13" s="4">
        <v>1.3358000000000001E-3</v>
      </c>
      <c r="CD13" s="4">
        <v>1.3173E-3</v>
      </c>
      <c r="CE13" s="4">
        <v>1.2991999999999999E-3</v>
      </c>
      <c r="CF13" s="4">
        <v>1.2813E-3</v>
      </c>
      <c r="CG13" s="4">
        <v>1.2635999999999999E-3</v>
      </c>
      <c r="CH13" s="4">
        <v>1.2463000000000001E-3</v>
      </c>
      <c r="CI13" s="4">
        <v>1.2290999999999999E-3</v>
      </c>
      <c r="CJ13" s="4">
        <v>1.2122000000000001E-3</v>
      </c>
      <c r="CK13" s="4">
        <v>1.1956E-3</v>
      </c>
      <c r="CL13" s="4">
        <v>1.1792E-3</v>
      </c>
      <c r="CM13" s="4">
        <v>1.163E-3</v>
      </c>
      <c r="CN13" s="4">
        <v>1.1471000000000001E-3</v>
      </c>
      <c r="CO13" s="4">
        <v>1.1313E-3</v>
      </c>
      <c r="CP13" s="4">
        <v>1.1157999999999999E-3</v>
      </c>
      <c r="CQ13" s="4">
        <v>1.1004999999999999E-3</v>
      </c>
      <c r="CR13" s="4">
        <v>1.0854E-3</v>
      </c>
      <c r="CS13" s="4">
        <v>1.0705000000000001E-3</v>
      </c>
      <c r="CT13" s="4">
        <v>1.0559E-3</v>
      </c>
      <c r="CU13" s="4">
        <v>1.0414000000000001E-3</v>
      </c>
      <c r="CV13" s="4">
        <v>1.0271E-3</v>
      </c>
      <c r="CW13" s="4">
        <v>1.013E-3</v>
      </c>
      <c r="CX13" s="4">
        <v>9.9909999999999994E-4</v>
      </c>
      <c r="CY13" s="4">
        <v>9.8539999999999999E-4</v>
      </c>
      <c r="CZ13" s="4">
        <v>9.7190000000000004E-4</v>
      </c>
      <c r="DA13" s="4">
        <v>9.5850000000000004E-4</v>
      </c>
      <c r="DB13" s="4">
        <v>9.4539999999999999E-4</v>
      </c>
      <c r="DC13" s="4">
        <v>9.324E-4</v>
      </c>
      <c r="DD13" s="4">
        <v>9.1960000000000002E-4</v>
      </c>
      <c r="DE13" s="4">
        <v>9.0689999999999998E-4</v>
      </c>
      <c r="DF13" s="4">
        <v>8.945E-4</v>
      </c>
      <c r="DG13" s="4">
        <v>8.8219999999999998E-4</v>
      </c>
      <c r="DH13" s="4">
        <v>8.7000000000000001E-4</v>
      </c>
      <c r="DI13" s="4">
        <v>8.5809999999999999E-4</v>
      </c>
      <c r="DJ13" s="4">
        <v>8.4619999999999997E-4</v>
      </c>
      <c r="DK13" s="4">
        <v>8.3460000000000001E-4</v>
      </c>
      <c r="DL13" s="4">
        <v>8.231E-4</v>
      </c>
      <c r="DM13" s="4">
        <v>8.1170000000000005E-4</v>
      </c>
      <c r="DN13" s="4">
        <v>8.005E-4</v>
      </c>
      <c r="DO13" s="4">
        <v>7.8950000000000005E-4</v>
      </c>
      <c r="DP13" s="4">
        <v>7.7859999999999995E-4</v>
      </c>
      <c r="DQ13" s="4">
        <v>5.4600500000000003E-2</v>
      </c>
      <c r="DR13" s="4">
        <v>0</v>
      </c>
      <c r="DS13" s="4">
        <v>1.2799999999999999E-4</v>
      </c>
      <c r="DT13" s="4">
        <v>3.0259999999999998E-4</v>
      </c>
      <c r="DU13" s="4">
        <v>4.6279999999999997E-4</v>
      </c>
      <c r="DV13" s="4">
        <v>5.7160000000000002E-4</v>
      </c>
      <c r="DW13" s="4">
        <v>6.8550000000000002E-4</v>
      </c>
      <c r="DX13" s="4">
        <v>6.2929999999999995E-4</v>
      </c>
      <c r="DY13" s="4">
        <v>5.4270000000000002E-4</v>
      </c>
      <c r="DZ13" s="4">
        <v>4.8910000000000002E-4</v>
      </c>
      <c r="EA13" s="4">
        <v>4.3140000000000002E-4</v>
      </c>
      <c r="EB13" s="4">
        <v>3.8299999999999999E-4</v>
      </c>
      <c r="EC13" s="4">
        <v>3.4049999999999998E-4</v>
      </c>
      <c r="ED13" s="4">
        <v>3.0400000000000002E-4</v>
      </c>
      <c r="EE13" s="4">
        <v>2.721E-4</v>
      </c>
      <c r="EF13" s="4">
        <v>2.4449999999999998E-4</v>
      </c>
      <c r="EG13" s="4">
        <v>2.2049999999999999E-4</v>
      </c>
      <c r="EH13" s="4">
        <v>1.996E-4</v>
      </c>
      <c r="EI13" s="4">
        <v>1.8129999999999999E-4</v>
      </c>
      <c r="EJ13" s="4">
        <v>1.652E-4</v>
      </c>
      <c r="EK13" s="4">
        <v>1.5109999999999999E-4</v>
      </c>
      <c r="EL13" s="4">
        <v>1.3870000000000001E-4</v>
      </c>
      <c r="EM13" s="4">
        <v>1.2769999999999999E-4</v>
      </c>
      <c r="EN13" s="4">
        <v>1.18E-4</v>
      </c>
      <c r="EO13" s="4">
        <v>1.093E-4</v>
      </c>
      <c r="EP13" s="4">
        <v>1.016E-4</v>
      </c>
      <c r="EQ13" s="4">
        <v>9.4699999999999998E-5</v>
      </c>
      <c r="ER13" s="4">
        <v>8.8499999999999996E-5</v>
      </c>
      <c r="ES13" s="4">
        <v>8.2899999999999996E-5</v>
      </c>
      <c r="ET13" s="4">
        <v>7.7899999999999996E-5</v>
      </c>
      <c r="EU13" s="4">
        <v>7.3300000000000006E-5</v>
      </c>
      <c r="EV13" s="4">
        <v>6.9099999999999999E-5</v>
      </c>
      <c r="EW13" s="4">
        <v>6.5300000000000002E-5</v>
      </c>
      <c r="EX13" s="4">
        <v>6.1799999999999998E-5</v>
      </c>
      <c r="EY13" s="4">
        <v>5.8600000000000001E-5</v>
      </c>
      <c r="EZ13" s="4">
        <v>5.5699999999999999E-5</v>
      </c>
      <c r="FA13" s="4">
        <v>5.2899999999999998E-5</v>
      </c>
      <c r="FB13" s="4">
        <v>5.0399999999999999E-5</v>
      </c>
      <c r="FC13" s="4">
        <v>4.8099999999999997E-5</v>
      </c>
      <c r="FD13" s="4">
        <v>4.5899999999999998E-5</v>
      </c>
      <c r="FE13" s="4">
        <v>4.3900000000000003E-5</v>
      </c>
      <c r="FF13" s="4">
        <v>4.21E-5</v>
      </c>
      <c r="FG13" s="4">
        <v>4.0299999999999997E-5</v>
      </c>
      <c r="FH13" s="4">
        <v>3.8699999999999999E-5</v>
      </c>
      <c r="FI13" s="4">
        <v>3.7299999999999999E-5</v>
      </c>
      <c r="FJ13" s="4">
        <v>3.5899999999999998E-5</v>
      </c>
      <c r="FK13" s="4">
        <v>3.4700000000000003E-5</v>
      </c>
      <c r="FL13" s="4">
        <v>3.3500000000000001E-5</v>
      </c>
      <c r="FM13" s="4">
        <v>3.2400000000000001E-5</v>
      </c>
      <c r="FN13" s="4">
        <v>3.1399999999999998E-5</v>
      </c>
      <c r="FO13" s="4">
        <v>3.0499999999999999E-5</v>
      </c>
      <c r="FP13" s="4">
        <v>2.9600000000000001E-5</v>
      </c>
      <c r="FQ13" s="4">
        <v>2.8799999999999999E-5</v>
      </c>
      <c r="FR13" s="4">
        <v>2.8099999999999999E-5</v>
      </c>
      <c r="FS13" s="4">
        <v>2.7399999999999999E-5</v>
      </c>
      <c r="FT13" s="4">
        <v>2.6699999999999998E-5</v>
      </c>
      <c r="FU13" s="4">
        <v>2.6100000000000001E-5</v>
      </c>
      <c r="FV13" s="4">
        <v>2.5599999999999999E-5</v>
      </c>
      <c r="FW13" s="4">
        <v>2.5000000000000001E-5</v>
      </c>
      <c r="FX13" s="4">
        <v>2.4499999999999999E-5</v>
      </c>
      <c r="FY13" s="4">
        <v>2.41E-5</v>
      </c>
      <c r="FZ13" s="4">
        <v>2.3600000000000001E-5</v>
      </c>
      <c r="GA13" s="4">
        <v>2.3200000000000001E-5</v>
      </c>
      <c r="GB13" s="4">
        <v>2.2799999999999999E-5</v>
      </c>
      <c r="GC13" s="4">
        <v>2.2500000000000001E-5</v>
      </c>
      <c r="GD13" s="4">
        <v>2.2099999999999998E-5</v>
      </c>
      <c r="GE13" s="4">
        <v>2.1800000000000001E-5</v>
      </c>
      <c r="GF13" s="4">
        <v>2.1500000000000001E-5</v>
      </c>
      <c r="GG13" s="4">
        <v>2.12E-5</v>
      </c>
      <c r="GH13" s="4">
        <v>2.09E-5</v>
      </c>
      <c r="GI13" s="4">
        <v>2.0599999999999999E-5</v>
      </c>
      <c r="GJ13" s="4">
        <v>2.0400000000000001E-5</v>
      </c>
      <c r="GK13" s="4">
        <v>2.0100000000000001E-5</v>
      </c>
      <c r="GL13" s="4">
        <v>1.9899999999999999E-5</v>
      </c>
      <c r="GM13" s="4">
        <v>1.9599999999999999E-5</v>
      </c>
      <c r="GN13" s="4">
        <v>1.9400000000000001E-5</v>
      </c>
      <c r="GO13" s="4">
        <v>1.91E-5</v>
      </c>
      <c r="GP13" s="4">
        <v>1.8899999999999999E-5</v>
      </c>
      <c r="GQ13" s="4">
        <v>1.8700000000000001E-5</v>
      </c>
      <c r="GR13" s="4">
        <v>1.8499999999999999E-5</v>
      </c>
      <c r="GS13" s="4">
        <v>1.8300000000000001E-5</v>
      </c>
      <c r="GT13" s="4">
        <v>1.8099999999999999E-5</v>
      </c>
      <c r="GU13" s="4">
        <v>1.7900000000000001E-5</v>
      </c>
      <c r="GV13" s="4">
        <v>1.77E-5</v>
      </c>
      <c r="GW13" s="4">
        <v>1.7499999999999998E-5</v>
      </c>
      <c r="GX13" s="4">
        <v>1.73E-5</v>
      </c>
      <c r="GY13" s="4">
        <v>1.7099999999999999E-5</v>
      </c>
      <c r="GZ13" s="4">
        <v>1.6900000000000001E-5</v>
      </c>
      <c r="HA13" s="4">
        <v>1.6699999999999999E-5</v>
      </c>
      <c r="HB13" s="4">
        <v>1.6500000000000001E-5</v>
      </c>
      <c r="HC13" s="4">
        <v>1.63E-5</v>
      </c>
      <c r="HD13" s="4">
        <v>1.6099999999999998E-5</v>
      </c>
      <c r="HE13" s="4">
        <v>1.59E-5</v>
      </c>
      <c r="HF13" s="4">
        <v>1.5699999999999999E-5</v>
      </c>
      <c r="HG13" s="4">
        <v>1.56E-5</v>
      </c>
      <c r="HH13" s="4">
        <v>1.5400000000000002E-5</v>
      </c>
      <c r="HI13" s="4">
        <v>1.52E-5</v>
      </c>
      <c r="HJ13" s="4">
        <v>1.5E-5</v>
      </c>
      <c r="HK13" s="4">
        <v>1.4800000000000001E-5</v>
      </c>
      <c r="HL13" s="4">
        <v>1.47E-5</v>
      </c>
      <c r="HM13" s="4">
        <v>1.45E-5</v>
      </c>
      <c r="HN13" s="4">
        <v>1.43E-5</v>
      </c>
      <c r="HO13" s="4">
        <v>1.4100000000000001E-5</v>
      </c>
      <c r="HP13" s="4">
        <v>1.4E-5</v>
      </c>
      <c r="HQ13" s="4">
        <v>1.38E-5</v>
      </c>
      <c r="HR13" s="4">
        <v>1.36E-5</v>
      </c>
      <c r="HS13" s="4">
        <v>1.34E-5</v>
      </c>
      <c r="HT13" s="4">
        <v>1.33E-5</v>
      </c>
      <c r="HU13" s="4">
        <v>1.31E-5</v>
      </c>
      <c r="HV13" s="4">
        <v>1.29E-5</v>
      </c>
      <c r="HW13" s="4">
        <v>1.2799999999999999E-5</v>
      </c>
      <c r="HX13" s="4">
        <v>1.26E-5</v>
      </c>
      <c r="HY13" s="4">
        <v>1.24E-5</v>
      </c>
      <c r="HZ13" s="4">
        <v>1.2300000000000001E-5</v>
      </c>
      <c r="IA13" s="4">
        <v>1.2099999999999999E-5</v>
      </c>
      <c r="IB13" s="4">
        <v>1.2E-5</v>
      </c>
      <c r="IC13" s="4">
        <v>1.1800000000000001E-5</v>
      </c>
      <c r="ID13" s="4">
        <v>1.17E-5</v>
      </c>
      <c r="IE13" s="4">
        <v>1.15E-5</v>
      </c>
      <c r="IF13" s="4">
        <v>1.13E-5</v>
      </c>
      <c r="IG13" s="4">
        <v>7.8950000000000005E-4</v>
      </c>
      <c r="IH13" s="4"/>
      <c r="II13" s="4">
        <f t="shared" si="247"/>
        <v>0.12192621720991778</v>
      </c>
      <c r="IL13">
        <f t="shared" si="248"/>
        <v>0.35719881249999957</v>
      </c>
      <c r="IP13" s="4">
        <f t="shared" si="249"/>
        <v>3.7339899999999995E-2</v>
      </c>
      <c r="IQ13" s="4">
        <f t="shared" si="250"/>
        <v>3.1234999999999999E-2</v>
      </c>
      <c r="IR13" s="4">
        <f t="shared" si="251"/>
        <v>2.4124099999999999E-2</v>
      </c>
      <c r="IS13" s="4">
        <f t="shared" si="252"/>
        <v>1.9688199999999999E-2</v>
      </c>
      <c r="IT13" s="4">
        <f t="shared" si="253"/>
        <v>1.6716099999999998E-2</v>
      </c>
      <c r="IU13" s="4">
        <f t="shared" si="254"/>
        <v>6.0240100000000005E-2</v>
      </c>
      <c r="IV13" s="4">
        <f t="shared" si="255"/>
        <v>4.0781100000000008E-2</v>
      </c>
      <c r="IW13" s="4">
        <f t="shared" si="256"/>
        <v>3.0213800000000006E-2</v>
      </c>
      <c r="IX13" s="4">
        <f t="shared" si="257"/>
        <v>9.3266199999999994E-2</v>
      </c>
      <c r="JA13" s="4">
        <f t="shared" ref="JA13:JA17" si="287">SUM(C10:F10)-SUM(G14:J14)</f>
        <v>9.5459999999999989E-3</v>
      </c>
      <c r="JB13" s="4">
        <f t="shared" ref="JB13:JB17" si="288">SUM(G10:J10)-SUM(K14:N14)</f>
        <v>9.0124999999999997E-3</v>
      </c>
      <c r="JC13" s="4">
        <f t="shared" si="260"/>
        <v>5.7683999999999964E-3</v>
      </c>
      <c r="JD13" s="4">
        <f t="shared" si="261"/>
        <v>3.7646999999999993E-3</v>
      </c>
      <c r="JE13" s="4">
        <f t="shared" si="262"/>
        <v>2.5763999999999995E-3</v>
      </c>
      <c r="JF13" s="4">
        <f t="shared" si="263"/>
        <v>5.806500000000013E-3</v>
      </c>
      <c r="JG13" s="4">
        <f t="shared" si="264"/>
        <v>2.2782000000000011E-3</v>
      </c>
      <c r="JH13" s="4">
        <f t="shared" si="265"/>
        <v>1.5007000000000041E-3</v>
      </c>
      <c r="JI13" s="4">
        <f t="shared" si="266"/>
        <v>3.298499999999982E-3</v>
      </c>
      <c r="JK13">
        <f t="shared" si="284"/>
        <v>2009</v>
      </c>
      <c r="JL13">
        <f t="shared" si="267"/>
        <v>25.56514613054668</v>
      </c>
      <c r="JM13">
        <f t="shared" si="268"/>
        <v>28.853849847927005</v>
      </c>
      <c r="JN13">
        <f t="shared" si="269"/>
        <v>23.911358351192366</v>
      </c>
      <c r="JO13">
        <f t="shared" si="270"/>
        <v>19.121605834967134</v>
      </c>
      <c r="JP13">
        <f t="shared" si="271"/>
        <v>15.412685973402889</v>
      </c>
      <c r="JQ13">
        <f t="shared" si="272"/>
        <v>9.638928222230728</v>
      </c>
      <c r="JR13">
        <f t="shared" si="273"/>
        <v>5.5864113523176195</v>
      </c>
      <c r="JS13">
        <f t="shared" si="274"/>
        <v>4.966935638681675</v>
      </c>
      <c r="JT13">
        <f t="shared" si="275"/>
        <v>3.5366510054017235</v>
      </c>
      <c r="JV13" s="12">
        <f t="shared" si="285"/>
        <v>2009</v>
      </c>
      <c r="JW13" s="12">
        <f t="shared" si="286"/>
        <v>5.4726960588930602</v>
      </c>
      <c r="JX13" s="12">
        <f t="shared" si="276"/>
        <v>5.6901359728258605</v>
      </c>
      <c r="JY13" s="12">
        <f t="shared" si="277"/>
        <v>4.3468157936952281</v>
      </c>
      <c r="JZ13" s="12">
        <f t="shared" si="278"/>
        <v>3.0347279008095214</v>
      </c>
      <c r="KA13" s="12">
        <f t="shared" si="279"/>
        <v>2.0163617976106885</v>
      </c>
      <c r="KB13" s="12">
        <f t="shared" si="280"/>
        <v>0.34752895439715559</v>
      </c>
      <c r="KC13" s="12">
        <f t="shared" si="281"/>
        <v>-0.6089154857229726</v>
      </c>
      <c r="KD13" s="12">
        <f t="shared" si="282"/>
        <v>-0.55159248775260217</v>
      </c>
      <c r="KE13" s="12">
        <f t="shared" si="283"/>
        <v>-1.9970128363042203</v>
      </c>
    </row>
    <row r="14" spans="1:291" x14ac:dyDescent="0.35">
      <c r="A14" s="1">
        <v>6</v>
      </c>
      <c r="B14" s="4">
        <v>1.0309199999999999E-2</v>
      </c>
      <c r="C14" s="4">
        <v>1.0309199999999999E-2</v>
      </c>
      <c r="D14" s="4">
        <v>9.7453999999999995E-3</v>
      </c>
      <c r="E14" s="4">
        <v>9.4377000000000003E-3</v>
      </c>
      <c r="F14" s="4">
        <v>8.8752999999999992E-3</v>
      </c>
      <c r="G14" s="4">
        <v>7.8163999999999994E-3</v>
      </c>
      <c r="H14" s="4">
        <v>8.0385999999999999E-3</v>
      </c>
      <c r="I14" s="4">
        <v>7.4078E-3</v>
      </c>
      <c r="J14" s="4">
        <v>6.9360999999999997E-3</v>
      </c>
      <c r="K14" s="4">
        <v>6.5058E-3</v>
      </c>
      <c r="L14" s="4">
        <v>6.1324999999999999E-3</v>
      </c>
      <c r="M14" s="4">
        <v>5.7971000000000003E-3</v>
      </c>
      <c r="N14" s="4">
        <v>5.5009000000000004E-3</v>
      </c>
      <c r="O14" s="4">
        <v>5.2347000000000001E-3</v>
      </c>
      <c r="P14" s="4">
        <v>4.9946000000000001E-3</v>
      </c>
      <c r="Q14" s="4">
        <v>4.7772999999999999E-3</v>
      </c>
      <c r="R14" s="4">
        <v>4.5798000000000002E-3</v>
      </c>
      <c r="S14" s="4">
        <v>4.3997999999999997E-3</v>
      </c>
      <c r="T14" s="4">
        <v>4.2351000000000003E-3</v>
      </c>
      <c r="U14" s="4">
        <v>4.0838999999999997E-3</v>
      </c>
      <c r="V14" s="4">
        <v>3.9446999999999998E-3</v>
      </c>
      <c r="W14" s="4">
        <v>3.8160999999999998E-3</v>
      </c>
      <c r="X14" s="4">
        <v>3.6968999999999999E-3</v>
      </c>
      <c r="Y14" s="4">
        <v>3.5861999999999999E-3</v>
      </c>
      <c r="Z14" s="4">
        <v>3.4829000000000001E-3</v>
      </c>
      <c r="AA14" s="4">
        <v>3.3863999999999999E-3</v>
      </c>
      <c r="AB14" s="4">
        <v>3.2959E-3</v>
      </c>
      <c r="AC14" s="4">
        <v>3.2108000000000002E-3</v>
      </c>
      <c r="AD14" s="4">
        <v>3.1307000000000001E-3</v>
      </c>
      <c r="AE14" s="4">
        <v>3.0549000000000002E-3</v>
      </c>
      <c r="AF14" s="4">
        <v>2.9832000000000001E-3</v>
      </c>
      <c r="AG14" s="4">
        <v>2.9152000000000002E-3</v>
      </c>
      <c r="AH14" s="4">
        <v>2.8505000000000002E-3</v>
      </c>
      <c r="AI14" s="4">
        <v>2.7889E-3</v>
      </c>
      <c r="AJ14" s="4">
        <v>2.7301000000000001E-3</v>
      </c>
      <c r="AK14" s="4">
        <v>2.6738999999999999E-3</v>
      </c>
      <c r="AL14" s="4">
        <v>2.6201000000000002E-3</v>
      </c>
      <c r="AM14" s="4">
        <v>2.5685E-3</v>
      </c>
      <c r="AN14" s="4">
        <v>2.519E-3</v>
      </c>
      <c r="AO14" s="4">
        <v>2.4713999999999999E-3</v>
      </c>
      <c r="AP14" s="4">
        <v>2.4256E-3</v>
      </c>
      <c r="AQ14" s="4">
        <v>2.3814000000000001E-3</v>
      </c>
      <c r="AR14" s="4">
        <v>2.3387999999999998E-3</v>
      </c>
      <c r="AS14" s="4">
        <v>2.2977000000000002E-3</v>
      </c>
      <c r="AT14" s="4">
        <v>2.2579000000000002E-3</v>
      </c>
      <c r="AU14" s="4">
        <v>2.2193999999999998E-3</v>
      </c>
      <c r="AV14" s="4">
        <v>2.1819999999999999E-3</v>
      </c>
      <c r="AW14" s="4">
        <v>2.1457999999999998E-3</v>
      </c>
      <c r="AX14" s="4">
        <v>2.1107000000000001E-3</v>
      </c>
      <c r="AY14" s="4">
        <v>2.0764999999999998E-3</v>
      </c>
      <c r="AZ14" s="4">
        <v>2.0433000000000001E-3</v>
      </c>
      <c r="BA14" s="4">
        <v>2.0108999999999999E-3</v>
      </c>
      <c r="BB14" s="4">
        <v>1.9794000000000001E-3</v>
      </c>
      <c r="BC14" s="4">
        <v>1.9487E-3</v>
      </c>
      <c r="BD14" s="4">
        <v>1.9187E-3</v>
      </c>
      <c r="BE14" s="4">
        <v>1.8894000000000001E-3</v>
      </c>
      <c r="BF14" s="4">
        <v>1.8607999999999999E-3</v>
      </c>
      <c r="BG14" s="4">
        <v>1.8328999999999999E-3</v>
      </c>
      <c r="BH14" s="4">
        <v>1.8055E-3</v>
      </c>
      <c r="BI14" s="4">
        <v>1.7787E-3</v>
      </c>
      <c r="BJ14" s="4">
        <v>1.7524999999999999E-3</v>
      </c>
      <c r="BK14" s="4">
        <v>1.7267999999999999E-3</v>
      </c>
      <c r="BL14" s="4">
        <v>1.7015999999999999E-3</v>
      </c>
      <c r="BM14" s="4">
        <v>1.6769E-3</v>
      </c>
      <c r="BN14" s="4">
        <v>1.6527E-3</v>
      </c>
      <c r="BO14" s="4">
        <v>1.629E-3</v>
      </c>
      <c r="BP14" s="4">
        <v>1.6056E-3</v>
      </c>
      <c r="BQ14" s="4">
        <v>1.5827E-3</v>
      </c>
      <c r="BR14" s="4">
        <v>1.5602000000000001E-3</v>
      </c>
      <c r="BS14" s="4">
        <v>1.5380999999999999E-3</v>
      </c>
      <c r="BT14" s="4">
        <v>1.5162999999999999E-3</v>
      </c>
      <c r="BU14" s="4">
        <v>1.495E-3</v>
      </c>
      <c r="BV14" s="4">
        <v>1.474E-3</v>
      </c>
      <c r="BW14" s="4">
        <v>1.4533E-3</v>
      </c>
      <c r="BX14" s="4">
        <v>1.433E-3</v>
      </c>
      <c r="BY14" s="4">
        <v>1.413E-3</v>
      </c>
      <c r="BZ14" s="4">
        <v>1.3933000000000001E-3</v>
      </c>
      <c r="CA14" s="4">
        <v>1.3738999999999999E-3</v>
      </c>
      <c r="CB14" s="4">
        <v>1.3548E-3</v>
      </c>
      <c r="CC14" s="4">
        <v>1.3359999999999999E-3</v>
      </c>
      <c r="CD14" s="4">
        <v>1.3175000000000001E-3</v>
      </c>
      <c r="CE14" s="4">
        <v>1.2993E-3</v>
      </c>
      <c r="CF14" s="4">
        <v>1.2813E-3</v>
      </c>
      <c r="CG14" s="4">
        <v>1.2635999999999999E-3</v>
      </c>
      <c r="CH14" s="4">
        <v>1.2462E-3</v>
      </c>
      <c r="CI14" s="4">
        <v>1.2290000000000001E-3</v>
      </c>
      <c r="CJ14" s="4">
        <v>1.2121E-3</v>
      </c>
      <c r="CK14" s="4">
        <v>1.1954000000000001E-3</v>
      </c>
      <c r="CL14" s="4">
        <v>1.1789000000000001E-3</v>
      </c>
      <c r="CM14" s="4">
        <v>1.1627E-3</v>
      </c>
      <c r="CN14" s="4">
        <v>1.1467000000000001E-3</v>
      </c>
      <c r="CO14" s="4">
        <v>1.1309E-3</v>
      </c>
      <c r="CP14" s="4">
        <v>1.1153999999999999E-3</v>
      </c>
      <c r="CQ14" s="4">
        <v>1.1000999999999999E-3</v>
      </c>
      <c r="CR14" s="4">
        <v>1.085E-3</v>
      </c>
      <c r="CS14" s="4">
        <v>1.07E-3</v>
      </c>
      <c r="CT14" s="4">
        <v>1.0552999999999999E-3</v>
      </c>
      <c r="CU14" s="4">
        <v>1.0407999999999999E-3</v>
      </c>
      <c r="CV14" s="4">
        <v>1.0265000000000001E-3</v>
      </c>
      <c r="CW14" s="4">
        <v>1.0124000000000001E-3</v>
      </c>
      <c r="CX14" s="4">
        <v>9.9850000000000004E-4</v>
      </c>
      <c r="CY14" s="4">
        <v>9.8480000000000009E-4</v>
      </c>
      <c r="CZ14" s="4">
        <v>9.7130000000000003E-4</v>
      </c>
      <c r="DA14" s="4">
        <v>9.5790000000000003E-4</v>
      </c>
      <c r="DB14" s="4">
        <v>9.4479999999999998E-4</v>
      </c>
      <c r="DC14" s="4">
        <v>9.3179999999999999E-4</v>
      </c>
      <c r="DD14" s="4">
        <v>9.19E-4</v>
      </c>
      <c r="DE14" s="4">
        <v>9.0629999999999997E-4</v>
      </c>
      <c r="DF14" s="4">
        <v>8.9380000000000004E-4</v>
      </c>
      <c r="DG14" s="4">
        <v>8.8150000000000001E-4</v>
      </c>
      <c r="DH14" s="4">
        <v>8.6939999999999999E-4</v>
      </c>
      <c r="DI14" s="4">
        <v>8.5740000000000002E-4</v>
      </c>
      <c r="DJ14" s="4">
        <v>8.4559999999999995E-4</v>
      </c>
      <c r="DK14" s="4">
        <v>8.34E-4</v>
      </c>
      <c r="DL14" s="4">
        <v>8.2249999999999999E-4</v>
      </c>
      <c r="DM14" s="4">
        <v>8.1110000000000004E-4</v>
      </c>
      <c r="DN14" s="4">
        <v>7.9989999999999998E-4</v>
      </c>
      <c r="DO14" s="4">
        <v>7.8890000000000004E-4</v>
      </c>
      <c r="DP14" s="4">
        <v>7.7800000000000005E-4</v>
      </c>
      <c r="DQ14" s="4">
        <v>5.4578300000000003E-2</v>
      </c>
      <c r="DR14" s="4">
        <v>0</v>
      </c>
      <c r="DS14" s="4">
        <v>1.561E-4</v>
      </c>
      <c r="DT14" s="4">
        <v>3.0029999999999998E-4</v>
      </c>
      <c r="DU14" s="4">
        <v>4.7350000000000002E-4</v>
      </c>
      <c r="DV14" s="4">
        <v>5.8160000000000004E-4</v>
      </c>
      <c r="DW14" s="4">
        <v>5.1119999999999996E-4</v>
      </c>
      <c r="DX14" s="4">
        <v>5.4810000000000004E-4</v>
      </c>
      <c r="DY14" s="4">
        <v>4.6969999999999998E-4</v>
      </c>
      <c r="DZ14" s="4">
        <v>4.1330000000000002E-4</v>
      </c>
      <c r="EA14" s="4">
        <v>3.6850000000000001E-4</v>
      </c>
      <c r="EB14" s="4">
        <v>3.2830000000000001E-4</v>
      </c>
      <c r="EC14" s="4">
        <v>2.9399999999999999E-4</v>
      </c>
      <c r="ED14" s="4">
        <v>2.6410000000000002E-4</v>
      </c>
      <c r="EE14" s="4">
        <v>2.3809999999999999E-4</v>
      </c>
      <c r="EF14" s="4">
        <v>2.1550000000000001E-4</v>
      </c>
      <c r="EG14" s="4">
        <v>1.9570000000000001E-4</v>
      </c>
      <c r="EH14" s="4">
        <v>1.783E-4</v>
      </c>
      <c r="EI14" s="4">
        <v>1.6310000000000001E-4</v>
      </c>
      <c r="EJ14" s="4">
        <v>1.4970000000000001E-4</v>
      </c>
      <c r="EK14" s="4">
        <v>1.3779999999999999E-4</v>
      </c>
      <c r="EL14" s="4">
        <v>1.273E-4</v>
      </c>
      <c r="EM14" s="4">
        <v>1.1790000000000001E-4</v>
      </c>
      <c r="EN14" s="4">
        <v>1.0950000000000001E-4</v>
      </c>
      <c r="EO14" s="4">
        <v>1.021E-4</v>
      </c>
      <c r="EP14" s="4">
        <v>9.5400000000000001E-5</v>
      </c>
      <c r="EQ14" s="4">
        <v>8.9400000000000005E-5</v>
      </c>
      <c r="ER14" s="4">
        <v>8.3999999999999995E-5</v>
      </c>
      <c r="ES14" s="4">
        <v>7.9099999999999998E-5</v>
      </c>
      <c r="ET14" s="4">
        <v>7.4599999999999997E-5</v>
      </c>
      <c r="EU14" s="4">
        <v>7.0599999999999995E-5</v>
      </c>
      <c r="EV14" s="4">
        <v>6.6799999999999997E-5</v>
      </c>
      <c r="EW14" s="4">
        <v>6.3399999999999996E-5</v>
      </c>
      <c r="EX14" s="4">
        <v>6.02E-5</v>
      </c>
      <c r="EY14" s="4">
        <v>5.7299999999999997E-5</v>
      </c>
      <c r="EZ14" s="4">
        <v>5.4599999999999999E-5</v>
      </c>
      <c r="FA14" s="4">
        <v>5.1999999999999997E-5</v>
      </c>
      <c r="FB14" s="4">
        <v>4.9700000000000002E-5</v>
      </c>
      <c r="FC14" s="4">
        <v>4.7500000000000003E-5</v>
      </c>
      <c r="FD14" s="4">
        <v>4.5500000000000001E-5</v>
      </c>
      <c r="FE14" s="4">
        <v>4.3600000000000003E-5</v>
      </c>
      <c r="FF14" s="4">
        <v>4.1900000000000002E-5</v>
      </c>
      <c r="FG14" s="4">
        <v>4.0200000000000001E-5</v>
      </c>
      <c r="FH14" s="4">
        <v>3.8699999999999999E-5</v>
      </c>
      <c r="FI14" s="4">
        <v>3.7299999999999999E-5</v>
      </c>
      <c r="FJ14" s="4">
        <v>3.6000000000000001E-5</v>
      </c>
      <c r="FK14" s="4">
        <v>3.4799999999999999E-5</v>
      </c>
      <c r="FL14" s="4">
        <v>3.3599999999999997E-5</v>
      </c>
      <c r="FM14" s="4">
        <v>3.26E-5</v>
      </c>
      <c r="FN14" s="4">
        <v>3.1600000000000002E-5</v>
      </c>
      <c r="FO14" s="4">
        <v>3.0700000000000001E-5</v>
      </c>
      <c r="FP14" s="4">
        <v>2.9799999999999999E-5</v>
      </c>
      <c r="FQ14" s="4">
        <v>2.9E-5</v>
      </c>
      <c r="FR14" s="4">
        <v>2.83E-5</v>
      </c>
      <c r="FS14" s="4">
        <v>2.76E-5</v>
      </c>
      <c r="FT14" s="4">
        <v>2.6999999999999999E-5</v>
      </c>
      <c r="FU14" s="4">
        <v>2.6299999999999999E-5</v>
      </c>
      <c r="FV14" s="4">
        <v>2.58E-5</v>
      </c>
      <c r="FW14" s="4">
        <v>2.5199999999999999E-5</v>
      </c>
      <c r="FX14" s="4">
        <v>2.4700000000000001E-5</v>
      </c>
      <c r="FY14" s="4">
        <v>2.4300000000000001E-5</v>
      </c>
      <c r="FZ14" s="4">
        <v>2.3799999999999999E-5</v>
      </c>
      <c r="GA14" s="4">
        <v>2.34E-5</v>
      </c>
      <c r="GB14" s="4">
        <v>2.3E-5</v>
      </c>
      <c r="GC14" s="4">
        <v>2.26E-5</v>
      </c>
      <c r="GD14" s="4">
        <v>2.23E-5</v>
      </c>
      <c r="GE14" s="4">
        <v>2.19E-5</v>
      </c>
      <c r="GF14" s="4">
        <v>2.16E-5</v>
      </c>
      <c r="GG14" s="4">
        <v>2.1299999999999999E-5</v>
      </c>
      <c r="GH14" s="4">
        <v>2.0999999999999999E-5</v>
      </c>
      <c r="GI14" s="4">
        <v>2.0699999999999998E-5</v>
      </c>
      <c r="GJ14" s="4">
        <v>2.0400000000000001E-5</v>
      </c>
      <c r="GK14" s="4">
        <v>2.0100000000000001E-5</v>
      </c>
      <c r="GL14" s="4">
        <v>1.9899999999999999E-5</v>
      </c>
      <c r="GM14" s="4">
        <v>1.9599999999999999E-5</v>
      </c>
      <c r="GN14" s="4">
        <v>1.9300000000000002E-5</v>
      </c>
      <c r="GO14" s="4">
        <v>1.91E-5</v>
      </c>
      <c r="GP14" s="4">
        <v>1.8899999999999999E-5</v>
      </c>
      <c r="GQ14" s="4">
        <v>1.8600000000000001E-5</v>
      </c>
      <c r="GR14" s="4">
        <v>1.84E-5</v>
      </c>
      <c r="GS14" s="4">
        <v>1.8199999999999999E-5</v>
      </c>
      <c r="GT14" s="4">
        <v>1.8E-5</v>
      </c>
      <c r="GU14" s="4">
        <v>1.77E-5</v>
      </c>
      <c r="GV14" s="4">
        <v>1.7499999999999998E-5</v>
      </c>
      <c r="GW14" s="4">
        <v>1.73E-5</v>
      </c>
      <c r="GX14" s="4">
        <v>1.7099999999999999E-5</v>
      </c>
      <c r="GY14" s="4">
        <v>1.6900000000000001E-5</v>
      </c>
      <c r="GZ14" s="4">
        <v>1.6699999999999999E-5</v>
      </c>
      <c r="HA14" s="4">
        <v>1.6500000000000001E-5</v>
      </c>
      <c r="HB14" s="4">
        <v>1.63E-5</v>
      </c>
      <c r="HC14" s="4">
        <v>1.6099999999999998E-5</v>
      </c>
      <c r="HD14" s="4">
        <v>1.59E-5</v>
      </c>
      <c r="HE14" s="4">
        <v>1.5699999999999999E-5</v>
      </c>
      <c r="HF14" s="4">
        <v>1.5500000000000001E-5</v>
      </c>
      <c r="HG14" s="4">
        <v>1.5299999999999999E-5</v>
      </c>
      <c r="HH14" s="4">
        <v>1.52E-5</v>
      </c>
      <c r="HI14" s="4">
        <v>1.5E-5</v>
      </c>
      <c r="HJ14" s="4">
        <v>1.4800000000000001E-5</v>
      </c>
      <c r="HK14" s="4">
        <v>1.4600000000000001E-5</v>
      </c>
      <c r="HL14" s="4">
        <v>1.4399999999999999E-5</v>
      </c>
      <c r="HM14" s="4">
        <v>1.42E-5</v>
      </c>
      <c r="HN14" s="4">
        <v>1.4100000000000001E-5</v>
      </c>
      <c r="HO14" s="4">
        <v>1.3900000000000001E-5</v>
      </c>
      <c r="HP14" s="4">
        <v>1.3699999999999999E-5</v>
      </c>
      <c r="HQ14" s="4">
        <v>1.3499999999999999E-5</v>
      </c>
      <c r="HR14" s="4">
        <v>1.34E-5</v>
      </c>
      <c r="HS14" s="4">
        <v>1.3200000000000001E-5</v>
      </c>
      <c r="HT14" s="4">
        <v>1.2999999999999999E-5</v>
      </c>
      <c r="HU14" s="4">
        <v>1.2799999999999999E-5</v>
      </c>
      <c r="HV14" s="4">
        <v>1.27E-5</v>
      </c>
      <c r="HW14" s="4">
        <v>1.2500000000000001E-5</v>
      </c>
      <c r="HX14" s="4">
        <v>1.2300000000000001E-5</v>
      </c>
      <c r="HY14" s="4">
        <v>1.22E-5</v>
      </c>
      <c r="HZ14" s="4">
        <v>1.2E-5</v>
      </c>
      <c r="IA14" s="4">
        <v>1.19E-5</v>
      </c>
      <c r="IB14" s="4">
        <v>1.17E-5</v>
      </c>
      <c r="IC14" s="4">
        <v>1.15E-5</v>
      </c>
      <c r="ID14" s="4">
        <v>1.1399999999999999E-5</v>
      </c>
      <c r="IE14" s="4">
        <v>1.1199999999999999E-5</v>
      </c>
      <c r="IF14" s="4">
        <v>1.11E-5</v>
      </c>
      <c r="IG14" s="4">
        <v>7.6289999999999995E-4</v>
      </c>
      <c r="IH14" s="4"/>
      <c r="II14" s="4">
        <f t="shared" si="247"/>
        <v>0.11598886006877651</v>
      </c>
      <c r="IL14">
        <f t="shared" si="248"/>
        <v>0.35635318749999978</v>
      </c>
      <c r="IP14" s="4">
        <f t="shared" si="249"/>
        <v>3.8367600000000002E-2</v>
      </c>
      <c r="IQ14" s="4">
        <f t="shared" si="250"/>
        <v>3.0198900000000001E-2</v>
      </c>
      <c r="IR14" s="4">
        <f t="shared" si="251"/>
        <v>2.3936300000000001E-2</v>
      </c>
      <c r="IS14" s="4">
        <f t="shared" si="252"/>
        <v>1.95864E-2</v>
      </c>
      <c r="IT14" s="4">
        <f t="shared" si="253"/>
        <v>1.6663500000000001E-2</v>
      </c>
      <c r="IU14" s="4">
        <f t="shared" si="254"/>
        <v>6.0207199999999995E-2</v>
      </c>
      <c r="IV14" s="4">
        <f t="shared" si="255"/>
        <v>4.0830999999999999E-2</v>
      </c>
      <c r="IW14" s="4">
        <f t="shared" si="256"/>
        <v>3.0233700000000002E-2</v>
      </c>
      <c r="IX14" s="4">
        <f t="shared" si="257"/>
        <v>9.3226400000000015E-2</v>
      </c>
      <c r="JA14" s="4">
        <f t="shared" si="287"/>
        <v>8.6510999999999949E-3</v>
      </c>
      <c r="JB14" s="4">
        <f t="shared" si="288"/>
        <v>8.1567999999999988E-3</v>
      </c>
      <c r="JC14" s="4">
        <f t="shared" si="260"/>
        <v>5.1420000000000007E-3</v>
      </c>
      <c r="JD14" s="4">
        <f t="shared" si="261"/>
        <v>3.3940999999999971E-3</v>
      </c>
      <c r="JE14" s="4">
        <f t="shared" si="262"/>
        <v>2.3600999999999987E-3</v>
      </c>
      <c r="JF14" s="4">
        <f t="shared" si="263"/>
        <v>5.5948999999999999E-3</v>
      </c>
      <c r="JG14" s="4">
        <f t="shared" si="264"/>
        <v>2.3370000000000057E-3</v>
      </c>
      <c r="JH14" s="4">
        <f t="shared" si="265"/>
        <v>1.569499999999998E-3</v>
      </c>
      <c r="JI14" s="4">
        <f t="shared" si="266"/>
        <v>4.1275000000000062E-3</v>
      </c>
      <c r="JK14">
        <f t="shared" si="284"/>
        <v>2009.25</v>
      </c>
      <c r="JL14">
        <f t="shared" si="267"/>
        <v>22.547931066837631</v>
      </c>
      <c r="JM14">
        <f t="shared" si="268"/>
        <v>27.010255340426301</v>
      </c>
      <c r="JN14">
        <f t="shared" si="269"/>
        <v>21.482016853064177</v>
      </c>
      <c r="JO14">
        <f t="shared" si="270"/>
        <v>17.328860842217033</v>
      </c>
      <c r="JP14">
        <f t="shared" si="271"/>
        <v>14.163291025294797</v>
      </c>
      <c r="JQ14">
        <f t="shared" si="272"/>
        <v>9.2927423962582569</v>
      </c>
      <c r="JR14">
        <f t="shared" si="273"/>
        <v>5.7235923685435228</v>
      </c>
      <c r="JS14">
        <f t="shared" si="274"/>
        <v>5.1912270082722198</v>
      </c>
      <c r="JT14">
        <f t="shared" si="275"/>
        <v>4.4273939570765419</v>
      </c>
      <c r="JV14" s="12">
        <f t="shared" si="285"/>
        <v>2009.25</v>
      </c>
      <c r="JW14" s="12">
        <f t="shared" si="286"/>
        <v>2.4554809951840113</v>
      </c>
      <c r="JX14" s="12">
        <f t="shared" si="276"/>
        <v>3.8465414653251564</v>
      </c>
      <c r="JY14" s="12">
        <f t="shared" si="277"/>
        <v>1.9174742955670396</v>
      </c>
      <c r="JZ14" s="12">
        <f t="shared" si="278"/>
        <v>1.2419829080594198</v>
      </c>
      <c r="KA14" s="12">
        <f t="shared" si="279"/>
        <v>0.7669668495025963</v>
      </c>
      <c r="KB14" s="12">
        <f t="shared" si="280"/>
        <v>1.3431284246845365E-3</v>
      </c>
      <c r="KC14" s="12">
        <f t="shared" si="281"/>
        <v>-0.47173446949706932</v>
      </c>
      <c r="KD14" s="12">
        <f t="shared" si="282"/>
        <v>-0.32730111816205731</v>
      </c>
      <c r="KE14" s="12">
        <f t="shared" si="283"/>
        <v>-1.1062698846294019</v>
      </c>
    </row>
    <row r="15" spans="1:291" x14ac:dyDescent="0.35">
      <c r="A15" s="1">
        <v>7</v>
      </c>
      <c r="B15" s="4">
        <v>1.0309199999999999E-2</v>
      </c>
      <c r="C15" s="4">
        <v>1.0309199999999999E-2</v>
      </c>
      <c r="D15" s="4">
        <v>1.01531E-2</v>
      </c>
      <c r="E15" s="4">
        <v>9.4450000000000003E-3</v>
      </c>
      <c r="F15" s="4">
        <v>8.9642000000000003E-3</v>
      </c>
      <c r="G15" s="4">
        <v>8.2938000000000005E-3</v>
      </c>
      <c r="H15" s="4">
        <v>7.3052000000000004E-3</v>
      </c>
      <c r="I15" s="4">
        <v>7.4904999999999998E-3</v>
      </c>
      <c r="J15" s="4">
        <v>6.9382000000000003E-3</v>
      </c>
      <c r="K15" s="4">
        <v>6.5227999999999996E-3</v>
      </c>
      <c r="L15" s="4">
        <v>6.1373E-3</v>
      </c>
      <c r="M15" s="4">
        <v>5.8041999999999998E-3</v>
      </c>
      <c r="N15" s="4">
        <v>5.5031000000000004E-3</v>
      </c>
      <c r="O15" s="4">
        <v>5.2369000000000001E-3</v>
      </c>
      <c r="P15" s="4">
        <v>4.9966000000000003E-3</v>
      </c>
      <c r="Q15" s="4">
        <v>4.7790999999999997E-3</v>
      </c>
      <c r="R15" s="4">
        <v>4.5815999999999999E-3</v>
      </c>
      <c r="S15" s="4">
        <v>4.4015E-3</v>
      </c>
      <c r="T15" s="4">
        <v>4.2367000000000004E-3</v>
      </c>
      <c r="U15" s="4">
        <v>4.0854000000000003E-3</v>
      </c>
      <c r="V15" s="4">
        <v>3.9461000000000001E-3</v>
      </c>
      <c r="W15" s="4">
        <v>3.8173999999999999E-3</v>
      </c>
      <c r="X15" s="4">
        <v>3.6982E-3</v>
      </c>
      <c r="Y15" s="4">
        <v>3.5874000000000001E-3</v>
      </c>
      <c r="Z15" s="4">
        <v>3.4841E-3</v>
      </c>
      <c r="AA15" s="4">
        <v>3.3874999999999999E-3</v>
      </c>
      <c r="AB15" s="4">
        <v>3.297E-3</v>
      </c>
      <c r="AC15" s="4">
        <v>3.2119000000000002E-3</v>
      </c>
      <c r="AD15" s="4">
        <v>3.1318000000000001E-3</v>
      </c>
      <c r="AE15" s="4">
        <v>3.0560000000000001E-3</v>
      </c>
      <c r="AF15" s="4">
        <v>2.9843999999999999E-3</v>
      </c>
      <c r="AG15" s="4">
        <v>2.9164E-3</v>
      </c>
      <c r="AH15" s="4">
        <v>2.8517999999999998E-3</v>
      </c>
      <c r="AI15" s="4">
        <v>2.7902999999999999E-3</v>
      </c>
      <c r="AJ15" s="4">
        <v>2.7315999999999998E-3</v>
      </c>
      <c r="AK15" s="4">
        <v>2.6754999999999999E-3</v>
      </c>
      <c r="AL15" s="4">
        <v>2.6218000000000001E-3</v>
      </c>
      <c r="AM15" s="4">
        <v>2.5704E-3</v>
      </c>
      <c r="AN15" s="4">
        <v>2.5209999999999998E-3</v>
      </c>
      <c r="AO15" s="4">
        <v>2.4735E-3</v>
      </c>
      <c r="AP15" s="4">
        <v>2.4277999999999999E-3</v>
      </c>
      <c r="AQ15" s="4">
        <v>2.3836999999999999E-3</v>
      </c>
      <c r="AR15" s="4">
        <v>2.3411999999999999E-3</v>
      </c>
      <c r="AS15" s="4">
        <v>2.3000999999999998E-3</v>
      </c>
      <c r="AT15" s="4">
        <v>2.2604000000000001E-3</v>
      </c>
      <c r="AU15" s="4">
        <v>2.2219000000000002E-3</v>
      </c>
      <c r="AV15" s="4">
        <v>2.1846000000000001E-3</v>
      </c>
      <c r="AW15" s="4">
        <v>2.1484E-3</v>
      </c>
      <c r="AX15" s="4">
        <v>2.1132E-3</v>
      </c>
      <c r="AY15" s="4">
        <v>2.0791E-3</v>
      </c>
      <c r="AZ15" s="4">
        <v>2.0458E-3</v>
      </c>
      <c r="BA15" s="4">
        <v>2.0135000000000001E-3</v>
      </c>
      <c r="BB15" s="4">
        <v>1.9819E-3</v>
      </c>
      <c r="BC15" s="4">
        <v>1.9511000000000001E-3</v>
      </c>
      <c r="BD15" s="4">
        <v>1.9211E-3</v>
      </c>
      <c r="BE15" s="4">
        <v>1.8917999999999999E-3</v>
      </c>
      <c r="BF15" s="4">
        <v>1.8630999999999999E-3</v>
      </c>
      <c r="BG15" s="4">
        <v>1.8351000000000001E-3</v>
      </c>
      <c r="BH15" s="4">
        <v>1.8075999999999999E-3</v>
      </c>
      <c r="BI15" s="4">
        <v>1.7807999999999999E-3</v>
      </c>
      <c r="BJ15" s="4">
        <v>1.7545E-3</v>
      </c>
      <c r="BK15" s="4">
        <v>1.7286999999999999E-3</v>
      </c>
      <c r="BL15" s="4">
        <v>1.7034000000000001E-3</v>
      </c>
      <c r="BM15" s="4">
        <v>1.6785999999999999E-3</v>
      </c>
      <c r="BN15" s="4">
        <v>1.6543E-3</v>
      </c>
      <c r="BO15" s="4">
        <v>1.6305E-3</v>
      </c>
      <c r="BP15" s="4">
        <v>1.6069999999999999E-3</v>
      </c>
      <c r="BQ15" s="4">
        <v>1.5839999999999999E-3</v>
      </c>
      <c r="BR15" s="4">
        <v>1.5613999999999999E-3</v>
      </c>
      <c r="BS15" s="4">
        <v>1.5391999999999999E-3</v>
      </c>
      <c r="BT15" s="4">
        <v>1.5173999999999999E-3</v>
      </c>
      <c r="BU15" s="4">
        <v>1.4959999999999999E-3</v>
      </c>
      <c r="BV15" s="4">
        <v>1.4748999999999999E-3</v>
      </c>
      <c r="BW15" s="4">
        <v>1.4541000000000001E-3</v>
      </c>
      <c r="BX15" s="4">
        <v>1.4337E-3</v>
      </c>
      <c r="BY15" s="4">
        <v>1.4136000000000001E-3</v>
      </c>
      <c r="BZ15" s="4">
        <v>1.3939E-3</v>
      </c>
      <c r="CA15" s="4">
        <v>1.3744E-3</v>
      </c>
      <c r="CB15" s="4">
        <v>1.3552E-3</v>
      </c>
      <c r="CC15" s="4">
        <v>1.3364E-3</v>
      </c>
      <c r="CD15" s="4">
        <v>1.3178E-3</v>
      </c>
      <c r="CE15" s="4">
        <v>1.2995000000000001E-3</v>
      </c>
      <c r="CF15" s="4">
        <v>1.2815000000000001E-3</v>
      </c>
      <c r="CG15" s="4">
        <v>1.2638E-3</v>
      </c>
      <c r="CH15" s="4">
        <v>1.2463000000000001E-3</v>
      </c>
      <c r="CI15" s="4">
        <v>1.2290999999999999E-3</v>
      </c>
      <c r="CJ15" s="4">
        <v>1.2121E-3</v>
      </c>
      <c r="CK15" s="4">
        <v>1.1953000000000001E-3</v>
      </c>
      <c r="CL15" s="4">
        <v>1.1789000000000001E-3</v>
      </c>
      <c r="CM15" s="4">
        <v>1.1626E-3</v>
      </c>
      <c r="CN15" s="4">
        <v>1.1466E-3</v>
      </c>
      <c r="CO15" s="4">
        <v>1.1307999999999999E-3</v>
      </c>
      <c r="CP15" s="4">
        <v>1.1152E-3</v>
      </c>
      <c r="CQ15" s="4">
        <v>1.0999E-3</v>
      </c>
      <c r="CR15" s="4">
        <v>1.0847000000000001E-3</v>
      </c>
      <c r="CS15" s="4">
        <v>1.0698000000000001E-3</v>
      </c>
      <c r="CT15" s="4">
        <v>1.0551E-3</v>
      </c>
      <c r="CU15" s="4">
        <v>1.0406E-3</v>
      </c>
      <c r="CV15" s="4">
        <v>1.0261999999999999E-3</v>
      </c>
      <c r="CW15" s="4">
        <v>1.0120999999999999E-3</v>
      </c>
      <c r="CX15" s="4">
        <v>9.9820000000000009E-4</v>
      </c>
      <c r="CY15" s="4">
        <v>9.8449999999999992E-4</v>
      </c>
      <c r="CZ15" s="4">
        <v>9.7090000000000002E-4</v>
      </c>
      <c r="DA15" s="4">
        <v>9.5759999999999997E-4</v>
      </c>
      <c r="DB15" s="4">
        <v>9.4439999999999997E-4</v>
      </c>
      <c r="DC15" s="4">
        <v>9.3139999999999998E-4</v>
      </c>
      <c r="DD15" s="4">
        <v>9.1859999999999999E-4</v>
      </c>
      <c r="DE15" s="4">
        <v>9.0589999999999996E-4</v>
      </c>
      <c r="DF15" s="4">
        <v>8.9349999999999998E-4</v>
      </c>
      <c r="DG15" s="4">
        <v>8.8119999999999995E-4</v>
      </c>
      <c r="DH15" s="4">
        <v>8.6899999999999998E-4</v>
      </c>
      <c r="DI15" s="4">
        <v>8.5709999999999996E-4</v>
      </c>
      <c r="DJ15" s="4">
        <v>8.453E-4</v>
      </c>
      <c r="DK15" s="4">
        <v>8.3359999999999999E-4</v>
      </c>
      <c r="DL15" s="4">
        <v>8.2209999999999998E-4</v>
      </c>
      <c r="DM15" s="4">
        <v>8.1079999999999998E-4</v>
      </c>
      <c r="DN15" s="4">
        <v>7.9960000000000003E-4</v>
      </c>
      <c r="DO15" s="4">
        <v>7.8850000000000003E-4</v>
      </c>
      <c r="DP15" s="4">
        <v>7.7769999999999998E-4</v>
      </c>
      <c r="DQ15" s="4">
        <v>5.45823E-2</v>
      </c>
      <c r="DR15" s="4">
        <v>0</v>
      </c>
      <c r="DS15" s="4">
        <v>1.4650000000000001E-4</v>
      </c>
      <c r="DT15" s="4">
        <v>2.4230000000000001E-4</v>
      </c>
      <c r="DU15" s="4">
        <v>4.4640000000000001E-4</v>
      </c>
      <c r="DV15" s="4">
        <v>5.6539999999999997E-4</v>
      </c>
      <c r="DW15" s="4">
        <v>5.507E-4</v>
      </c>
      <c r="DX15" s="4">
        <v>4.8680000000000001E-4</v>
      </c>
      <c r="DY15" s="4">
        <v>5.1869999999999998E-4</v>
      </c>
      <c r="DZ15" s="4">
        <v>4.6230000000000002E-4</v>
      </c>
      <c r="EA15" s="4">
        <v>4.1320000000000001E-4</v>
      </c>
      <c r="EB15" s="4">
        <v>3.657E-4</v>
      </c>
      <c r="EC15" s="4">
        <v>3.2660000000000002E-4</v>
      </c>
      <c r="ED15" s="4">
        <v>2.9179999999999999E-4</v>
      </c>
      <c r="EE15" s="4">
        <v>2.6209999999999997E-4</v>
      </c>
      <c r="EF15" s="4">
        <v>2.362E-4</v>
      </c>
      <c r="EG15" s="4">
        <v>2.1350000000000001E-4</v>
      </c>
      <c r="EH15" s="4">
        <v>1.9359999999999999E-4</v>
      </c>
      <c r="EI15" s="4">
        <v>1.762E-4</v>
      </c>
      <c r="EJ15" s="4">
        <v>1.6080000000000001E-4</v>
      </c>
      <c r="EK15" s="4">
        <v>1.473E-4</v>
      </c>
      <c r="EL15" s="4">
        <v>1.3540000000000001E-4</v>
      </c>
      <c r="EM15" s="4">
        <v>1.248E-4</v>
      </c>
      <c r="EN15" s="4">
        <v>1.154E-4</v>
      </c>
      <c r="EO15" s="4">
        <v>1.071E-4</v>
      </c>
      <c r="EP15" s="4">
        <v>9.9599999999999995E-5</v>
      </c>
      <c r="EQ15" s="4">
        <v>9.2999999999999997E-5</v>
      </c>
      <c r="ER15" s="4">
        <v>8.7000000000000001E-5</v>
      </c>
      <c r="ES15" s="4">
        <v>8.1600000000000005E-5</v>
      </c>
      <c r="ET15" s="4">
        <v>7.6799999999999997E-5</v>
      </c>
      <c r="EU15" s="4">
        <v>7.2299999999999996E-5</v>
      </c>
      <c r="EV15" s="4">
        <v>6.8300000000000007E-5</v>
      </c>
      <c r="EW15" s="4">
        <v>6.4599999999999998E-5</v>
      </c>
      <c r="EX15" s="4">
        <v>6.1299999999999999E-5</v>
      </c>
      <c r="EY15" s="4">
        <v>5.8199999999999998E-5</v>
      </c>
      <c r="EZ15" s="4">
        <v>5.5300000000000002E-5</v>
      </c>
      <c r="FA15" s="4">
        <v>5.27E-5</v>
      </c>
      <c r="FB15" s="4">
        <v>5.0300000000000003E-5</v>
      </c>
      <c r="FC15" s="4">
        <v>4.8000000000000001E-5</v>
      </c>
      <c r="FD15" s="4">
        <v>4.5899999999999998E-5</v>
      </c>
      <c r="FE15" s="4">
        <v>4.3999999999999999E-5</v>
      </c>
      <c r="FF15" s="4">
        <v>4.2200000000000003E-5</v>
      </c>
      <c r="FG15" s="4">
        <v>4.0599999999999998E-5</v>
      </c>
      <c r="FH15" s="4">
        <v>3.8999999999999999E-5</v>
      </c>
      <c r="FI15" s="4">
        <v>3.7599999999999999E-5</v>
      </c>
      <c r="FJ15" s="4">
        <v>3.6300000000000001E-5</v>
      </c>
      <c r="FK15" s="4">
        <v>3.4999999999999997E-5</v>
      </c>
      <c r="FL15" s="4">
        <v>3.3899999999999997E-5</v>
      </c>
      <c r="FM15" s="4">
        <v>3.2799999999999998E-5</v>
      </c>
      <c r="FN15" s="4">
        <v>3.18E-5</v>
      </c>
      <c r="FO15" s="4">
        <v>3.0899999999999999E-5</v>
      </c>
      <c r="FP15" s="4">
        <v>3.01E-5</v>
      </c>
      <c r="FQ15" s="4">
        <v>2.9300000000000001E-5</v>
      </c>
      <c r="FR15" s="4">
        <v>2.8500000000000002E-5</v>
      </c>
      <c r="FS15" s="4">
        <v>2.7800000000000001E-5</v>
      </c>
      <c r="FT15" s="4">
        <v>2.72E-5</v>
      </c>
      <c r="FU15" s="4">
        <v>2.65E-5</v>
      </c>
      <c r="FV15" s="4">
        <v>2.5999999999999998E-5</v>
      </c>
      <c r="FW15" s="4">
        <v>2.5400000000000001E-5</v>
      </c>
      <c r="FX15" s="4">
        <v>2.4899999999999999E-5</v>
      </c>
      <c r="FY15" s="4">
        <v>2.44E-5</v>
      </c>
      <c r="FZ15" s="4">
        <v>2.4000000000000001E-5</v>
      </c>
      <c r="GA15" s="4">
        <v>2.3600000000000001E-5</v>
      </c>
      <c r="GB15" s="4">
        <v>2.3099999999999999E-5</v>
      </c>
      <c r="GC15" s="4">
        <v>2.2799999999999999E-5</v>
      </c>
      <c r="GD15" s="4">
        <v>2.2399999999999999E-5</v>
      </c>
      <c r="GE15" s="4">
        <v>2.1999999999999999E-5</v>
      </c>
      <c r="GF15" s="4">
        <v>2.1699999999999999E-5</v>
      </c>
      <c r="GG15" s="4">
        <v>2.1399999999999998E-5</v>
      </c>
      <c r="GH15" s="4">
        <v>2.1100000000000001E-5</v>
      </c>
      <c r="GI15" s="4">
        <v>2.0800000000000001E-5</v>
      </c>
      <c r="GJ15" s="4">
        <v>2.05E-5</v>
      </c>
      <c r="GK15" s="4">
        <v>2.02E-5</v>
      </c>
      <c r="GL15" s="4">
        <v>1.9899999999999999E-5</v>
      </c>
      <c r="GM15" s="4">
        <v>1.9700000000000001E-5</v>
      </c>
      <c r="GN15" s="4">
        <v>1.9400000000000001E-5</v>
      </c>
      <c r="GO15" s="4">
        <v>1.9199999999999999E-5</v>
      </c>
      <c r="GP15" s="4">
        <v>1.8899999999999999E-5</v>
      </c>
      <c r="GQ15" s="4">
        <v>1.8700000000000001E-5</v>
      </c>
      <c r="GR15" s="4">
        <v>1.8499999999999999E-5</v>
      </c>
      <c r="GS15" s="4">
        <v>1.8300000000000001E-5</v>
      </c>
      <c r="GT15" s="4">
        <v>1.8E-5</v>
      </c>
      <c r="GU15" s="4">
        <v>1.7799999999999999E-5</v>
      </c>
      <c r="GV15" s="4">
        <v>1.7600000000000001E-5</v>
      </c>
      <c r="GW15" s="4">
        <v>1.7399999999999999E-5</v>
      </c>
      <c r="GX15" s="4">
        <v>1.7200000000000001E-5</v>
      </c>
      <c r="GY15" s="4">
        <v>1.7E-5</v>
      </c>
      <c r="GZ15" s="4">
        <v>1.6799999999999998E-5</v>
      </c>
      <c r="HA15" s="4">
        <v>1.66E-5</v>
      </c>
      <c r="HB15" s="4">
        <v>1.6399999999999999E-5</v>
      </c>
      <c r="HC15" s="4">
        <v>1.6200000000000001E-5</v>
      </c>
      <c r="HD15" s="4">
        <v>1.5999999999999999E-5</v>
      </c>
      <c r="HE15" s="4">
        <v>1.5800000000000001E-5</v>
      </c>
      <c r="HF15" s="4">
        <v>1.56E-5</v>
      </c>
      <c r="HG15" s="4">
        <v>1.5400000000000002E-5</v>
      </c>
      <c r="HH15" s="4">
        <v>1.5299999999999999E-5</v>
      </c>
      <c r="HI15" s="4">
        <v>1.5099999999999999E-5</v>
      </c>
      <c r="HJ15" s="4">
        <v>1.49E-5</v>
      </c>
      <c r="HK15" s="4">
        <v>1.47E-5</v>
      </c>
      <c r="HL15" s="4">
        <v>1.45E-5</v>
      </c>
      <c r="HM15" s="4">
        <v>1.4399999999999999E-5</v>
      </c>
      <c r="HN15" s="4">
        <v>1.42E-5</v>
      </c>
      <c r="HO15" s="4">
        <v>1.4E-5</v>
      </c>
      <c r="HP15" s="4">
        <v>1.38E-5</v>
      </c>
      <c r="HQ15" s="4">
        <v>1.3699999999999999E-5</v>
      </c>
      <c r="HR15" s="4">
        <v>1.3499999999999999E-5</v>
      </c>
      <c r="HS15" s="4">
        <v>1.33E-5</v>
      </c>
      <c r="HT15" s="4">
        <v>1.3200000000000001E-5</v>
      </c>
      <c r="HU15" s="4">
        <v>1.2999999999999999E-5</v>
      </c>
      <c r="HV15" s="4">
        <v>1.2799999999999999E-5</v>
      </c>
      <c r="HW15" s="4">
        <v>1.27E-5</v>
      </c>
      <c r="HX15" s="4">
        <v>1.2500000000000001E-5</v>
      </c>
      <c r="HY15" s="4">
        <v>1.2300000000000001E-5</v>
      </c>
      <c r="HZ15" s="4">
        <v>1.22E-5</v>
      </c>
      <c r="IA15" s="4">
        <v>1.2E-5</v>
      </c>
      <c r="IB15" s="4">
        <v>1.19E-5</v>
      </c>
      <c r="IC15" s="4">
        <v>1.17E-5</v>
      </c>
      <c r="ID15" s="4">
        <v>1.1600000000000001E-5</v>
      </c>
      <c r="IE15" s="4">
        <v>1.1399999999999999E-5</v>
      </c>
      <c r="IF15" s="4">
        <v>1.13E-5</v>
      </c>
      <c r="IG15" s="4">
        <v>7.9370000000000005E-4</v>
      </c>
      <c r="IH15" s="4"/>
      <c r="II15" s="4">
        <f t="shared" si="247"/>
        <v>0.11295083966667964</v>
      </c>
      <c r="IL15">
        <f t="shared" si="248"/>
        <v>0.3555272374999997</v>
      </c>
      <c r="IP15" s="4">
        <f t="shared" si="249"/>
        <v>3.8871499999999996E-2</v>
      </c>
      <c r="IQ15" s="4">
        <f t="shared" si="250"/>
        <v>3.0027700000000004E-2</v>
      </c>
      <c r="IR15" s="4">
        <f t="shared" si="251"/>
        <v>2.39674E-2</v>
      </c>
      <c r="IS15" s="4">
        <f t="shared" si="252"/>
        <v>1.9594199999999999E-2</v>
      </c>
      <c r="IT15" s="4">
        <f t="shared" si="253"/>
        <v>1.6669700000000003E-2</v>
      </c>
      <c r="IU15" s="4">
        <f t="shared" si="254"/>
        <v>6.0235800000000013E-2</v>
      </c>
      <c r="IV15" s="4">
        <f t="shared" si="255"/>
        <v>4.0878899999999996E-2</v>
      </c>
      <c r="IW15" s="4">
        <f t="shared" si="256"/>
        <v>3.0254500000000007E-2</v>
      </c>
      <c r="IX15" s="4">
        <f t="shared" si="257"/>
        <v>9.322229999999998E-2</v>
      </c>
      <c r="JA15" s="4">
        <f t="shared" si="287"/>
        <v>7.9445999999999996E-3</v>
      </c>
      <c r="JB15" s="4">
        <f t="shared" si="288"/>
        <v>7.7101000000000044E-3</v>
      </c>
      <c r="JC15" s="4">
        <f t="shared" si="260"/>
        <v>4.8468999999999977E-3</v>
      </c>
      <c r="JD15" s="4">
        <f t="shared" si="261"/>
        <v>3.2103999999999987E-3</v>
      </c>
      <c r="JE15" s="4">
        <f t="shared" si="262"/>
        <v>2.2475999999999989E-3</v>
      </c>
      <c r="JF15" s="4">
        <f t="shared" si="263"/>
        <v>5.4360999999999993E-3</v>
      </c>
      <c r="JG15" s="4">
        <f t="shared" si="264"/>
        <v>2.3423999999999806E-3</v>
      </c>
      <c r="JH15" s="4">
        <f t="shared" si="265"/>
        <v>1.5968999999999914E-3</v>
      </c>
      <c r="JI15" s="4">
        <f t="shared" si="266"/>
        <v>4.8221000000000097E-3</v>
      </c>
      <c r="JK15">
        <f t="shared" si="284"/>
        <v>2009.5</v>
      </c>
      <c r="JL15">
        <f t="shared" si="267"/>
        <v>20.438110183553505</v>
      </c>
      <c r="JM15">
        <f t="shared" si="268"/>
        <v>25.676625249353108</v>
      </c>
      <c r="JN15">
        <f t="shared" si="269"/>
        <v>20.222886086934743</v>
      </c>
      <c r="JO15">
        <f t="shared" si="270"/>
        <v>16.384440293556253</v>
      </c>
      <c r="JP15">
        <f t="shared" si="271"/>
        <v>13.483146067415722</v>
      </c>
      <c r="JQ15">
        <f t="shared" si="272"/>
        <v>9.024699597249473</v>
      </c>
      <c r="JR15">
        <f t="shared" si="273"/>
        <v>5.7300954771287405</v>
      </c>
      <c r="JS15">
        <f t="shared" si="274"/>
        <v>5.2782230742533871</v>
      </c>
      <c r="JT15">
        <f t="shared" si="275"/>
        <v>5.1726893672436862</v>
      </c>
      <c r="JV15" s="12">
        <f t="shared" si="285"/>
        <v>2009.5</v>
      </c>
      <c r="JW15" s="12">
        <f t="shared" si="286"/>
        <v>0.34566011189988544</v>
      </c>
      <c r="JX15" s="12">
        <f t="shared" si="276"/>
        <v>2.5129113742519635</v>
      </c>
      <c r="JY15" s="12">
        <f t="shared" si="277"/>
        <v>0.65834352943760521</v>
      </c>
      <c r="JZ15" s="12">
        <f t="shared" si="278"/>
        <v>0.29756235939863984</v>
      </c>
      <c r="KA15" s="12">
        <f t="shared" si="279"/>
        <v>8.6821891623522163E-2</v>
      </c>
      <c r="KB15" s="12">
        <f t="shared" si="280"/>
        <v>-0.26669967058409938</v>
      </c>
      <c r="KC15" s="12">
        <f t="shared" si="281"/>
        <v>-0.46523136091185169</v>
      </c>
      <c r="KD15" s="12">
        <f t="shared" si="282"/>
        <v>-0.24030505218089004</v>
      </c>
      <c r="KE15" s="12">
        <f t="shared" si="283"/>
        <v>-0.36097447446225761</v>
      </c>
    </row>
    <row r="16" spans="1:291" x14ac:dyDescent="0.35">
      <c r="A16" s="1">
        <v>8</v>
      </c>
      <c r="B16" s="4">
        <v>1.0309199999999999E-2</v>
      </c>
      <c r="C16" s="4">
        <v>1.0309199999999999E-2</v>
      </c>
      <c r="D16" s="4">
        <v>1.01627E-2</v>
      </c>
      <c r="E16" s="4">
        <v>9.9108000000000009E-3</v>
      </c>
      <c r="F16" s="4">
        <v>8.9986000000000007E-3</v>
      </c>
      <c r="G16" s="4">
        <v>8.3987999999999997E-3</v>
      </c>
      <c r="H16" s="4">
        <v>7.7431000000000002E-3</v>
      </c>
      <c r="I16" s="4">
        <v>6.8183999999999996E-3</v>
      </c>
      <c r="J16" s="4">
        <v>6.9718000000000002E-3</v>
      </c>
      <c r="K16" s="4">
        <v>6.4758999999999997E-3</v>
      </c>
      <c r="L16" s="4">
        <v>6.1095000000000003E-3</v>
      </c>
      <c r="M16" s="4">
        <v>5.7716E-3</v>
      </c>
      <c r="N16" s="4">
        <v>5.4776E-3</v>
      </c>
      <c r="O16" s="4">
        <v>5.2113000000000003E-3</v>
      </c>
      <c r="P16" s="4">
        <v>4.9747000000000003E-3</v>
      </c>
      <c r="Q16" s="4">
        <v>4.7603999999999997E-3</v>
      </c>
      <c r="R16" s="4">
        <v>4.5656999999999998E-3</v>
      </c>
      <c r="S16" s="4">
        <v>4.3880000000000004E-3</v>
      </c>
      <c r="T16" s="4">
        <v>4.2253000000000004E-3</v>
      </c>
      <c r="U16" s="4">
        <v>4.0758000000000001E-3</v>
      </c>
      <c r="V16" s="4">
        <v>3.9380999999999999E-3</v>
      </c>
      <c r="W16" s="4">
        <v>3.8107000000000002E-3</v>
      </c>
      <c r="X16" s="4">
        <v>3.6925999999999999E-3</v>
      </c>
      <c r="Y16" s="4">
        <v>3.5826999999999999E-3</v>
      </c>
      <c r="Z16" s="4">
        <v>3.4803E-3</v>
      </c>
      <c r="AA16" s="4">
        <v>3.3844000000000001E-3</v>
      </c>
      <c r="AB16" s="4">
        <v>3.2945000000000001E-3</v>
      </c>
      <c r="AC16" s="4">
        <v>3.2100000000000002E-3</v>
      </c>
      <c r="AD16" s="4">
        <v>3.1302999999999999E-3</v>
      </c>
      <c r="AE16" s="4">
        <v>3.055E-3</v>
      </c>
      <c r="AF16" s="4">
        <v>2.9837000000000002E-3</v>
      </c>
      <c r="AG16" s="4">
        <v>2.9161E-3</v>
      </c>
      <c r="AH16" s="4">
        <v>2.8517999999999998E-3</v>
      </c>
      <c r="AI16" s="4">
        <v>2.7905E-3</v>
      </c>
      <c r="AJ16" s="4">
        <v>2.7320999999999999E-3</v>
      </c>
      <c r="AK16" s="4">
        <v>2.6762999999999999E-3</v>
      </c>
      <c r="AL16" s="4">
        <v>2.6227999999999998E-3</v>
      </c>
      <c r="AM16" s="4">
        <v>2.5715999999999998E-3</v>
      </c>
      <c r="AN16" s="4">
        <v>2.5224000000000002E-3</v>
      </c>
      <c r="AO16" s="4">
        <v>2.4751E-3</v>
      </c>
      <c r="AP16" s="4">
        <v>2.4294999999999998E-3</v>
      </c>
      <c r="AQ16" s="4">
        <v>2.3855999999999999E-3</v>
      </c>
      <c r="AR16" s="4">
        <v>2.3432000000000001E-3</v>
      </c>
      <c r="AS16" s="4">
        <v>2.3021999999999999E-3</v>
      </c>
      <c r="AT16" s="4">
        <v>2.2625000000000002E-3</v>
      </c>
      <c r="AU16" s="4">
        <v>2.2241000000000001E-3</v>
      </c>
      <c r="AV16" s="4">
        <v>2.1868999999999999E-3</v>
      </c>
      <c r="AW16" s="4">
        <v>2.1507000000000002E-3</v>
      </c>
      <c r="AX16" s="4">
        <v>2.1156E-3</v>
      </c>
      <c r="AY16" s="4">
        <v>2.0814000000000002E-3</v>
      </c>
      <c r="AZ16" s="4">
        <v>2.0482E-3</v>
      </c>
      <c r="BA16" s="4">
        <v>2.0157999999999999E-3</v>
      </c>
      <c r="BB16" s="4">
        <v>1.9842000000000002E-3</v>
      </c>
      <c r="BC16" s="4">
        <v>1.9534000000000001E-3</v>
      </c>
      <c r="BD16" s="4">
        <v>1.9233E-3</v>
      </c>
      <c r="BE16" s="4">
        <v>1.8939E-3</v>
      </c>
      <c r="BF16" s="4">
        <v>1.8652E-3</v>
      </c>
      <c r="BG16" s="4">
        <v>1.8370999999999999E-3</v>
      </c>
      <c r="BH16" s="4">
        <v>1.8096E-3</v>
      </c>
      <c r="BI16" s="4">
        <v>1.7826999999999999E-3</v>
      </c>
      <c r="BJ16" s="4">
        <v>1.7562999999999999E-3</v>
      </c>
      <c r="BK16" s="4">
        <v>1.7305000000000001E-3</v>
      </c>
      <c r="BL16" s="4">
        <v>1.7051E-3</v>
      </c>
      <c r="BM16" s="4">
        <v>1.6803E-3</v>
      </c>
      <c r="BN16" s="4">
        <v>1.6559000000000001E-3</v>
      </c>
      <c r="BO16" s="4">
        <v>1.6318999999999999E-3</v>
      </c>
      <c r="BP16" s="4">
        <v>1.6084000000000001E-3</v>
      </c>
      <c r="BQ16" s="4">
        <v>1.5853E-3</v>
      </c>
      <c r="BR16" s="4">
        <v>1.5627E-3</v>
      </c>
      <c r="BS16" s="4">
        <v>1.5403999999999999E-3</v>
      </c>
      <c r="BT16" s="4">
        <v>1.5185000000000001E-3</v>
      </c>
      <c r="BU16" s="4">
        <v>1.4969E-3</v>
      </c>
      <c r="BV16" s="4">
        <v>1.4758E-3</v>
      </c>
      <c r="BW16" s="4">
        <v>1.4549000000000001E-3</v>
      </c>
      <c r="BX16" s="4">
        <v>1.4344E-3</v>
      </c>
      <c r="BY16" s="4">
        <v>1.4143000000000001E-3</v>
      </c>
      <c r="BZ16" s="4">
        <v>1.3944000000000001E-3</v>
      </c>
      <c r="CA16" s="4">
        <v>1.3749000000000001E-3</v>
      </c>
      <c r="CB16" s="4">
        <v>1.3557E-3</v>
      </c>
      <c r="CC16" s="4">
        <v>1.3368E-3</v>
      </c>
      <c r="CD16" s="4">
        <v>1.3181E-3</v>
      </c>
      <c r="CE16" s="4">
        <v>1.2998E-3</v>
      </c>
      <c r="CF16" s="4">
        <v>1.2817E-3</v>
      </c>
      <c r="CG16" s="4">
        <v>1.2639000000000001E-3</v>
      </c>
      <c r="CH16" s="4">
        <v>1.2463999999999999E-3</v>
      </c>
      <c r="CI16" s="4">
        <v>1.2290999999999999E-3</v>
      </c>
      <c r="CJ16" s="4">
        <v>1.2121E-3</v>
      </c>
      <c r="CK16" s="4">
        <v>1.1953000000000001E-3</v>
      </c>
      <c r="CL16" s="4">
        <v>1.1788E-3</v>
      </c>
      <c r="CM16" s="4">
        <v>1.1624999999999999E-3</v>
      </c>
      <c r="CN16" s="4">
        <v>1.1463999999999999E-3</v>
      </c>
      <c r="CO16" s="4">
        <v>1.1306000000000001E-3</v>
      </c>
      <c r="CP16" s="4">
        <v>1.1150000000000001E-3</v>
      </c>
      <c r="CQ16" s="4">
        <v>1.0996000000000001E-3</v>
      </c>
      <c r="CR16" s="4">
        <v>1.0843999999999999E-3</v>
      </c>
      <c r="CS16" s="4">
        <v>1.0694999999999999E-3</v>
      </c>
      <c r="CT16" s="4">
        <v>1.0547E-3</v>
      </c>
      <c r="CU16" s="4">
        <v>1.0402E-3</v>
      </c>
      <c r="CV16" s="4">
        <v>1.0258999999999999E-3</v>
      </c>
      <c r="CW16" s="4">
        <v>1.0116999999999999E-3</v>
      </c>
      <c r="CX16" s="4">
        <v>9.9780000000000008E-4</v>
      </c>
      <c r="CY16" s="4">
        <v>9.8400000000000007E-4</v>
      </c>
      <c r="CZ16" s="4">
        <v>9.7050000000000001E-4</v>
      </c>
      <c r="DA16" s="4">
        <v>9.5710000000000001E-4</v>
      </c>
      <c r="DB16" s="4">
        <v>9.4390000000000001E-4</v>
      </c>
      <c r="DC16" s="4">
        <v>9.3090000000000002E-4</v>
      </c>
      <c r="DD16" s="4">
        <v>9.1810000000000004E-4</v>
      </c>
      <c r="DE16" s="4">
        <v>9.054E-4</v>
      </c>
      <c r="DF16" s="4">
        <v>8.9300000000000002E-4</v>
      </c>
      <c r="DG16" s="4">
        <v>8.8060000000000005E-4</v>
      </c>
      <c r="DH16" s="4">
        <v>8.6850000000000002E-4</v>
      </c>
      <c r="DI16" s="4">
        <v>8.5649999999999995E-4</v>
      </c>
      <c r="DJ16" s="4">
        <v>8.4469999999999999E-4</v>
      </c>
      <c r="DK16" s="4">
        <v>8.3310000000000003E-4</v>
      </c>
      <c r="DL16" s="4">
        <v>8.2160000000000002E-4</v>
      </c>
      <c r="DM16" s="4">
        <v>8.1019999999999996E-4</v>
      </c>
      <c r="DN16" s="4">
        <v>7.9900000000000001E-4</v>
      </c>
      <c r="DO16" s="4">
        <v>7.8799999999999996E-4</v>
      </c>
      <c r="DP16" s="4">
        <v>7.7709999999999997E-4</v>
      </c>
      <c r="DQ16" s="4">
        <v>5.4554999999999999E-2</v>
      </c>
      <c r="DR16" s="4">
        <v>0</v>
      </c>
      <c r="DS16" s="4">
        <v>1.4530000000000001E-4</v>
      </c>
      <c r="DT16" s="4">
        <v>2.017E-4</v>
      </c>
      <c r="DU16" s="4">
        <v>5.5420000000000003E-4</v>
      </c>
      <c r="DV16" s="4">
        <v>5.8160000000000004E-4</v>
      </c>
      <c r="DW16" s="4">
        <v>5.8629999999999999E-4</v>
      </c>
      <c r="DX16" s="4">
        <v>5.5080000000000005E-4</v>
      </c>
      <c r="DY16" s="4">
        <v>4.4930000000000002E-4</v>
      </c>
      <c r="DZ16" s="4">
        <v>4.683E-4</v>
      </c>
      <c r="EA16" s="4">
        <v>4.061E-4</v>
      </c>
      <c r="EB16" s="4">
        <v>3.6279999999999998E-4</v>
      </c>
      <c r="EC16" s="4">
        <v>3.2220000000000003E-4</v>
      </c>
      <c r="ED16" s="4">
        <v>2.8870000000000002E-4</v>
      </c>
      <c r="EE16" s="4">
        <v>2.589E-4</v>
      </c>
      <c r="EF16" s="4">
        <v>2.3350000000000001E-4</v>
      </c>
      <c r="EG16" s="4">
        <v>2.1120000000000001E-4</v>
      </c>
      <c r="EH16" s="4">
        <v>1.916E-4</v>
      </c>
      <c r="EI16" s="4">
        <v>1.7430000000000001E-4</v>
      </c>
      <c r="EJ16" s="4">
        <v>1.5909999999999999E-4</v>
      </c>
      <c r="EK16" s="4">
        <v>1.4559999999999999E-4</v>
      </c>
      <c r="EL16" s="4">
        <v>1.337E-4</v>
      </c>
      <c r="EM16" s="4">
        <v>1.2320000000000001E-4</v>
      </c>
      <c r="EN16" s="4">
        <v>1.139E-4</v>
      </c>
      <c r="EO16" s="4">
        <v>1.0560000000000001E-4</v>
      </c>
      <c r="EP16" s="4">
        <v>9.8200000000000002E-5</v>
      </c>
      <c r="EQ16" s="4">
        <v>9.1600000000000004E-5</v>
      </c>
      <c r="ER16" s="4">
        <v>8.5699999999999996E-5</v>
      </c>
      <c r="ES16" s="4">
        <v>8.0400000000000003E-5</v>
      </c>
      <c r="ET16" s="4">
        <v>7.5599999999999994E-5</v>
      </c>
      <c r="EU16" s="4">
        <v>7.1299999999999998E-5</v>
      </c>
      <c r="EV16" s="4">
        <v>6.7399999999999998E-5</v>
      </c>
      <c r="EW16" s="4">
        <v>6.3800000000000006E-5</v>
      </c>
      <c r="EX16" s="4">
        <v>6.05E-5</v>
      </c>
      <c r="EY16" s="4">
        <v>5.7500000000000002E-5</v>
      </c>
      <c r="EZ16" s="4">
        <v>5.4700000000000001E-5</v>
      </c>
      <c r="FA16" s="4">
        <v>5.2099999999999999E-5</v>
      </c>
      <c r="FB16" s="4">
        <v>4.9799999999999998E-5</v>
      </c>
      <c r="FC16" s="4">
        <v>4.7599999999999998E-5</v>
      </c>
      <c r="FD16" s="4">
        <v>4.5599999999999997E-5</v>
      </c>
      <c r="FE16" s="4">
        <v>4.3699999999999998E-5</v>
      </c>
      <c r="FF16" s="4">
        <v>4.1900000000000002E-5</v>
      </c>
      <c r="FG16" s="4">
        <v>4.0299999999999997E-5</v>
      </c>
      <c r="FH16" s="4">
        <v>3.8800000000000001E-5</v>
      </c>
      <c r="FI16" s="4">
        <v>3.7400000000000001E-5</v>
      </c>
      <c r="FJ16" s="4">
        <v>3.6100000000000003E-5</v>
      </c>
      <c r="FK16" s="4">
        <v>3.4900000000000001E-5</v>
      </c>
      <c r="FL16" s="4">
        <v>3.3800000000000002E-5</v>
      </c>
      <c r="FM16" s="4">
        <v>3.2799999999999998E-5</v>
      </c>
      <c r="FN16" s="4">
        <v>3.18E-5</v>
      </c>
      <c r="FO16" s="4">
        <v>3.0899999999999999E-5</v>
      </c>
      <c r="FP16" s="4">
        <v>3.01E-5</v>
      </c>
      <c r="FQ16" s="4">
        <v>2.9300000000000001E-5</v>
      </c>
      <c r="FR16" s="4">
        <v>2.8600000000000001E-5</v>
      </c>
      <c r="FS16" s="4">
        <v>2.7900000000000001E-5</v>
      </c>
      <c r="FT16" s="4">
        <v>2.72E-5</v>
      </c>
      <c r="FU16" s="4">
        <v>2.6599999999999999E-5</v>
      </c>
      <c r="FV16" s="4">
        <v>2.6100000000000001E-5</v>
      </c>
      <c r="FW16" s="4">
        <v>2.55E-5</v>
      </c>
      <c r="FX16" s="4">
        <v>2.5000000000000001E-5</v>
      </c>
      <c r="FY16" s="4">
        <v>2.4499999999999999E-5</v>
      </c>
      <c r="FZ16" s="4">
        <v>2.41E-5</v>
      </c>
      <c r="GA16" s="4">
        <v>2.3600000000000001E-5</v>
      </c>
      <c r="GB16" s="4">
        <v>2.3200000000000001E-5</v>
      </c>
      <c r="GC16" s="4">
        <v>2.2799999999999999E-5</v>
      </c>
      <c r="GD16" s="4">
        <v>2.2500000000000001E-5</v>
      </c>
      <c r="GE16" s="4">
        <v>2.2099999999999998E-5</v>
      </c>
      <c r="GF16" s="4">
        <v>2.1800000000000001E-5</v>
      </c>
      <c r="GG16" s="4">
        <v>2.1500000000000001E-5</v>
      </c>
      <c r="GH16" s="4">
        <v>2.1100000000000001E-5</v>
      </c>
      <c r="GI16" s="4">
        <v>2.0800000000000001E-5</v>
      </c>
      <c r="GJ16" s="4">
        <v>2.05E-5</v>
      </c>
      <c r="GK16" s="4">
        <v>2.0299999999999999E-5</v>
      </c>
      <c r="GL16" s="4">
        <v>2.0000000000000002E-5</v>
      </c>
      <c r="GM16" s="4">
        <v>1.9700000000000001E-5</v>
      </c>
      <c r="GN16" s="4">
        <v>1.95E-5</v>
      </c>
      <c r="GO16" s="4">
        <v>1.9199999999999999E-5</v>
      </c>
      <c r="GP16" s="4">
        <v>1.9000000000000001E-5</v>
      </c>
      <c r="GQ16" s="4">
        <v>1.8700000000000001E-5</v>
      </c>
      <c r="GR16" s="4">
        <v>1.8499999999999999E-5</v>
      </c>
      <c r="GS16" s="4">
        <v>1.8300000000000001E-5</v>
      </c>
      <c r="GT16" s="4">
        <v>1.8E-5</v>
      </c>
      <c r="GU16" s="4">
        <v>1.7799999999999999E-5</v>
      </c>
      <c r="GV16" s="4">
        <v>1.7600000000000001E-5</v>
      </c>
      <c r="GW16" s="4">
        <v>1.7399999999999999E-5</v>
      </c>
      <c r="GX16" s="4">
        <v>1.7200000000000001E-5</v>
      </c>
      <c r="GY16" s="4">
        <v>1.7E-5</v>
      </c>
      <c r="GZ16" s="4">
        <v>1.6799999999999998E-5</v>
      </c>
      <c r="HA16" s="4">
        <v>1.66E-5</v>
      </c>
      <c r="HB16" s="4">
        <v>1.6399999999999999E-5</v>
      </c>
      <c r="HC16" s="4">
        <v>1.6200000000000001E-5</v>
      </c>
      <c r="HD16" s="4">
        <v>1.5999999999999999E-5</v>
      </c>
      <c r="HE16" s="4">
        <v>1.5800000000000001E-5</v>
      </c>
      <c r="HF16" s="4">
        <v>1.56E-5</v>
      </c>
      <c r="HG16" s="4">
        <v>1.5400000000000002E-5</v>
      </c>
      <c r="HH16" s="4">
        <v>1.52E-5</v>
      </c>
      <c r="HI16" s="4">
        <v>1.5E-5</v>
      </c>
      <c r="HJ16" s="4">
        <v>1.49E-5</v>
      </c>
      <c r="HK16" s="4">
        <v>1.47E-5</v>
      </c>
      <c r="HL16" s="4">
        <v>1.45E-5</v>
      </c>
      <c r="HM16" s="4">
        <v>1.43E-5</v>
      </c>
      <c r="HN16" s="4">
        <v>1.42E-5</v>
      </c>
      <c r="HO16" s="4">
        <v>1.4E-5</v>
      </c>
      <c r="HP16" s="4">
        <v>1.38E-5</v>
      </c>
      <c r="HQ16" s="4">
        <v>1.36E-5</v>
      </c>
      <c r="HR16" s="4">
        <v>1.3499999999999999E-5</v>
      </c>
      <c r="HS16" s="4">
        <v>1.33E-5</v>
      </c>
      <c r="HT16" s="4">
        <v>1.3200000000000001E-5</v>
      </c>
      <c r="HU16" s="4">
        <v>1.2999999999999999E-5</v>
      </c>
      <c r="HV16" s="4">
        <v>1.2799999999999999E-5</v>
      </c>
      <c r="HW16" s="4">
        <v>1.27E-5</v>
      </c>
      <c r="HX16" s="4">
        <v>1.2500000000000001E-5</v>
      </c>
      <c r="HY16" s="4">
        <v>1.24E-5</v>
      </c>
      <c r="HZ16" s="4">
        <v>1.22E-5</v>
      </c>
      <c r="IA16" s="4">
        <v>1.2E-5</v>
      </c>
      <c r="IB16" s="4">
        <v>1.19E-5</v>
      </c>
      <c r="IC16" s="4">
        <v>1.17E-5</v>
      </c>
      <c r="ID16" s="4">
        <v>1.1600000000000001E-5</v>
      </c>
      <c r="IE16" s="4">
        <v>1.1399999999999999E-5</v>
      </c>
      <c r="IF16" s="4">
        <v>1.13E-5</v>
      </c>
      <c r="IG16" s="4">
        <v>8.0920000000000005E-4</v>
      </c>
      <c r="IH16" s="4"/>
      <c r="II16" s="4">
        <f t="shared" si="247"/>
        <v>0.1111871785431998</v>
      </c>
      <c r="IL16">
        <f t="shared" si="248"/>
        <v>0.35471086250000006</v>
      </c>
      <c r="IP16" s="4">
        <f t="shared" si="249"/>
        <v>3.9381300000000001E-2</v>
      </c>
      <c r="IQ16" s="4">
        <f t="shared" si="250"/>
        <v>2.99321E-2</v>
      </c>
      <c r="IR16" s="4">
        <f t="shared" si="251"/>
        <v>2.3834599999999997E-2</v>
      </c>
      <c r="IS16" s="4">
        <f t="shared" si="252"/>
        <v>1.9512100000000001E-2</v>
      </c>
      <c r="IT16" s="4">
        <f t="shared" si="253"/>
        <v>1.6627200000000002E-2</v>
      </c>
      <c r="IU16" s="4">
        <f t="shared" si="254"/>
        <v>6.0212400000000006E-2</v>
      </c>
      <c r="IV16" s="4">
        <f t="shared" si="255"/>
        <v>4.0921899999999997E-2</v>
      </c>
      <c r="IW16" s="4">
        <f t="shared" si="256"/>
        <v>3.0275199999999992E-2</v>
      </c>
      <c r="IX16" s="4">
        <f t="shared" si="257"/>
        <v>9.3182600000000004E-2</v>
      </c>
      <c r="JA16" s="4">
        <f t="shared" si="287"/>
        <v>7.5489999999999967E-3</v>
      </c>
      <c r="JB16" s="4">
        <f t="shared" si="288"/>
        <v>7.4654999999999999E-3</v>
      </c>
      <c r="JC16" s="4">
        <f t="shared" si="260"/>
        <v>4.6922000000000005E-3</v>
      </c>
      <c r="JD16" s="4">
        <f t="shared" si="261"/>
        <v>3.1039999999999991E-3</v>
      </c>
      <c r="JE16" s="4">
        <f t="shared" si="262"/>
        <v>2.1683999999999974E-3</v>
      </c>
      <c r="JF16" s="4">
        <f t="shared" si="263"/>
        <v>5.2869000000000041E-3</v>
      </c>
      <c r="JG16" s="4">
        <f t="shared" si="264"/>
        <v>2.3393000000000025E-3</v>
      </c>
      <c r="JH16" s="4">
        <f t="shared" si="265"/>
        <v>1.603200000000006E-3</v>
      </c>
      <c r="JI16" s="4">
        <f t="shared" si="266"/>
        <v>5.2307999999999799E-3</v>
      </c>
      <c r="JK16">
        <f t="shared" si="284"/>
        <v>2009.75</v>
      </c>
      <c r="JL16">
        <f t="shared" si="267"/>
        <v>19.168996452631063</v>
      </c>
      <c r="JM16">
        <f t="shared" si="268"/>
        <v>24.941450817015848</v>
      </c>
      <c r="JN16">
        <f t="shared" si="269"/>
        <v>19.686506171699971</v>
      </c>
      <c r="JO16">
        <f t="shared" si="270"/>
        <v>15.90807755187806</v>
      </c>
      <c r="JP16">
        <f t="shared" si="271"/>
        <v>13.041281755196289</v>
      </c>
      <c r="JQ16">
        <f t="shared" si="272"/>
        <v>8.780417322677728</v>
      </c>
      <c r="JR16">
        <f t="shared" si="273"/>
        <v>5.7164989895386151</v>
      </c>
      <c r="JS16">
        <f t="shared" si="274"/>
        <v>5.2954233167741469</v>
      </c>
      <c r="JT16">
        <f t="shared" si="275"/>
        <v>5.6134943648277469</v>
      </c>
      <c r="JV16" s="12">
        <f t="shared" si="285"/>
        <v>2009.75</v>
      </c>
      <c r="JW16" s="12">
        <f t="shared" si="286"/>
        <v>-0.92345361902255618</v>
      </c>
      <c r="JX16" s="12">
        <f t="shared" si="276"/>
        <v>1.7777369419147036</v>
      </c>
      <c r="JY16" s="12">
        <f t="shared" si="277"/>
        <v>0.12196361420283353</v>
      </c>
      <c r="JZ16" s="12">
        <f t="shared" si="278"/>
        <v>-0.17880038227955275</v>
      </c>
      <c r="KA16" s="12">
        <f t="shared" si="279"/>
        <v>-0.35504242059591107</v>
      </c>
      <c r="KB16" s="12">
        <f t="shared" si="280"/>
        <v>-0.51098194515584439</v>
      </c>
      <c r="KC16" s="12">
        <f t="shared" si="281"/>
        <v>-0.47882784850197702</v>
      </c>
      <c r="KD16" s="12">
        <f t="shared" si="282"/>
        <v>-0.22310480966013024</v>
      </c>
      <c r="KE16" s="12">
        <f t="shared" si="283"/>
        <v>7.9830523121803054E-2</v>
      </c>
    </row>
    <row r="17" spans="1:291" x14ac:dyDescent="0.35">
      <c r="A17" s="1">
        <v>9</v>
      </c>
      <c r="B17" s="4">
        <v>1.0309199999999999E-2</v>
      </c>
      <c r="C17" s="4">
        <v>1.0309199999999999E-2</v>
      </c>
      <c r="D17" s="4">
        <v>1.0163999999999999E-2</v>
      </c>
      <c r="E17" s="4">
        <v>9.9609999999999994E-3</v>
      </c>
      <c r="F17" s="4">
        <v>9.3565999999999996E-3</v>
      </c>
      <c r="G17" s="4">
        <v>8.4169999999999991E-3</v>
      </c>
      <c r="H17" s="4">
        <v>7.8125E-3</v>
      </c>
      <c r="I17" s="4">
        <v>7.1923000000000004E-3</v>
      </c>
      <c r="J17" s="4">
        <v>6.3690999999999999E-3</v>
      </c>
      <c r="K17" s="4">
        <v>6.5034999999999997E-3</v>
      </c>
      <c r="L17" s="4">
        <v>6.0698000000000002E-3</v>
      </c>
      <c r="M17" s="4">
        <v>5.7467000000000004E-3</v>
      </c>
      <c r="N17" s="4">
        <v>5.4495000000000004E-3</v>
      </c>
      <c r="O17" s="4">
        <v>5.189E-3</v>
      </c>
      <c r="P17" s="4">
        <v>4.9524E-3</v>
      </c>
      <c r="Q17" s="4">
        <v>4.7412000000000001E-3</v>
      </c>
      <c r="R17" s="4">
        <v>4.5493E-3</v>
      </c>
      <c r="S17" s="4">
        <v>4.3740999999999997E-3</v>
      </c>
      <c r="T17" s="4">
        <v>4.2136999999999999E-3</v>
      </c>
      <c r="U17" s="4">
        <v>4.0661999999999998E-3</v>
      </c>
      <c r="V17" s="4">
        <v>3.9302E-3</v>
      </c>
      <c r="W17" s="4">
        <v>3.8043E-3</v>
      </c>
      <c r="X17" s="4">
        <v>3.6874999999999998E-3</v>
      </c>
      <c r="Y17" s="4">
        <v>3.5787000000000002E-3</v>
      </c>
      <c r="Z17" s="4">
        <v>3.4772000000000002E-3</v>
      </c>
      <c r="AA17" s="4">
        <v>3.3820999999999999E-3</v>
      </c>
      <c r="AB17" s="4">
        <v>3.2927999999999998E-3</v>
      </c>
      <c r="AC17" s="4">
        <v>3.2087999999999999E-3</v>
      </c>
      <c r="AD17" s="4">
        <v>3.1296000000000002E-3</v>
      </c>
      <c r="AE17" s="4">
        <v>3.0547E-3</v>
      </c>
      <c r="AF17" s="4">
        <v>2.9837000000000002E-3</v>
      </c>
      <c r="AG17" s="4">
        <v>2.9163000000000001E-3</v>
      </c>
      <c r="AH17" s="4">
        <v>2.8522999999999999E-3</v>
      </c>
      <c r="AI17" s="4">
        <v>2.7913E-3</v>
      </c>
      <c r="AJ17" s="4">
        <v>2.7330000000000002E-3</v>
      </c>
      <c r="AK17" s="4">
        <v>2.6773999999999999E-3</v>
      </c>
      <c r="AL17" s="4">
        <v>2.6240999999999999E-3</v>
      </c>
      <c r="AM17" s="4">
        <v>2.5731E-3</v>
      </c>
      <c r="AN17" s="4">
        <v>2.5240000000000002E-3</v>
      </c>
      <c r="AO17" s="4">
        <v>2.4767999999999999E-3</v>
      </c>
      <c r="AP17" s="4">
        <v>2.4313999999999998E-3</v>
      </c>
      <c r="AQ17" s="4">
        <v>2.3876000000000001E-3</v>
      </c>
      <c r="AR17" s="4">
        <v>2.3452E-3</v>
      </c>
      <c r="AS17" s="4">
        <v>2.3043E-3</v>
      </c>
      <c r="AT17" s="4">
        <v>2.2647000000000001E-3</v>
      </c>
      <c r="AU17" s="4">
        <v>2.2263999999999999E-3</v>
      </c>
      <c r="AV17" s="4">
        <v>2.1892000000000001E-3</v>
      </c>
      <c r="AW17" s="4">
        <v>2.153E-3</v>
      </c>
      <c r="AX17" s="4">
        <v>2.1178999999999998E-3</v>
      </c>
      <c r="AY17" s="4">
        <v>2.0837E-3</v>
      </c>
      <c r="AZ17" s="4">
        <v>2.0504999999999998E-3</v>
      </c>
      <c r="BA17" s="4">
        <v>2.0181000000000001E-3</v>
      </c>
      <c r="BB17" s="4">
        <v>1.9865E-3</v>
      </c>
      <c r="BC17" s="4">
        <v>1.9556E-3</v>
      </c>
      <c r="BD17" s="4">
        <v>1.9254999999999999E-3</v>
      </c>
      <c r="BE17" s="4">
        <v>1.8961E-3</v>
      </c>
      <c r="BF17" s="4">
        <v>1.8672999999999999E-3</v>
      </c>
      <c r="BG17" s="4">
        <v>1.8392E-3</v>
      </c>
      <c r="BH17" s="4">
        <v>1.8116E-3</v>
      </c>
      <c r="BI17" s="4">
        <v>1.7845999999999999E-3</v>
      </c>
      <c r="BJ17" s="4">
        <v>1.7581999999999999E-3</v>
      </c>
      <c r="BK17" s="4">
        <v>1.7323E-3</v>
      </c>
      <c r="BL17" s="4">
        <v>1.7068000000000001E-3</v>
      </c>
      <c r="BM17" s="4">
        <v>1.6819000000000001E-3</v>
      </c>
      <c r="BN17" s="4">
        <v>1.6574000000000001E-3</v>
      </c>
      <c r="BO17" s="4">
        <v>1.6333999999999999E-3</v>
      </c>
      <c r="BP17" s="4">
        <v>1.6098E-3</v>
      </c>
      <c r="BQ17" s="4">
        <v>1.5866999999999999E-3</v>
      </c>
      <c r="BR17" s="4">
        <v>1.5639E-3</v>
      </c>
      <c r="BS17" s="4">
        <v>1.5414999999999999E-3</v>
      </c>
      <c r="BT17" s="4">
        <v>1.5195E-3</v>
      </c>
      <c r="BU17" s="4">
        <v>1.4978999999999999E-3</v>
      </c>
      <c r="BV17" s="4">
        <v>1.4767000000000001E-3</v>
      </c>
      <c r="BW17" s="4">
        <v>1.4557999999999999E-3</v>
      </c>
      <c r="BX17" s="4">
        <v>1.4352E-3</v>
      </c>
      <c r="BY17" s="4">
        <v>1.415E-3</v>
      </c>
      <c r="BZ17" s="4">
        <v>1.3951E-3</v>
      </c>
      <c r="CA17" s="4">
        <v>1.3755E-3</v>
      </c>
      <c r="CB17" s="4">
        <v>1.3561999999999999E-3</v>
      </c>
      <c r="CC17" s="4">
        <v>1.3372E-3</v>
      </c>
      <c r="CD17" s="4">
        <v>1.3185E-3</v>
      </c>
      <c r="CE17" s="4">
        <v>1.3001E-3</v>
      </c>
      <c r="CF17" s="4">
        <v>1.2819999999999999E-3</v>
      </c>
      <c r="CG17" s="4">
        <v>1.2641E-3</v>
      </c>
      <c r="CH17" s="4">
        <v>1.2465E-3</v>
      </c>
      <c r="CI17" s="4">
        <v>1.2292E-3</v>
      </c>
      <c r="CJ17" s="4">
        <v>1.2121E-3</v>
      </c>
      <c r="CK17" s="4">
        <v>1.1953000000000001E-3</v>
      </c>
      <c r="CL17" s="4">
        <v>1.1787E-3</v>
      </c>
      <c r="CM17" s="4">
        <v>1.1624000000000001E-3</v>
      </c>
      <c r="CN17" s="4">
        <v>1.1463000000000001E-3</v>
      </c>
      <c r="CO17" s="4">
        <v>1.1303999999999999E-3</v>
      </c>
      <c r="CP17" s="4">
        <v>1.1148E-3</v>
      </c>
      <c r="CQ17" s="4">
        <v>1.0993999999999999E-3</v>
      </c>
      <c r="CR17" s="4">
        <v>1.0842E-3</v>
      </c>
      <c r="CS17" s="4">
        <v>1.0692E-3</v>
      </c>
      <c r="CT17" s="4">
        <v>1.0544E-3</v>
      </c>
      <c r="CU17" s="4">
        <v>1.0399000000000001E-3</v>
      </c>
      <c r="CV17" s="4">
        <v>1.0254999999999999E-3</v>
      </c>
      <c r="CW17" s="4">
        <v>1.0112999999999999E-3</v>
      </c>
      <c r="CX17" s="4">
        <v>9.9740000000000007E-4</v>
      </c>
      <c r="CY17" s="4">
        <v>9.8360000000000006E-4</v>
      </c>
      <c r="CZ17" s="4">
        <v>9.7000000000000005E-4</v>
      </c>
      <c r="DA17" s="4">
        <v>9.567E-4</v>
      </c>
      <c r="DB17" s="4">
        <v>9.435E-4</v>
      </c>
      <c r="DC17" s="4">
        <v>9.3039999999999996E-4</v>
      </c>
      <c r="DD17" s="4">
        <v>9.1759999999999997E-4</v>
      </c>
      <c r="DE17" s="4">
        <v>9.0490000000000004E-4</v>
      </c>
      <c r="DF17" s="4">
        <v>8.9240000000000001E-4</v>
      </c>
      <c r="DG17" s="4">
        <v>8.8009999999999998E-4</v>
      </c>
      <c r="DH17" s="4">
        <v>8.6799999999999996E-4</v>
      </c>
      <c r="DI17" s="4">
        <v>8.5599999999999999E-4</v>
      </c>
      <c r="DJ17" s="4">
        <v>8.4420000000000003E-4</v>
      </c>
      <c r="DK17" s="4">
        <v>8.3250000000000002E-4</v>
      </c>
      <c r="DL17" s="4">
        <v>8.2100000000000001E-4</v>
      </c>
      <c r="DM17" s="4">
        <v>8.097E-4</v>
      </c>
      <c r="DN17" s="4">
        <v>7.9849999999999995E-4</v>
      </c>
      <c r="DO17" s="4">
        <v>7.8750000000000001E-4</v>
      </c>
      <c r="DP17" s="4">
        <v>7.7660000000000001E-4</v>
      </c>
      <c r="DQ17" s="4">
        <v>5.4511700000000003E-2</v>
      </c>
      <c r="DR17" s="4">
        <v>0</v>
      </c>
      <c r="DS17" s="4">
        <v>1.44E-4</v>
      </c>
      <c r="DT17" s="4">
        <v>1.997E-4</v>
      </c>
      <c r="DU17" s="4">
        <v>5.419E-4</v>
      </c>
      <c r="DV17" s="4">
        <v>6.2640000000000005E-4</v>
      </c>
      <c r="DW17" s="4">
        <v>5.9009999999999998E-4</v>
      </c>
      <c r="DX17" s="4">
        <v>5.6930000000000001E-4</v>
      </c>
      <c r="DY17" s="4">
        <v>4.9589999999999996E-4</v>
      </c>
      <c r="DZ17" s="4">
        <v>4.17E-4</v>
      </c>
      <c r="EA17" s="4">
        <v>4.2329999999999999E-4</v>
      </c>
      <c r="EB17" s="4">
        <v>3.6959999999999998E-4</v>
      </c>
      <c r="EC17" s="4">
        <v>3.2969999999999999E-4</v>
      </c>
      <c r="ED17" s="4">
        <v>2.9349999999999998E-4</v>
      </c>
      <c r="EE17" s="4">
        <v>2.6340000000000001E-4</v>
      </c>
      <c r="EF17" s="4">
        <v>2.3690000000000001E-4</v>
      </c>
      <c r="EG17" s="4">
        <v>2.143E-4</v>
      </c>
      <c r="EH17" s="4">
        <v>1.9469999999999999E-4</v>
      </c>
      <c r="EI17" s="4">
        <v>1.7760000000000001E-4</v>
      </c>
      <c r="EJ17" s="4">
        <v>1.6259999999999999E-4</v>
      </c>
      <c r="EK17" s="4">
        <v>1.494E-4</v>
      </c>
      <c r="EL17" s="4">
        <v>1.3770000000000001E-4</v>
      </c>
      <c r="EM17" s="4">
        <v>1.273E-4</v>
      </c>
      <c r="EN17" s="4">
        <v>1.18E-4</v>
      </c>
      <c r="EO17" s="4">
        <v>1.097E-4</v>
      </c>
      <c r="EP17" s="4">
        <v>1.0230000000000001E-4</v>
      </c>
      <c r="EQ17" s="4">
        <v>9.5600000000000006E-5</v>
      </c>
      <c r="ER17" s="4">
        <v>8.9599999999999996E-5</v>
      </c>
      <c r="ES17" s="4">
        <v>8.42E-5</v>
      </c>
      <c r="ET17" s="4">
        <v>7.9300000000000003E-5</v>
      </c>
      <c r="EU17" s="4">
        <v>7.4800000000000002E-5</v>
      </c>
      <c r="EV17" s="4">
        <v>7.0699999999999997E-5</v>
      </c>
      <c r="EW17" s="4">
        <v>6.7000000000000002E-5</v>
      </c>
      <c r="EX17" s="4">
        <v>6.3499999999999999E-5</v>
      </c>
      <c r="EY17" s="4">
        <v>6.0300000000000002E-5</v>
      </c>
      <c r="EZ17" s="4">
        <v>5.7399999999999999E-5</v>
      </c>
      <c r="FA17" s="4">
        <v>5.4700000000000001E-5</v>
      </c>
      <c r="FB17" s="4">
        <v>5.2200000000000002E-5</v>
      </c>
      <c r="FC17" s="4">
        <v>4.99E-5</v>
      </c>
      <c r="FD17" s="4">
        <v>4.7700000000000001E-5</v>
      </c>
      <c r="FE17" s="4">
        <v>4.57E-5</v>
      </c>
      <c r="FF17" s="4">
        <v>4.3900000000000003E-5</v>
      </c>
      <c r="FG17" s="4">
        <v>4.2200000000000003E-5</v>
      </c>
      <c r="FH17" s="4">
        <v>4.0599999999999998E-5</v>
      </c>
      <c r="FI17" s="4">
        <v>3.9100000000000002E-5</v>
      </c>
      <c r="FJ17" s="4">
        <v>3.7700000000000002E-5</v>
      </c>
      <c r="FK17" s="4">
        <v>3.6399999999999997E-5</v>
      </c>
      <c r="FL17" s="4">
        <v>3.5200000000000002E-5</v>
      </c>
      <c r="FM17" s="4">
        <v>3.4100000000000002E-5</v>
      </c>
      <c r="FN17" s="4">
        <v>3.3000000000000003E-5</v>
      </c>
      <c r="FO17" s="4">
        <v>3.2100000000000001E-5</v>
      </c>
      <c r="FP17" s="4">
        <v>3.1199999999999999E-5</v>
      </c>
      <c r="FQ17" s="4">
        <v>3.0300000000000001E-5</v>
      </c>
      <c r="FR17" s="4">
        <v>2.9499999999999999E-5</v>
      </c>
      <c r="FS17" s="4">
        <v>2.8799999999999999E-5</v>
      </c>
      <c r="FT17" s="4">
        <v>2.8099999999999999E-5</v>
      </c>
      <c r="FU17" s="4">
        <v>2.7399999999999999E-5</v>
      </c>
      <c r="FV17" s="4">
        <v>2.6800000000000001E-5</v>
      </c>
      <c r="FW17" s="4">
        <v>2.62E-5</v>
      </c>
      <c r="FX17" s="4">
        <v>2.5700000000000001E-5</v>
      </c>
      <c r="FY17" s="4">
        <v>2.5199999999999999E-5</v>
      </c>
      <c r="FZ17" s="4">
        <v>2.4700000000000001E-5</v>
      </c>
      <c r="GA17" s="4">
        <v>2.4199999999999999E-5</v>
      </c>
      <c r="GB17" s="4">
        <v>2.3799999999999999E-5</v>
      </c>
      <c r="GC17" s="4">
        <v>2.3300000000000001E-5</v>
      </c>
      <c r="GD17" s="4">
        <v>2.2900000000000001E-5</v>
      </c>
      <c r="GE17" s="4">
        <v>2.26E-5</v>
      </c>
      <c r="GF17" s="4">
        <v>2.2200000000000001E-5</v>
      </c>
      <c r="GG17" s="4">
        <v>2.1800000000000001E-5</v>
      </c>
      <c r="GH17" s="4">
        <v>2.1500000000000001E-5</v>
      </c>
      <c r="GI17" s="4">
        <v>2.12E-5</v>
      </c>
      <c r="GJ17" s="4">
        <v>2.09E-5</v>
      </c>
      <c r="GK17" s="4">
        <v>2.0599999999999999E-5</v>
      </c>
      <c r="GL17" s="4">
        <v>2.0299999999999999E-5</v>
      </c>
      <c r="GM17" s="4">
        <v>2.0000000000000002E-5</v>
      </c>
      <c r="GN17" s="4">
        <v>1.9700000000000001E-5</v>
      </c>
      <c r="GO17" s="4">
        <v>1.9400000000000001E-5</v>
      </c>
      <c r="GP17" s="4">
        <v>1.9199999999999999E-5</v>
      </c>
      <c r="GQ17" s="4">
        <v>1.8899999999999999E-5</v>
      </c>
      <c r="GR17" s="4">
        <v>1.8700000000000001E-5</v>
      </c>
      <c r="GS17" s="4">
        <v>1.8499999999999999E-5</v>
      </c>
      <c r="GT17" s="4">
        <v>1.8199999999999999E-5</v>
      </c>
      <c r="GU17" s="4">
        <v>1.8E-5</v>
      </c>
      <c r="GV17" s="4">
        <v>1.7799999999999999E-5</v>
      </c>
      <c r="GW17" s="4">
        <v>1.7600000000000001E-5</v>
      </c>
      <c r="GX17" s="4">
        <v>1.7399999999999999E-5</v>
      </c>
      <c r="GY17" s="4">
        <v>1.7099999999999999E-5</v>
      </c>
      <c r="GZ17" s="4">
        <v>1.6900000000000001E-5</v>
      </c>
      <c r="HA17" s="4">
        <v>1.6699999999999999E-5</v>
      </c>
      <c r="HB17" s="4">
        <v>1.6500000000000001E-5</v>
      </c>
      <c r="HC17" s="4">
        <v>1.6399999999999999E-5</v>
      </c>
      <c r="HD17" s="4">
        <v>1.6200000000000001E-5</v>
      </c>
      <c r="HE17" s="4">
        <v>1.5999999999999999E-5</v>
      </c>
      <c r="HF17" s="4">
        <v>1.5800000000000001E-5</v>
      </c>
      <c r="HG17" s="4">
        <v>1.56E-5</v>
      </c>
      <c r="HH17" s="4">
        <v>1.5400000000000002E-5</v>
      </c>
      <c r="HI17" s="4">
        <v>1.5299999999999999E-5</v>
      </c>
      <c r="HJ17" s="4">
        <v>1.5099999999999999E-5</v>
      </c>
      <c r="HK17" s="4">
        <v>1.49E-5</v>
      </c>
      <c r="HL17" s="4">
        <v>1.47E-5</v>
      </c>
      <c r="HM17" s="4">
        <v>1.4600000000000001E-5</v>
      </c>
      <c r="HN17" s="4">
        <v>1.4399999999999999E-5</v>
      </c>
      <c r="HO17" s="4">
        <v>1.43E-5</v>
      </c>
      <c r="HP17" s="4">
        <v>1.4100000000000001E-5</v>
      </c>
      <c r="HQ17" s="4">
        <v>1.3900000000000001E-5</v>
      </c>
      <c r="HR17" s="4">
        <v>1.38E-5</v>
      </c>
      <c r="HS17" s="4">
        <v>1.36E-5</v>
      </c>
      <c r="HT17" s="4">
        <v>1.3499999999999999E-5</v>
      </c>
      <c r="HU17" s="4">
        <v>1.33E-5</v>
      </c>
      <c r="HV17" s="4">
        <v>1.3200000000000001E-5</v>
      </c>
      <c r="HW17" s="4">
        <v>1.2999999999999999E-5</v>
      </c>
      <c r="HX17" s="4">
        <v>1.29E-5</v>
      </c>
      <c r="HY17" s="4">
        <v>1.27E-5</v>
      </c>
      <c r="HZ17" s="4">
        <v>1.26E-5</v>
      </c>
      <c r="IA17" s="4">
        <v>1.24E-5</v>
      </c>
      <c r="IB17" s="4">
        <v>1.2300000000000001E-5</v>
      </c>
      <c r="IC17" s="4">
        <v>1.2099999999999999E-5</v>
      </c>
      <c r="ID17" s="4">
        <v>1.2E-5</v>
      </c>
      <c r="IE17" s="4">
        <v>1.19E-5</v>
      </c>
      <c r="IF17" s="4">
        <v>1.17E-5</v>
      </c>
      <c r="IG17" s="4">
        <v>8.8889999999999998E-4</v>
      </c>
      <c r="IH17" s="4"/>
      <c r="II17" s="4">
        <f t="shared" si="247"/>
        <v>0.11117695438388452</v>
      </c>
      <c r="IL17">
        <f t="shared" si="248"/>
        <v>0.35412375000000063</v>
      </c>
      <c r="IP17" s="4">
        <f t="shared" si="249"/>
        <v>3.9790799999999994E-2</v>
      </c>
      <c r="IQ17" s="4">
        <f t="shared" si="250"/>
        <v>2.9790899999999999E-2</v>
      </c>
      <c r="IR17" s="4">
        <f t="shared" si="251"/>
        <v>2.3769499999999999E-2</v>
      </c>
      <c r="IS17" s="4">
        <f t="shared" si="252"/>
        <v>1.9431899999999998E-2</v>
      </c>
      <c r="IT17" s="4">
        <f t="shared" si="253"/>
        <v>1.65842E-2</v>
      </c>
      <c r="IU17" s="4">
        <f t="shared" si="254"/>
        <v>6.0199099999999992E-2</v>
      </c>
      <c r="IV17" s="4">
        <f t="shared" si="255"/>
        <v>4.0965199999999993E-2</v>
      </c>
      <c r="IW17" s="4">
        <f t="shared" si="256"/>
        <v>3.0296299999999998E-2</v>
      </c>
      <c r="IX17" s="4">
        <f t="shared" si="257"/>
        <v>9.3128100000000019E-2</v>
      </c>
      <c r="JA17" s="4">
        <f t="shared" si="287"/>
        <v>7.8709000000000071E-3</v>
      </c>
      <c r="JB17" s="4">
        <f t="shared" si="288"/>
        <v>7.0494000000000043E-3</v>
      </c>
      <c r="JC17" s="4">
        <f t="shared" si="260"/>
        <v>4.6123999999999991E-3</v>
      </c>
      <c r="JD17" s="4">
        <f t="shared" si="261"/>
        <v>3.067300000000002E-3</v>
      </c>
      <c r="JE17" s="4">
        <f t="shared" si="262"/>
        <v>2.1553000000000006E-3</v>
      </c>
      <c r="JF17" s="4">
        <f t="shared" si="263"/>
        <v>5.3019999999999942E-3</v>
      </c>
      <c r="JG17" s="4">
        <f t="shared" si="264"/>
        <v>2.3652000000000048E-3</v>
      </c>
      <c r="JH17" s="4">
        <f t="shared" si="265"/>
        <v>1.6121000000000017E-3</v>
      </c>
      <c r="JI17" s="4">
        <f t="shared" si="266"/>
        <v>5.3358000000000155E-3</v>
      </c>
      <c r="JK17">
        <f t="shared" si="284"/>
        <v>2010</v>
      </c>
      <c r="JL17">
        <f t="shared" si="267"/>
        <v>19.780703077093218</v>
      </c>
      <c r="JM17">
        <f t="shared" si="268"/>
        <v>23.662930626466487</v>
      </c>
      <c r="JN17">
        <f t="shared" si="269"/>
        <v>19.404699299522495</v>
      </c>
      <c r="JO17">
        <f t="shared" si="270"/>
        <v>15.784869209907431</v>
      </c>
      <c r="JP17">
        <f t="shared" si="271"/>
        <v>12.996104726185168</v>
      </c>
      <c r="JQ17">
        <f t="shared" si="272"/>
        <v>8.8074406428002998</v>
      </c>
      <c r="JR17">
        <f t="shared" si="273"/>
        <v>5.7736810756447063</v>
      </c>
      <c r="JS17">
        <f t="shared" si="274"/>
        <v>5.321111818934992</v>
      </c>
      <c r="JT17">
        <f t="shared" si="275"/>
        <v>5.7295273929136465</v>
      </c>
      <c r="JV17" s="12">
        <f t="shared" si="285"/>
        <v>2010</v>
      </c>
      <c r="JW17" s="12">
        <f t="shared" si="286"/>
        <v>-0.31174699456040145</v>
      </c>
      <c r="JX17" s="12">
        <f t="shared" si="276"/>
        <v>0.49921675136534205</v>
      </c>
      <c r="JY17" s="12">
        <f t="shared" si="277"/>
        <v>-0.15984325797464294</v>
      </c>
      <c r="JZ17" s="12">
        <f t="shared" si="278"/>
        <v>-0.30200872425018233</v>
      </c>
      <c r="KA17" s="12">
        <f t="shared" si="279"/>
        <v>-0.40021944960703237</v>
      </c>
      <c r="KB17" s="12">
        <f t="shared" si="280"/>
        <v>-0.48395862503327258</v>
      </c>
      <c r="KC17" s="12">
        <f t="shared" si="281"/>
        <v>-0.4216457623958858</v>
      </c>
      <c r="KD17" s="12">
        <f t="shared" si="282"/>
        <v>-0.19741630749928518</v>
      </c>
      <c r="KE17" s="12">
        <f t="shared" si="283"/>
        <v>0.19586355120770271</v>
      </c>
    </row>
    <row r="18" spans="1:291" x14ac:dyDescent="0.35">
      <c r="A18" s="1">
        <v>10</v>
      </c>
      <c r="B18" s="4">
        <v>1.0309199999999999E-2</v>
      </c>
      <c r="C18" s="4">
        <v>1.0309199999999999E-2</v>
      </c>
      <c r="D18" s="4">
        <v>1.0165199999999999E-2</v>
      </c>
      <c r="E18" s="4">
        <v>9.9643000000000006E-3</v>
      </c>
      <c r="F18" s="4">
        <v>9.4190999999999997E-3</v>
      </c>
      <c r="G18" s="4">
        <v>8.7302000000000005E-3</v>
      </c>
      <c r="H18" s="4">
        <v>7.8268999999999995E-3</v>
      </c>
      <c r="I18" s="4">
        <v>7.2432E-3</v>
      </c>
      <c r="J18" s="4">
        <v>6.6963999999999999E-3</v>
      </c>
      <c r="K18" s="4">
        <v>5.9521000000000001E-3</v>
      </c>
      <c r="L18" s="4">
        <v>6.0802E-3</v>
      </c>
      <c r="M18" s="4">
        <v>5.7001999999999999E-3</v>
      </c>
      <c r="N18" s="4">
        <v>5.4169999999999999E-3</v>
      </c>
      <c r="O18" s="4">
        <v>5.1558999999999997E-3</v>
      </c>
      <c r="P18" s="4">
        <v>4.9255999999999996E-3</v>
      </c>
      <c r="Q18" s="4">
        <v>4.7155000000000001E-3</v>
      </c>
      <c r="R18" s="4">
        <v>4.5269000000000004E-3</v>
      </c>
      <c r="S18" s="4">
        <v>4.3546000000000001E-3</v>
      </c>
      <c r="T18" s="4">
        <v>4.1964999999999997E-3</v>
      </c>
      <c r="U18" s="4">
        <v>4.0511000000000002E-3</v>
      </c>
      <c r="V18" s="4">
        <v>3.9169000000000001E-3</v>
      </c>
      <c r="W18" s="4">
        <v>3.7926000000000001E-3</v>
      </c>
      <c r="X18" s="4">
        <v>3.6771E-3</v>
      </c>
      <c r="Y18" s="4">
        <v>3.5695000000000002E-3</v>
      </c>
      <c r="Z18" s="4">
        <v>3.4689999999999999E-3</v>
      </c>
      <c r="AA18" s="4">
        <v>3.3749000000000001E-3</v>
      </c>
      <c r="AB18" s="4">
        <v>3.2864999999999999E-3</v>
      </c>
      <c r="AC18" s="4">
        <v>3.2031999999999998E-3</v>
      </c>
      <c r="AD18" s="4">
        <v>3.1245999999999999E-3</v>
      </c>
      <c r="AE18" s="4">
        <v>3.0503000000000001E-3</v>
      </c>
      <c r="AF18" s="4">
        <v>2.9799000000000002E-3</v>
      </c>
      <c r="AG18" s="4">
        <v>2.9129999999999998E-3</v>
      </c>
      <c r="AH18" s="4">
        <v>2.8494000000000002E-3</v>
      </c>
      <c r="AI18" s="4">
        <v>2.7888000000000001E-3</v>
      </c>
      <c r="AJ18" s="4">
        <v>2.7309000000000001E-3</v>
      </c>
      <c r="AK18" s="4">
        <v>2.6756000000000002E-3</v>
      </c>
      <c r="AL18" s="4">
        <v>2.6226999999999999E-3</v>
      </c>
      <c r="AM18" s="4">
        <v>2.5718999999999998E-3</v>
      </c>
      <c r="AN18" s="4">
        <v>2.5232000000000002E-3</v>
      </c>
      <c r="AO18" s="4">
        <v>2.4762999999999999E-3</v>
      </c>
      <c r="AP18" s="4">
        <v>2.4310999999999998E-3</v>
      </c>
      <c r="AQ18" s="4">
        <v>2.3874999999999999E-3</v>
      </c>
      <c r="AR18" s="4">
        <v>2.3454000000000001E-3</v>
      </c>
      <c r="AS18" s="4">
        <v>2.3046999999999998E-3</v>
      </c>
      <c r="AT18" s="4">
        <v>2.2653E-3</v>
      </c>
      <c r="AU18" s="4">
        <v>2.2271000000000001E-3</v>
      </c>
      <c r="AV18" s="4">
        <v>2.1900000000000001E-3</v>
      </c>
      <c r="AW18" s="4">
        <v>2.1540000000000001E-3</v>
      </c>
      <c r="AX18" s="4">
        <v>2.1189E-3</v>
      </c>
      <c r="AY18" s="4">
        <v>2.0849000000000002E-3</v>
      </c>
      <c r="AZ18" s="4">
        <v>2.0517000000000001E-3</v>
      </c>
      <c r="BA18" s="4">
        <v>2.0192999999999999E-3</v>
      </c>
      <c r="BB18" s="4">
        <v>1.9878000000000001E-3</v>
      </c>
      <c r="BC18" s="4">
        <v>1.957E-3</v>
      </c>
      <c r="BD18" s="4">
        <v>1.9269000000000001E-3</v>
      </c>
      <c r="BE18" s="4">
        <v>1.8974E-3</v>
      </c>
      <c r="BF18" s="4">
        <v>1.8687E-3</v>
      </c>
      <c r="BG18" s="4">
        <v>1.8404999999999999E-3</v>
      </c>
      <c r="BH18" s="4">
        <v>1.8129000000000001E-3</v>
      </c>
      <c r="BI18" s="4">
        <v>1.7859E-3</v>
      </c>
      <c r="BJ18" s="4">
        <v>1.7595E-3</v>
      </c>
      <c r="BK18" s="4">
        <v>1.7335E-3</v>
      </c>
      <c r="BL18" s="4">
        <v>1.7080999999999999E-3</v>
      </c>
      <c r="BM18" s="4">
        <v>1.6831000000000001E-3</v>
      </c>
      <c r="BN18" s="4">
        <v>1.6586000000000001E-3</v>
      </c>
      <c r="BO18" s="4">
        <v>1.6345000000000001E-3</v>
      </c>
      <c r="BP18" s="4">
        <v>1.6109E-3</v>
      </c>
      <c r="BQ18" s="4">
        <v>1.5876E-3</v>
      </c>
      <c r="BR18" s="4">
        <v>1.5648000000000001E-3</v>
      </c>
      <c r="BS18" s="4">
        <v>1.5424E-3</v>
      </c>
      <c r="BT18" s="4">
        <v>1.5204000000000001E-3</v>
      </c>
      <c r="BU18" s="4">
        <v>1.4986999999999999E-3</v>
      </c>
      <c r="BV18" s="4">
        <v>1.4774E-3</v>
      </c>
      <c r="BW18" s="4">
        <v>1.4564000000000001E-3</v>
      </c>
      <c r="BX18" s="4">
        <v>1.4358000000000001E-3</v>
      </c>
      <c r="BY18" s="4">
        <v>1.4155000000000001E-3</v>
      </c>
      <c r="BZ18" s="4">
        <v>1.3955E-3</v>
      </c>
      <c r="CA18" s="4">
        <v>1.3759E-3</v>
      </c>
      <c r="CB18" s="4">
        <v>1.3565000000000001E-3</v>
      </c>
      <c r="CC18" s="4">
        <v>1.3374999999999999E-3</v>
      </c>
      <c r="CD18" s="4">
        <v>1.3186999999999999E-3</v>
      </c>
      <c r="CE18" s="4">
        <v>1.3002999999999999E-3</v>
      </c>
      <c r="CF18" s="4">
        <v>1.2821E-3</v>
      </c>
      <c r="CG18" s="4">
        <v>1.2642E-3</v>
      </c>
      <c r="CH18" s="4">
        <v>1.2465E-3</v>
      </c>
      <c r="CI18" s="4">
        <v>1.2292E-3</v>
      </c>
      <c r="CJ18" s="4">
        <v>1.212E-3</v>
      </c>
      <c r="CK18" s="4">
        <v>1.1952E-3</v>
      </c>
      <c r="CL18" s="4">
        <v>1.1785999999999999E-3</v>
      </c>
      <c r="CM18" s="4">
        <v>1.1622E-3</v>
      </c>
      <c r="CN18" s="4">
        <v>1.1460000000000001E-3</v>
      </c>
      <c r="CO18" s="4">
        <v>1.1301E-3</v>
      </c>
      <c r="CP18" s="4">
        <v>1.1144E-3</v>
      </c>
      <c r="CQ18" s="4">
        <v>1.0989999999999999E-3</v>
      </c>
      <c r="CR18" s="4">
        <v>1.0838E-3</v>
      </c>
      <c r="CS18" s="4">
        <v>1.0686999999999999E-3</v>
      </c>
      <c r="CT18" s="4">
        <v>1.0539E-3</v>
      </c>
      <c r="CU18" s="4">
        <v>1.0392999999999999E-3</v>
      </c>
      <c r="CV18" s="4">
        <v>1.0249E-3</v>
      </c>
      <c r="CW18" s="4">
        <v>1.0108000000000001E-3</v>
      </c>
      <c r="CX18" s="4">
        <v>9.9679999999999994E-4</v>
      </c>
      <c r="CY18" s="4">
        <v>9.8299999999999993E-4</v>
      </c>
      <c r="CZ18" s="4">
        <v>9.6940000000000004E-4</v>
      </c>
      <c r="DA18" s="4">
        <v>9.5600000000000004E-4</v>
      </c>
      <c r="DB18" s="4">
        <v>9.4269999999999998E-4</v>
      </c>
      <c r="DC18" s="4">
        <v>9.2969999999999999E-4</v>
      </c>
      <c r="DD18" s="4">
        <v>9.1679999999999995E-4</v>
      </c>
      <c r="DE18" s="4">
        <v>9.0410000000000002E-4</v>
      </c>
      <c r="DF18" s="4">
        <v>8.9159999999999999E-4</v>
      </c>
      <c r="DG18" s="4">
        <v>8.7929999999999996E-4</v>
      </c>
      <c r="DH18" s="4">
        <v>8.6709999999999999E-4</v>
      </c>
      <c r="DI18" s="4">
        <v>8.5510000000000002E-4</v>
      </c>
      <c r="DJ18" s="4">
        <v>8.4329999999999995E-4</v>
      </c>
      <c r="DK18" s="4">
        <v>8.3160000000000005E-4</v>
      </c>
      <c r="DL18" s="4">
        <v>8.2010000000000004E-4</v>
      </c>
      <c r="DM18" s="4">
        <v>8.0869999999999998E-4</v>
      </c>
      <c r="DN18" s="4">
        <v>7.9750000000000003E-4</v>
      </c>
      <c r="DO18" s="4">
        <v>7.8649999999999998E-4</v>
      </c>
      <c r="DP18" s="4">
        <v>7.7559999999999999E-4</v>
      </c>
      <c r="DQ18" s="4">
        <v>5.4387600000000001E-2</v>
      </c>
      <c r="DR18" s="4">
        <v>0</v>
      </c>
      <c r="DS18" s="4">
        <v>1.44E-4</v>
      </c>
      <c r="DT18" s="4">
        <v>2.3729999999999999E-4</v>
      </c>
      <c r="DU18" s="4">
        <v>5.2329999999999998E-4</v>
      </c>
      <c r="DV18" s="4">
        <v>6.3349999999999995E-4</v>
      </c>
      <c r="DW18" s="4">
        <v>6.1950000000000004E-4</v>
      </c>
      <c r="DX18" s="4">
        <v>5.6260000000000001E-4</v>
      </c>
      <c r="DY18" s="4">
        <v>5.0029999999999996E-4</v>
      </c>
      <c r="DZ18" s="4">
        <v>4.4450000000000002E-4</v>
      </c>
      <c r="EA18" s="4">
        <v>3.6820000000000001E-4</v>
      </c>
      <c r="EB18" s="4">
        <v>3.7290000000000001E-4</v>
      </c>
      <c r="EC18" s="4">
        <v>3.2660000000000002E-4</v>
      </c>
      <c r="ED18" s="4">
        <v>2.9250000000000001E-4</v>
      </c>
      <c r="EE18" s="4">
        <v>2.6180000000000002E-4</v>
      </c>
      <c r="EF18" s="4">
        <v>2.3599999999999999E-4</v>
      </c>
      <c r="EG18" s="4">
        <v>2.1330000000000001E-4</v>
      </c>
      <c r="EH18" s="4">
        <v>1.939E-4</v>
      </c>
      <c r="EI18" s="4">
        <v>1.7679999999999999E-4</v>
      </c>
      <c r="EJ18" s="4">
        <v>1.618E-4</v>
      </c>
      <c r="EK18" s="4">
        <v>1.4860000000000001E-4</v>
      </c>
      <c r="EL18" s="4">
        <v>1.3679999999999999E-4</v>
      </c>
      <c r="EM18" s="4">
        <v>1.2640000000000001E-4</v>
      </c>
      <c r="EN18" s="4">
        <v>1.17E-4</v>
      </c>
      <c r="EO18" s="4">
        <v>1.087E-4</v>
      </c>
      <c r="EP18" s="4">
        <v>1.0119999999999999E-4</v>
      </c>
      <c r="EQ18" s="4">
        <v>9.4599999999999996E-5</v>
      </c>
      <c r="ER18" s="4">
        <v>8.8499999999999996E-5</v>
      </c>
      <c r="ES18" s="4">
        <v>8.3100000000000001E-5</v>
      </c>
      <c r="ET18" s="4">
        <v>7.8200000000000003E-5</v>
      </c>
      <c r="EU18" s="4">
        <v>7.3700000000000002E-5</v>
      </c>
      <c r="EV18" s="4">
        <v>6.9599999999999998E-5</v>
      </c>
      <c r="EW18" s="4">
        <v>6.5900000000000003E-5</v>
      </c>
      <c r="EX18" s="4">
        <v>6.2500000000000001E-5</v>
      </c>
      <c r="EY18" s="4">
        <v>5.94E-5</v>
      </c>
      <c r="EZ18" s="4">
        <v>5.6499999999999998E-5</v>
      </c>
      <c r="FA18" s="4">
        <v>5.38E-5</v>
      </c>
      <c r="FB18" s="4">
        <v>5.13E-5</v>
      </c>
      <c r="FC18" s="4">
        <v>4.9100000000000001E-5</v>
      </c>
      <c r="FD18" s="4">
        <v>4.6999999999999997E-5</v>
      </c>
      <c r="FE18" s="4">
        <v>4.5000000000000003E-5</v>
      </c>
      <c r="FF18" s="4">
        <v>4.32E-5</v>
      </c>
      <c r="FG18" s="4">
        <v>4.1499999999999999E-5</v>
      </c>
      <c r="FH18" s="4">
        <v>4.0000000000000003E-5</v>
      </c>
      <c r="FI18" s="4">
        <v>3.8500000000000001E-5</v>
      </c>
      <c r="FJ18" s="4">
        <v>3.7200000000000003E-5</v>
      </c>
      <c r="FK18" s="4">
        <v>3.6000000000000001E-5</v>
      </c>
      <c r="FL18" s="4">
        <v>3.4799999999999999E-5</v>
      </c>
      <c r="FM18" s="4">
        <v>3.3699999999999999E-5</v>
      </c>
      <c r="FN18" s="4">
        <v>3.2700000000000002E-5</v>
      </c>
      <c r="FO18" s="4">
        <v>3.18E-5</v>
      </c>
      <c r="FP18" s="4">
        <v>3.0899999999999999E-5</v>
      </c>
      <c r="FQ18" s="4">
        <v>3.01E-5</v>
      </c>
      <c r="FR18" s="4">
        <v>2.9300000000000001E-5</v>
      </c>
      <c r="FS18" s="4">
        <v>2.8600000000000001E-5</v>
      </c>
      <c r="FT18" s="4">
        <v>2.7900000000000001E-5</v>
      </c>
      <c r="FU18" s="4">
        <v>2.73E-5</v>
      </c>
      <c r="FV18" s="4">
        <v>2.6699999999999998E-5</v>
      </c>
      <c r="FW18" s="4">
        <v>2.6100000000000001E-5</v>
      </c>
      <c r="FX18" s="4">
        <v>2.5599999999999999E-5</v>
      </c>
      <c r="FY18" s="4">
        <v>2.51E-5</v>
      </c>
      <c r="FZ18" s="4">
        <v>2.4600000000000002E-5</v>
      </c>
      <c r="GA18" s="4">
        <v>2.41E-5</v>
      </c>
      <c r="GB18" s="4">
        <v>2.37E-5</v>
      </c>
      <c r="GC18" s="4">
        <v>2.3300000000000001E-5</v>
      </c>
      <c r="GD18" s="4">
        <v>2.2900000000000001E-5</v>
      </c>
      <c r="GE18" s="4">
        <v>2.2500000000000001E-5</v>
      </c>
      <c r="GF18" s="4">
        <v>2.2200000000000001E-5</v>
      </c>
      <c r="GG18" s="4">
        <v>2.1800000000000001E-5</v>
      </c>
      <c r="GH18" s="4">
        <v>2.1500000000000001E-5</v>
      </c>
      <c r="GI18" s="4">
        <v>2.12E-5</v>
      </c>
      <c r="GJ18" s="4">
        <v>2.0800000000000001E-5</v>
      </c>
      <c r="GK18" s="4">
        <v>2.05E-5</v>
      </c>
      <c r="GL18" s="4">
        <v>2.02E-5</v>
      </c>
      <c r="GM18" s="4">
        <v>2.0000000000000002E-5</v>
      </c>
      <c r="GN18" s="4">
        <v>1.9700000000000001E-5</v>
      </c>
      <c r="GO18" s="4">
        <v>1.9400000000000001E-5</v>
      </c>
      <c r="GP18" s="4">
        <v>1.9199999999999999E-5</v>
      </c>
      <c r="GQ18" s="4">
        <v>1.8899999999999999E-5</v>
      </c>
      <c r="GR18" s="4">
        <v>1.8700000000000001E-5</v>
      </c>
      <c r="GS18" s="4">
        <v>1.84E-5</v>
      </c>
      <c r="GT18" s="4">
        <v>1.8199999999999999E-5</v>
      </c>
      <c r="GU18" s="4">
        <v>1.8E-5</v>
      </c>
      <c r="GV18" s="4">
        <v>1.77E-5</v>
      </c>
      <c r="GW18" s="4">
        <v>1.7499999999999998E-5</v>
      </c>
      <c r="GX18" s="4">
        <v>1.73E-5</v>
      </c>
      <c r="GY18" s="4">
        <v>1.7099999999999999E-5</v>
      </c>
      <c r="GZ18" s="4">
        <v>1.6900000000000001E-5</v>
      </c>
      <c r="HA18" s="4">
        <v>1.6699999999999999E-5</v>
      </c>
      <c r="HB18" s="4">
        <v>1.6399999999999999E-5</v>
      </c>
      <c r="HC18" s="4">
        <v>1.6200000000000001E-5</v>
      </c>
      <c r="HD18" s="4">
        <v>1.5999999999999999E-5</v>
      </c>
      <c r="HE18" s="4">
        <v>1.59E-5</v>
      </c>
      <c r="HF18" s="4">
        <v>1.5699999999999999E-5</v>
      </c>
      <c r="HG18" s="4">
        <v>1.5500000000000001E-5</v>
      </c>
      <c r="HH18" s="4">
        <v>1.5299999999999999E-5</v>
      </c>
      <c r="HI18" s="4">
        <v>1.5099999999999999E-5</v>
      </c>
      <c r="HJ18" s="4">
        <v>1.49E-5</v>
      </c>
      <c r="HK18" s="4">
        <v>1.47E-5</v>
      </c>
      <c r="HL18" s="4">
        <v>1.4600000000000001E-5</v>
      </c>
      <c r="HM18" s="4">
        <v>1.4399999999999999E-5</v>
      </c>
      <c r="HN18" s="4">
        <v>1.42E-5</v>
      </c>
      <c r="HO18" s="4">
        <v>1.4E-5</v>
      </c>
      <c r="HP18" s="4">
        <v>1.3900000000000001E-5</v>
      </c>
      <c r="HQ18" s="4">
        <v>1.3699999999999999E-5</v>
      </c>
      <c r="HR18" s="4">
        <v>1.3499999999999999E-5</v>
      </c>
      <c r="HS18" s="4">
        <v>1.34E-5</v>
      </c>
      <c r="HT18" s="4">
        <v>1.3200000000000001E-5</v>
      </c>
      <c r="HU18" s="4">
        <v>1.2999999999999999E-5</v>
      </c>
      <c r="HV18" s="4">
        <v>1.29E-5</v>
      </c>
      <c r="HW18" s="4">
        <v>1.27E-5</v>
      </c>
      <c r="HX18" s="4">
        <v>1.26E-5</v>
      </c>
      <c r="HY18" s="4">
        <v>1.24E-5</v>
      </c>
      <c r="HZ18" s="4">
        <v>1.22E-5</v>
      </c>
      <c r="IA18" s="4">
        <v>1.2099999999999999E-5</v>
      </c>
      <c r="IB18" s="4">
        <v>1.19E-5</v>
      </c>
      <c r="IC18" s="4">
        <v>1.1800000000000001E-5</v>
      </c>
      <c r="ID18" s="4">
        <v>1.17E-5</v>
      </c>
      <c r="IE18" s="4">
        <v>1.15E-5</v>
      </c>
      <c r="IF18" s="4">
        <v>1.1399999999999999E-5</v>
      </c>
      <c r="IG18" s="4">
        <v>8.2839999999999997E-4</v>
      </c>
      <c r="IH18" s="4"/>
      <c r="II18" s="4">
        <f t="shared" si="247"/>
        <v>0.11296849063988514</v>
      </c>
      <c r="IL18">
        <f t="shared" si="248"/>
        <v>0.35380042500000064</v>
      </c>
      <c r="IP18" s="4">
        <f t="shared" si="249"/>
        <v>3.9857799999999999E-2</v>
      </c>
      <c r="IQ18" s="4">
        <f t="shared" si="250"/>
        <v>3.0496699999999995E-2</v>
      </c>
      <c r="IR18" s="4">
        <f t="shared" si="251"/>
        <v>2.3149499999999996E-2</v>
      </c>
      <c r="IS18" s="4">
        <f t="shared" si="252"/>
        <v>1.9323900000000001E-2</v>
      </c>
      <c r="IT18" s="4">
        <f t="shared" si="253"/>
        <v>1.6519099999999998E-2</v>
      </c>
      <c r="IU18" s="4">
        <f t="shared" si="254"/>
        <v>6.0110500000000004E-2</v>
      </c>
      <c r="IV18" s="4">
        <f t="shared" si="255"/>
        <v>4.0985399999999998E-2</v>
      </c>
      <c r="IW18" s="4">
        <f t="shared" si="256"/>
        <v>3.03118E-2</v>
      </c>
      <c r="IX18" s="4">
        <f t="shared" si="257"/>
        <v>9.2983700000000002E-2</v>
      </c>
      <c r="JA18" s="4">
        <f t="shared" ref="JA18:JA47" si="289">SUM(C15:F15)-SUM(G19:J19)</f>
        <v>7.9679999999999959E-3</v>
      </c>
      <c r="JB18" s="4">
        <f t="shared" ref="JB18:JB47" si="290">SUM(G15:J15)-SUM(K19:N19)</f>
        <v>7.1109000000000033E-3</v>
      </c>
      <c r="JC18" s="4">
        <f t="shared" si="260"/>
        <v>4.7569000000000014E-3</v>
      </c>
      <c r="JD18" s="4">
        <f t="shared" si="261"/>
        <v>3.1463000000000012E-3</v>
      </c>
      <c r="JE18" s="4">
        <f t="shared" si="262"/>
        <v>2.2026000000000025E-3</v>
      </c>
      <c r="JF18" s="4">
        <f t="shared" si="263"/>
        <v>5.369600000000016E-3</v>
      </c>
      <c r="JG18" s="4">
        <f t="shared" si="264"/>
        <v>2.3856999999999906E-3</v>
      </c>
      <c r="JH18" s="4">
        <f t="shared" si="265"/>
        <v>1.6201000000000063E-3</v>
      </c>
      <c r="JI18" s="4">
        <f t="shared" si="266"/>
        <v>5.4081999999999741E-3</v>
      </c>
      <c r="JK18">
        <f t="shared" si="284"/>
        <v>2010.25</v>
      </c>
      <c r="JL18">
        <f t="shared" si="267"/>
        <v>19.99106824762028</v>
      </c>
      <c r="JM18">
        <f t="shared" si="268"/>
        <v>23.316949046946078</v>
      </c>
      <c r="JN18">
        <f t="shared" si="269"/>
        <v>20.548607961295072</v>
      </c>
      <c r="JO18">
        <f t="shared" si="270"/>
        <v>16.281909966414652</v>
      </c>
      <c r="JP18">
        <f t="shared" si="271"/>
        <v>13.333656191923303</v>
      </c>
      <c r="JQ18">
        <f t="shared" si="272"/>
        <v>8.9328819424227319</v>
      </c>
      <c r="JR18">
        <f t="shared" si="273"/>
        <v>5.8208532794604677</v>
      </c>
      <c r="JS18">
        <f t="shared" si="274"/>
        <v>5.3447832197362288</v>
      </c>
      <c r="JT18">
        <f t="shared" si="275"/>
        <v>5.8162882311630684</v>
      </c>
      <c r="JV18" s="12">
        <f t="shared" si="285"/>
        <v>2010.25</v>
      </c>
      <c r="JW18" s="12">
        <f t="shared" si="286"/>
        <v>-0.10138182403333929</v>
      </c>
      <c r="JX18" s="12">
        <f t="shared" si="276"/>
        <v>0.1532351718449334</v>
      </c>
      <c r="JY18" s="12">
        <f t="shared" si="277"/>
        <v>0.98406540379793483</v>
      </c>
      <c r="JZ18" s="12">
        <f t="shared" si="278"/>
        <v>0.19503203225703913</v>
      </c>
      <c r="KA18" s="12">
        <f t="shared" si="279"/>
        <v>-6.2667983868896826E-2</v>
      </c>
      <c r="KB18" s="12">
        <f t="shared" si="280"/>
        <v>-0.35851732541084047</v>
      </c>
      <c r="KC18" s="12">
        <f t="shared" si="281"/>
        <v>-0.37447355858012443</v>
      </c>
      <c r="KD18" s="12">
        <f t="shared" si="282"/>
        <v>-0.17374490669804832</v>
      </c>
      <c r="KE18" s="12">
        <f t="shared" si="283"/>
        <v>0.28262438945712454</v>
      </c>
    </row>
    <row r="19" spans="1:291" x14ac:dyDescent="0.35">
      <c r="A19" s="1">
        <v>11</v>
      </c>
      <c r="B19" s="4">
        <v>1.0309199999999999E-2</v>
      </c>
      <c r="C19" s="4">
        <v>1.0309199999999999E-2</v>
      </c>
      <c r="D19" s="4">
        <v>1.0165199999999999E-2</v>
      </c>
      <c r="E19" s="4">
        <v>9.9278000000000005E-3</v>
      </c>
      <c r="F19" s="4">
        <v>9.4409999999999997E-3</v>
      </c>
      <c r="G19" s="4">
        <v>8.7855999999999993E-3</v>
      </c>
      <c r="H19" s="4">
        <v>8.1106000000000008E-3</v>
      </c>
      <c r="I19" s="4">
        <v>7.2642999999999996E-3</v>
      </c>
      <c r="J19" s="4">
        <v>6.7429999999999999E-3</v>
      </c>
      <c r="K19" s="4">
        <v>6.2519000000000003E-3</v>
      </c>
      <c r="L19" s="4">
        <v>5.5840000000000004E-3</v>
      </c>
      <c r="M19" s="4">
        <v>5.7073000000000002E-3</v>
      </c>
      <c r="N19" s="4">
        <v>5.3736000000000001E-3</v>
      </c>
      <c r="O19" s="4">
        <v>5.1244999999999997E-3</v>
      </c>
      <c r="P19" s="4">
        <v>4.8941999999999996E-3</v>
      </c>
      <c r="Q19" s="4">
        <v>4.6896000000000004E-3</v>
      </c>
      <c r="R19" s="4">
        <v>4.5021999999999996E-3</v>
      </c>
      <c r="S19" s="4">
        <v>4.333E-3</v>
      </c>
      <c r="T19" s="4">
        <v>4.1777000000000003E-3</v>
      </c>
      <c r="U19" s="4">
        <v>4.0346999999999996E-3</v>
      </c>
      <c r="V19" s="4">
        <v>3.9025000000000002E-3</v>
      </c>
      <c r="W19" s="4">
        <v>3.7801000000000002E-3</v>
      </c>
      <c r="X19" s="4">
        <v>3.6662000000000001E-3</v>
      </c>
      <c r="Y19" s="4">
        <v>3.5599999999999998E-3</v>
      </c>
      <c r="Z19" s="4">
        <v>3.4608E-3</v>
      </c>
      <c r="AA19" s="4">
        <v>3.3677999999999998E-3</v>
      </c>
      <c r="AB19" s="4">
        <v>3.2802999999999999E-3</v>
      </c>
      <c r="AC19" s="4">
        <v>3.1979E-3</v>
      </c>
      <c r="AD19" s="4">
        <v>3.1200999999999998E-3</v>
      </c>
      <c r="AE19" s="4">
        <v>3.0463999999999999E-3</v>
      </c>
      <c r="AF19" s="4">
        <v>2.9765999999999998E-3</v>
      </c>
      <c r="AG19" s="4">
        <v>2.9101999999999999E-3</v>
      </c>
      <c r="AH19" s="4">
        <v>2.8471E-3</v>
      </c>
      <c r="AI19" s="4">
        <v>2.7869000000000001E-3</v>
      </c>
      <c r="AJ19" s="4">
        <v>2.7293999999999999E-3</v>
      </c>
      <c r="AK19" s="4">
        <v>2.6744999999999998E-3</v>
      </c>
      <c r="AL19" s="4">
        <v>2.6218000000000001E-3</v>
      </c>
      <c r="AM19" s="4">
        <v>2.5714000000000002E-3</v>
      </c>
      <c r="AN19" s="4">
        <v>2.5228999999999998E-3</v>
      </c>
      <c r="AO19" s="4">
        <v>2.4762E-3</v>
      </c>
      <c r="AP19" s="4">
        <v>2.4313E-3</v>
      </c>
      <c r="AQ19" s="4">
        <v>2.3879000000000001E-3</v>
      </c>
      <c r="AR19" s="4">
        <v>2.346E-3</v>
      </c>
      <c r="AS19" s="4">
        <v>2.3054E-3</v>
      </c>
      <c r="AT19" s="4">
        <v>2.2661000000000001E-3</v>
      </c>
      <c r="AU19" s="4">
        <v>2.2280999999999998E-3</v>
      </c>
      <c r="AV19" s="4">
        <v>2.1911000000000001E-3</v>
      </c>
      <c r="AW19" s="4">
        <v>2.1551999999999999E-3</v>
      </c>
      <c r="AX19" s="4">
        <v>2.1202E-3</v>
      </c>
      <c r="AY19" s="4">
        <v>2.0861999999999999E-3</v>
      </c>
      <c r="AZ19" s="4">
        <v>2.0531E-3</v>
      </c>
      <c r="BA19" s="4">
        <v>2.0208000000000001E-3</v>
      </c>
      <c r="BB19" s="4">
        <v>1.9892999999999998E-3</v>
      </c>
      <c r="BC19" s="4">
        <v>1.9585000000000002E-3</v>
      </c>
      <c r="BD19" s="4">
        <v>1.9284E-3</v>
      </c>
      <c r="BE19" s="4">
        <v>1.8990000000000001E-3</v>
      </c>
      <c r="BF19" s="4">
        <v>1.8702E-3</v>
      </c>
      <c r="BG19" s="4">
        <v>1.8420000000000001E-3</v>
      </c>
      <c r="BH19" s="4">
        <v>1.8144000000000001E-3</v>
      </c>
      <c r="BI19" s="4">
        <v>1.7874E-3</v>
      </c>
      <c r="BJ19" s="4">
        <v>1.7608999999999999E-3</v>
      </c>
      <c r="BK19" s="4">
        <v>1.7348999999999999E-3</v>
      </c>
      <c r="BL19" s="4">
        <v>1.7094E-3</v>
      </c>
      <c r="BM19" s="4">
        <v>1.6842999999999999E-3</v>
      </c>
      <c r="BN19" s="4">
        <v>1.6597999999999999E-3</v>
      </c>
      <c r="BO19" s="4">
        <v>1.6356999999999999E-3</v>
      </c>
      <c r="BP19" s="4">
        <v>1.6119999999999999E-3</v>
      </c>
      <c r="BQ19" s="4">
        <v>1.5887E-3</v>
      </c>
      <c r="BR19" s="4">
        <v>1.5658E-3</v>
      </c>
      <c r="BS19" s="4">
        <v>1.5433000000000001E-3</v>
      </c>
      <c r="BT19" s="4">
        <v>1.5211999999999999E-3</v>
      </c>
      <c r="BU19" s="4">
        <v>1.4995E-3</v>
      </c>
      <c r="BV19" s="4">
        <v>1.4781E-3</v>
      </c>
      <c r="BW19" s="4">
        <v>1.4571E-3</v>
      </c>
      <c r="BX19" s="4">
        <v>1.4364E-3</v>
      </c>
      <c r="BY19" s="4">
        <v>1.4161E-3</v>
      </c>
      <c r="BZ19" s="4">
        <v>1.3960999999999999E-3</v>
      </c>
      <c r="CA19" s="4">
        <v>1.3764000000000001E-3</v>
      </c>
      <c r="CB19" s="4">
        <v>1.3569999999999999E-3</v>
      </c>
      <c r="CC19" s="4">
        <v>1.3378999999999999E-3</v>
      </c>
      <c r="CD19" s="4">
        <v>1.3190999999999999E-3</v>
      </c>
      <c r="CE19" s="4">
        <v>1.3006000000000001E-3</v>
      </c>
      <c r="CF19" s="4">
        <v>1.2823000000000001E-3</v>
      </c>
      <c r="CG19" s="4">
        <v>1.2643999999999999E-3</v>
      </c>
      <c r="CH19" s="4">
        <v>1.2466999999999999E-3</v>
      </c>
      <c r="CI19" s="4">
        <v>1.2293E-3</v>
      </c>
      <c r="CJ19" s="4">
        <v>1.2121E-3</v>
      </c>
      <c r="CK19" s="4">
        <v>1.1952E-3</v>
      </c>
      <c r="CL19" s="4">
        <v>1.1785000000000001E-3</v>
      </c>
      <c r="CM19" s="4">
        <v>1.1620999999999999E-3</v>
      </c>
      <c r="CN19" s="4">
        <v>1.1459E-3</v>
      </c>
      <c r="CO19" s="4">
        <v>1.1299999999999999E-3</v>
      </c>
      <c r="CP19" s="4">
        <v>1.1142999999999999E-3</v>
      </c>
      <c r="CQ19" s="4">
        <v>1.0988E-3</v>
      </c>
      <c r="CR19" s="4">
        <v>1.0835E-3</v>
      </c>
      <c r="CS19" s="4">
        <v>1.0685E-3</v>
      </c>
      <c r="CT19" s="4">
        <v>1.0536E-3</v>
      </c>
      <c r="CU19" s="4">
        <v>1.039E-3</v>
      </c>
      <c r="CV19" s="4">
        <v>1.0246000000000001E-3</v>
      </c>
      <c r="CW19" s="4">
        <v>1.0104000000000001E-3</v>
      </c>
      <c r="CX19" s="4">
        <v>9.9639999999999993E-4</v>
      </c>
      <c r="CY19" s="4">
        <v>9.8259999999999992E-4</v>
      </c>
      <c r="CZ19" s="4">
        <v>9.6889999999999997E-4</v>
      </c>
      <c r="DA19" s="4">
        <v>9.5549999999999997E-4</v>
      </c>
      <c r="DB19" s="4">
        <v>9.4229999999999997E-4</v>
      </c>
      <c r="DC19" s="4">
        <v>9.2920000000000003E-4</v>
      </c>
      <c r="DD19" s="4">
        <v>9.1629999999999999E-4</v>
      </c>
      <c r="DE19" s="4">
        <v>9.0359999999999995E-4</v>
      </c>
      <c r="DF19" s="4">
        <v>8.9110000000000003E-4</v>
      </c>
      <c r="DG19" s="4">
        <v>8.7870000000000005E-4</v>
      </c>
      <c r="DH19" s="4">
        <v>8.6660000000000003E-4</v>
      </c>
      <c r="DI19" s="4">
        <v>8.5459999999999996E-4</v>
      </c>
      <c r="DJ19" s="4">
        <v>8.4270000000000005E-4</v>
      </c>
      <c r="DK19" s="4">
        <v>8.3100000000000003E-4</v>
      </c>
      <c r="DL19" s="4">
        <v>8.1950000000000002E-4</v>
      </c>
      <c r="DM19" s="4">
        <v>8.0809999999999996E-4</v>
      </c>
      <c r="DN19" s="4">
        <v>7.9690000000000002E-4</v>
      </c>
      <c r="DO19" s="4">
        <v>7.8589999999999997E-4</v>
      </c>
      <c r="DP19" s="4">
        <v>7.7499999999999997E-4</v>
      </c>
      <c r="DQ19" s="4">
        <v>5.4323400000000001E-2</v>
      </c>
      <c r="DR19" s="4">
        <v>0</v>
      </c>
      <c r="DS19" s="4">
        <v>1.4430000000000001E-4</v>
      </c>
      <c r="DT19" s="4">
        <v>2.3440000000000001E-4</v>
      </c>
      <c r="DU19" s="4">
        <v>5.0460000000000001E-4</v>
      </c>
      <c r="DV19" s="4">
        <v>6.4840000000000004E-4</v>
      </c>
      <c r="DW19" s="4">
        <v>6.2969999999999996E-4</v>
      </c>
      <c r="DX19" s="4">
        <v>5.886E-4</v>
      </c>
      <c r="DY19" s="4">
        <v>5.0140000000000004E-4</v>
      </c>
      <c r="DZ19" s="4">
        <v>4.5090000000000001E-4</v>
      </c>
      <c r="EA19" s="4">
        <v>3.9609999999999998E-4</v>
      </c>
      <c r="EB19" s="4">
        <v>3.3080000000000002E-4</v>
      </c>
      <c r="EC19" s="4">
        <v>3.3290000000000001E-4</v>
      </c>
      <c r="ED19" s="4">
        <v>2.9329999999999997E-4</v>
      </c>
      <c r="EE19" s="4">
        <v>2.633E-4</v>
      </c>
      <c r="EF19" s="4">
        <v>2.364E-4</v>
      </c>
      <c r="EG19" s="4">
        <v>2.1369999999999999E-4</v>
      </c>
      <c r="EH19" s="4">
        <v>1.9369999999999999E-4</v>
      </c>
      <c r="EI19" s="4">
        <v>1.7640000000000001E-4</v>
      </c>
      <c r="EJ19" s="4">
        <v>1.6119999999999999E-4</v>
      </c>
      <c r="EK19" s="4">
        <v>1.4789999999999999E-4</v>
      </c>
      <c r="EL19" s="4">
        <v>1.361E-4</v>
      </c>
      <c r="EM19" s="4">
        <v>1.2559999999999999E-4</v>
      </c>
      <c r="EN19" s="4">
        <v>1.1629999999999999E-4</v>
      </c>
      <c r="EO19" s="4">
        <v>1.081E-4</v>
      </c>
      <c r="EP19" s="4">
        <v>1.0069999999999999E-4</v>
      </c>
      <c r="EQ19" s="4">
        <v>9.4099999999999997E-5</v>
      </c>
      <c r="ER19" s="4">
        <v>8.8200000000000003E-5</v>
      </c>
      <c r="ES19" s="4">
        <v>8.2799999999999993E-5</v>
      </c>
      <c r="ET19" s="4">
        <v>7.7999999999999999E-5</v>
      </c>
      <c r="EU19" s="4">
        <v>7.36E-5</v>
      </c>
      <c r="EV19" s="4">
        <v>6.9599999999999998E-5</v>
      </c>
      <c r="EW19" s="4">
        <v>6.6000000000000005E-5</v>
      </c>
      <c r="EX19" s="4">
        <v>6.2600000000000004E-5</v>
      </c>
      <c r="EY19" s="4">
        <v>5.9500000000000003E-5</v>
      </c>
      <c r="EZ19" s="4">
        <v>5.6700000000000003E-5</v>
      </c>
      <c r="FA19" s="4">
        <v>5.41E-5</v>
      </c>
      <c r="FB19" s="4">
        <v>5.1600000000000001E-5</v>
      </c>
      <c r="FC19" s="4">
        <v>4.9400000000000001E-5</v>
      </c>
      <c r="FD19" s="4">
        <v>4.7299999999999998E-5</v>
      </c>
      <c r="FE19" s="4">
        <v>4.5399999999999999E-5</v>
      </c>
      <c r="FF19" s="4">
        <v>4.3600000000000003E-5</v>
      </c>
      <c r="FG19" s="4">
        <v>4.1900000000000002E-5</v>
      </c>
      <c r="FH19" s="4">
        <v>4.0399999999999999E-5</v>
      </c>
      <c r="FI19" s="4">
        <v>3.8899999999999997E-5</v>
      </c>
      <c r="FJ19" s="4">
        <v>3.7599999999999999E-5</v>
      </c>
      <c r="FK19" s="4">
        <v>3.6300000000000001E-5</v>
      </c>
      <c r="FL19" s="4">
        <v>3.5200000000000002E-5</v>
      </c>
      <c r="FM19" s="4">
        <v>3.4100000000000002E-5</v>
      </c>
      <c r="FN19" s="4">
        <v>3.3099999999999998E-5</v>
      </c>
      <c r="FO19" s="4">
        <v>3.2100000000000001E-5</v>
      </c>
      <c r="FP19" s="4">
        <v>3.1199999999999999E-5</v>
      </c>
      <c r="FQ19" s="4">
        <v>3.04E-5</v>
      </c>
      <c r="FR19" s="4">
        <v>2.9600000000000001E-5</v>
      </c>
      <c r="FS19" s="4">
        <v>2.8900000000000001E-5</v>
      </c>
      <c r="FT19" s="4">
        <v>2.8200000000000001E-5</v>
      </c>
      <c r="FU19" s="4">
        <v>2.76E-5</v>
      </c>
      <c r="FV19" s="4">
        <v>2.69E-5</v>
      </c>
      <c r="FW19" s="4">
        <v>2.6400000000000001E-5</v>
      </c>
      <c r="FX19" s="4">
        <v>2.58E-5</v>
      </c>
      <c r="FY19" s="4">
        <v>2.5299999999999998E-5</v>
      </c>
      <c r="FZ19" s="4">
        <v>2.48E-5</v>
      </c>
      <c r="GA19" s="4">
        <v>2.4300000000000001E-5</v>
      </c>
      <c r="GB19" s="4">
        <v>2.3900000000000002E-5</v>
      </c>
      <c r="GC19" s="4">
        <v>2.3499999999999999E-5</v>
      </c>
      <c r="GD19" s="4">
        <v>2.3099999999999999E-5</v>
      </c>
      <c r="GE19" s="4">
        <v>2.27E-5</v>
      </c>
      <c r="GF19" s="4">
        <v>2.23E-5</v>
      </c>
      <c r="GG19" s="4">
        <v>2.1999999999999999E-5</v>
      </c>
      <c r="GH19" s="4">
        <v>2.16E-5</v>
      </c>
      <c r="GI19" s="4">
        <v>2.1299999999999999E-5</v>
      </c>
      <c r="GJ19" s="4">
        <v>2.0999999999999999E-5</v>
      </c>
      <c r="GK19" s="4">
        <v>2.0599999999999999E-5</v>
      </c>
      <c r="GL19" s="4">
        <v>2.0299999999999999E-5</v>
      </c>
      <c r="GM19" s="4">
        <v>2.0100000000000001E-5</v>
      </c>
      <c r="GN19" s="4">
        <v>1.98E-5</v>
      </c>
      <c r="GO19" s="4">
        <v>1.95E-5</v>
      </c>
      <c r="GP19" s="4">
        <v>1.9199999999999999E-5</v>
      </c>
      <c r="GQ19" s="4">
        <v>1.9000000000000001E-5</v>
      </c>
      <c r="GR19" s="4">
        <v>1.8700000000000001E-5</v>
      </c>
      <c r="GS19" s="4">
        <v>1.8499999999999999E-5</v>
      </c>
      <c r="GT19" s="4">
        <v>1.8199999999999999E-5</v>
      </c>
      <c r="GU19" s="4">
        <v>1.8E-5</v>
      </c>
      <c r="GV19" s="4">
        <v>1.77E-5</v>
      </c>
      <c r="GW19" s="4">
        <v>1.7499999999999998E-5</v>
      </c>
      <c r="GX19" s="4">
        <v>1.73E-5</v>
      </c>
      <c r="GY19" s="4">
        <v>1.7099999999999999E-5</v>
      </c>
      <c r="GZ19" s="4">
        <v>1.6900000000000001E-5</v>
      </c>
      <c r="HA19" s="4">
        <v>1.66E-5</v>
      </c>
      <c r="HB19" s="4">
        <v>1.6399999999999999E-5</v>
      </c>
      <c r="HC19" s="4">
        <v>1.6200000000000001E-5</v>
      </c>
      <c r="HD19" s="4">
        <v>1.5999999999999999E-5</v>
      </c>
      <c r="HE19" s="4">
        <v>1.5800000000000001E-5</v>
      </c>
      <c r="HF19" s="4">
        <v>1.56E-5</v>
      </c>
      <c r="HG19" s="4">
        <v>1.5400000000000002E-5</v>
      </c>
      <c r="HH19" s="4">
        <v>1.52E-5</v>
      </c>
      <c r="HI19" s="4">
        <v>1.5E-5</v>
      </c>
      <c r="HJ19" s="4">
        <v>1.49E-5</v>
      </c>
      <c r="HK19" s="4">
        <v>1.47E-5</v>
      </c>
      <c r="HL19" s="4">
        <v>1.45E-5</v>
      </c>
      <c r="HM19" s="4">
        <v>1.43E-5</v>
      </c>
      <c r="HN19" s="4">
        <v>1.4100000000000001E-5</v>
      </c>
      <c r="HO19" s="4">
        <v>1.4E-5</v>
      </c>
      <c r="HP19" s="4">
        <v>1.38E-5</v>
      </c>
      <c r="HQ19" s="4">
        <v>1.36E-5</v>
      </c>
      <c r="HR19" s="4">
        <v>1.34E-5</v>
      </c>
      <c r="HS19" s="4">
        <v>1.33E-5</v>
      </c>
      <c r="HT19" s="4">
        <v>1.31E-5</v>
      </c>
      <c r="HU19" s="4">
        <v>1.29E-5</v>
      </c>
      <c r="HV19" s="4">
        <v>1.2799999999999999E-5</v>
      </c>
      <c r="HW19" s="4">
        <v>1.26E-5</v>
      </c>
      <c r="HX19" s="4">
        <v>1.2500000000000001E-5</v>
      </c>
      <c r="HY19" s="4">
        <v>1.2300000000000001E-5</v>
      </c>
      <c r="HZ19" s="4">
        <v>1.2099999999999999E-5</v>
      </c>
      <c r="IA19" s="4">
        <v>1.2E-5</v>
      </c>
      <c r="IB19" s="4">
        <v>1.1800000000000001E-5</v>
      </c>
      <c r="IC19" s="4">
        <v>1.17E-5</v>
      </c>
      <c r="ID19" s="4">
        <v>1.15E-5</v>
      </c>
      <c r="IE19" s="4">
        <v>1.1399999999999999E-5</v>
      </c>
      <c r="IF19" s="4">
        <v>1.13E-5</v>
      </c>
      <c r="IG19" s="4">
        <v>8.1340000000000004E-4</v>
      </c>
      <c r="IH19" s="4"/>
      <c r="II19" s="4">
        <f t="shared" si="247"/>
        <v>0.11387652607628478</v>
      </c>
      <c r="IL19">
        <f t="shared" si="248"/>
        <v>0.35364795000000043</v>
      </c>
      <c r="IP19" s="4">
        <f t="shared" si="249"/>
        <v>3.9843199999999995E-2</v>
      </c>
      <c r="IQ19" s="4">
        <f t="shared" si="250"/>
        <v>3.09035E-2</v>
      </c>
      <c r="IR19" s="4">
        <f t="shared" si="251"/>
        <v>2.2916800000000001E-2</v>
      </c>
      <c r="IS19" s="4">
        <f t="shared" si="252"/>
        <v>1.9210499999999998E-2</v>
      </c>
      <c r="IT19" s="4">
        <f t="shared" si="253"/>
        <v>1.6447899999999998E-2</v>
      </c>
      <c r="IU19" s="4">
        <f t="shared" si="254"/>
        <v>6.0027900000000009E-2</v>
      </c>
      <c r="IV19" s="4">
        <f t="shared" si="255"/>
        <v>4.1010200000000011E-2</v>
      </c>
      <c r="IW19" s="4">
        <f t="shared" si="256"/>
        <v>3.0328800000000003E-2</v>
      </c>
      <c r="IX19" s="4">
        <f t="shared" si="257"/>
        <v>9.2908099999999993E-2</v>
      </c>
      <c r="JA19" s="4">
        <f t="shared" si="289"/>
        <v>8.1479000000000031E-3</v>
      </c>
      <c r="JB19" s="4">
        <f t="shared" si="290"/>
        <v>7.1566999999999985E-3</v>
      </c>
      <c r="JC19" s="4">
        <f t="shared" si="260"/>
        <v>4.7595999999999958E-3</v>
      </c>
      <c r="JD19" s="4">
        <f t="shared" si="261"/>
        <v>3.1437000000000027E-3</v>
      </c>
      <c r="JE19" s="4">
        <f t="shared" si="262"/>
        <v>2.2044000000000022E-3</v>
      </c>
      <c r="JF19" s="4">
        <f t="shared" si="263"/>
        <v>5.3961000000000078E-3</v>
      </c>
      <c r="JG19" s="4">
        <f t="shared" si="264"/>
        <v>2.4077999999999947E-3</v>
      </c>
      <c r="JH19" s="4">
        <f t="shared" si="265"/>
        <v>1.6284999999999876E-3</v>
      </c>
      <c r="JI19" s="4">
        <f t="shared" si="266"/>
        <v>5.4275000000000018E-3</v>
      </c>
      <c r="JK19">
        <f t="shared" si="284"/>
        <v>2010.5</v>
      </c>
      <c r="JL19">
        <f t="shared" si="267"/>
        <v>20.4499136615533</v>
      </c>
      <c r="JM19">
        <f t="shared" si="268"/>
        <v>23.158218324785214</v>
      </c>
      <c r="JN19">
        <f t="shared" si="269"/>
        <v>20.769042798296429</v>
      </c>
      <c r="JO19">
        <f t="shared" si="270"/>
        <v>16.364488170531754</v>
      </c>
      <c r="JP19">
        <f t="shared" si="271"/>
        <v>13.402318837055201</v>
      </c>
      <c r="JQ19">
        <f t="shared" si="272"/>
        <v>8.9893199662157226</v>
      </c>
      <c r="JR19">
        <f t="shared" si="273"/>
        <v>5.8712222812861041</v>
      </c>
      <c r="JS19">
        <f t="shared" si="274"/>
        <v>5.3694837909841064</v>
      </c>
      <c r="JT19">
        <f t="shared" si="275"/>
        <v>5.8417942030888614</v>
      </c>
      <c r="JV19" s="12">
        <f t="shared" si="285"/>
        <v>2010.5</v>
      </c>
      <c r="JW19" s="12">
        <f t="shared" si="286"/>
        <v>0.3574635898996803</v>
      </c>
      <c r="JX19" s="12">
        <f t="shared" si="276"/>
        <v>-5.4955503159312968E-3</v>
      </c>
      <c r="JY19" s="12">
        <f t="shared" si="277"/>
        <v>1.2045002407992911</v>
      </c>
      <c r="JZ19" s="12">
        <f t="shared" si="278"/>
        <v>0.27761023637414084</v>
      </c>
      <c r="KA19" s="12">
        <f t="shared" si="279"/>
        <v>5.9946612630010776E-3</v>
      </c>
      <c r="KB19" s="12">
        <f t="shared" si="280"/>
        <v>-0.30207930161784979</v>
      </c>
      <c r="KC19" s="12">
        <f t="shared" si="281"/>
        <v>-0.32410455675448802</v>
      </c>
      <c r="KD19" s="12">
        <f t="shared" si="282"/>
        <v>-0.14904433545017071</v>
      </c>
      <c r="KE19" s="12">
        <f t="shared" si="283"/>
        <v>0.30813036138291761</v>
      </c>
    </row>
    <row r="20" spans="1:291" x14ac:dyDescent="0.35">
      <c r="A20" s="1">
        <v>12</v>
      </c>
      <c r="B20" s="4">
        <v>1.0309199999999999E-2</v>
      </c>
      <c r="C20" s="4">
        <v>1.0309199999999999E-2</v>
      </c>
      <c r="D20" s="4">
        <v>1.0164899999999999E-2</v>
      </c>
      <c r="E20" s="4">
        <v>9.9308999999999995E-3</v>
      </c>
      <c r="F20" s="4">
        <v>9.4231999999999996E-3</v>
      </c>
      <c r="G20" s="4">
        <v>8.7925999999999994E-3</v>
      </c>
      <c r="H20" s="4">
        <v>8.1559000000000006E-3</v>
      </c>
      <c r="I20" s="4">
        <v>7.522E-3</v>
      </c>
      <c r="J20" s="4">
        <v>6.7628999999999996E-3</v>
      </c>
      <c r="K20" s="4">
        <v>6.2919999999999998E-3</v>
      </c>
      <c r="L20" s="4">
        <v>5.8558000000000004E-3</v>
      </c>
      <c r="M20" s="4">
        <v>5.2532000000000004E-3</v>
      </c>
      <c r="N20" s="4">
        <v>5.3743999999999997E-3</v>
      </c>
      <c r="O20" s="4">
        <v>5.0803000000000003E-3</v>
      </c>
      <c r="P20" s="4">
        <v>4.8611000000000001E-3</v>
      </c>
      <c r="Q20" s="4">
        <v>4.6576999999999999E-3</v>
      </c>
      <c r="R20" s="4">
        <v>4.4758999999999997E-3</v>
      </c>
      <c r="S20" s="4">
        <v>4.3084999999999998E-3</v>
      </c>
      <c r="T20" s="4">
        <v>4.1565999999999999E-3</v>
      </c>
      <c r="U20" s="4">
        <v>4.0165000000000001E-3</v>
      </c>
      <c r="V20" s="4">
        <v>3.8868000000000002E-3</v>
      </c>
      <c r="W20" s="4">
        <v>3.7664999999999999E-3</v>
      </c>
      <c r="X20" s="4">
        <v>3.6543999999999999E-3</v>
      </c>
      <c r="Y20" s="4">
        <v>3.5498999999999999E-3</v>
      </c>
      <c r="Z20" s="4">
        <v>3.4520000000000002E-3</v>
      </c>
      <c r="AA20" s="4">
        <v>3.3601E-3</v>
      </c>
      <c r="AB20" s="4">
        <v>3.2737E-3</v>
      </c>
      <c r="AC20" s="4">
        <v>3.1922000000000001E-3</v>
      </c>
      <c r="AD20" s="4">
        <v>3.1151E-3</v>
      </c>
      <c r="AE20" s="4">
        <v>3.0420999999999998E-3</v>
      </c>
      <c r="AF20" s="4">
        <v>2.9727999999999998E-3</v>
      </c>
      <c r="AG20" s="4">
        <v>2.9069999999999999E-3</v>
      </c>
      <c r="AH20" s="4">
        <v>2.8441999999999999E-3</v>
      </c>
      <c r="AI20" s="4">
        <v>2.7843999999999998E-3</v>
      </c>
      <c r="AJ20" s="4">
        <v>2.7273000000000002E-3</v>
      </c>
      <c r="AK20" s="4">
        <v>2.6727000000000001E-3</v>
      </c>
      <c r="AL20" s="4">
        <v>2.6204000000000002E-3</v>
      </c>
      <c r="AM20" s="4">
        <v>2.5701999999999999E-3</v>
      </c>
      <c r="AN20" s="4">
        <v>2.5219999999999999E-3</v>
      </c>
      <c r="AO20" s="4">
        <v>2.4754999999999998E-3</v>
      </c>
      <c r="AP20" s="4">
        <v>2.4307999999999999E-3</v>
      </c>
      <c r="AQ20" s="4">
        <v>2.3877E-3</v>
      </c>
      <c r="AR20" s="4">
        <v>2.346E-3</v>
      </c>
      <c r="AS20" s="4">
        <v>2.3056000000000001E-3</v>
      </c>
      <c r="AT20" s="4">
        <v>2.2664999999999999E-3</v>
      </c>
      <c r="AU20" s="4">
        <v>2.2285999999999999E-3</v>
      </c>
      <c r="AV20" s="4">
        <v>2.1917E-3</v>
      </c>
      <c r="AW20" s="4">
        <v>2.1559000000000001E-3</v>
      </c>
      <c r="AX20" s="4">
        <v>2.1210999999999999E-3</v>
      </c>
      <c r="AY20" s="4">
        <v>2.0872E-3</v>
      </c>
      <c r="AZ20" s="4">
        <v>2.0541000000000001E-3</v>
      </c>
      <c r="BA20" s="4">
        <v>2.0219000000000001E-3</v>
      </c>
      <c r="BB20" s="4">
        <v>1.9903999999999998E-3</v>
      </c>
      <c r="BC20" s="4">
        <v>1.9596000000000001E-3</v>
      </c>
      <c r="BD20" s="4">
        <v>1.9296000000000001E-3</v>
      </c>
      <c r="BE20" s="4">
        <v>1.9001999999999999E-3</v>
      </c>
      <c r="BF20" s="4">
        <v>1.8714000000000001E-3</v>
      </c>
      <c r="BG20" s="4">
        <v>1.8431999999999999E-3</v>
      </c>
      <c r="BH20" s="4">
        <v>1.8155999999999999E-3</v>
      </c>
      <c r="BI20" s="4">
        <v>1.7886E-3</v>
      </c>
      <c r="BJ20" s="4">
        <v>1.7621E-3</v>
      </c>
      <c r="BK20" s="4">
        <v>1.7359999999999999E-3</v>
      </c>
      <c r="BL20" s="4">
        <v>1.7105E-3</v>
      </c>
      <c r="BM20" s="4">
        <v>1.6854999999999999E-3</v>
      </c>
      <c r="BN20" s="4">
        <v>1.6609000000000001E-3</v>
      </c>
      <c r="BO20" s="4">
        <v>1.6367E-3</v>
      </c>
      <c r="BP20" s="4">
        <v>1.6130000000000001E-3</v>
      </c>
      <c r="BQ20" s="4">
        <v>1.5897000000000001E-3</v>
      </c>
      <c r="BR20" s="4">
        <v>1.5667000000000001E-3</v>
      </c>
      <c r="BS20" s="4">
        <v>1.5441999999999999E-3</v>
      </c>
      <c r="BT20" s="4">
        <v>1.5221E-3</v>
      </c>
      <c r="BU20" s="4">
        <v>1.5003E-3</v>
      </c>
      <c r="BV20" s="4">
        <v>1.4789E-3</v>
      </c>
      <c r="BW20" s="4">
        <v>1.4578E-3</v>
      </c>
      <c r="BX20" s="4">
        <v>1.4371E-3</v>
      </c>
      <c r="BY20" s="4">
        <v>1.4166999999999999E-3</v>
      </c>
      <c r="BZ20" s="4">
        <v>1.3966E-3</v>
      </c>
      <c r="CA20" s="4">
        <v>1.3768000000000001E-3</v>
      </c>
      <c r="CB20" s="4">
        <v>1.3573999999999999E-3</v>
      </c>
      <c r="CC20" s="4">
        <v>1.3382999999999999E-3</v>
      </c>
      <c r="CD20" s="4">
        <v>1.3194000000000001E-3</v>
      </c>
      <c r="CE20" s="4">
        <v>1.3009E-3</v>
      </c>
      <c r="CF20" s="4">
        <v>1.2826000000000001E-3</v>
      </c>
      <c r="CG20" s="4">
        <v>1.2646000000000001E-3</v>
      </c>
      <c r="CH20" s="4">
        <v>1.2469E-3</v>
      </c>
      <c r="CI20" s="4">
        <v>1.2294000000000001E-3</v>
      </c>
      <c r="CJ20" s="4">
        <v>1.2122000000000001E-3</v>
      </c>
      <c r="CK20" s="4">
        <v>1.1952E-3</v>
      </c>
      <c r="CL20" s="4">
        <v>1.1785000000000001E-3</v>
      </c>
      <c r="CM20" s="4">
        <v>1.1620999999999999E-3</v>
      </c>
      <c r="CN20" s="4">
        <v>1.1459E-3</v>
      </c>
      <c r="CO20" s="4">
        <v>1.1299000000000001E-3</v>
      </c>
      <c r="CP20" s="4">
        <v>1.1142000000000001E-3</v>
      </c>
      <c r="CQ20" s="4">
        <v>1.0987E-3</v>
      </c>
      <c r="CR20" s="4">
        <v>1.0834E-3</v>
      </c>
      <c r="CS20" s="4">
        <v>1.0682999999999999E-3</v>
      </c>
      <c r="CT20" s="4">
        <v>1.0533999999999999E-3</v>
      </c>
      <c r="CU20" s="4">
        <v>1.0388000000000001E-3</v>
      </c>
      <c r="CV20" s="4">
        <v>1.0242999999999999E-3</v>
      </c>
      <c r="CW20" s="4">
        <v>1.0101000000000001E-3</v>
      </c>
      <c r="CX20" s="4">
        <v>9.9609999999999998E-4</v>
      </c>
      <c r="CY20" s="4">
        <v>9.8219999999999991E-4</v>
      </c>
      <c r="CZ20" s="4">
        <v>9.6860000000000002E-4</v>
      </c>
      <c r="DA20" s="4">
        <v>9.5520000000000002E-4</v>
      </c>
      <c r="DB20" s="4">
        <v>9.4189999999999996E-4</v>
      </c>
      <c r="DC20" s="4">
        <v>9.2880000000000002E-4</v>
      </c>
      <c r="DD20" s="4">
        <v>9.1589999999999998E-4</v>
      </c>
      <c r="DE20" s="4">
        <v>9.0320000000000005E-4</v>
      </c>
      <c r="DF20" s="4">
        <v>8.9070000000000002E-4</v>
      </c>
      <c r="DG20" s="4">
        <v>8.7830000000000004E-4</v>
      </c>
      <c r="DH20" s="4">
        <v>8.6609999999999996E-4</v>
      </c>
      <c r="DI20" s="4">
        <v>8.541E-4</v>
      </c>
      <c r="DJ20" s="4">
        <v>8.4230000000000004E-4</v>
      </c>
      <c r="DK20" s="4">
        <v>8.3060000000000002E-4</v>
      </c>
      <c r="DL20" s="4">
        <v>8.1899999999999996E-4</v>
      </c>
      <c r="DM20" s="4">
        <v>8.0769999999999995E-4</v>
      </c>
      <c r="DN20" s="4">
        <v>7.9639999999999995E-4</v>
      </c>
      <c r="DO20" s="4">
        <v>7.8540000000000001E-4</v>
      </c>
      <c r="DP20" s="4">
        <v>7.7450000000000001E-4</v>
      </c>
      <c r="DQ20" s="4">
        <v>5.4273700000000001E-2</v>
      </c>
      <c r="DR20" s="4">
        <v>0</v>
      </c>
      <c r="DS20" s="4">
        <v>1.4420000000000001E-4</v>
      </c>
      <c r="DT20" s="4">
        <v>2.2680000000000001E-4</v>
      </c>
      <c r="DU20" s="4">
        <v>5.0359999999999999E-4</v>
      </c>
      <c r="DV20" s="4">
        <v>6.3179999999999996E-4</v>
      </c>
      <c r="DW20" s="4">
        <v>6.1209999999999997E-4</v>
      </c>
      <c r="DX20" s="4">
        <v>5.7930000000000004E-4</v>
      </c>
      <c r="DY20" s="4">
        <v>5.1590000000000002E-4</v>
      </c>
      <c r="DZ20" s="4">
        <v>4.417E-4</v>
      </c>
      <c r="EA20" s="4">
        <v>3.9110000000000002E-4</v>
      </c>
      <c r="EB20" s="4">
        <v>3.457E-4</v>
      </c>
      <c r="EC20" s="4">
        <v>2.899E-4</v>
      </c>
      <c r="ED20" s="4">
        <v>2.9139999999999998E-4</v>
      </c>
      <c r="EE20" s="4">
        <v>2.5809999999999999E-4</v>
      </c>
      <c r="EF20" s="4">
        <v>2.331E-4</v>
      </c>
      <c r="EG20" s="4">
        <v>2.106E-4</v>
      </c>
      <c r="EH20" s="4">
        <v>1.9139999999999999E-4</v>
      </c>
      <c r="EI20" s="4">
        <v>1.7440000000000001E-4</v>
      </c>
      <c r="EJ20" s="4">
        <v>1.5970000000000001E-4</v>
      </c>
      <c r="EK20" s="4">
        <v>1.4669999999999999E-4</v>
      </c>
      <c r="EL20" s="4">
        <v>1.3520000000000001E-4</v>
      </c>
      <c r="EM20" s="4">
        <v>1.25E-4</v>
      </c>
      <c r="EN20" s="4">
        <v>1.16E-4</v>
      </c>
      <c r="EO20" s="4">
        <v>1.0789999999999999E-4</v>
      </c>
      <c r="EP20" s="4">
        <v>1.0060000000000001E-4</v>
      </c>
      <c r="EQ20" s="4">
        <v>9.4099999999999997E-5</v>
      </c>
      <c r="ER20" s="4">
        <v>8.8300000000000005E-5</v>
      </c>
      <c r="ES20" s="4">
        <v>8.2999999999999998E-5</v>
      </c>
      <c r="ET20" s="4">
        <v>7.8200000000000003E-5</v>
      </c>
      <c r="EU20" s="4">
        <v>7.3899999999999994E-5</v>
      </c>
      <c r="EV20" s="4">
        <v>6.9900000000000005E-5</v>
      </c>
      <c r="EW20" s="4">
        <v>6.6199999999999996E-5</v>
      </c>
      <c r="EX20" s="4">
        <v>6.2899999999999997E-5</v>
      </c>
      <c r="EY20" s="4">
        <v>5.9799999999999997E-5</v>
      </c>
      <c r="EZ20" s="4">
        <v>5.6900000000000001E-5</v>
      </c>
      <c r="FA20" s="4">
        <v>5.4299999999999998E-5</v>
      </c>
      <c r="FB20" s="4">
        <v>5.1799999999999999E-5</v>
      </c>
      <c r="FC20" s="4">
        <v>4.9599999999999999E-5</v>
      </c>
      <c r="FD20" s="4">
        <v>4.7500000000000003E-5</v>
      </c>
      <c r="FE20" s="4">
        <v>4.5599999999999997E-5</v>
      </c>
      <c r="FF20" s="4">
        <v>4.3800000000000001E-5</v>
      </c>
      <c r="FG20" s="4">
        <v>4.21E-5</v>
      </c>
      <c r="FH20" s="4">
        <v>4.0500000000000002E-5</v>
      </c>
      <c r="FI20" s="4">
        <v>3.9100000000000002E-5</v>
      </c>
      <c r="FJ20" s="4">
        <v>3.7700000000000002E-5</v>
      </c>
      <c r="FK20" s="4">
        <v>3.65E-5</v>
      </c>
      <c r="FL20" s="4">
        <v>3.5299999999999997E-5</v>
      </c>
      <c r="FM20" s="4">
        <v>3.4199999999999998E-5</v>
      </c>
      <c r="FN20" s="4">
        <v>3.3200000000000001E-5</v>
      </c>
      <c r="FO20" s="4">
        <v>3.2199999999999997E-5</v>
      </c>
      <c r="FP20" s="4">
        <v>3.1399999999999998E-5</v>
      </c>
      <c r="FQ20" s="4">
        <v>3.0499999999999999E-5</v>
      </c>
      <c r="FR20" s="4">
        <v>2.97E-5</v>
      </c>
      <c r="FS20" s="4">
        <v>2.9E-5</v>
      </c>
      <c r="FT20" s="4">
        <v>2.83E-5</v>
      </c>
      <c r="FU20" s="4">
        <v>2.7699999999999999E-5</v>
      </c>
      <c r="FV20" s="4">
        <v>2.6999999999999999E-5</v>
      </c>
      <c r="FW20" s="4">
        <v>2.65E-5</v>
      </c>
      <c r="FX20" s="4">
        <v>2.5899999999999999E-5</v>
      </c>
      <c r="FY20" s="4">
        <v>2.5400000000000001E-5</v>
      </c>
      <c r="FZ20" s="4">
        <v>2.4899999999999999E-5</v>
      </c>
      <c r="GA20" s="4">
        <v>2.44E-5</v>
      </c>
      <c r="GB20" s="4">
        <v>2.4000000000000001E-5</v>
      </c>
      <c r="GC20" s="4">
        <v>2.3600000000000001E-5</v>
      </c>
      <c r="GD20" s="4">
        <v>2.3099999999999999E-5</v>
      </c>
      <c r="GE20" s="4">
        <v>2.2799999999999999E-5</v>
      </c>
      <c r="GF20" s="4">
        <v>2.2399999999999999E-5</v>
      </c>
      <c r="GG20" s="4">
        <v>2.1999999999999999E-5</v>
      </c>
      <c r="GH20" s="4">
        <v>2.1699999999999999E-5</v>
      </c>
      <c r="GI20" s="4">
        <v>2.1299999999999999E-5</v>
      </c>
      <c r="GJ20" s="4">
        <v>2.0999999999999999E-5</v>
      </c>
      <c r="GK20" s="4">
        <v>2.0699999999999998E-5</v>
      </c>
      <c r="GL20" s="4">
        <v>2.0400000000000001E-5</v>
      </c>
      <c r="GM20" s="4">
        <v>2.0100000000000001E-5</v>
      </c>
      <c r="GN20" s="4">
        <v>1.98E-5</v>
      </c>
      <c r="GO20" s="4">
        <v>1.95E-5</v>
      </c>
      <c r="GP20" s="4">
        <v>1.9300000000000002E-5</v>
      </c>
      <c r="GQ20" s="4">
        <v>1.9000000000000001E-5</v>
      </c>
      <c r="GR20" s="4">
        <v>1.8700000000000001E-5</v>
      </c>
      <c r="GS20" s="4">
        <v>1.8499999999999999E-5</v>
      </c>
      <c r="GT20" s="4">
        <v>1.8199999999999999E-5</v>
      </c>
      <c r="GU20" s="4">
        <v>1.8E-5</v>
      </c>
      <c r="GV20" s="4">
        <v>1.7799999999999999E-5</v>
      </c>
      <c r="GW20" s="4">
        <v>1.7499999999999998E-5</v>
      </c>
      <c r="GX20" s="4">
        <v>1.73E-5</v>
      </c>
      <c r="GY20" s="4">
        <v>1.7099999999999999E-5</v>
      </c>
      <c r="GZ20" s="4">
        <v>1.6900000000000001E-5</v>
      </c>
      <c r="HA20" s="4">
        <v>1.66E-5</v>
      </c>
      <c r="HB20" s="4">
        <v>1.6399999999999999E-5</v>
      </c>
      <c r="HC20" s="4">
        <v>1.6200000000000001E-5</v>
      </c>
      <c r="HD20" s="4">
        <v>1.5999999999999999E-5</v>
      </c>
      <c r="HE20" s="4">
        <v>1.5800000000000001E-5</v>
      </c>
      <c r="HF20" s="4">
        <v>1.56E-5</v>
      </c>
      <c r="HG20" s="4">
        <v>1.5400000000000002E-5</v>
      </c>
      <c r="HH20" s="4">
        <v>1.52E-5</v>
      </c>
      <c r="HI20" s="4">
        <v>1.5E-5</v>
      </c>
      <c r="HJ20" s="4">
        <v>1.4800000000000001E-5</v>
      </c>
      <c r="HK20" s="4">
        <v>1.4600000000000001E-5</v>
      </c>
      <c r="HL20" s="4">
        <v>1.45E-5</v>
      </c>
      <c r="HM20" s="4">
        <v>1.43E-5</v>
      </c>
      <c r="HN20" s="4">
        <v>1.4100000000000001E-5</v>
      </c>
      <c r="HO20" s="4">
        <v>1.3900000000000001E-5</v>
      </c>
      <c r="HP20" s="4">
        <v>1.3699999999999999E-5</v>
      </c>
      <c r="HQ20" s="4">
        <v>1.36E-5</v>
      </c>
      <c r="HR20" s="4">
        <v>1.34E-5</v>
      </c>
      <c r="HS20" s="4">
        <v>1.3200000000000001E-5</v>
      </c>
      <c r="HT20" s="4">
        <v>1.2999999999999999E-5</v>
      </c>
      <c r="HU20" s="4">
        <v>1.29E-5</v>
      </c>
      <c r="HV20" s="4">
        <v>1.27E-5</v>
      </c>
      <c r="HW20" s="4">
        <v>1.26E-5</v>
      </c>
      <c r="HX20" s="4">
        <v>1.24E-5</v>
      </c>
      <c r="HY20" s="4">
        <v>1.22E-5</v>
      </c>
      <c r="HZ20" s="4">
        <v>1.2099999999999999E-5</v>
      </c>
      <c r="IA20" s="4">
        <v>1.19E-5</v>
      </c>
      <c r="IB20" s="4">
        <v>1.1800000000000001E-5</v>
      </c>
      <c r="IC20" s="4">
        <v>1.1600000000000001E-5</v>
      </c>
      <c r="ID20" s="4">
        <v>1.15E-5</v>
      </c>
      <c r="IE20" s="4">
        <v>1.13E-5</v>
      </c>
      <c r="IF20" s="4">
        <v>1.1199999999999999E-5</v>
      </c>
      <c r="IG20" s="4">
        <v>8.0250000000000004E-4</v>
      </c>
      <c r="IH20" s="4"/>
      <c r="II20" s="4">
        <f t="shared" si="247"/>
        <v>0.11428505983044171</v>
      </c>
      <c r="IL20">
        <f t="shared" si="248"/>
        <v>0.35362015000000047</v>
      </c>
      <c r="IP20" s="4">
        <f t="shared" si="249"/>
        <v>3.9828199999999994E-2</v>
      </c>
      <c r="IQ20" s="4">
        <f t="shared" si="250"/>
        <v>3.1233399999999998E-2</v>
      </c>
      <c r="IR20" s="4">
        <f t="shared" si="251"/>
        <v>2.2775400000000001E-2</v>
      </c>
      <c r="IS20" s="4">
        <f t="shared" si="252"/>
        <v>1.9075000000000002E-2</v>
      </c>
      <c r="IT20" s="4">
        <f t="shared" si="253"/>
        <v>1.6368399999999998E-2</v>
      </c>
      <c r="IU20" s="4">
        <f t="shared" si="254"/>
        <v>5.9933300000000002E-2</v>
      </c>
      <c r="IV20" s="4">
        <f t="shared" si="255"/>
        <v>4.1027000000000008E-2</v>
      </c>
      <c r="IW20" s="4">
        <f t="shared" si="256"/>
        <v>3.0344599999999999E-2</v>
      </c>
      <c r="IX20" s="4">
        <f t="shared" si="257"/>
        <v>9.2850099999999991E-2</v>
      </c>
      <c r="JA20" s="4">
        <f t="shared" si="289"/>
        <v>8.2360999999999962E-3</v>
      </c>
      <c r="JB20" s="4">
        <f t="shared" si="290"/>
        <v>7.0953999999999982E-3</v>
      </c>
      <c r="JC20" s="4">
        <f t="shared" si="260"/>
        <v>4.7892000000000004E-3</v>
      </c>
      <c r="JD20" s="4">
        <f t="shared" si="261"/>
        <v>3.1466999999999988E-3</v>
      </c>
      <c r="JE20" s="4">
        <f t="shared" si="262"/>
        <v>2.2106999999999995E-3</v>
      </c>
      <c r="JF20" s="4">
        <f t="shared" si="263"/>
        <v>5.4453999999999961E-3</v>
      </c>
      <c r="JG20" s="4">
        <f t="shared" si="264"/>
        <v>2.4330999999999867E-3</v>
      </c>
      <c r="JH20" s="4">
        <f t="shared" si="265"/>
        <v>1.6374999999999931E-3</v>
      </c>
      <c r="JI20" s="4">
        <f t="shared" si="266"/>
        <v>5.4194000000000186E-3</v>
      </c>
      <c r="JK20">
        <f t="shared" si="284"/>
        <v>2010.75</v>
      </c>
      <c r="JL20">
        <f t="shared" si="267"/>
        <v>20.679066591008375</v>
      </c>
      <c r="JM20">
        <f t="shared" si="268"/>
        <v>22.717347454968074</v>
      </c>
      <c r="JN20">
        <f t="shared" si="269"/>
        <v>21.027951210516608</v>
      </c>
      <c r="JO20">
        <f t="shared" si="270"/>
        <v>16.496461336828304</v>
      </c>
      <c r="JP20">
        <f t="shared" si="271"/>
        <v>13.505901615307542</v>
      </c>
      <c r="JQ20">
        <f t="shared" si="272"/>
        <v>9.0857670109938802</v>
      </c>
      <c r="JR20">
        <f t="shared" si="273"/>
        <v>5.9304848026908772</v>
      </c>
      <c r="JS20">
        <f t="shared" si="274"/>
        <v>5.3963472907864762</v>
      </c>
      <c r="JT20">
        <f t="shared" si="275"/>
        <v>5.8367196158108809</v>
      </c>
      <c r="JV20" s="12">
        <f t="shared" si="285"/>
        <v>2010.75</v>
      </c>
      <c r="JW20" s="12">
        <f t="shared" si="286"/>
        <v>0.58661651935475589</v>
      </c>
      <c r="JX20" s="12">
        <f t="shared" si="276"/>
        <v>-0.44636642013307082</v>
      </c>
      <c r="JY20" s="12">
        <f t="shared" si="277"/>
        <v>1.4634086530194708</v>
      </c>
      <c r="JZ20" s="12">
        <f t="shared" si="278"/>
        <v>0.40958340267069104</v>
      </c>
      <c r="KA20" s="12">
        <f t="shared" si="279"/>
        <v>0.10957743951534127</v>
      </c>
      <c r="KB20" s="12">
        <f t="shared" si="280"/>
        <v>-0.20563225683969222</v>
      </c>
      <c r="KC20" s="12">
        <f t="shared" si="281"/>
        <v>-0.26484203534971495</v>
      </c>
      <c r="KD20" s="12">
        <f t="shared" si="282"/>
        <v>-0.12218083564780091</v>
      </c>
      <c r="KE20" s="12">
        <f t="shared" si="283"/>
        <v>0.30305577410493711</v>
      </c>
    </row>
    <row r="21" spans="1:291" x14ac:dyDescent="0.35">
      <c r="A21" s="1">
        <v>13</v>
      </c>
      <c r="B21" s="4">
        <v>1.0309199999999999E-2</v>
      </c>
      <c r="C21" s="4">
        <v>1.0309199999999999E-2</v>
      </c>
      <c r="D21" s="4">
        <v>1.01651E-2</v>
      </c>
      <c r="E21" s="4">
        <v>9.9381000000000001E-3</v>
      </c>
      <c r="F21" s="4">
        <v>9.4272000000000002E-3</v>
      </c>
      <c r="G21" s="4">
        <v>8.7913999999999996E-3</v>
      </c>
      <c r="H21" s="4">
        <v>8.1805000000000003E-3</v>
      </c>
      <c r="I21" s="4">
        <v>7.5766000000000002E-3</v>
      </c>
      <c r="J21" s="4">
        <v>7.0061999999999998E-3</v>
      </c>
      <c r="K21" s="4">
        <v>6.3211999999999999E-3</v>
      </c>
      <c r="L21" s="4">
        <v>5.901E-3</v>
      </c>
      <c r="M21" s="4">
        <v>5.5100000000000001E-3</v>
      </c>
      <c r="N21" s="4">
        <v>4.9633000000000004E-3</v>
      </c>
      <c r="O21" s="4">
        <v>5.0829999999999998E-3</v>
      </c>
      <c r="P21" s="4">
        <v>4.8221999999999996E-3</v>
      </c>
      <c r="Q21" s="4">
        <v>4.6280000000000002E-3</v>
      </c>
      <c r="R21" s="4">
        <v>4.4470999999999998E-3</v>
      </c>
      <c r="S21" s="4">
        <v>4.2845000000000001E-3</v>
      </c>
      <c r="T21" s="4">
        <v>4.1340999999999999E-3</v>
      </c>
      <c r="U21" s="4">
        <v>3.9969000000000003E-3</v>
      </c>
      <c r="V21" s="4">
        <v>3.8696999999999998E-3</v>
      </c>
      <c r="W21" s="4">
        <v>3.7515999999999999E-3</v>
      </c>
      <c r="X21" s="4">
        <v>3.6413999999999999E-3</v>
      </c>
      <c r="Y21" s="4">
        <v>3.5385E-3</v>
      </c>
      <c r="Z21" s="4">
        <v>3.4420000000000002E-3</v>
      </c>
      <c r="AA21" s="4">
        <v>3.3514E-3</v>
      </c>
      <c r="AB21" s="4">
        <v>3.2659999999999998E-3</v>
      </c>
      <c r="AC21" s="4">
        <v>3.1854000000000001E-3</v>
      </c>
      <c r="AD21" s="4">
        <v>3.1091000000000001E-3</v>
      </c>
      <c r="AE21" s="4">
        <v>3.0368999999999999E-3</v>
      </c>
      <c r="AF21" s="4">
        <v>2.9681999999999998E-3</v>
      </c>
      <c r="AG21" s="4">
        <v>2.9028999999999999E-3</v>
      </c>
      <c r="AH21" s="4">
        <v>2.8406999999999998E-3</v>
      </c>
      <c r="AI21" s="4">
        <v>2.7813999999999998E-3</v>
      </c>
      <c r="AJ21" s="4">
        <v>2.7247E-3</v>
      </c>
      <c r="AK21" s="4">
        <v>2.6703999999999999E-3</v>
      </c>
      <c r="AL21" s="4">
        <v>2.6183999999999999E-3</v>
      </c>
      <c r="AM21" s="4">
        <v>2.5685E-3</v>
      </c>
      <c r="AN21" s="4">
        <v>2.5206E-3</v>
      </c>
      <c r="AO21" s="4">
        <v>2.4745000000000001E-3</v>
      </c>
      <c r="AP21" s="4">
        <v>2.4299999999999999E-3</v>
      </c>
      <c r="AQ21" s="4">
        <v>2.3871000000000001E-3</v>
      </c>
      <c r="AR21" s="4">
        <v>2.3456000000000002E-3</v>
      </c>
      <c r="AS21" s="4">
        <v>2.3054E-3</v>
      </c>
      <c r="AT21" s="4">
        <v>2.2664999999999999E-3</v>
      </c>
      <c r="AU21" s="4">
        <v>2.2288E-3</v>
      </c>
      <c r="AV21" s="4">
        <v>2.1921000000000002E-3</v>
      </c>
      <c r="AW21" s="4">
        <v>2.1564000000000002E-3</v>
      </c>
      <c r="AX21" s="4">
        <v>2.1216999999999998E-3</v>
      </c>
      <c r="AY21" s="4">
        <v>2.0879000000000002E-3</v>
      </c>
      <c r="AZ21" s="4">
        <v>2.0549000000000001E-3</v>
      </c>
      <c r="BA21" s="4">
        <v>2.0227999999999999E-3</v>
      </c>
      <c r="BB21" s="4">
        <v>1.9913000000000001E-3</v>
      </c>
      <c r="BC21" s="4">
        <v>1.9605999999999998E-3</v>
      </c>
      <c r="BD21" s="4">
        <v>1.9306E-3</v>
      </c>
      <c r="BE21" s="4">
        <v>1.9013000000000001E-3</v>
      </c>
      <c r="BF21" s="4">
        <v>1.8725E-3</v>
      </c>
      <c r="BG21" s="4">
        <v>1.8443000000000001E-3</v>
      </c>
      <c r="BH21" s="4">
        <v>1.8167999999999999E-3</v>
      </c>
      <c r="BI21" s="4">
        <v>1.7897E-3</v>
      </c>
      <c r="BJ21" s="4">
        <v>1.7631999999999999E-3</v>
      </c>
      <c r="BK21" s="4">
        <v>1.7371999999999999E-3</v>
      </c>
      <c r="BL21" s="4">
        <v>1.7116E-3</v>
      </c>
      <c r="BM21" s="4">
        <v>1.6865000000000001E-3</v>
      </c>
      <c r="BN21" s="4">
        <v>1.6619E-3</v>
      </c>
      <c r="BO21" s="4">
        <v>1.6377E-3</v>
      </c>
      <c r="BP21" s="4">
        <v>1.614E-3</v>
      </c>
      <c r="BQ21" s="4">
        <v>1.5906E-3</v>
      </c>
      <c r="BR21" s="4">
        <v>1.5675999999999999E-3</v>
      </c>
      <c r="BS21" s="4">
        <v>1.5451E-3</v>
      </c>
      <c r="BT21" s="4">
        <v>1.5229E-3</v>
      </c>
      <c r="BU21" s="4">
        <v>1.5011E-3</v>
      </c>
      <c r="BV21" s="4">
        <v>1.4796E-3</v>
      </c>
      <c r="BW21" s="4">
        <v>1.4584999999999999E-3</v>
      </c>
      <c r="BX21" s="4">
        <v>1.4377000000000001E-3</v>
      </c>
      <c r="BY21" s="4">
        <v>1.4173E-3</v>
      </c>
      <c r="BZ21" s="4">
        <v>1.3971000000000001E-3</v>
      </c>
      <c r="CA21" s="4">
        <v>1.3772999999999999E-3</v>
      </c>
      <c r="CB21" s="4">
        <v>1.3577999999999999E-3</v>
      </c>
      <c r="CC21" s="4">
        <v>1.3387E-3</v>
      </c>
      <c r="CD21" s="4">
        <v>1.3198000000000001E-3</v>
      </c>
      <c r="CE21" s="4">
        <v>1.3012E-3</v>
      </c>
      <c r="CF21" s="4">
        <v>1.2829E-3</v>
      </c>
      <c r="CG21" s="4">
        <v>1.2648E-3</v>
      </c>
      <c r="CH21" s="4">
        <v>1.2470999999999999E-3</v>
      </c>
      <c r="CI21" s="4">
        <v>1.2296E-3</v>
      </c>
      <c r="CJ21" s="4">
        <v>1.2122999999999999E-3</v>
      </c>
      <c r="CK21" s="4">
        <v>1.1953000000000001E-3</v>
      </c>
      <c r="CL21" s="4">
        <v>1.1785999999999999E-3</v>
      </c>
      <c r="CM21" s="4">
        <v>1.1620999999999999E-3</v>
      </c>
      <c r="CN21" s="4">
        <v>1.1459E-3</v>
      </c>
      <c r="CO21" s="4">
        <v>1.1299000000000001E-3</v>
      </c>
      <c r="CP21" s="4">
        <v>1.1141E-3</v>
      </c>
      <c r="CQ21" s="4">
        <v>1.0985999999999999E-3</v>
      </c>
      <c r="CR21" s="4">
        <v>1.0832000000000001E-3</v>
      </c>
      <c r="CS21" s="4">
        <v>1.0681E-3</v>
      </c>
      <c r="CT21" s="4">
        <v>1.0533000000000001E-3</v>
      </c>
      <c r="CU21" s="4">
        <v>1.0386E-3</v>
      </c>
      <c r="CV21" s="4">
        <v>1.0241E-3</v>
      </c>
      <c r="CW21" s="4">
        <v>1.0099E-3</v>
      </c>
      <c r="CX21" s="4">
        <v>9.9580000000000003E-4</v>
      </c>
      <c r="CY21" s="4">
        <v>9.8200000000000002E-4</v>
      </c>
      <c r="CZ21" s="4">
        <v>9.6829999999999996E-4</v>
      </c>
      <c r="DA21" s="4">
        <v>9.5489999999999995E-4</v>
      </c>
      <c r="DB21" s="4">
        <v>9.4160000000000001E-4</v>
      </c>
      <c r="DC21" s="4">
        <v>9.2849999999999996E-4</v>
      </c>
      <c r="DD21" s="4">
        <v>9.1560000000000003E-4</v>
      </c>
      <c r="DE21" s="4">
        <v>9.0289999999999999E-4</v>
      </c>
      <c r="DF21" s="4">
        <v>8.9030000000000001E-4</v>
      </c>
      <c r="DG21" s="4">
        <v>8.7799999999999998E-4</v>
      </c>
      <c r="DH21" s="4">
        <v>8.6580000000000001E-4</v>
      </c>
      <c r="DI21" s="4">
        <v>8.5369999999999999E-4</v>
      </c>
      <c r="DJ21" s="4">
        <v>8.4190000000000003E-4</v>
      </c>
      <c r="DK21" s="4">
        <v>8.3020000000000001E-4</v>
      </c>
      <c r="DL21" s="4">
        <v>8.1859999999999995E-4</v>
      </c>
      <c r="DM21" s="4">
        <v>8.0730000000000005E-4</v>
      </c>
      <c r="DN21" s="4">
        <v>7.9600000000000005E-4</v>
      </c>
      <c r="DO21" s="4">
        <v>7.85E-4</v>
      </c>
      <c r="DP21" s="4">
        <v>7.7410000000000001E-4</v>
      </c>
      <c r="DQ21" s="4">
        <v>5.4234600000000001E-2</v>
      </c>
      <c r="DR21" s="4">
        <v>0</v>
      </c>
      <c r="DS21" s="4">
        <v>1.4410000000000001E-4</v>
      </c>
      <c r="DT21" s="4">
        <v>2.2680000000000001E-4</v>
      </c>
      <c r="DU21" s="4">
        <v>4.8959999999999997E-4</v>
      </c>
      <c r="DV21" s="4">
        <v>6.4479999999999995E-4</v>
      </c>
      <c r="DW21" s="4">
        <v>6.3330000000000005E-4</v>
      </c>
      <c r="DX21" s="4">
        <v>5.9190000000000002E-4</v>
      </c>
      <c r="DY21" s="4">
        <v>5.3370000000000002E-4</v>
      </c>
      <c r="DZ21" s="4">
        <v>4.7189999999999998E-4</v>
      </c>
      <c r="EA21" s="4">
        <v>4.0079999999999998E-4</v>
      </c>
      <c r="EB21" s="4">
        <v>3.5639999999999999E-4</v>
      </c>
      <c r="EC21" s="4">
        <v>3.1500000000000001E-4</v>
      </c>
      <c r="ED21" s="4">
        <v>2.6499999999999999E-4</v>
      </c>
      <c r="EE21" s="4">
        <v>2.6570000000000001E-4</v>
      </c>
      <c r="EF21" s="4">
        <v>2.362E-4</v>
      </c>
      <c r="EG21" s="4">
        <v>2.1379999999999999E-4</v>
      </c>
      <c r="EH21" s="4">
        <v>1.9379999999999999E-4</v>
      </c>
      <c r="EI21" s="4">
        <v>1.7670000000000001E-4</v>
      </c>
      <c r="EJ21" s="4">
        <v>1.616E-4</v>
      </c>
      <c r="EK21" s="4">
        <v>1.485E-4</v>
      </c>
      <c r="EL21" s="4">
        <v>1.3689999999999999E-4</v>
      </c>
      <c r="EM21" s="4">
        <v>1.2659999999999999E-4</v>
      </c>
      <c r="EN21" s="4">
        <v>1.1739999999999999E-4</v>
      </c>
      <c r="EO21" s="4">
        <v>1.092E-4</v>
      </c>
      <c r="EP21" s="4">
        <v>1.0179999999999999E-4</v>
      </c>
      <c r="EQ21" s="4">
        <v>9.5199999999999997E-5</v>
      </c>
      <c r="ER21" s="4">
        <v>8.9300000000000002E-5</v>
      </c>
      <c r="ES21" s="4">
        <v>8.3900000000000006E-5</v>
      </c>
      <c r="ET21" s="4">
        <v>7.9099999999999998E-5</v>
      </c>
      <c r="EU21" s="4">
        <v>7.4599999999999997E-5</v>
      </c>
      <c r="EV21" s="4">
        <v>7.0599999999999995E-5</v>
      </c>
      <c r="EW21" s="4">
        <v>6.6799999999999997E-5</v>
      </c>
      <c r="EX21" s="4">
        <v>6.3399999999999996E-5</v>
      </c>
      <c r="EY21" s="4">
        <v>6.0300000000000002E-5</v>
      </c>
      <c r="EZ21" s="4">
        <v>5.7399999999999999E-5</v>
      </c>
      <c r="FA21" s="4">
        <v>5.4700000000000001E-5</v>
      </c>
      <c r="FB21" s="4">
        <v>5.2200000000000002E-5</v>
      </c>
      <c r="FC21" s="4">
        <v>4.99E-5</v>
      </c>
      <c r="FD21" s="4">
        <v>4.7800000000000003E-5</v>
      </c>
      <c r="FE21" s="4">
        <v>4.5800000000000002E-5</v>
      </c>
      <c r="FF21" s="4">
        <v>4.3999999999999999E-5</v>
      </c>
      <c r="FG21" s="4">
        <v>4.2299999999999998E-5</v>
      </c>
      <c r="FH21" s="4">
        <v>4.07E-5</v>
      </c>
      <c r="FI21" s="4">
        <v>3.93E-5</v>
      </c>
      <c r="FJ21" s="4">
        <v>3.79E-5</v>
      </c>
      <c r="FK21" s="4">
        <v>3.6699999999999998E-5</v>
      </c>
      <c r="FL21" s="4">
        <v>3.5500000000000002E-5</v>
      </c>
      <c r="FM21" s="4">
        <v>3.4400000000000003E-5</v>
      </c>
      <c r="FN21" s="4">
        <v>3.3399999999999999E-5</v>
      </c>
      <c r="FO21" s="4">
        <v>3.2400000000000001E-5</v>
      </c>
      <c r="FP21" s="4">
        <v>3.15E-5</v>
      </c>
      <c r="FQ21" s="4">
        <v>3.0700000000000001E-5</v>
      </c>
      <c r="FR21" s="4">
        <v>2.9899999999999998E-5</v>
      </c>
      <c r="FS21" s="4">
        <v>2.9099999999999999E-5</v>
      </c>
      <c r="FT21" s="4">
        <v>2.8500000000000002E-5</v>
      </c>
      <c r="FU21" s="4">
        <v>2.7800000000000001E-5</v>
      </c>
      <c r="FV21" s="4">
        <v>2.72E-5</v>
      </c>
      <c r="FW21" s="4">
        <v>2.6599999999999999E-5</v>
      </c>
      <c r="FX21" s="4">
        <v>2.5999999999999998E-5</v>
      </c>
      <c r="FY21" s="4">
        <v>2.55E-5</v>
      </c>
      <c r="FZ21" s="4">
        <v>2.5000000000000001E-5</v>
      </c>
      <c r="GA21" s="4">
        <v>2.4600000000000002E-5</v>
      </c>
      <c r="GB21" s="4">
        <v>2.41E-5</v>
      </c>
      <c r="GC21" s="4">
        <v>2.37E-5</v>
      </c>
      <c r="GD21" s="4">
        <v>2.3300000000000001E-5</v>
      </c>
      <c r="GE21" s="4">
        <v>2.2900000000000001E-5</v>
      </c>
      <c r="GF21" s="4">
        <v>2.2500000000000001E-5</v>
      </c>
      <c r="GG21" s="4">
        <v>2.2099999999999998E-5</v>
      </c>
      <c r="GH21" s="4">
        <v>2.1800000000000001E-5</v>
      </c>
      <c r="GI21" s="4">
        <v>2.1399999999999998E-5</v>
      </c>
      <c r="GJ21" s="4">
        <v>2.1100000000000001E-5</v>
      </c>
      <c r="GK21" s="4">
        <v>2.0800000000000001E-5</v>
      </c>
      <c r="GL21" s="4">
        <v>2.05E-5</v>
      </c>
      <c r="GM21" s="4">
        <v>2.02E-5</v>
      </c>
      <c r="GN21" s="4">
        <v>1.9899999999999999E-5</v>
      </c>
      <c r="GO21" s="4">
        <v>1.9599999999999999E-5</v>
      </c>
      <c r="GP21" s="4">
        <v>1.9300000000000002E-5</v>
      </c>
      <c r="GQ21" s="4">
        <v>1.91E-5</v>
      </c>
      <c r="GR21" s="4">
        <v>1.88E-5</v>
      </c>
      <c r="GS21" s="4">
        <v>1.8499999999999999E-5</v>
      </c>
      <c r="GT21" s="4">
        <v>1.8300000000000001E-5</v>
      </c>
      <c r="GU21" s="4">
        <v>1.8E-5</v>
      </c>
      <c r="GV21" s="4">
        <v>1.7799999999999999E-5</v>
      </c>
      <c r="GW21" s="4">
        <v>1.7600000000000001E-5</v>
      </c>
      <c r="GX21" s="4">
        <v>1.73E-5</v>
      </c>
      <c r="GY21" s="4">
        <v>1.7099999999999999E-5</v>
      </c>
      <c r="GZ21" s="4">
        <v>1.6900000000000001E-5</v>
      </c>
      <c r="HA21" s="4">
        <v>1.6699999999999999E-5</v>
      </c>
      <c r="HB21" s="4">
        <v>1.6500000000000001E-5</v>
      </c>
      <c r="HC21" s="4">
        <v>1.6200000000000001E-5</v>
      </c>
      <c r="HD21" s="4">
        <v>1.5999999999999999E-5</v>
      </c>
      <c r="HE21" s="4">
        <v>1.5800000000000001E-5</v>
      </c>
      <c r="HF21" s="4">
        <v>1.56E-5</v>
      </c>
      <c r="HG21" s="4">
        <v>1.5400000000000002E-5</v>
      </c>
      <c r="HH21" s="4">
        <v>1.52E-5</v>
      </c>
      <c r="HI21" s="4">
        <v>1.5E-5</v>
      </c>
      <c r="HJ21" s="4">
        <v>1.4800000000000001E-5</v>
      </c>
      <c r="HK21" s="4">
        <v>1.47E-5</v>
      </c>
      <c r="HL21" s="4">
        <v>1.45E-5</v>
      </c>
      <c r="HM21" s="4">
        <v>1.43E-5</v>
      </c>
      <c r="HN21" s="4">
        <v>1.4100000000000001E-5</v>
      </c>
      <c r="HO21" s="4">
        <v>1.3900000000000001E-5</v>
      </c>
      <c r="HP21" s="4">
        <v>1.3699999999999999E-5</v>
      </c>
      <c r="HQ21" s="4">
        <v>1.36E-5</v>
      </c>
      <c r="HR21" s="4">
        <v>1.34E-5</v>
      </c>
      <c r="HS21" s="4">
        <v>1.3200000000000001E-5</v>
      </c>
      <c r="HT21" s="4">
        <v>1.31E-5</v>
      </c>
      <c r="HU21" s="4">
        <v>1.29E-5</v>
      </c>
      <c r="HV21" s="4">
        <v>1.27E-5</v>
      </c>
      <c r="HW21" s="4">
        <v>1.26E-5</v>
      </c>
      <c r="HX21" s="4">
        <v>1.24E-5</v>
      </c>
      <c r="HY21" s="4">
        <v>1.22E-5</v>
      </c>
      <c r="HZ21" s="4">
        <v>1.2099999999999999E-5</v>
      </c>
      <c r="IA21" s="4">
        <v>1.19E-5</v>
      </c>
      <c r="IB21" s="4">
        <v>1.1800000000000001E-5</v>
      </c>
      <c r="IC21" s="4">
        <v>1.1600000000000001E-5</v>
      </c>
      <c r="ID21" s="4">
        <v>1.15E-5</v>
      </c>
      <c r="IE21" s="4">
        <v>1.13E-5</v>
      </c>
      <c r="IF21" s="4">
        <v>1.1199999999999999E-5</v>
      </c>
      <c r="IG21" s="4">
        <v>8.0469999999999999E-4</v>
      </c>
      <c r="IH21" s="4"/>
      <c r="II21" s="4">
        <f t="shared" si="247"/>
        <v>0.11429658173709606</v>
      </c>
      <c r="IL21">
        <f t="shared" si="248"/>
        <v>0.35361162500000048</v>
      </c>
      <c r="IP21" s="4">
        <f t="shared" si="249"/>
        <v>3.9839600000000003E-2</v>
      </c>
      <c r="IQ21" s="4">
        <f t="shared" si="250"/>
        <v>3.1554699999999998E-2</v>
      </c>
      <c r="IR21" s="4">
        <f t="shared" si="251"/>
        <v>2.26955E-2</v>
      </c>
      <c r="IS21" s="4">
        <f t="shared" si="252"/>
        <v>1.8980299999999999E-2</v>
      </c>
      <c r="IT21" s="4">
        <f t="shared" si="253"/>
        <v>1.62852E-2</v>
      </c>
      <c r="IU21" s="4">
        <f t="shared" si="254"/>
        <v>5.9822600000000004E-2</v>
      </c>
      <c r="IV21" s="4">
        <f t="shared" si="255"/>
        <v>4.10395E-2</v>
      </c>
      <c r="IW21" s="4">
        <f t="shared" si="256"/>
        <v>3.0360000000000002E-2</v>
      </c>
      <c r="IX21" s="4">
        <f t="shared" si="257"/>
        <v>9.2804700000000004E-2</v>
      </c>
      <c r="JA21" s="4">
        <f t="shared" si="289"/>
        <v>8.2855999999999971E-3</v>
      </c>
      <c r="JB21" s="4">
        <f t="shared" si="290"/>
        <v>7.302499999999993E-3</v>
      </c>
      <c r="JC21" s="4">
        <f t="shared" si="260"/>
        <v>4.6336999999999975E-3</v>
      </c>
      <c r="JD21" s="4">
        <f t="shared" si="261"/>
        <v>3.1418000000000036E-3</v>
      </c>
      <c r="JE21" s="4">
        <f t="shared" si="262"/>
        <v>2.2078999999999988E-3</v>
      </c>
      <c r="JF21" s="4">
        <f t="shared" si="263"/>
        <v>5.4406000000000038E-3</v>
      </c>
      <c r="JG21" s="4">
        <f t="shared" si="264"/>
        <v>2.4389999999999898E-3</v>
      </c>
      <c r="JH21" s="4">
        <f t="shared" si="265"/>
        <v>1.6414000000000047E-3</v>
      </c>
      <c r="JI21" s="4">
        <f t="shared" si="266"/>
        <v>5.3240999999999983E-3</v>
      </c>
      <c r="JK21">
        <f t="shared" si="284"/>
        <v>2011</v>
      </c>
      <c r="JL21">
        <f t="shared" si="267"/>
        <v>20.797397564232565</v>
      </c>
      <c r="JM21">
        <f t="shared" si="268"/>
        <v>23.142352803227389</v>
      </c>
      <c r="JN21">
        <f t="shared" si="269"/>
        <v>20.416822718159974</v>
      </c>
      <c r="JO21">
        <f t="shared" si="270"/>
        <v>16.5529522715658</v>
      </c>
      <c r="JP21">
        <f t="shared" si="271"/>
        <v>13.557708839928271</v>
      </c>
      <c r="JQ21">
        <f t="shared" si="272"/>
        <v>9.094556237943527</v>
      </c>
      <c r="JR21">
        <f t="shared" si="273"/>
        <v>5.9430548617794807</v>
      </c>
      <c r="JS21">
        <f t="shared" si="274"/>
        <v>5.4064558629776167</v>
      </c>
      <c r="JT21">
        <f t="shared" si="275"/>
        <v>5.7368861706357519</v>
      </c>
      <c r="JV21" s="12">
        <f t="shared" si="285"/>
        <v>2011</v>
      </c>
      <c r="JW21" s="12">
        <f t="shared" si="286"/>
        <v>0.7049474925789454</v>
      </c>
      <c r="JX21" s="12">
        <f t="shared" si="276"/>
        <v>-2.1361071873755577E-2</v>
      </c>
      <c r="JY21" s="12">
        <f t="shared" si="277"/>
        <v>0.85228016066283629</v>
      </c>
      <c r="JZ21" s="12">
        <f t="shared" si="278"/>
        <v>0.46607433740818749</v>
      </c>
      <c r="KA21" s="12">
        <f t="shared" si="279"/>
        <v>0.16138466413607055</v>
      </c>
      <c r="KB21" s="12">
        <f t="shared" si="280"/>
        <v>-0.19684302989004543</v>
      </c>
      <c r="KC21" s="12">
        <f t="shared" si="281"/>
        <v>-0.25227197626111142</v>
      </c>
      <c r="KD21" s="12">
        <f t="shared" si="282"/>
        <v>-0.11207226345666044</v>
      </c>
      <c r="KE21" s="12">
        <f t="shared" si="283"/>
        <v>0.20322232892980807</v>
      </c>
    </row>
    <row r="22" spans="1:291" x14ac:dyDescent="0.35">
      <c r="A22" s="1">
        <v>14</v>
      </c>
      <c r="B22" s="4">
        <v>1.0309199999999999E-2</v>
      </c>
      <c r="C22" s="4">
        <v>1.0309199999999999E-2</v>
      </c>
      <c r="D22" s="4">
        <v>1.01651E-2</v>
      </c>
      <c r="E22" s="4">
        <v>9.9381999999999995E-3</v>
      </c>
      <c r="F22" s="4">
        <v>9.4485000000000003E-3</v>
      </c>
      <c r="G22" s="4">
        <v>8.7825000000000004E-3</v>
      </c>
      <c r="H22" s="4">
        <v>8.1581999999999991E-3</v>
      </c>
      <c r="I22" s="4">
        <v>7.5886E-3</v>
      </c>
      <c r="J22" s="4">
        <v>7.0429000000000004E-3</v>
      </c>
      <c r="K22" s="4">
        <v>6.5342000000000004E-3</v>
      </c>
      <c r="L22" s="4">
        <v>5.9204000000000001E-3</v>
      </c>
      <c r="M22" s="4">
        <v>5.5444999999999999E-3</v>
      </c>
      <c r="N22" s="4">
        <v>5.1951000000000002E-3</v>
      </c>
      <c r="O22" s="4">
        <v>4.6981999999999996E-3</v>
      </c>
      <c r="P22" s="4">
        <v>4.8173000000000001E-3</v>
      </c>
      <c r="Q22" s="4">
        <v>4.5859999999999998E-3</v>
      </c>
      <c r="R22" s="4">
        <v>4.4143000000000003E-3</v>
      </c>
      <c r="S22" s="4">
        <v>4.2534000000000001E-3</v>
      </c>
      <c r="T22" s="4">
        <v>4.1078E-3</v>
      </c>
      <c r="U22" s="4">
        <v>3.9725000000000003E-3</v>
      </c>
      <c r="V22" s="4">
        <v>3.8484000000000001E-3</v>
      </c>
      <c r="W22" s="4">
        <v>3.7328999999999999E-3</v>
      </c>
      <c r="X22" s="4">
        <v>3.6250000000000002E-3</v>
      </c>
      <c r="Y22" s="4">
        <v>3.5239999999999998E-3</v>
      </c>
      <c r="Z22" s="4">
        <v>3.4293000000000001E-3</v>
      </c>
      <c r="AA22" s="4">
        <v>3.3402000000000002E-3</v>
      </c>
      <c r="AB22" s="4">
        <v>3.2561000000000001E-3</v>
      </c>
      <c r="AC22" s="4">
        <v>3.1767000000000002E-3</v>
      </c>
      <c r="AD22" s="4">
        <v>3.1015000000000001E-3</v>
      </c>
      <c r="AE22" s="4">
        <v>3.0301E-3</v>
      </c>
      <c r="AF22" s="4">
        <v>2.9623000000000002E-3</v>
      </c>
      <c r="AG22" s="4">
        <v>2.8977E-3</v>
      </c>
      <c r="AH22" s="4">
        <v>2.8360999999999998E-3</v>
      </c>
      <c r="AI22" s="4">
        <v>2.7772999999999999E-3</v>
      </c>
      <c r="AJ22" s="4">
        <v>2.7211000000000002E-3</v>
      </c>
      <c r="AK22" s="4">
        <v>2.6673000000000001E-3</v>
      </c>
      <c r="AL22" s="4">
        <v>2.6156999999999999E-3</v>
      </c>
      <c r="AM22" s="4">
        <v>2.5661999999999998E-3</v>
      </c>
      <c r="AN22" s="4">
        <v>2.5186000000000002E-3</v>
      </c>
      <c r="AO22" s="4">
        <v>2.4727999999999998E-3</v>
      </c>
      <c r="AP22" s="4">
        <v>2.4285999999999999E-3</v>
      </c>
      <c r="AQ22" s="4">
        <v>2.3860000000000001E-3</v>
      </c>
      <c r="AR22" s="4">
        <v>2.3446999999999999E-3</v>
      </c>
      <c r="AS22" s="4">
        <v>2.3048000000000001E-3</v>
      </c>
      <c r="AT22" s="4">
        <v>2.2661000000000001E-3</v>
      </c>
      <c r="AU22" s="4">
        <v>2.2285999999999999E-3</v>
      </c>
      <c r="AV22" s="4">
        <v>2.1921000000000002E-3</v>
      </c>
      <c r="AW22" s="4">
        <v>2.1565999999999998E-3</v>
      </c>
      <c r="AX22" s="4">
        <v>2.1220000000000002E-3</v>
      </c>
      <c r="AY22" s="4">
        <v>2.0883E-3</v>
      </c>
      <c r="AZ22" s="4">
        <v>2.0555E-3</v>
      </c>
      <c r="BA22" s="4">
        <v>2.0233999999999999E-3</v>
      </c>
      <c r="BB22" s="4">
        <v>1.9921000000000001E-3</v>
      </c>
      <c r="BC22" s="4">
        <v>1.9615000000000001E-3</v>
      </c>
      <c r="BD22" s="4">
        <v>1.9315000000000001E-3</v>
      </c>
      <c r="BE22" s="4">
        <v>1.9021999999999999E-3</v>
      </c>
      <c r="BF22" s="4">
        <v>1.8734999999999999E-3</v>
      </c>
      <c r="BG22" s="4">
        <v>1.8453E-3</v>
      </c>
      <c r="BH22" s="4">
        <v>1.8177E-3</v>
      </c>
      <c r="BI22" s="4">
        <v>1.7907000000000001E-3</v>
      </c>
      <c r="BJ22" s="4">
        <v>1.7642000000000001E-3</v>
      </c>
      <c r="BK22" s="4">
        <v>1.7382000000000001E-3</v>
      </c>
      <c r="BL22" s="4">
        <v>1.7126000000000001E-3</v>
      </c>
      <c r="BM22" s="4">
        <v>1.6875E-3</v>
      </c>
      <c r="BN22" s="4">
        <v>1.6628999999999999E-3</v>
      </c>
      <c r="BO22" s="4">
        <v>1.6387000000000001E-3</v>
      </c>
      <c r="BP22" s="4">
        <v>1.6149000000000001E-3</v>
      </c>
      <c r="BQ22" s="4">
        <v>1.5915E-3</v>
      </c>
      <c r="BR22" s="4">
        <v>1.5685E-3</v>
      </c>
      <c r="BS22" s="4">
        <v>1.5459E-3</v>
      </c>
      <c r="BT22" s="4">
        <v>1.5237E-3</v>
      </c>
      <c r="BU22" s="4">
        <v>1.5018E-3</v>
      </c>
      <c r="BV22" s="4">
        <v>1.4802999999999999E-3</v>
      </c>
      <c r="BW22" s="4">
        <v>1.4591000000000001E-3</v>
      </c>
      <c r="BX22" s="4">
        <v>1.4383E-3</v>
      </c>
      <c r="BY22" s="4">
        <v>1.4178000000000001E-3</v>
      </c>
      <c r="BZ22" s="4">
        <v>1.3977E-3</v>
      </c>
      <c r="CA22" s="4">
        <v>1.3778E-3</v>
      </c>
      <c r="CB22" s="4">
        <v>1.3583E-3</v>
      </c>
      <c r="CC22" s="4">
        <v>1.3391E-3</v>
      </c>
      <c r="CD22" s="4">
        <v>1.3201E-3</v>
      </c>
      <c r="CE22" s="4">
        <v>1.3014999999999999E-3</v>
      </c>
      <c r="CF22" s="4">
        <v>1.2830999999999999E-3</v>
      </c>
      <c r="CG22" s="4">
        <v>1.2650999999999999E-3</v>
      </c>
      <c r="CH22" s="4">
        <v>1.2472E-3</v>
      </c>
      <c r="CI22" s="4">
        <v>1.2297E-3</v>
      </c>
      <c r="CJ22" s="4">
        <v>1.2124E-3</v>
      </c>
      <c r="CK22" s="4">
        <v>1.1954000000000001E-3</v>
      </c>
      <c r="CL22" s="4">
        <v>1.1787E-3</v>
      </c>
      <c r="CM22" s="4">
        <v>1.1622E-3</v>
      </c>
      <c r="CN22" s="4">
        <v>1.1459E-3</v>
      </c>
      <c r="CO22" s="4">
        <v>1.1298E-3</v>
      </c>
      <c r="CP22" s="4">
        <v>1.114E-3</v>
      </c>
      <c r="CQ22" s="4">
        <v>1.0985000000000001E-3</v>
      </c>
      <c r="CR22" s="4">
        <v>1.0831E-3</v>
      </c>
      <c r="CS22" s="4">
        <v>1.0679999999999999E-3</v>
      </c>
      <c r="CT22" s="4">
        <v>1.0531E-3</v>
      </c>
      <c r="CU22" s="4">
        <v>1.0384000000000001E-3</v>
      </c>
      <c r="CV22" s="4">
        <v>1.0238999999999999E-3</v>
      </c>
      <c r="CW22" s="4">
        <v>1.0097000000000001E-3</v>
      </c>
      <c r="CX22" s="4">
        <v>9.9559999999999991E-4</v>
      </c>
      <c r="CY22" s="4">
        <v>9.8170000000000006E-4</v>
      </c>
      <c r="CZ22" s="4">
        <v>9.6809999999999995E-4</v>
      </c>
      <c r="DA22" s="4">
        <v>9.546E-4</v>
      </c>
      <c r="DB22" s="4">
        <v>9.4129999999999995E-4</v>
      </c>
      <c r="DC22" s="4">
        <v>9.2820000000000001E-4</v>
      </c>
      <c r="DD22" s="4">
        <v>9.1529999999999997E-4</v>
      </c>
      <c r="DE22" s="4">
        <v>9.0249999999999998E-4</v>
      </c>
      <c r="DF22" s="4">
        <v>8.8999999999999995E-4</v>
      </c>
      <c r="DG22" s="4">
        <v>8.7759999999999997E-4</v>
      </c>
      <c r="DH22" s="4">
        <v>8.654E-4</v>
      </c>
      <c r="DI22" s="4">
        <v>8.5340000000000004E-4</v>
      </c>
      <c r="DJ22" s="4">
        <v>8.4150000000000002E-4</v>
      </c>
      <c r="DK22" s="4">
        <v>8.298E-4</v>
      </c>
      <c r="DL22" s="4">
        <v>8.1820000000000005E-4</v>
      </c>
      <c r="DM22" s="4">
        <v>8.0690000000000004E-4</v>
      </c>
      <c r="DN22" s="4">
        <v>7.9560000000000004E-4</v>
      </c>
      <c r="DO22" s="4">
        <v>7.8459999999999999E-4</v>
      </c>
      <c r="DP22" s="4">
        <v>7.737E-4</v>
      </c>
      <c r="DQ22" s="4">
        <v>5.4192799999999999E-2</v>
      </c>
      <c r="DR22" s="4">
        <v>0</v>
      </c>
      <c r="DS22" s="4">
        <v>1.4550000000000001E-4</v>
      </c>
      <c r="DT22" s="4">
        <v>2.2680000000000001E-4</v>
      </c>
      <c r="DU22" s="4">
        <v>5.2760000000000003E-4</v>
      </c>
      <c r="DV22" s="4">
        <v>6.9059999999999998E-4</v>
      </c>
      <c r="DW22" s="4">
        <v>6.3750000000000005E-4</v>
      </c>
      <c r="DX22" s="4">
        <v>5.8100000000000003E-4</v>
      </c>
      <c r="DY22" s="4">
        <v>5.2859999999999995E-4</v>
      </c>
      <c r="DZ22" s="4">
        <v>4.6509999999999998E-4</v>
      </c>
      <c r="EA22" s="4">
        <v>4.0870000000000001E-4</v>
      </c>
      <c r="EB22" s="4">
        <v>3.4699999999999998E-4</v>
      </c>
      <c r="EC22" s="4">
        <v>3.079E-4</v>
      </c>
      <c r="ED22" s="4">
        <v>2.7250000000000001E-4</v>
      </c>
      <c r="EE22" s="4">
        <v>2.3039999999999999E-4</v>
      </c>
      <c r="EF22" s="4">
        <v>2.308E-4</v>
      </c>
      <c r="EG22" s="4">
        <v>2.062E-4</v>
      </c>
      <c r="EH22" s="4">
        <v>1.875E-4</v>
      </c>
      <c r="EI22" s="4">
        <v>1.708E-4</v>
      </c>
      <c r="EJ22" s="4">
        <v>1.5650000000000001E-4</v>
      </c>
      <c r="EK22" s="4">
        <v>1.437E-4</v>
      </c>
      <c r="EL22" s="4">
        <v>1.326E-4</v>
      </c>
      <c r="EM22" s="4">
        <v>1.226E-4</v>
      </c>
      <c r="EN22" s="4">
        <v>1.138E-4</v>
      </c>
      <c r="EO22" s="4">
        <v>1.059E-4</v>
      </c>
      <c r="EP22" s="4">
        <v>9.8900000000000005E-5</v>
      </c>
      <c r="EQ22" s="4">
        <v>9.2499999999999999E-5</v>
      </c>
      <c r="ER22" s="4">
        <v>8.6799999999999996E-5</v>
      </c>
      <c r="ES22" s="4">
        <v>8.1699999999999994E-5</v>
      </c>
      <c r="ET22" s="4">
        <v>7.7000000000000001E-5</v>
      </c>
      <c r="EU22" s="4">
        <v>7.2700000000000005E-5</v>
      </c>
      <c r="EV22" s="4">
        <v>6.8800000000000005E-5</v>
      </c>
      <c r="EW22" s="4">
        <v>6.5300000000000002E-5</v>
      </c>
      <c r="EX22" s="4">
        <v>6.2000000000000003E-5</v>
      </c>
      <c r="EY22" s="4">
        <v>5.8999999999999998E-5</v>
      </c>
      <c r="EZ22" s="4">
        <v>5.6199999999999997E-5</v>
      </c>
      <c r="FA22" s="4">
        <v>5.3600000000000002E-5</v>
      </c>
      <c r="FB22" s="4">
        <v>5.1199999999999998E-5</v>
      </c>
      <c r="FC22" s="4">
        <v>4.8999999999999998E-5</v>
      </c>
      <c r="FD22" s="4">
        <v>4.6999999999999997E-5</v>
      </c>
      <c r="FE22" s="4">
        <v>4.5099999999999998E-5</v>
      </c>
      <c r="FF22" s="4">
        <v>4.3300000000000002E-5</v>
      </c>
      <c r="FG22" s="4">
        <v>4.1699999999999997E-5</v>
      </c>
      <c r="FH22" s="4">
        <v>4.0099999999999999E-5</v>
      </c>
      <c r="FI22" s="4">
        <v>3.8699999999999999E-5</v>
      </c>
      <c r="FJ22" s="4">
        <v>3.7400000000000001E-5</v>
      </c>
      <c r="FK22" s="4">
        <v>3.6199999999999999E-5</v>
      </c>
      <c r="FL22" s="4">
        <v>3.4999999999999997E-5</v>
      </c>
      <c r="FM22" s="4">
        <v>3.4E-5</v>
      </c>
      <c r="FN22" s="4">
        <v>3.3000000000000003E-5</v>
      </c>
      <c r="FO22" s="4">
        <v>3.1999999999999999E-5</v>
      </c>
      <c r="FP22" s="4">
        <v>3.1199999999999999E-5</v>
      </c>
      <c r="FQ22" s="4">
        <v>3.04E-5</v>
      </c>
      <c r="FR22" s="4">
        <v>2.9600000000000001E-5</v>
      </c>
      <c r="FS22" s="4">
        <v>2.8900000000000001E-5</v>
      </c>
      <c r="FT22" s="4">
        <v>2.8200000000000001E-5</v>
      </c>
      <c r="FU22" s="4">
        <v>2.76E-5</v>
      </c>
      <c r="FV22" s="4">
        <v>2.6999999999999999E-5</v>
      </c>
      <c r="FW22" s="4">
        <v>2.6400000000000001E-5</v>
      </c>
      <c r="FX22" s="4">
        <v>2.5899999999999999E-5</v>
      </c>
      <c r="FY22" s="4">
        <v>2.5299999999999998E-5</v>
      </c>
      <c r="FZ22" s="4">
        <v>2.4899999999999999E-5</v>
      </c>
      <c r="GA22" s="4">
        <v>2.44E-5</v>
      </c>
      <c r="GB22" s="4">
        <v>2.4000000000000001E-5</v>
      </c>
      <c r="GC22" s="4">
        <v>2.3499999999999999E-5</v>
      </c>
      <c r="GD22" s="4">
        <v>2.3099999999999999E-5</v>
      </c>
      <c r="GE22" s="4">
        <v>2.27E-5</v>
      </c>
      <c r="GF22" s="4">
        <v>2.2399999999999999E-5</v>
      </c>
      <c r="GG22" s="4">
        <v>2.1999999999999999E-5</v>
      </c>
      <c r="GH22" s="4">
        <v>2.1699999999999999E-5</v>
      </c>
      <c r="GI22" s="4">
        <v>2.1299999999999999E-5</v>
      </c>
      <c r="GJ22" s="4">
        <v>2.0999999999999999E-5</v>
      </c>
      <c r="GK22" s="4">
        <v>2.0699999999999998E-5</v>
      </c>
      <c r="GL22" s="4">
        <v>2.0400000000000001E-5</v>
      </c>
      <c r="GM22" s="4">
        <v>2.0100000000000001E-5</v>
      </c>
      <c r="GN22" s="4">
        <v>1.98E-5</v>
      </c>
      <c r="GO22" s="4">
        <v>1.95E-5</v>
      </c>
      <c r="GP22" s="4">
        <v>1.9300000000000002E-5</v>
      </c>
      <c r="GQ22" s="4">
        <v>1.9000000000000001E-5</v>
      </c>
      <c r="GR22" s="4">
        <v>1.8700000000000001E-5</v>
      </c>
      <c r="GS22" s="4">
        <v>1.8499999999999999E-5</v>
      </c>
      <c r="GT22" s="4">
        <v>1.8199999999999999E-5</v>
      </c>
      <c r="GU22" s="4">
        <v>1.8E-5</v>
      </c>
      <c r="GV22" s="4">
        <v>1.77E-5</v>
      </c>
      <c r="GW22" s="4">
        <v>1.7499999999999998E-5</v>
      </c>
      <c r="GX22" s="4">
        <v>1.73E-5</v>
      </c>
      <c r="GY22" s="4">
        <v>1.7099999999999999E-5</v>
      </c>
      <c r="GZ22" s="4">
        <v>1.6799999999999998E-5</v>
      </c>
      <c r="HA22" s="4">
        <v>1.66E-5</v>
      </c>
      <c r="HB22" s="4">
        <v>1.6399999999999999E-5</v>
      </c>
      <c r="HC22" s="4">
        <v>1.6200000000000001E-5</v>
      </c>
      <c r="HD22" s="4">
        <v>1.5999999999999999E-5</v>
      </c>
      <c r="HE22" s="4">
        <v>1.5800000000000001E-5</v>
      </c>
      <c r="HF22" s="4">
        <v>1.56E-5</v>
      </c>
      <c r="HG22" s="4">
        <v>1.5400000000000002E-5</v>
      </c>
      <c r="HH22" s="4">
        <v>1.52E-5</v>
      </c>
      <c r="HI22" s="4">
        <v>1.5E-5</v>
      </c>
      <c r="HJ22" s="4">
        <v>1.4800000000000001E-5</v>
      </c>
      <c r="HK22" s="4">
        <v>1.4600000000000001E-5</v>
      </c>
      <c r="HL22" s="4">
        <v>1.4399999999999999E-5</v>
      </c>
      <c r="HM22" s="4">
        <v>1.42E-5</v>
      </c>
      <c r="HN22" s="4">
        <v>1.4100000000000001E-5</v>
      </c>
      <c r="HO22" s="4">
        <v>1.3900000000000001E-5</v>
      </c>
      <c r="HP22" s="4">
        <v>1.3699999999999999E-5</v>
      </c>
      <c r="HQ22" s="4">
        <v>1.3499999999999999E-5</v>
      </c>
      <c r="HR22" s="4">
        <v>1.34E-5</v>
      </c>
      <c r="HS22" s="4">
        <v>1.3200000000000001E-5</v>
      </c>
      <c r="HT22" s="4">
        <v>1.2999999999999999E-5</v>
      </c>
      <c r="HU22" s="4">
        <v>1.2799999999999999E-5</v>
      </c>
      <c r="HV22" s="4">
        <v>1.27E-5</v>
      </c>
      <c r="HW22" s="4">
        <v>1.2500000000000001E-5</v>
      </c>
      <c r="HX22" s="4">
        <v>1.24E-5</v>
      </c>
      <c r="HY22" s="4">
        <v>1.22E-5</v>
      </c>
      <c r="HZ22" s="4">
        <v>1.2E-5</v>
      </c>
      <c r="IA22" s="4">
        <v>1.19E-5</v>
      </c>
      <c r="IB22" s="4">
        <v>1.17E-5</v>
      </c>
      <c r="IC22" s="4">
        <v>1.1600000000000001E-5</v>
      </c>
      <c r="ID22" s="4">
        <v>1.1399999999999999E-5</v>
      </c>
      <c r="IE22" s="4">
        <v>1.13E-5</v>
      </c>
      <c r="IF22" s="4">
        <v>1.11E-5</v>
      </c>
      <c r="IG22" s="4">
        <v>8.0000000000000004E-4</v>
      </c>
      <c r="IH22" s="4"/>
      <c r="II22" s="4">
        <f t="shared" si="247"/>
        <v>0.11420144108486761</v>
      </c>
      <c r="IL22">
        <f t="shared" si="248"/>
        <v>0.35352706250000043</v>
      </c>
      <c r="IP22" s="4">
        <f t="shared" si="249"/>
        <v>3.9861000000000001E-2</v>
      </c>
      <c r="IQ22" s="4">
        <f t="shared" si="250"/>
        <v>3.1572200000000002E-2</v>
      </c>
      <c r="IR22" s="4">
        <f t="shared" si="251"/>
        <v>2.3194200000000002E-2</v>
      </c>
      <c r="IS22" s="4">
        <f t="shared" si="252"/>
        <v>1.8515799999999999E-2</v>
      </c>
      <c r="IT22" s="4">
        <f t="shared" si="253"/>
        <v>1.6182099999999998E-2</v>
      </c>
      <c r="IU22" s="4">
        <f t="shared" si="254"/>
        <v>5.9679500000000003E-2</v>
      </c>
      <c r="IV22" s="4">
        <f t="shared" si="255"/>
        <v>4.1046800000000008E-2</v>
      </c>
      <c r="IW22" s="4">
        <f t="shared" si="256"/>
        <v>3.0374700000000004E-2</v>
      </c>
      <c r="IX22" s="4">
        <f t="shared" si="257"/>
        <v>9.2756499999999992E-2</v>
      </c>
      <c r="JA22" s="4">
        <f t="shared" si="289"/>
        <v>8.3031999999999967E-3</v>
      </c>
      <c r="JB22" s="4">
        <f t="shared" si="290"/>
        <v>7.3901999999999995E-3</v>
      </c>
      <c r="JC22" s="4">
        <f t="shared" si="260"/>
        <v>4.560100000000001E-3</v>
      </c>
      <c r="JD22" s="4">
        <f t="shared" si="261"/>
        <v>3.1212000000000011E-3</v>
      </c>
      <c r="JE22" s="4">
        <f t="shared" si="262"/>
        <v>2.1925999999999977E-3</v>
      </c>
      <c r="JF22" s="4">
        <f t="shared" si="263"/>
        <v>5.4255000000000275E-3</v>
      </c>
      <c r="JG22" s="4">
        <f t="shared" si="264"/>
        <v>2.4452000000000085E-3</v>
      </c>
      <c r="JH22" s="4">
        <f t="shared" si="265"/>
        <v>1.6447000000000059E-3</v>
      </c>
      <c r="JI22" s="4">
        <f t="shared" si="266"/>
        <v>5.2905999999999787E-3</v>
      </c>
      <c r="JK22">
        <f t="shared" si="284"/>
        <v>2011.25</v>
      </c>
      <c r="JL22">
        <f t="shared" si="267"/>
        <v>20.830385589924983</v>
      </c>
      <c r="JM22">
        <f t="shared" si="268"/>
        <v>23.407301360057264</v>
      </c>
      <c r="JN22">
        <f t="shared" si="269"/>
        <v>19.660518577920346</v>
      </c>
      <c r="JO22">
        <f t="shared" si="270"/>
        <v>16.856954600935424</v>
      </c>
      <c r="JP22">
        <f t="shared" si="271"/>
        <v>13.549539305776122</v>
      </c>
      <c r="JQ22">
        <f t="shared" si="272"/>
        <v>9.091061419750547</v>
      </c>
      <c r="JR22">
        <f t="shared" si="273"/>
        <v>5.9571026243215259</v>
      </c>
      <c r="JS22">
        <f t="shared" si="274"/>
        <v>5.4147036843162422</v>
      </c>
      <c r="JT22">
        <f t="shared" si="275"/>
        <v>5.7037512195910578</v>
      </c>
      <c r="JV22" s="12">
        <f t="shared" si="285"/>
        <v>2011.25</v>
      </c>
      <c r="JW22" s="12">
        <f t="shared" si="286"/>
        <v>0.73793551827136383</v>
      </c>
      <c r="JX22" s="12">
        <f t="shared" si="276"/>
        <v>0.24358748495611948</v>
      </c>
      <c r="JY22" s="12">
        <f t="shared" si="277"/>
        <v>9.5976020423208297E-2</v>
      </c>
      <c r="JZ22" s="12">
        <f t="shared" si="278"/>
        <v>0.77007666677781117</v>
      </c>
      <c r="KA22" s="12">
        <f t="shared" si="279"/>
        <v>0.15321512998392173</v>
      </c>
      <c r="KB22" s="12">
        <f t="shared" si="280"/>
        <v>-0.20033784808302535</v>
      </c>
      <c r="KC22" s="12">
        <f t="shared" si="281"/>
        <v>-0.23822421371906621</v>
      </c>
      <c r="KD22" s="12">
        <f t="shared" si="282"/>
        <v>-0.10382444211803499</v>
      </c>
      <c r="KE22" s="12">
        <f t="shared" si="283"/>
        <v>0.17008737788511397</v>
      </c>
    </row>
    <row r="23" spans="1:291" x14ac:dyDescent="0.35">
      <c r="A23" s="1">
        <v>15</v>
      </c>
      <c r="B23" s="4">
        <v>1.0309199999999999E-2</v>
      </c>
      <c r="C23" s="4">
        <v>1.0309199999999999E-2</v>
      </c>
      <c r="D23" s="4">
        <v>1.0163699999999999E-2</v>
      </c>
      <c r="E23" s="4">
        <v>9.9383000000000006E-3</v>
      </c>
      <c r="F23" s="4">
        <v>9.4106999999999993E-3</v>
      </c>
      <c r="G23" s="4">
        <v>8.7579000000000008E-3</v>
      </c>
      <c r="H23" s="4">
        <v>8.1449999999999995E-3</v>
      </c>
      <c r="I23" s="4">
        <v>7.5770999999999998E-3</v>
      </c>
      <c r="J23" s="4">
        <v>7.0600000000000003E-3</v>
      </c>
      <c r="K23" s="4">
        <v>6.5778E-3</v>
      </c>
      <c r="L23" s="4">
        <v>6.1254999999999999E-3</v>
      </c>
      <c r="M23" s="4">
        <v>5.5734000000000001E-3</v>
      </c>
      <c r="N23" s="4">
        <v>5.2366000000000001E-3</v>
      </c>
      <c r="O23" s="4">
        <v>4.9224999999999998E-3</v>
      </c>
      <c r="P23" s="4">
        <v>4.4678000000000001E-3</v>
      </c>
      <c r="Q23" s="4">
        <v>4.5865999999999997E-3</v>
      </c>
      <c r="R23" s="4">
        <v>4.3797999999999997E-3</v>
      </c>
      <c r="S23" s="4">
        <v>4.2266999999999999E-3</v>
      </c>
      <c r="T23" s="4">
        <v>4.0825000000000002E-3</v>
      </c>
      <c r="U23" s="4">
        <v>3.9512999999999996E-3</v>
      </c>
      <c r="V23" s="4">
        <v>3.8287999999999998E-3</v>
      </c>
      <c r="W23" s="4">
        <v>3.7158E-3</v>
      </c>
      <c r="X23" s="4">
        <v>3.6102E-3</v>
      </c>
      <c r="Y23" s="4">
        <v>3.5111999999999999E-3</v>
      </c>
      <c r="Z23" s="4">
        <v>3.4180999999999999E-3</v>
      </c>
      <c r="AA23" s="4">
        <v>3.3303999999999999E-3</v>
      </c>
      <c r="AB23" s="4">
        <v>3.2475999999999998E-3</v>
      </c>
      <c r="AC23" s="4">
        <v>3.1692999999999999E-3</v>
      </c>
      <c r="AD23" s="4">
        <v>3.0950000000000001E-3</v>
      </c>
      <c r="AE23" s="4">
        <v>3.0244999999999998E-3</v>
      </c>
      <c r="AF23" s="4">
        <v>2.9573999999999998E-3</v>
      </c>
      <c r="AG23" s="4">
        <v>2.8934E-3</v>
      </c>
      <c r="AH23" s="4">
        <v>2.8324000000000001E-3</v>
      </c>
      <c r="AI23" s="4">
        <v>2.7740999999999998E-3</v>
      </c>
      <c r="AJ23" s="4">
        <v>2.7182999999999999E-3</v>
      </c>
      <c r="AK23" s="4">
        <v>2.6649E-3</v>
      </c>
      <c r="AL23" s="4">
        <v>2.6137000000000001E-3</v>
      </c>
      <c r="AM23" s="4">
        <v>2.5644999999999999E-3</v>
      </c>
      <c r="AN23" s="4">
        <v>2.5171999999999998E-3</v>
      </c>
      <c r="AO23" s="4">
        <v>2.4716999999999999E-3</v>
      </c>
      <c r="AP23" s="4">
        <v>2.4277000000000001E-3</v>
      </c>
      <c r="AQ23" s="4">
        <v>2.3852999999999999E-3</v>
      </c>
      <c r="AR23" s="4">
        <v>2.3443000000000001E-3</v>
      </c>
      <c r="AS23" s="4">
        <v>2.3046E-3</v>
      </c>
      <c r="AT23" s="4">
        <v>2.2661000000000001E-3</v>
      </c>
      <c r="AU23" s="4">
        <v>2.2287000000000001E-3</v>
      </c>
      <c r="AV23" s="4">
        <v>2.1924000000000002E-3</v>
      </c>
      <c r="AW23" s="4">
        <v>2.1570999999999999E-3</v>
      </c>
      <c r="AX23" s="4">
        <v>2.1226000000000001E-3</v>
      </c>
      <c r="AY23" s="4">
        <v>2.0891E-3</v>
      </c>
      <c r="AZ23" s="4">
        <v>2.0563000000000001E-3</v>
      </c>
      <c r="BA23" s="4">
        <v>2.0243000000000001E-3</v>
      </c>
      <c r="BB23" s="4">
        <v>1.9930999999999998E-3</v>
      </c>
      <c r="BC23" s="4">
        <v>1.9624999999999998E-3</v>
      </c>
      <c r="BD23" s="4">
        <v>1.9326E-3</v>
      </c>
      <c r="BE23" s="4">
        <v>1.9032999999999999E-3</v>
      </c>
      <c r="BF23" s="4">
        <v>1.8745999999999999E-3</v>
      </c>
      <c r="BG23" s="4">
        <v>1.8465000000000001E-3</v>
      </c>
      <c r="BH23" s="4">
        <v>1.8189E-3</v>
      </c>
      <c r="BI23" s="4">
        <v>1.7918999999999999E-3</v>
      </c>
      <c r="BJ23" s="4">
        <v>1.7654000000000001E-3</v>
      </c>
      <c r="BK23" s="4">
        <v>1.7393E-3</v>
      </c>
      <c r="BL23" s="4">
        <v>1.7137999999999999E-3</v>
      </c>
      <c r="BM23" s="4">
        <v>1.6886E-3</v>
      </c>
      <c r="BN23" s="4">
        <v>1.6639999999999999E-3</v>
      </c>
      <c r="BO23" s="4">
        <v>1.6397E-3</v>
      </c>
      <c r="BP23" s="4">
        <v>1.6159E-3</v>
      </c>
      <c r="BQ23" s="4">
        <v>1.5924999999999999E-3</v>
      </c>
      <c r="BR23" s="4">
        <v>1.5694999999999999E-3</v>
      </c>
      <c r="BS23" s="4">
        <v>1.5468000000000001E-3</v>
      </c>
      <c r="BT23" s="4">
        <v>1.5246000000000001E-3</v>
      </c>
      <c r="BU23" s="4">
        <v>1.5026E-3</v>
      </c>
      <c r="BV23" s="4">
        <v>1.4811E-3</v>
      </c>
      <c r="BW23" s="4">
        <v>1.4599000000000001E-3</v>
      </c>
      <c r="BX23" s="4">
        <v>1.439E-3</v>
      </c>
      <c r="BY23" s="4">
        <v>1.4185000000000001E-3</v>
      </c>
      <c r="BZ23" s="4">
        <v>1.3983000000000001E-3</v>
      </c>
      <c r="CA23" s="4">
        <v>1.3783999999999999E-3</v>
      </c>
      <c r="CB23" s="4">
        <v>1.3588000000000001E-3</v>
      </c>
      <c r="CC23" s="4">
        <v>1.3396E-3</v>
      </c>
      <c r="CD23" s="4">
        <v>1.3205999999999999E-3</v>
      </c>
      <c r="CE23" s="4">
        <v>1.3018999999999999E-3</v>
      </c>
      <c r="CF23" s="4">
        <v>1.2834999999999999E-3</v>
      </c>
      <c r="CG23" s="4">
        <v>1.2654000000000001E-3</v>
      </c>
      <c r="CH23" s="4">
        <v>1.2474999999999999E-3</v>
      </c>
      <c r="CI23" s="4">
        <v>1.23E-3</v>
      </c>
      <c r="CJ23" s="4">
        <v>1.2126999999999999E-3</v>
      </c>
      <c r="CK23" s="4">
        <v>1.1956E-3</v>
      </c>
      <c r="CL23" s="4">
        <v>1.1788E-3</v>
      </c>
      <c r="CM23" s="4">
        <v>1.1623E-3</v>
      </c>
      <c r="CN23" s="4">
        <v>1.1460000000000001E-3</v>
      </c>
      <c r="CO23" s="4">
        <v>1.1299000000000001E-3</v>
      </c>
      <c r="CP23" s="4">
        <v>1.1141E-3</v>
      </c>
      <c r="CQ23" s="4">
        <v>1.0985000000000001E-3</v>
      </c>
      <c r="CR23" s="4">
        <v>1.0831E-3</v>
      </c>
      <c r="CS23" s="4">
        <v>1.0679999999999999E-3</v>
      </c>
      <c r="CT23" s="4">
        <v>1.0529999999999999E-3</v>
      </c>
      <c r="CU23" s="4">
        <v>1.0383E-3</v>
      </c>
      <c r="CV23" s="4">
        <v>1.0238000000000001E-3</v>
      </c>
      <c r="CW23" s="4">
        <v>1.0095E-3</v>
      </c>
      <c r="CX23" s="4">
        <v>9.9540000000000002E-4</v>
      </c>
      <c r="CY23" s="4">
        <v>9.8160000000000001E-4</v>
      </c>
      <c r="CZ23" s="4">
        <v>9.6790000000000005E-4</v>
      </c>
      <c r="DA23" s="4">
        <v>9.544E-4</v>
      </c>
      <c r="DB23" s="4">
        <v>9.4110000000000005E-4</v>
      </c>
      <c r="DC23" s="4">
        <v>9.2789999999999995E-4</v>
      </c>
      <c r="DD23" s="4">
        <v>9.1500000000000001E-4</v>
      </c>
      <c r="DE23" s="4">
        <v>9.0229999999999998E-4</v>
      </c>
      <c r="DF23" s="4">
        <v>8.897E-4</v>
      </c>
      <c r="DG23" s="4">
        <v>8.7730000000000002E-4</v>
      </c>
      <c r="DH23" s="4">
        <v>8.6510000000000005E-4</v>
      </c>
      <c r="DI23" s="4">
        <v>8.5300000000000003E-4</v>
      </c>
      <c r="DJ23" s="4">
        <v>8.4119999999999996E-4</v>
      </c>
      <c r="DK23" s="4">
        <v>8.2950000000000005E-4</v>
      </c>
      <c r="DL23" s="4">
        <v>8.1789999999999999E-4</v>
      </c>
      <c r="DM23" s="4">
        <v>8.0650000000000003E-4</v>
      </c>
      <c r="DN23" s="4">
        <v>7.9529999999999998E-4</v>
      </c>
      <c r="DO23" s="4">
        <v>7.8419999999999998E-4</v>
      </c>
      <c r="DP23" s="4">
        <v>7.7329999999999999E-4</v>
      </c>
      <c r="DQ23" s="4">
        <v>5.4155300000000003E-2</v>
      </c>
      <c r="DR23" s="4">
        <v>0</v>
      </c>
      <c r="DS23" s="4">
        <v>1.4559999999999999E-4</v>
      </c>
      <c r="DT23" s="4">
        <v>2.3800000000000001E-4</v>
      </c>
      <c r="DU23" s="4">
        <v>5.7649999999999997E-4</v>
      </c>
      <c r="DV23" s="4">
        <v>6.7250000000000003E-4</v>
      </c>
      <c r="DW23" s="4">
        <v>6.198E-4</v>
      </c>
      <c r="DX23" s="4">
        <v>5.8040000000000001E-4</v>
      </c>
      <c r="DY23" s="4">
        <v>5.2439999999999995E-4</v>
      </c>
      <c r="DZ23" s="4">
        <v>4.637E-4</v>
      </c>
      <c r="EA23" s="4">
        <v>4.1080000000000001E-4</v>
      </c>
      <c r="EB23" s="4">
        <v>3.6220000000000002E-4</v>
      </c>
      <c r="EC23" s="4">
        <v>3.099E-4</v>
      </c>
      <c r="ED23" s="4">
        <v>2.7629999999999999E-4</v>
      </c>
      <c r="EE23" s="4">
        <v>2.4600000000000002E-4</v>
      </c>
      <c r="EF23" s="4">
        <v>2.0929999999999999E-4</v>
      </c>
      <c r="EG23" s="4">
        <v>2.098E-4</v>
      </c>
      <c r="EH23" s="4">
        <v>1.884E-4</v>
      </c>
      <c r="EI23" s="4">
        <v>1.7200000000000001E-4</v>
      </c>
      <c r="EJ23" s="4">
        <v>1.573E-4</v>
      </c>
      <c r="EK23" s="4">
        <v>1.4449999999999999E-4</v>
      </c>
      <c r="EL23" s="4">
        <v>1.3310000000000001E-4</v>
      </c>
      <c r="EM23" s="4">
        <v>1.2310000000000001E-4</v>
      </c>
      <c r="EN23" s="4">
        <v>1.141E-4</v>
      </c>
      <c r="EO23" s="4">
        <v>1.0620000000000001E-4</v>
      </c>
      <c r="EP23" s="4">
        <v>9.9099999999999996E-5</v>
      </c>
      <c r="EQ23" s="4">
        <v>9.2700000000000004E-5</v>
      </c>
      <c r="ER23" s="4">
        <v>8.7000000000000001E-5</v>
      </c>
      <c r="ES23" s="4">
        <v>8.1899999999999999E-5</v>
      </c>
      <c r="ET23" s="4">
        <v>7.7200000000000006E-5</v>
      </c>
      <c r="EU23" s="4">
        <v>7.2899999999999997E-5</v>
      </c>
      <c r="EV23" s="4">
        <v>6.8999999999999997E-5</v>
      </c>
      <c r="EW23" s="4">
        <v>6.5500000000000006E-5</v>
      </c>
      <c r="EX23" s="4">
        <v>6.2199999999999994E-5</v>
      </c>
      <c r="EY23" s="4">
        <v>5.9200000000000002E-5</v>
      </c>
      <c r="EZ23" s="4">
        <v>5.6400000000000002E-5</v>
      </c>
      <c r="FA23" s="4">
        <v>5.38E-5</v>
      </c>
      <c r="FB23" s="4">
        <v>5.1400000000000003E-5</v>
      </c>
      <c r="FC23" s="4">
        <v>4.9200000000000003E-5</v>
      </c>
      <c r="FD23" s="4">
        <v>4.7200000000000002E-5</v>
      </c>
      <c r="FE23" s="4">
        <v>4.5300000000000003E-5</v>
      </c>
      <c r="FF23" s="4">
        <v>4.35E-5</v>
      </c>
      <c r="FG23" s="4">
        <v>4.1900000000000002E-5</v>
      </c>
      <c r="FH23" s="4">
        <v>4.0399999999999999E-5</v>
      </c>
      <c r="FI23" s="4">
        <v>3.8999999999999999E-5</v>
      </c>
      <c r="FJ23" s="4">
        <v>3.7599999999999999E-5</v>
      </c>
      <c r="FK23" s="4">
        <v>3.6399999999999997E-5</v>
      </c>
      <c r="FL23" s="4">
        <v>3.5299999999999997E-5</v>
      </c>
      <c r="FM23" s="4">
        <v>3.4199999999999998E-5</v>
      </c>
      <c r="FN23" s="4">
        <v>3.3200000000000001E-5</v>
      </c>
      <c r="FO23" s="4">
        <v>3.2299999999999999E-5</v>
      </c>
      <c r="FP23" s="4">
        <v>3.1399999999999998E-5</v>
      </c>
      <c r="FQ23" s="4">
        <v>3.0599999999999998E-5</v>
      </c>
      <c r="FR23" s="4">
        <v>2.9799999999999999E-5</v>
      </c>
      <c r="FS23" s="4">
        <v>2.9099999999999999E-5</v>
      </c>
      <c r="FT23" s="4">
        <v>2.8399999999999999E-5</v>
      </c>
      <c r="FU23" s="4">
        <v>2.7800000000000001E-5</v>
      </c>
      <c r="FV23" s="4">
        <v>2.72E-5</v>
      </c>
      <c r="FW23" s="4">
        <v>2.6599999999999999E-5</v>
      </c>
      <c r="FX23" s="4">
        <v>2.6100000000000001E-5</v>
      </c>
      <c r="FY23" s="4">
        <v>2.5599999999999999E-5</v>
      </c>
      <c r="FZ23" s="4">
        <v>2.51E-5</v>
      </c>
      <c r="GA23" s="4">
        <v>2.4600000000000002E-5</v>
      </c>
      <c r="GB23" s="4">
        <v>2.41E-5</v>
      </c>
      <c r="GC23" s="4">
        <v>2.37E-5</v>
      </c>
      <c r="GD23" s="4">
        <v>2.3300000000000001E-5</v>
      </c>
      <c r="GE23" s="4">
        <v>2.2900000000000001E-5</v>
      </c>
      <c r="GF23" s="4">
        <v>2.2500000000000001E-5</v>
      </c>
      <c r="GG23" s="4">
        <v>2.2200000000000001E-5</v>
      </c>
      <c r="GH23" s="4">
        <v>2.1800000000000001E-5</v>
      </c>
      <c r="GI23" s="4">
        <v>2.1500000000000001E-5</v>
      </c>
      <c r="GJ23" s="4">
        <v>2.1100000000000001E-5</v>
      </c>
      <c r="GK23" s="4">
        <v>2.0800000000000001E-5</v>
      </c>
      <c r="GL23" s="4">
        <v>2.05E-5</v>
      </c>
      <c r="GM23" s="4">
        <v>2.02E-5</v>
      </c>
      <c r="GN23" s="4">
        <v>1.9899999999999999E-5</v>
      </c>
      <c r="GO23" s="4">
        <v>1.9599999999999999E-5</v>
      </c>
      <c r="GP23" s="4">
        <v>1.9400000000000001E-5</v>
      </c>
      <c r="GQ23" s="4">
        <v>1.91E-5</v>
      </c>
      <c r="GR23" s="4">
        <v>1.88E-5</v>
      </c>
      <c r="GS23" s="4">
        <v>1.8600000000000001E-5</v>
      </c>
      <c r="GT23" s="4">
        <v>1.8300000000000001E-5</v>
      </c>
      <c r="GU23" s="4">
        <v>1.8099999999999999E-5</v>
      </c>
      <c r="GV23" s="4">
        <v>1.7799999999999999E-5</v>
      </c>
      <c r="GW23" s="4">
        <v>1.7600000000000001E-5</v>
      </c>
      <c r="GX23" s="4">
        <v>1.73E-5</v>
      </c>
      <c r="GY23" s="4">
        <v>1.7099999999999999E-5</v>
      </c>
      <c r="GZ23" s="4">
        <v>1.6900000000000001E-5</v>
      </c>
      <c r="HA23" s="4">
        <v>1.6699999999999999E-5</v>
      </c>
      <c r="HB23" s="4">
        <v>1.6500000000000001E-5</v>
      </c>
      <c r="HC23" s="4">
        <v>1.6200000000000001E-5</v>
      </c>
      <c r="HD23" s="4">
        <v>1.5999999999999999E-5</v>
      </c>
      <c r="HE23" s="4">
        <v>1.5800000000000001E-5</v>
      </c>
      <c r="HF23" s="4">
        <v>1.56E-5</v>
      </c>
      <c r="HG23" s="4">
        <v>1.5400000000000002E-5</v>
      </c>
      <c r="HH23" s="4">
        <v>1.52E-5</v>
      </c>
      <c r="HI23" s="4">
        <v>1.5E-5</v>
      </c>
      <c r="HJ23" s="4">
        <v>1.4800000000000001E-5</v>
      </c>
      <c r="HK23" s="4">
        <v>1.4600000000000001E-5</v>
      </c>
      <c r="HL23" s="4">
        <v>1.4399999999999999E-5</v>
      </c>
      <c r="HM23" s="4">
        <v>1.43E-5</v>
      </c>
      <c r="HN23" s="4">
        <v>1.4100000000000001E-5</v>
      </c>
      <c r="HO23" s="4">
        <v>1.3900000000000001E-5</v>
      </c>
      <c r="HP23" s="4">
        <v>1.3699999999999999E-5</v>
      </c>
      <c r="HQ23" s="4">
        <v>1.3499999999999999E-5</v>
      </c>
      <c r="HR23" s="4">
        <v>1.34E-5</v>
      </c>
      <c r="HS23" s="4">
        <v>1.3200000000000001E-5</v>
      </c>
      <c r="HT23" s="4">
        <v>1.2999999999999999E-5</v>
      </c>
      <c r="HU23" s="4">
        <v>1.29E-5</v>
      </c>
      <c r="HV23" s="4">
        <v>1.27E-5</v>
      </c>
      <c r="HW23" s="4">
        <v>1.2500000000000001E-5</v>
      </c>
      <c r="HX23" s="4">
        <v>1.24E-5</v>
      </c>
      <c r="HY23" s="4">
        <v>1.22E-5</v>
      </c>
      <c r="HZ23" s="4">
        <v>1.2099999999999999E-5</v>
      </c>
      <c r="IA23" s="4">
        <v>1.19E-5</v>
      </c>
      <c r="IB23" s="4">
        <v>1.17E-5</v>
      </c>
      <c r="IC23" s="4">
        <v>1.1600000000000001E-5</v>
      </c>
      <c r="ID23" s="4">
        <v>1.1399999999999999E-5</v>
      </c>
      <c r="IE23" s="4">
        <v>1.13E-5</v>
      </c>
      <c r="IF23" s="4">
        <v>1.1199999999999999E-5</v>
      </c>
      <c r="IG23" s="4">
        <v>8.0389999999999997E-4</v>
      </c>
      <c r="IH23" s="4"/>
      <c r="II23" s="4">
        <f t="shared" si="247"/>
        <v>0.11417095096359166</v>
      </c>
      <c r="IL23">
        <f t="shared" si="248"/>
        <v>0.35339812499999979</v>
      </c>
      <c r="IP23" s="4">
        <f t="shared" si="249"/>
        <v>3.98219E-2</v>
      </c>
      <c r="IQ23" s="4">
        <f t="shared" si="250"/>
        <v>3.1539999999999999E-2</v>
      </c>
      <c r="IR23" s="4">
        <f t="shared" si="251"/>
        <v>2.3513300000000001E-2</v>
      </c>
      <c r="IS23" s="4">
        <f t="shared" si="252"/>
        <v>1.83567E-2</v>
      </c>
      <c r="IT23" s="4">
        <f t="shared" si="253"/>
        <v>1.6089299999999997E-2</v>
      </c>
      <c r="IU23" s="4">
        <f t="shared" si="254"/>
        <v>5.9557399999999983E-2</v>
      </c>
      <c r="IV23" s="4">
        <f t="shared" si="255"/>
        <v>4.1059599999999995E-2</v>
      </c>
      <c r="IW23" s="4">
        <f t="shared" si="256"/>
        <v>3.0391499999999995E-2</v>
      </c>
      <c r="IX23" s="4">
        <f t="shared" si="257"/>
        <v>9.2715799999999987E-2</v>
      </c>
      <c r="JA23" s="4">
        <f t="shared" si="289"/>
        <v>8.3345999999999906E-3</v>
      </c>
      <c r="JB23" s="4">
        <f t="shared" si="290"/>
        <v>7.4432999999999964E-3</v>
      </c>
      <c r="JC23" s="4">
        <f t="shared" si="260"/>
        <v>4.5033000000000017E-3</v>
      </c>
      <c r="JD23" s="4">
        <f t="shared" si="261"/>
        <v>3.0969000000000031E-3</v>
      </c>
      <c r="JE23" s="4">
        <f t="shared" si="262"/>
        <v>2.1787999999999981E-3</v>
      </c>
      <c r="JF23" s="4">
        <f t="shared" si="263"/>
        <v>5.4135999999999906E-3</v>
      </c>
      <c r="JG23" s="4">
        <f t="shared" si="264"/>
        <v>2.4493000000000154E-3</v>
      </c>
      <c r="JH23" s="4">
        <f t="shared" si="265"/>
        <v>1.6481999999999955E-3</v>
      </c>
      <c r="JI23" s="4">
        <f t="shared" si="266"/>
        <v>5.2798000000000012E-3</v>
      </c>
      <c r="JK23">
        <f t="shared" si="284"/>
        <v>2011.5</v>
      </c>
      <c r="JL23">
        <f t="shared" si="267"/>
        <v>20.929689442241557</v>
      </c>
      <c r="JM23">
        <f t="shared" si="268"/>
        <v>23.599556119213684</v>
      </c>
      <c r="JN23">
        <f t="shared" si="269"/>
        <v>19.152139427472967</v>
      </c>
      <c r="JO23">
        <f t="shared" si="270"/>
        <v>16.870679370475102</v>
      </c>
      <c r="JP23">
        <f t="shared" si="271"/>
        <v>13.541919163667769</v>
      </c>
      <c r="JQ23">
        <f t="shared" si="272"/>
        <v>9.0897184900616761</v>
      </c>
      <c r="JR23">
        <f t="shared" si="273"/>
        <v>5.9652310300149436</v>
      </c>
      <c r="JS23">
        <f t="shared" si="274"/>
        <v>5.4232268890972666</v>
      </c>
      <c r="JT23">
        <f t="shared" si="275"/>
        <v>5.6946065287685617</v>
      </c>
      <c r="JV23" s="12">
        <f t="shared" si="285"/>
        <v>2011.5</v>
      </c>
      <c r="JW23" s="12">
        <f>JL23-JL$8</f>
        <v>0.83723937058793751</v>
      </c>
      <c r="JX23" s="12">
        <f t="shared" si="276"/>
        <v>0.43584224411253913</v>
      </c>
      <c r="JY23" s="12">
        <f t="shared" si="277"/>
        <v>-0.41240313002417039</v>
      </c>
      <c r="JZ23" s="12">
        <f t="shared" si="278"/>
        <v>0.78380143631748922</v>
      </c>
      <c r="KA23" s="12">
        <f t="shared" si="279"/>
        <v>0.1455949878755689</v>
      </c>
      <c r="KB23" s="12">
        <f t="shared" si="280"/>
        <v>-0.2016807777718963</v>
      </c>
      <c r="KC23" s="12">
        <f t="shared" si="281"/>
        <v>-0.23009580802564855</v>
      </c>
      <c r="KD23" s="12">
        <f t="shared" si="282"/>
        <v>-9.5301237337010569E-2</v>
      </c>
      <c r="KE23" s="12">
        <f t="shared" si="283"/>
        <v>0.16094268706261783</v>
      </c>
    </row>
    <row r="24" spans="1:291" x14ac:dyDescent="0.35">
      <c r="A24" s="1">
        <v>16</v>
      </c>
      <c r="B24" s="4">
        <v>1.0309199999999999E-2</v>
      </c>
      <c r="C24" s="4">
        <v>1.0309199999999999E-2</v>
      </c>
      <c r="D24" s="4">
        <v>1.01636E-2</v>
      </c>
      <c r="E24" s="4">
        <v>9.9257000000000008E-3</v>
      </c>
      <c r="F24" s="4">
        <v>9.3618E-3</v>
      </c>
      <c r="G24" s="4">
        <v>8.7381999999999998E-3</v>
      </c>
      <c r="H24" s="4">
        <v>8.1381000000000005E-3</v>
      </c>
      <c r="I24" s="4">
        <v>7.5646000000000003E-3</v>
      </c>
      <c r="J24" s="4">
        <v>7.0527000000000003E-3</v>
      </c>
      <c r="K24" s="4">
        <v>6.5963000000000003E-3</v>
      </c>
      <c r="L24" s="4">
        <v>6.1669999999999997E-3</v>
      </c>
      <c r="M24" s="4">
        <v>5.7632999999999998E-3</v>
      </c>
      <c r="N24" s="4">
        <v>5.2634999999999999E-3</v>
      </c>
      <c r="O24" s="4">
        <v>4.9603E-3</v>
      </c>
      <c r="P24" s="4">
        <v>4.6765000000000001E-3</v>
      </c>
      <c r="Q24" s="4">
        <v>4.2585000000000001E-3</v>
      </c>
      <c r="R24" s="4">
        <v>4.3768000000000001E-3</v>
      </c>
      <c r="S24" s="4">
        <v>4.1913999999999996E-3</v>
      </c>
      <c r="T24" s="4">
        <v>4.0546999999999996E-3</v>
      </c>
      <c r="U24" s="4">
        <v>3.9252000000000002E-3</v>
      </c>
      <c r="V24" s="4">
        <v>3.8067999999999999E-3</v>
      </c>
      <c r="W24" s="4">
        <v>3.6957000000000001E-3</v>
      </c>
      <c r="X24" s="4">
        <v>3.5928000000000002E-3</v>
      </c>
      <c r="Y24" s="4">
        <v>3.4960999999999998E-3</v>
      </c>
      <c r="Z24" s="4">
        <v>3.405E-3</v>
      </c>
      <c r="AA24" s="4">
        <v>3.3189999999999999E-3</v>
      </c>
      <c r="AB24" s="4">
        <v>3.2377E-3</v>
      </c>
      <c r="AC24" s="4">
        <v>3.1606E-3</v>
      </c>
      <c r="AD24" s="4">
        <v>3.0874000000000001E-3</v>
      </c>
      <c r="AE24" s="4">
        <v>3.0178000000000002E-3</v>
      </c>
      <c r="AF24" s="4">
        <v>2.9516E-3</v>
      </c>
      <c r="AG24" s="4">
        <v>2.8882999999999999E-3</v>
      </c>
      <c r="AH24" s="4">
        <v>2.8278999999999999E-3</v>
      </c>
      <c r="AI24" s="4">
        <v>2.7702E-3</v>
      </c>
      <c r="AJ24" s="4">
        <v>2.7149000000000001E-3</v>
      </c>
      <c r="AK24" s="4">
        <v>2.6619E-3</v>
      </c>
      <c r="AL24" s="4">
        <v>2.6110999999999999E-3</v>
      </c>
      <c r="AM24" s="4">
        <v>2.5623E-3</v>
      </c>
      <c r="AN24" s="4">
        <v>2.5152999999999998E-3</v>
      </c>
      <c r="AO24" s="4">
        <v>2.47E-3</v>
      </c>
      <c r="AP24" s="4">
        <v>2.4264E-3</v>
      </c>
      <c r="AQ24" s="4">
        <v>2.3841999999999999E-3</v>
      </c>
      <c r="AR24" s="4">
        <v>2.3433999999999998E-3</v>
      </c>
      <c r="AS24" s="4">
        <v>2.3040000000000001E-3</v>
      </c>
      <c r="AT24" s="4">
        <v>2.2656999999999998E-3</v>
      </c>
      <c r="AU24" s="4">
        <v>2.2285E-3</v>
      </c>
      <c r="AV24" s="4">
        <v>2.1922999999999999E-3</v>
      </c>
      <c r="AW24" s="4">
        <v>2.1570999999999999E-3</v>
      </c>
      <c r="AX24" s="4">
        <v>2.1228000000000002E-3</v>
      </c>
      <c r="AY24" s="4">
        <v>2.0893999999999999E-3</v>
      </c>
      <c r="AZ24" s="4">
        <v>2.0568000000000001E-3</v>
      </c>
      <c r="BA24" s="4">
        <v>2.0249000000000001E-3</v>
      </c>
      <c r="BB24" s="4">
        <v>1.9937000000000002E-3</v>
      </c>
      <c r="BC24" s="4">
        <v>1.9632E-3</v>
      </c>
      <c r="BD24" s="4">
        <v>1.9334E-3</v>
      </c>
      <c r="BE24" s="4">
        <v>1.9040999999999999E-3</v>
      </c>
      <c r="BF24" s="4">
        <v>1.8755E-3</v>
      </c>
      <c r="BG24" s="4">
        <v>1.8473999999999999E-3</v>
      </c>
      <c r="BH24" s="4">
        <v>1.8198999999999999E-3</v>
      </c>
      <c r="BI24" s="4">
        <v>1.7929E-3</v>
      </c>
      <c r="BJ24" s="4">
        <v>1.7662999999999999E-3</v>
      </c>
      <c r="BK24" s="4">
        <v>1.7403E-3</v>
      </c>
      <c r="BL24" s="4">
        <v>1.7147E-3</v>
      </c>
      <c r="BM24" s="4">
        <v>1.6896000000000001E-3</v>
      </c>
      <c r="BN24" s="4">
        <v>1.6649E-3</v>
      </c>
      <c r="BO24" s="4">
        <v>1.6406999999999999E-3</v>
      </c>
      <c r="BP24" s="4">
        <v>1.6168000000000001E-3</v>
      </c>
      <c r="BQ24" s="4">
        <v>1.5934E-3</v>
      </c>
      <c r="BR24" s="4">
        <v>1.5703E-3</v>
      </c>
      <c r="BS24" s="4">
        <v>1.5476000000000001E-3</v>
      </c>
      <c r="BT24" s="4">
        <v>1.5253E-3</v>
      </c>
      <c r="BU24" s="4">
        <v>1.5034E-3</v>
      </c>
      <c r="BV24" s="4">
        <v>1.4817999999999999E-3</v>
      </c>
      <c r="BW24" s="4">
        <v>1.4606E-3</v>
      </c>
      <c r="BX24" s="4">
        <v>1.4396999999999999E-3</v>
      </c>
      <c r="BY24" s="4">
        <v>1.4191E-3</v>
      </c>
      <c r="BZ24" s="4">
        <v>1.3989E-3</v>
      </c>
      <c r="CA24" s="4">
        <v>1.3789E-3</v>
      </c>
      <c r="CB24" s="4">
        <v>1.3592999999999999E-3</v>
      </c>
      <c r="CC24" s="4">
        <v>1.34E-3</v>
      </c>
      <c r="CD24" s="4">
        <v>1.3209999999999999E-3</v>
      </c>
      <c r="CE24" s="4">
        <v>1.3022999999999999E-3</v>
      </c>
      <c r="CF24" s="4">
        <v>1.2838000000000001E-3</v>
      </c>
      <c r="CG24" s="4">
        <v>1.2657E-3</v>
      </c>
      <c r="CH24" s="4">
        <v>1.2478000000000001E-3</v>
      </c>
      <c r="CI24" s="4">
        <v>1.2302000000000001E-3</v>
      </c>
      <c r="CJ24" s="4">
        <v>1.2128E-3</v>
      </c>
      <c r="CK24" s="4">
        <v>1.1957999999999999E-3</v>
      </c>
      <c r="CL24" s="4">
        <v>1.1789000000000001E-3</v>
      </c>
      <c r="CM24" s="4">
        <v>1.1624000000000001E-3</v>
      </c>
      <c r="CN24" s="4">
        <v>1.1460000000000001E-3</v>
      </c>
      <c r="CO24" s="4">
        <v>1.1299000000000001E-3</v>
      </c>
      <c r="CP24" s="4">
        <v>1.1141E-3</v>
      </c>
      <c r="CQ24" s="4">
        <v>1.0985000000000001E-3</v>
      </c>
      <c r="CR24" s="4">
        <v>1.0831E-3</v>
      </c>
      <c r="CS24" s="4">
        <v>1.0679000000000001E-3</v>
      </c>
      <c r="CT24" s="4">
        <v>1.0529000000000001E-3</v>
      </c>
      <c r="CU24" s="4">
        <v>1.0382E-3</v>
      </c>
      <c r="CV24" s="4">
        <v>1.0237E-3</v>
      </c>
      <c r="CW24" s="4">
        <v>1.0093999999999999E-3</v>
      </c>
      <c r="CX24" s="4">
        <v>9.9529999999999996E-4</v>
      </c>
      <c r="CY24" s="4">
        <v>9.8139999999999989E-4</v>
      </c>
      <c r="CZ24" s="4">
        <v>9.6770000000000005E-4</v>
      </c>
      <c r="DA24" s="4">
        <v>9.5410000000000004E-4</v>
      </c>
      <c r="DB24" s="4">
        <v>9.4079999999999999E-4</v>
      </c>
      <c r="DC24" s="4">
        <v>9.2770000000000005E-4</v>
      </c>
      <c r="DD24" s="4">
        <v>9.1469999999999995E-4</v>
      </c>
      <c r="DE24" s="4">
        <v>9.0200000000000002E-4</v>
      </c>
      <c r="DF24" s="4">
        <v>8.8940000000000004E-4</v>
      </c>
      <c r="DG24" s="4">
        <v>8.7699999999999996E-4</v>
      </c>
      <c r="DH24" s="4">
        <v>8.6479999999999999E-4</v>
      </c>
      <c r="DI24" s="4">
        <v>8.5269999999999996E-4</v>
      </c>
      <c r="DJ24" s="4">
        <v>8.4079999999999995E-4</v>
      </c>
      <c r="DK24" s="4">
        <v>8.2910000000000004E-4</v>
      </c>
      <c r="DL24" s="4">
        <v>8.1760000000000003E-4</v>
      </c>
      <c r="DM24" s="4">
        <v>8.0619999999999997E-4</v>
      </c>
      <c r="DN24" s="4">
        <v>7.9489999999999997E-4</v>
      </c>
      <c r="DO24" s="4">
        <v>7.8379999999999997E-4</v>
      </c>
      <c r="DP24" s="4">
        <v>7.7289999999999998E-4</v>
      </c>
      <c r="DQ24" s="4">
        <v>5.4113599999999998E-2</v>
      </c>
      <c r="DR24" s="4">
        <v>0</v>
      </c>
      <c r="DS24" s="4">
        <v>1.4650000000000001E-4</v>
      </c>
      <c r="DT24" s="4">
        <v>2.1029999999999999E-4</v>
      </c>
      <c r="DU24" s="4">
        <v>5.0969999999999998E-4</v>
      </c>
      <c r="DV24" s="4">
        <v>6.0019999999999995E-4</v>
      </c>
      <c r="DW24" s="4">
        <v>5.8509999999999996E-4</v>
      </c>
      <c r="DX24" s="4">
        <v>5.5710000000000004E-4</v>
      </c>
      <c r="DY24" s="4">
        <v>5.0040000000000002E-4</v>
      </c>
      <c r="DZ24" s="4">
        <v>4.438E-4</v>
      </c>
      <c r="EA24" s="4">
        <v>3.9560000000000002E-4</v>
      </c>
      <c r="EB24" s="4">
        <v>3.5E-4</v>
      </c>
      <c r="EC24" s="4">
        <v>3.099E-4</v>
      </c>
      <c r="ED24" s="4">
        <v>2.6650000000000003E-4</v>
      </c>
      <c r="EE24" s="4">
        <v>2.3890000000000001E-4</v>
      </c>
      <c r="EF24" s="4">
        <v>2.14E-4</v>
      </c>
      <c r="EG24" s="4">
        <v>1.8349999999999999E-4</v>
      </c>
      <c r="EH24" s="4">
        <v>1.8440000000000001E-4</v>
      </c>
      <c r="EI24" s="4">
        <v>1.6699999999999999E-4</v>
      </c>
      <c r="EJ24" s="4">
        <v>1.5359999999999999E-4</v>
      </c>
      <c r="EK24" s="4">
        <v>1.4139999999999999E-4</v>
      </c>
      <c r="EL24" s="4">
        <v>1.3070000000000001E-4</v>
      </c>
      <c r="EM24" s="4">
        <v>1.211E-4</v>
      </c>
      <c r="EN24" s="4">
        <v>1.126E-4</v>
      </c>
      <c r="EO24" s="4">
        <v>1.05E-4</v>
      </c>
      <c r="EP24" s="4">
        <v>9.8200000000000002E-5</v>
      </c>
      <c r="EQ24" s="4">
        <v>9.2100000000000003E-5</v>
      </c>
      <c r="ER24" s="4">
        <v>8.6500000000000002E-5</v>
      </c>
      <c r="ES24" s="4">
        <v>8.1600000000000005E-5</v>
      </c>
      <c r="ET24" s="4">
        <v>7.7000000000000001E-5</v>
      </c>
      <c r="EU24" s="4">
        <v>7.2899999999999997E-5</v>
      </c>
      <c r="EV24" s="4">
        <v>6.9099999999999999E-5</v>
      </c>
      <c r="EW24" s="4">
        <v>6.5599999999999995E-5</v>
      </c>
      <c r="EX24" s="4">
        <v>6.2399999999999999E-5</v>
      </c>
      <c r="EY24" s="4">
        <v>5.9500000000000003E-5</v>
      </c>
      <c r="EZ24" s="4">
        <v>5.6700000000000003E-5</v>
      </c>
      <c r="FA24" s="4">
        <v>5.4200000000000003E-5</v>
      </c>
      <c r="FB24" s="4">
        <v>5.1900000000000001E-5</v>
      </c>
      <c r="FC24" s="4">
        <v>4.9700000000000002E-5</v>
      </c>
      <c r="FD24" s="4">
        <v>4.7700000000000001E-5</v>
      </c>
      <c r="FE24" s="4">
        <v>4.5800000000000002E-5</v>
      </c>
      <c r="FF24" s="4">
        <v>4.3999999999999999E-5</v>
      </c>
      <c r="FG24" s="4">
        <v>4.2400000000000001E-5</v>
      </c>
      <c r="FH24" s="4">
        <v>4.0899999999999998E-5</v>
      </c>
      <c r="FI24" s="4">
        <v>3.9499999999999998E-5</v>
      </c>
      <c r="FJ24" s="4">
        <v>3.82E-5</v>
      </c>
      <c r="FK24" s="4">
        <v>3.6900000000000002E-5</v>
      </c>
      <c r="FL24" s="4">
        <v>3.5800000000000003E-5</v>
      </c>
      <c r="FM24" s="4">
        <v>3.4700000000000003E-5</v>
      </c>
      <c r="FN24" s="4">
        <v>3.3699999999999999E-5</v>
      </c>
      <c r="FO24" s="4">
        <v>3.2700000000000002E-5</v>
      </c>
      <c r="FP24" s="4">
        <v>3.1900000000000003E-5</v>
      </c>
      <c r="FQ24" s="4">
        <v>3.1000000000000001E-5</v>
      </c>
      <c r="FR24" s="4">
        <v>3.0199999999999999E-5</v>
      </c>
      <c r="FS24" s="4">
        <v>2.9499999999999999E-5</v>
      </c>
      <c r="FT24" s="4">
        <v>2.8799999999999999E-5</v>
      </c>
      <c r="FU24" s="4">
        <v>2.8099999999999999E-5</v>
      </c>
      <c r="FV24" s="4">
        <v>2.7500000000000001E-5</v>
      </c>
      <c r="FW24" s="4">
        <v>2.69E-5</v>
      </c>
      <c r="FX24" s="4">
        <v>2.6400000000000001E-5</v>
      </c>
      <c r="FY24" s="4">
        <v>2.58E-5</v>
      </c>
      <c r="FZ24" s="4">
        <v>2.5299999999999998E-5</v>
      </c>
      <c r="GA24" s="4">
        <v>2.48E-5</v>
      </c>
      <c r="GB24" s="4">
        <v>2.44E-5</v>
      </c>
      <c r="GC24" s="4">
        <v>2.3900000000000002E-5</v>
      </c>
      <c r="GD24" s="4">
        <v>2.3499999999999999E-5</v>
      </c>
      <c r="GE24" s="4">
        <v>2.3099999999999999E-5</v>
      </c>
      <c r="GF24" s="4">
        <v>2.27E-5</v>
      </c>
      <c r="GG24" s="4">
        <v>2.23E-5</v>
      </c>
      <c r="GH24" s="4">
        <v>2.1999999999999999E-5</v>
      </c>
      <c r="GI24" s="4">
        <v>2.16E-5</v>
      </c>
      <c r="GJ24" s="4">
        <v>2.1299999999999999E-5</v>
      </c>
      <c r="GK24" s="4">
        <v>2.09E-5</v>
      </c>
      <c r="GL24" s="4">
        <v>2.0599999999999999E-5</v>
      </c>
      <c r="GM24" s="4">
        <v>2.0299999999999999E-5</v>
      </c>
      <c r="GN24" s="4">
        <v>2.0000000000000002E-5</v>
      </c>
      <c r="GO24" s="4">
        <v>1.9700000000000001E-5</v>
      </c>
      <c r="GP24" s="4">
        <v>1.9400000000000001E-5</v>
      </c>
      <c r="GQ24" s="4">
        <v>1.91E-5</v>
      </c>
      <c r="GR24" s="4">
        <v>1.8899999999999999E-5</v>
      </c>
      <c r="GS24" s="4">
        <v>1.8600000000000001E-5</v>
      </c>
      <c r="GT24" s="4">
        <v>1.8300000000000001E-5</v>
      </c>
      <c r="GU24" s="4">
        <v>1.8099999999999999E-5</v>
      </c>
      <c r="GV24" s="4">
        <v>1.7799999999999999E-5</v>
      </c>
      <c r="GW24" s="4">
        <v>1.7600000000000001E-5</v>
      </c>
      <c r="GX24" s="4">
        <v>1.7399999999999999E-5</v>
      </c>
      <c r="GY24" s="4">
        <v>1.7099999999999999E-5</v>
      </c>
      <c r="GZ24" s="4">
        <v>1.6900000000000001E-5</v>
      </c>
      <c r="HA24" s="4">
        <v>1.6699999999999999E-5</v>
      </c>
      <c r="HB24" s="4">
        <v>1.6399999999999999E-5</v>
      </c>
      <c r="HC24" s="4">
        <v>1.6200000000000001E-5</v>
      </c>
      <c r="HD24" s="4">
        <v>1.5999999999999999E-5</v>
      </c>
      <c r="HE24" s="4">
        <v>1.5800000000000001E-5</v>
      </c>
      <c r="HF24" s="4">
        <v>1.56E-5</v>
      </c>
      <c r="HG24" s="4">
        <v>1.5400000000000002E-5</v>
      </c>
      <c r="HH24" s="4">
        <v>1.52E-5</v>
      </c>
      <c r="HI24" s="4">
        <v>1.5E-5</v>
      </c>
      <c r="HJ24" s="4">
        <v>1.4800000000000001E-5</v>
      </c>
      <c r="HK24" s="4">
        <v>1.4600000000000001E-5</v>
      </c>
      <c r="HL24" s="4">
        <v>1.4399999999999999E-5</v>
      </c>
      <c r="HM24" s="4">
        <v>1.42E-5</v>
      </c>
      <c r="HN24" s="4">
        <v>1.4E-5</v>
      </c>
      <c r="HO24" s="4">
        <v>1.38E-5</v>
      </c>
      <c r="HP24" s="4">
        <v>1.3699999999999999E-5</v>
      </c>
      <c r="HQ24" s="4">
        <v>1.3499999999999999E-5</v>
      </c>
      <c r="HR24" s="4">
        <v>1.33E-5</v>
      </c>
      <c r="HS24" s="4">
        <v>1.31E-5</v>
      </c>
      <c r="HT24" s="4">
        <v>1.2999999999999999E-5</v>
      </c>
      <c r="HU24" s="4">
        <v>1.2799999999999999E-5</v>
      </c>
      <c r="HV24" s="4">
        <v>1.26E-5</v>
      </c>
      <c r="HW24" s="4">
        <v>1.2500000000000001E-5</v>
      </c>
      <c r="HX24" s="4">
        <v>1.2300000000000001E-5</v>
      </c>
      <c r="HY24" s="4">
        <v>1.2099999999999999E-5</v>
      </c>
      <c r="HZ24" s="4">
        <v>1.2E-5</v>
      </c>
      <c r="IA24" s="4">
        <v>1.1800000000000001E-5</v>
      </c>
      <c r="IB24" s="4">
        <v>1.17E-5</v>
      </c>
      <c r="IC24" s="4">
        <v>1.15E-5</v>
      </c>
      <c r="ID24" s="4">
        <v>1.1399999999999999E-5</v>
      </c>
      <c r="IE24" s="4">
        <v>1.1199999999999999E-5</v>
      </c>
      <c r="IF24" s="4">
        <v>1.11E-5</v>
      </c>
      <c r="IG24" s="4">
        <v>7.9029999999999997E-4</v>
      </c>
      <c r="IH24" s="4"/>
      <c r="II24" s="4">
        <f t="shared" si="247"/>
        <v>0.11382586453471293</v>
      </c>
      <c r="IL24">
        <f t="shared" si="248"/>
        <v>0.35327998749999967</v>
      </c>
      <c r="IP24" s="4">
        <f t="shared" si="249"/>
        <v>3.9760299999999998E-2</v>
      </c>
      <c r="IQ24" s="4">
        <f t="shared" si="250"/>
        <v>3.1493600000000004E-2</v>
      </c>
      <c r="IR24" s="4">
        <f t="shared" si="251"/>
        <v>2.3790100000000002E-2</v>
      </c>
      <c r="IS24" s="4">
        <f t="shared" si="252"/>
        <v>1.8272099999999999E-2</v>
      </c>
      <c r="IT24" s="4">
        <f t="shared" si="253"/>
        <v>1.5978099999999999E-2</v>
      </c>
      <c r="IU24" s="4">
        <f t="shared" si="254"/>
        <v>5.9412E-2</v>
      </c>
      <c r="IV24" s="4">
        <f t="shared" si="255"/>
        <v>4.1065499999999998E-2</v>
      </c>
      <c r="IW24" s="4">
        <f t="shared" si="256"/>
        <v>3.0406299999999994E-2</v>
      </c>
      <c r="IX24" s="4">
        <f t="shared" si="257"/>
        <v>9.2669899999999999E-2</v>
      </c>
      <c r="JA24" s="4">
        <f t="shared" si="289"/>
        <v>8.279600000000005E-3</v>
      </c>
      <c r="JB24" s="4">
        <f t="shared" si="290"/>
        <v>7.4745999999999944E-3</v>
      </c>
      <c r="JC24" s="4">
        <f t="shared" si="260"/>
        <v>4.4396000000000019E-3</v>
      </c>
      <c r="JD24" s="4">
        <f t="shared" si="261"/>
        <v>3.0786000000000008E-3</v>
      </c>
      <c r="JE24" s="4">
        <f t="shared" si="262"/>
        <v>2.1632000000000005E-3</v>
      </c>
      <c r="JF24" s="4">
        <f t="shared" si="263"/>
        <v>5.40100000000001E-3</v>
      </c>
      <c r="JG24" s="4">
        <f t="shared" si="264"/>
        <v>2.4575000000000014E-3</v>
      </c>
      <c r="JH24" s="4">
        <f t="shared" si="265"/>
        <v>1.6523000000000058E-3</v>
      </c>
      <c r="JI24" s="4">
        <f t="shared" si="266"/>
        <v>5.2660000000000068E-3</v>
      </c>
      <c r="JK24">
        <f t="shared" si="284"/>
        <v>2011.75</v>
      </c>
      <c r="JL24">
        <f t="shared" ref="JL24:JL27" si="291">100*JA24/IP24</f>
        <v>20.823786540846033</v>
      </c>
      <c r="JM24">
        <f t="shared" ref="JM24:JM27" si="292">100*JB24/IQ24</f>
        <v>23.733710976198317</v>
      </c>
      <c r="JN24">
        <f t="shared" ref="JN24:JN27" si="293">100*JC24/IR24</f>
        <v>18.661544087666726</v>
      </c>
      <c r="JO24">
        <f t="shared" ref="JO24:JO27" si="294">100*JD24/IS24</f>
        <v>16.848638087576145</v>
      </c>
      <c r="JP24">
        <f t="shared" ref="JP24:JP27" si="295">100*JE24/IT24</f>
        <v>13.53853086412027</v>
      </c>
      <c r="JQ24">
        <f t="shared" ref="JQ24:JQ27" si="296">100*JF24/IU24</f>
        <v>9.0907560762135766</v>
      </c>
      <c r="JR24">
        <f t="shared" ref="JR24:JR27" si="297">100*JG24/IV24</f>
        <v>5.9843420876404805</v>
      </c>
      <c r="JS24">
        <f t="shared" ref="JS24:JS27" si="298">100*JH24/IW24</f>
        <v>5.4340712286598709</v>
      </c>
      <c r="JT24">
        <f t="shared" ref="JT24:JT27" si="299">100*JI24/IX24</f>
        <v>5.6825355374290965</v>
      </c>
      <c r="JV24" s="12">
        <f t="shared" si="285"/>
        <v>2011.75</v>
      </c>
      <c r="JW24" s="12">
        <f t="shared" ref="JW24:JW27" si="300">JL24-JL$8</f>
        <v>0.73133646919241357</v>
      </c>
      <c r="JX24" s="12">
        <f t="shared" ref="JX24:JX27" si="301">JM24-JM$8</f>
        <v>0.56999710109717228</v>
      </c>
      <c r="JY24" s="12">
        <f t="shared" ref="JY24:JY27" si="302">JN24-JN$8</f>
        <v>-0.90299846983041121</v>
      </c>
      <c r="JZ24" s="12">
        <f t="shared" ref="JZ24:JZ27" si="303">JO24-JO$8</f>
        <v>0.76176015341853187</v>
      </c>
      <c r="KA24" s="12">
        <f t="shared" ref="KA24:KA27" si="304">JP24-JP$8</f>
        <v>0.14220668832806993</v>
      </c>
      <c r="KB24" s="12">
        <f t="shared" ref="KB24:KB27" si="305">JQ24-JQ$8</f>
        <v>-0.20064319161999578</v>
      </c>
      <c r="KC24" s="12">
        <f t="shared" ref="KC24:KC27" si="306">JR24-JR$8</f>
        <v>-0.21098475040011166</v>
      </c>
      <c r="KD24" s="12">
        <f t="shared" ref="KD24:KD27" si="307">JS24-JS$8</f>
        <v>-8.4456897774406237E-2</v>
      </c>
      <c r="KE24" s="12">
        <f t="shared" ref="KE24:KE27" si="308">JT24-JT$8</f>
        <v>0.14887169572315262</v>
      </c>
    </row>
    <row r="25" spans="1:291" x14ac:dyDescent="0.35">
      <c r="A25" s="1">
        <v>17</v>
      </c>
      <c r="B25" s="4">
        <v>1.0309199999999999E-2</v>
      </c>
      <c r="C25" s="4">
        <v>1.0309199999999999E-2</v>
      </c>
      <c r="D25" s="4">
        <v>1.01627E-2</v>
      </c>
      <c r="E25" s="4">
        <v>9.9533999999999994E-3</v>
      </c>
      <c r="F25" s="4">
        <v>9.4158999999999996E-3</v>
      </c>
      <c r="G25" s="4">
        <v>8.7615999999999996E-3</v>
      </c>
      <c r="H25" s="4">
        <v>8.1530999999999999E-3</v>
      </c>
      <c r="I25" s="4">
        <v>7.5810000000000001E-3</v>
      </c>
      <c r="J25" s="4">
        <v>7.0642999999999999E-3</v>
      </c>
      <c r="K25" s="4">
        <v>6.6089E-3</v>
      </c>
      <c r="L25" s="4">
        <v>6.2007E-3</v>
      </c>
      <c r="M25" s="4">
        <v>5.8171000000000004E-3</v>
      </c>
      <c r="N25" s="4">
        <v>5.4533999999999997E-3</v>
      </c>
      <c r="O25" s="4">
        <v>4.9969999999999997E-3</v>
      </c>
      <c r="P25" s="4">
        <v>4.7213999999999997E-3</v>
      </c>
      <c r="Q25" s="4">
        <v>4.4625000000000003E-3</v>
      </c>
      <c r="R25" s="4">
        <v>4.0749999999999996E-3</v>
      </c>
      <c r="S25" s="4">
        <v>4.1923000000000004E-3</v>
      </c>
      <c r="T25" s="4">
        <v>4.0245000000000003E-3</v>
      </c>
      <c r="U25" s="4">
        <v>3.9010999999999998E-3</v>
      </c>
      <c r="V25" s="4">
        <v>3.7837999999999999E-3</v>
      </c>
      <c r="W25" s="4">
        <v>3.6760999999999999E-3</v>
      </c>
      <c r="X25" s="4">
        <v>3.5745999999999998E-3</v>
      </c>
      <c r="Y25" s="4">
        <v>3.4802000000000001E-3</v>
      </c>
      <c r="Z25" s="4">
        <v>3.3911000000000002E-3</v>
      </c>
      <c r="AA25" s="4">
        <v>3.3067999999999999E-3</v>
      </c>
      <c r="AB25" s="4">
        <v>3.2269999999999998E-3</v>
      </c>
      <c r="AC25" s="4">
        <v>3.1511999999999998E-3</v>
      </c>
      <c r="AD25" s="4">
        <v>3.0791E-3</v>
      </c>
      <c r="AE25" s="4">
        <v>3.0103999999999999E-3</v>
      </c>
      <c r="AF25" s="4">
        <v>2.9450000000000001E-3</v>
      </c>
      <c r="AG25" s="4">
        <v>2.8825000000000001E-3</v>
      </c>
      <c r="AH25" s="4">
        <v>2.8227E-3</v>
      </c>
      <c r="AI25" s="4">
        <v>2.7655000000000002E-3</v>
      </c>
      <c r="AJ25" s="4">
        <v>2.7106999999999999E-3</v>
      </c>
      <c r="AK25" s="4">
        <v>2.6581999999999999E-3</v>
      </c>
      <c r="AL25" s="4">
        <v>2.6077000000000001E-3</v>
      </c>
      <c r="AM25" s="4">
        <v>2.5592000000000002E-3</v>
      </c>
      <c r="AN25" s="4">
        <v>2.5125999999999998E-3</v>
      </c>
      <c r="AO25" s="4">
        <v>2.4675999999999999E-3</v>
      </c>
      <c r="AP25" s="4">
        <v>2.4242000000000001E-3</v>
      </c>
      <c r="AQ25" s="4">
        <v>2.3823E-3</v>
      </c>
      <c r="AR25" s="4">
        <v>2.3417999999999998E-3</v>
      </c>
      <c r="AS25" s="4">
        <v>2.3026000000000001E-3</v>
      </c>
      <c r="AT25" s="4">
        <v>2.2645E-3</v>
      </c>
      <c r="AU25" s="4">
        <v>2.2274999999999999E-3</v>
      </c>
      <c r="AV25" s="4">
        <v>2.1914999999999999E-3</v>
      </c>
      <c r="AW25" s="4">
        <v>2.1565E-3</v>
      </c>
      <c r="AX25" s="4">
        <v>2.1224E-3</v>
      </c>
      <c r="AY25" s="4">
        <v>2.0891999999999998E-3</v>
      </c>
      <c r="AZ25" s="4">
        <v>2.0566999999999998E-3</v>
      </c>
      <c r="BA25" s="4">
        <v>2.0249000000000001E-3</v>
      </c>
      <c r="BB25" s="4">
        <v>1.9938999999999998E-3</v>
      </c>
      <c r="BC25" s="4">
        <v>1.9635E-3</v>
      </c>
      <c r="BD25" s="4">
        <v>1.9337E-3</v>
      </c>
      <c r="BE25" s="4">
        <v>1.9046E-3</v>
      </c>
      <c r="BF25" s="4">
        <v>1.8760000000000001E-3</v>
      </c>
      <c r="BG25" s="4">
        <v>1.848E-3</v>
      </c>
      <c r="BH25" s="4">
        <v>1.8205000000000001E-3</v>
      </c>
      <c r="BI25" s="4">
        <v>1.7935E-3</v>
      </c>
      <c r="BJ25" s="4">
        <v>1.7669999999999999E-3</v>
      </c>
      <c r="BK25" s="4">
        <v>1.7409999999999999E-3</v>
      </c>
      <c r="BL25" s="4">
        <v>1.7155E-3</v>
      </c>
      <c r="BM25" s="4">
        <v>1.6904000000000001E-3</v>
      </c>
      <c r="BN25" s="4">
        <v>1.6657E-3</v>
      </c>
      <c r="BO25" s="4">
        <v>1.6414000000000001E-3</v>
      </c>
      <c r="BP25" s="4">
        <v>1.6176000000000001E-3</v>
      </c>
      <c r="BQ25" s="4">
        <v>1.5941E-3</v>
      </c>
      <c r="BR25" s="4">
        <v>1.5711E-3</v>
      </c>
      <c r="BS25" s="4">
        <v>1.5483999999999999E-3</v>
      </c>
      <c r="BT25" s="4">
        <v>1.526E-3</v>
      </c>
      <c r="BU25" s="4">
        <v>1.5041E-3</v>
      </c>
      <c r="BV25" s="4">
        <v>1.4825000000000001E-3</v>
      </c>
      <c r="BW25" s="4">
        <v>1.4612E-3</v>
      </c>
      <c r="BX25" s="4">
        <v>1.4403E-3</v>
      </c>
      <c r="BY25" s="4">
        <v>1.4197000000000001E-3</v>
      </c>
      <c r="BZ25" s="4">
        <v>1.3994000000000001E-3</v>
      </c>
      <c r="CA25" s="4">
        <v>1.3794E-3</v>
      </c>
      <c r="CB25" s="4">
        <v>1.3598E-3</v>
      </c>
      <c r="CC25" s="4">
        <v>1.3404000000000001E-3</v>
      </c>
      <c r="CD25" s="4">
        <v>1.3213999999999999E-3</v>
      </c>
      <c r="CE25" s="4">
        <v>1.3025999999999999E-3</v>
      </c>
      <c r="CF25" s="4">
        <v>1.2842000000000001E-3</v>
      </c>
      <c r="CG25" s="4">
        <v>1.266E-3</v>
      </c>
      <c r="CH25" s="4">
        <v>1.2481E-3</v>
      </c>
      <c r="CI25" s="4">
        <v>1.2304E-3</v>
      </c>
      <c r="CJ25" s="4">
        <v>1.2130999999999999E-3</v>
      </c>
      <c r="CK25" s="4">
        <v>1.1959E-3</v>
      </c>
      <c r="CL25" s="4">
        <v>1.1791E-3</v>
      </c>
      <c r="CM25" s="4">
        <v>1.1624999999999999E-3</v>
      </c>
      <c r="CN25" s="4">
        <v>1.1460999999999999E-3</v>
      </c>
      <c r="CO25" s="4">
        <v>1.1299999999999999E-3</v>
      </c>
      <c r="CP25" s="4">
        <v>1.1141E-3</v>
      </c>
      <c r="CQ25" s="4">
        <v>1.0985000000000001E-3</v>
      </c>
      <c r="CR25" s="4">
        <v>1.0831E-3</v>
      </c>
      <c r="CS25" s="4">
        <v>1.0679000000000001E-3</v>
      </c>
      <c r="CT25" s="4">
        <v>1.0529000000000001E-3</v>
      </c>
      <c r="CU25" s="4">
        <v>1.0380999999999999E-3</v>
      </c>
      <c r="CV25" s="4">
        <v>1.0235999999999999E-3</v>
      </c>
      <c r="CW25" s="4">
        <v>1.0093000000000001E-3</v>
      </c>
      <c r="CX25" s="4">
        <v>9.951999999999999E-4</v>
      </c>
      <c r="CY25" s="4">
        <v>9.812E-4</v>
      </c>
      <c r="CZ25" s="4">
        <v>9.6750000000000004E-4</v>
      </c>
      <c r="DA25" s="4">
        <v>9.5399999999999999E-4</v>
      </c>
      <c r="DB25" s="4">
        <v>9.4070000000000004E-4</v>
      </c>
      <c r="DC25" s="4">
        <v>9.2750000000000005E-4</v>
      </c>
      <c r="DD25" s="4">
        <v>9.146E-4</v>
      </c>
      <c r="DE25" s="4">
        <v>9.0180000000000002E-4</v>
      </c>
      <c r="DF25" s="4">
        <v>8.8920000000000004E-4</v>
      </c>
      <c r="DG25" s="4">
        <v>8.7679999999999995E-4</v>
      </c>
      <c r="DH25" s="4">
        <v>8.6450000000000003E-4</v>
      </c>
      <c r="DI25" s="4">
        <v>8.5249999999999996E-4</v>
      </c>
      <c r="DJ25" s="4">
        <v>8.4060000000000005E-4</v>
      </c>
      <c r="DK25" s="4">
        <v>8.2890000000000004E-4</v>
      </c>
      <c r="DL25" s="4">
        <v>8.1729999999999997E-4</v>
      </c>
      <c r="DM25" s="4">
        <v>8.0590000000000002E-4</v>
      </c>
      <c r="DN25" s="4">
        <v>7.9460000000000002E-4</v>
      </c>
      <c r="DO25" s="4">
        <v>7.8359999999999996E-4</v>
      </c>
      <c r="DP25" s="4">
        <v>7.7260000000000002E-4</v>
      </c>
      <c r="DQ25" s="4">
        <v>5.4085099999999997E-2</v>
      </c>
      <c r="DR25" s="4">
        <v>0</v>
      </c>
      <c r="DS25" s="4">
        <v>1.317E-4</v>
      </c>
      <c r="DT25" s="4">
        <v>2.1049999999999999E-4</v>
      </c>
      <c r="DU25" s="4">
        <v>5.3759999999999995E-4</v>
      </c>
      <c r="DV25" s="4">
        <v>6.7989999999999999E-4</v>
      </c>
      <c r="DW25" s="4">
        <v>6.2699999999999995E-4</v>
      </c>
      <c r="DX25" s="4">
        <v>5.7790000000000001E-4</v>
      </c>
      <c r="DY25" s="4">
        <v>5.1889999999999998E-4</v>
      </c>
      <c r="DZ25" s="4">
        <v>4.574E-4</v>
      </c>
      <c r="EA25" s="4">
        <v>4.0529999999999999E-4</v>
      </c>
      <c r="EB25" s="4">
        <v>3.59E-4</v>
      </c>
      <c r="EC25" s="4">
        <v>3.1849999999999999E-4</v>
      </c>
      <c r="ED25" s="4">
        <v>2.8239999999999998E-4</v>
      </c>
      <c r="EE25" s="4">
        <v>2.4350000000000001E-4</v>
      </c>
      <c r="EF25" s="4">
        <v>2.185E-4</v>
      </c>
      <c r="EG25" s="4">
        <v>1.9599999999999999E-4</v>
      </c>
      <c r="EH25" s="4">
        <v>1.685E-4</v>
      </c>
      <c r="EI25" s="4">
        <v>1.6919999999999999E-4</v>
      </c>
      <c r="EJ25" s="4">
        <v>1.5349999999999999E-4</v>
      </c>
      <c r="EK25" s="4">
        <v>1.4139999999999999E-4</v>
      </c>
      <c r="EL25" s="4">
        <v>1.304E-4</v>
      </c>
      <c r="EM25" s="4">
        <v>1.208E-4</v>
      </c>
      <c r="EN25" s="4">
        <v>1.121E-4</v>
      </c>
      <c r="EO25" s="4">
        <v>1.0450000000000001E-4</v>
      </c>
      <c r="EP25" s="4">
        <v>9.7700000000000003E-5</v>
      </c>
      <c r="EQ25" s="4">
        <v>9.1500000000000001E-5</v>
      </c>
      <c r="ER25" s="4">
        <v>8.6000000000000003E-5</v>
      </c>
      <c r="ES25" s="4">
        <v>8.1000000000000004E-5</v>
      </c>
      <c r="ET25" s="4">
        <v>7.64E-5</v>
      </c>
      <c r="EU25" s="4">
        <v>7.2299999999999996E-5</v>
      </c>
      <c r="EV25" s="4">
        <v>6.8499999999999998E-5</v>
      </c>
      <c r="EW25" s="4">
        <v>6.4999999999999994E-5</v>
      </c>
      <c r="EX25" s="4">
        <v>6.1799999999999998E-5</v>
      </c>
      <c r="EY25" s="4">
        <v>5.8900000000000002E-5</v>
      </c>
      <c r="EZ25" s="4">
        <v>5.6199999999999997E-5</v>
      </c>
      <c r="FA25" s="4">
        <v>5.3600000000000002E-5</v>
      </c>
      <c r="FB25" s="4">
        <v>5.13E-5</v>
      </c>
      <c r="FC25" s="4">
        <v>4.9100000000000001E-5</v>
      </c>
      <c r="FD25" s="4">
        <v>4.71E-5</v>
      </c>
      <c r="FE25" s="4">
        <v>4.5200000000000001E-5</v>
      </c>
      <c r="FF25" s="4">
        <v>4.35E-5</v>
      </c>
      <c r="FG25" s="4">
        <v>4.1900000000000002E-5</v>
      </c>
      <c r="FH25" s="4">
        <v>4.0399999999999999E-5</v>
      </c>
      <c r="FI25" s="4">
        <v>3.8999999999999999E-5</v>
      </c>
      <c r="FJ25" s="4">
        <v>3.7700000000000002E-5</v>
      </c>
      <c r="FK25" s="4">
        <v>3.6399999999999997E-5</v>
      </c>
      <c r="FL25" s="4">
        <v>3.5299999999999997E-5</v>
      </c>
      <c r="FM25" s="4">
        <v>3.43E-5</v>
      </c>
      <c r="FN25" s="4">
        <v>3.3300000000000003E-5</v>
      </c>
      <c r="FO25" s="4">
        <v>3.2299999999999999E-5</v>
      </c>
      <c r="FP25" s="4">
        <v>3.15E-5</v>
      </c>
      <c r="FQ25" s="4">
        <v>3.0700000000000001E-5</v>
      </c>
      <c r="FR25" s="4">
        <v>2.9899999999999998E-5</v>
      </c>
      <c r="FS25" s="4">
        <v>2.9200000000000002E-5</v>
      </c>
      <c r="FT25" s="4">
        <v>2.8500000000000002E-5</v>
      </c>
      <c r="FU25" s="4">
        <v>2.7900000000000001E-5</v>
      </c>
      <c r="FV25" s="4">
        <v>2.72E-5</v>
      </c>
      <c r="FW25" s="4">
        <v>2.6699999999999998E-5</v>
      </c>
      <c r="FX25" s="4">
        <v>2.6100000000000001E-5</v>
      </c>
      <c r="FY25" s="4">
        <v>2.5599999999999999E-5</v>
      </c>
      <c r="FZ25" s="4">
        <v>2.51E-5</v>
      </c>
      <c r="GA25" s="4">
        <v>2.4600000000000002E-5</v>
      </c>
      <c r="GB25" s="4">
        <v>2.4199999999999999E-5</v>
      </c>
      <c r="GC25" s="4">
        <v>2.3799999999999999E-5</v>
      </c>
      <c r="GD25" s="4">
        <v>2.34E-5</v>
      </c>
      <c r="GE25" s="4">
        <v>2.3E-5</v>
      </c>
      <c r="GF25" s="4">
        <v>2.26E-5</v>
      </c>
      <c r="GG25" s="4">
        <v>2.2200000000000001E-5</v>
      </c>
      <c r="GH25" s="4">
        <v>2.1800000000000001E-5</v>
      </c>
      <c r="GI25" s="4">
        <v>2.1500000000000001E-5</v>
      </c>
      <c r="GJ25" s="4">
        <v>2.12E-5</v>
      </c>
      <c r="GK25" s="4">
        <v>2.09E-5</v>
      </c>
      <c r="GL25" s="4">
        <v>2.05E-5</v>
      </c>
      <c r="GM25" s="4">
        <v>2.02E-5</v>
      </c>
      <c r="GN25" s="4">
        <v>1.9899999999999999E-5</v>
      </c>
      <c r="GO25" s="4">
        <v>1.9700000000000001E-5</v>
      </c>
      <c r="GP25" s="4">
        <v>1.9400000000000001E-5</v>
      </c>
      <c r="GQ25" s="4">
        <v>1.91E-5</v>
      </c>
      <c r="GR25" s="4">
        <v>1.88E-5</v>
      </c>
      <c r="GS25" s="4">
        <v>1.8600000000000001E-5</v>
      </c>
      <c r="GT25" s="4">
        <v>1.8300000000000001E-5</v>
      </c>
      <c r="GU25" s="4">
        <v>1.8099999999999999E-5</v>
      </c>
      <c r="GV25" s="4">
        <v>1.7799999999999999E-5</v>
      </c>
      <c r="GW25" s="4">
        <v>1.7600000000000001E-5</v>
      </c>
      <c r="GX25" s="4">
        <v>1.73E-5</v>
      </c>
      <c r="GY25" s="4">
        <v>1.7099999999999999E-5</v>
      </c>
      <c r="GZ25" s="4">
        <v>1.6900000000000001E-5</v>
      </c>
      <c r="HA25" s="4">
        <v>1.66E-5</v>
      </c>
      <c r="HB25" s="4">
        <v>1.6399999999999999E-5</v>
      </c>
      <c r="HC25" s="4">
        <v>1.6200000000000001E-5</v>
      </c>
      <c r="HD25" s="4">
        <v>1.5999999999999999E-5</v>
      </c>
      <c r="HE25" s="4">
        <v>1.5800000000000001E-5</v>
      </c>
      <c r="HF25" s="4">
        <v>1.56E-5</v>
      </c>
      <c r="HG25" s="4">
        <v>1.5400000000000002E-5</v>
      </c>
      <c r="HH25" s="4">
        <v>1.52E-5</v>
      </c>
      <c r="HI25" s="4">
        <v>1.5E-5</v>
      </c>
      <c r="HJ25" s="4">
        <v>1.4800000000000001E-5</v>
      </c>
      <c r="HK25" s="4">
        <v>1.4600000000000001E-5</v>
      </c>
      <c r="HL25" s="4">
        <v>1.4399999999999999E-5</v>
      </c>
      <c r="HM25" s="4">
        <v>1.42E-5</v>
      </c>
      <c r="HN25" s="4">
        <v>1.4E-5</v>
      </c>
      <c r="HO25" s="4">
        <v>1.38E-5</v>
      </c>
      <c r="HP25" s="4">
        <v>1.36E-5</v>
      </c>
      <c r="HQ25" s="4">
        <v>1.3499999999999999E-5</v>
      </c>
      <c r="HR25" s="4">
        <v>1.33E-5</v>
      </c>
      <c r="HS25" s="4">
        <v>1.31E-5</v>
      </c>
      <c r="HT25" s="4">
        <v>1.29E-5</v>
      </c>
      <c r="HU25" s="4">
        <v>1.2799999999999999E-5</v>
      </c>
      <c r="HV25" s="4">
        <v>1.26E-5</v>
      </c>
      <c r="HW25" s="4">
        <v>1.24E-5</v>
      </c>
      <c r="HX25" s="4">
        <v>1.2300000000000001E-5</v>
      </c>
      <c r="HY25" s="4">
        <v>1.2099999999999999E-5</v>
      </c>
      <c r="HZ25" s="4">
        <v>1.2E-5</v>
      </c>
      <c r="IA25" s="4">
        <v>1.1800000000000001E-5</v>
      </c>
      <c r="IB25" s="4">
        <v>1.1600000000000001E-5</v>
      </c>
      <c r="IC25" s="4">
        <v>1.15E-5</v>
      </c>
      <c r="ID25" s="4">
        <v>1.13E-5</v>
      </c>
      <c r="IE25" s="4">
        <v>1.1199999999999999E-5</v>
      </c>
      <c r="IF25" s="4">
        <v>1.1E-5</v>
      </c>
      <c r="IG25" s="4">
        <v>7.8689999999999999E-4</v>
      </c>
      <c r="IH25" s="4"/>
      <c r="II25" s="4">
        <f t="shared" si="247"/>
        <v>0.11347727775943643</v>
      </c>
      <c r="IL25">
        <f t="shared" si="248"/>
        <v>0.35318259999999968</v>
      </c>
      <c r="IP25" s="4">
        <f t="shared" si="249"/>
        <v>3.98412E-2</v>
      </c>
      <c r="IQ25" s="4">
        <f t="shared" si="250"/>
        <v>3.1559999999999998E-2</v>
      </c>
      <c r="IR25" s="4">
        <f t="shared" si="251"/>
        <v>2.4080100000000004E-2</v>
      </c>
      <c r="IS25" s="4">
        <f t="shared" si="252"/>
        <v>1.8255899999999999E-2</v>
      </c>
      <c r="IT25" s="4">
        <f t="shared" si="253"/>
        <v>1.5901699999999998E-2</v>
      </c>
      <c r="IU25" s="4">
        <f t="shared" si="254"/>
        <v>5.9252399999999997E-2</v>
      </c>
      <c r="IV25" s="4">
        <f t="shared" si="255"/>
        <v>4.1060599999999996E-2</v>
      </c>
      <c r="IW25" s="4">
        <f t="shared" si="256"/>
        <v>3.0419399999999999E-2</v>
      </c>
      <c r="IX25" s="4">
        <f t="shared" si="257"/>
        <v>9.2639599999999989E-2</v>
      </c>
      <c r="JA25" s="4">
        <f t="shared" si="289"/>
        <v>8.3531000000000022E-3</v>
      </c>
      <c r="JB25" s="4">
        <f t="shared" si="290"/>
        <v>7.4214000000000016E-3</v>
      </c>
      <c r="JC25" s="4">
        <f t="shared" si="260"/>
        <v>4.5002000000000028E-3</v>
      </c>
      <c r="JD25" s="4">
        <f t="shared" si="261"/>
        <v>2.9553999999999987E-3</v>
      </c>
      <c r="JE25" s="4">
        <f t="shared" si="262"/>
        <v>2.1351999999999968E-3</v>
      </c>
      <c r="JF25" s="4">
        <f t="shared" si="263"/>
        <v>5.357699999999993E-3</v>
      </c>
      <c r="JG25" s="4">
        <f t="shared" si="264"/>
        <v>2.4563000000000154E-3</v>
      </c>
      <c r="JH25" s="4">
        <f t="shared" si="265"/>
        <v>1.6539000000000033E-3</v>
      </c>
      <c r="JI25" s="4">
        <f t="shared" si="266"/>
        <v>5.2449999999999997E-3</v>
      </c>
      <c r="JK25">
        <f t="shared" si="284"/>
        <v>2012</v>
      </c>
      <c r="JL25">
        <f t="shared" si="291"/>
        <v>20.965984960292367</v>
      </c>
      <c r="JM25">
        <f t="shared" si="292"/>
        <v>23.515209125475291</v>
      </c>
      <c r="JN25">
        <f t="shared" si="293"/>
        <v>18.688460596093879</v>
      </c>
      <c r="JO25">
        <f t="shared" si="294"/>
        <v>16.188738983013703</v>
      </c>
      <c r="JP25">
        <f t="shared" si="295"/>
        <v>13.427495173472</v>
      </c>
      <c r="JQ25">
        <f t="shared" si="296"/>
        <v>9.042165380642798</v>
      </c>
      <c r="JR25">
        <f t="shared" si="297"/>
        <v>5.9821337243002191</v>
      </c>
      <c r="JS25">
        <f t="shared" si="298"/>
        <v>5.4369908676699845</v>
      </c>
      <c r="JT25">
        <f t="shared" si="299"/>
        <v>5.6617256551194091</v>
      </c>
      <c r="JV25" s="12">
        <f t="shared" si="285"/>
        <v>2012</v>
      </c>
      <c r="JW25" s="12">
        <f t="shared" si="300"/>
        <v>0.87353488863874773</v>
      </c>
      <c r="JX25" s="12">
        <f t="shared" si="301"/>
        <v>0.3514952503741462</v>
      </c>
      <c r="JY25" s="12">
        <f t="shared" si="302"/>
        <v>-0.87608196140325845</v>
      </c>
      <c r="JZ25" s="12">
        <f t="shared" si="303"/>
        <v>0.10186104885609026</v>
      </c>
      <c r="KA25" s="12">
        <f t="shared" si="304"/>
        <v>3.1170997679799584E-2</v>
      </c>
      <c r="KB25" s="12">
        <f t="shared" si="305"/>
        <v>-0.24923388719077444</v>
      </c>
      <c r="KC25" s="12">
        <f t="shared" si="306"/>
        <v>-0.21319311374037309</v>
      </c>
      <c r="KD25" s="12">
        <f t="shared" si="307"/>
        <v>-8.1537258764292631E-2</v>
      </c>
      <c r="KE25" s="12">
        <f t="shared" si="308"/>
        <v>0.12806181341346523</v>
      </c>
    </row>
    <row r="26" spans="1:291" x14ac:dyDescent="0.35">
      <c r="A26" s="1">
        <v>18</v>
      </c>
      <c r="B26" s="4">
        <v>1.0309199999999999E-2</v>
      </c>
      <c r="C26" s="4">
        <v>1.0309199999999999E-2</v>
      </c>
      <c r="D26" s="4">
        <v>1.0177500000000001E-2</v>
      </c>
      <c r="E26" s="4">
        <v>9.9521999999999996E-3</v>
      </c>
      <c r="F26" s="4">
        <v>9.4158000000000002E-3</v>
      </c>
      <c r="G26" s="4">
        <v>8.7360000000000007E-3</v>
      </c>
      <c r="H26" s="4">
        <v>8.1346000000000005E-3</v>
      </c>
      <c r="I26" s="4">
        <v>7.5751000000000004E-3</v>
      </c>
      <c r="J26" s="4">
        <v>7.0622000000000002E-3</v>
      </c>
      <c r="K26" s="4">
        <v>6.6068999999999998E-3</v>
      </c>
      <c r="L26" s="4">
        <v>6.2036000000000001E-3</v>
      </c>
      <c r="M26" s="4">
        <v>5.8417E-3</v>
      </c>
      <c r="N26" s="4">
        <v>5.4986000000000002E-3</v>
      </c>
      <c r="O26" s="4">
        <v>5.1710000000000002E-3</v>
      </c>
      <c r="P26" s="4">
        <v>4.7534999999999999E-3</v>
      </c>
      <c r="Q26" s="4">
        <v>4.5028999999999998E-3</v>
      </c>
      <c r="R26" s="4">
        <v>4.2665999999999997E-3</v>
      </c>
      <c r="S26" s="4">
        <v>3.9065000000000003E-3</v>
      </c>
      <c r="T26" s="4">
        <v>4.0230999999999999E-3</v>
      </c>
      <c r="U26" s="4">
        <v>3.8709999999999999E-3</v>
      </c>
      <c r="V26" s="4">
        <v>3.7598000000000002E-3</v>
      </c>
      <c r="W26" s="4">
        <v>3.6533999999999998E-3</v>
      </c>
      <c r="X26" s="4">
        <v>3.5553E-3</v>
      </c>
      <c r="Y26" s="4">
        <v>3.4624999999999999E-3</v>
      </c>
      <c r="Z26" s="4">
        <v>3.3757000000000001E-3</v>
      </c>
      <c r="AA26" s="4">
        <v>3.2934000000000001E-3</v>
      </c>
      <c r="AB26" s="4">
        <v>3.2152999999999999E-3</v>
      </c>
      <c r="AC26" s="4">
        <v>3.1410000000000001E-3</v>
      </c>
      <c r="AD26" s="4">
        <v>3.0701999999999999E-3</v>
      </c>
      <c r="AE26" s="4">
        <v>3.0025999999999998E-3</v>
      </c>
      <c r="AF26" s="4">
        <v>2.9380999999999999E-3</v>
      </c>
      <c r="AG26" s="4">
        <v>2.8763999999999999E-3</v>
      </c>
      <c r="AH26" s="4">
        <v>2.8173999999999999E-3</v>
      </c>
      <c r="AI26" s="4">
        <v>2.7609000000000002E-3</v>
      </c>
      <c r="AJ26" s="4">
        <v>2.7066E-3</v>
      </c>
      <c r="AK26" s="4">
        <v>2.6546E-3</v>
      </c>
      <c r="AL26" s="4">
        <v>2.6045999999999999E-3</v>
      </c>
      <c r="AM26" s="4">
        <v>2.5563999999999999E-3</v>
      </c>
      <c r="AN26" s="4">
        <v>2.5100999999999999E-3</v>
      </c>
      <c r="AO26" s="4">
        <v>2.4654999999999998E-3</v>
      </c>
      <c r="AP26" s="4">
        <v>2.4223999999999999E-3</v>
      </c>
      <c r="AQ26" s="4">
        <v>2.3808000000000002E-3</v>
      </c>
      <c r="AR26" s="4">
        <v>2.3405000000000001E-3</v>
      </c>
      <c r="AS26" s="4">
        <v>2.3013999999999999E-3</v>
      </c>
      <c r="AT26" s="4">
        <v>2.2636000000000002E-3</v>
      </c>
      <c r="AU26" s="4">
        <v>2.2268000000000001E-3</v>
      </c>
      <c r="AV26" s="4">
        <v>2.1911000000000001E-3</v>
      </c>
      <c r="AW26" s="4">
        <v>2.1562E-3</v>
      </c>
      <c r="AX26" s="4">
        <v>2.1223000000000001E-3</v>
      </c>
      <c r="AY26" s="4">
        <v>2.0891999999999998E-3</v>
      </c>
      <c r="AZ26" s="4">
        <v>2.0568000000000001E-3</v>
      </c>
      <c r="BA26" s="4">
        <v>2.0252E-3</v>
      </c>
      <c r="BB26" s="4">
        <v>1.9941999999999998E-3</v>
      </c>
      <c r="BC26" s="4">
        <v>1.964E-3</v>
      </c>
      <c r="BD26" s="4">
        <v>1.9342999999999999E-3</v>
      </c>
      <c r="BE26" s="4">
        <v>1.9051999999999999E-3</v>
      </c>
      <c r="BF26" s="4">
        <v>1.8767E-3</v>
      </c>
      <c r="BG26" s="4">
        <v>1.8487E-3</v>
      </c>
      <c r="BH26" s="4">
        <v>1.8213000000000001E-3</v>
      </c>
      <c r="BI26" s="4">
        <v>1.7944E-3</v>
      </c>
      <c r="BJ26" s="4">
        <v>1.7679E-3</v>
      </c>
      <c r="BK26" s="4">
        <v>1.7419E-3</v>
      </c>
      <c r="BL26" s="4">
        <v>1.7164000000000001E-3</v>
      </c>
      <c r="BM26" s="4">
        <v>1.6913E-3</v>
      </c>
      <c r="BN26" s="4">
        <v>1.6666000000000001E-3</v>
      </c>
      <c r="BO26" s="4">
        <v>1.6423E-3</v>
      </c>
      <c r="BP26" s="4">
        <v>1.6184999999999999E-3</v>
      </c>
      <c r="BQ26" s="4">
        <v>1.5950000000000001E-3</v>
      </c>
      <c r="BR26" s="4">
        <v>1.5719E-3</v>
      </c>
      <c r="BS26" s="4">
        <v>1.5491999999999999E-3</v>
      </c>
      <c r="BT26" s="4">
        <v>1.5269000000000001E-3</v>
      </c>
      <c r="BU26" s="4">
        <v>1.5049E-3</v>
      </c>
      <c r="BV26" s="4">
        <v>1.4832000000000001E-3</v>
      </c>
      <c r="BW26" s="4">
        <v>1.4618999999999999E-3</v>
      </c>
      <c r="BX26" s="4">
        <v>1.441E-3</v>
      </c>
      <c r="BY26" s="4">
        <v>1.4203E-3</v>
      </c>
      <c r="BZ26" s="4">
        <v>1.4E-3</v>
      </c>
      <c r="CA26" s="4">
        <v>1.3799999999999999E-3</v>
      </c>
      <c r="CB26" s="4">
        <v>1.3603000000000001E-3</v>
      </c>
      <c r="CC26" s="4">
        <v>1.341E-3</v>
      </c>
      <c r="CD26" s="4">
        <v>1.3219E-3</v>
      </c>
      <c r="CE26" s="4">
        <v>1.3031E-3</v>
      </c>
      <c r="CF26" s="4">
        <v>1.2846000000000001E-3</v>
      </c>
      <c r="CG26" s="4">
        <v>1.2664E-3</v>
      </c>
      <c r="CH26" s="4">
        <v>1.2484E-3</v>
      </c>
      <c r="CI26" s="4">
        <v>1.2306999999999999E-3</v>
      </c>
      <c r="CJ26" s="4">
        <v>1.2133000000000001E-3</v>
      </c>
      <c r="CK26" s="4">
        <v>1.1961999999999999E-3</v>
      </c>
      <c r="CL26" s="4">
        <v>1.1793000000000001E-3</v>
      </c>
      <c r="CM26" s="4">
        <v>1.1627E-3</v>
      </c>
      <c r="CN26" s="4">
        <v>1.1463000000000001E-3</v>
      </c>
      <c r="CO26" s="4">
        <v>1.1301E-3</v>
      </c>
      <c r="CP26" s="4">
        <v>1.1142000000000001E-3</v>
      </c>
      <c r="CQ26" s="4">
        <v>1.0985999999999999E-3</v>
      </c>
      <c r="CR26" s="4">
        <v>1.0831E-3</v>
      </c>
      <c r="CS26" s="4">
        <v>1.0679000000000001E-3</v>
      </c>
      <c r="CT26" s="4">
        <v>1.0529000000000001E-3</v>
      </c>
      <c r="CU26" s="4">
        <v>1.0380999999999999E-3</v>
      </c>
      <c r="CV26" s="4">
        <v>1.0235999999999999E-3</v>
      </c>
      <c r="CW26" s="4">
        <v>1.0092E-3</v>
      </c>
      <c r="CX26" s="4">
        <v>9.9510000000000006E-4</v>
      </c>
      <c r="CY26" s="4">
        <v>9.8109999999999994E-4</v>
      </c>
      <c r="CZ26" s="4">
        <v>9.6739999999999999E-4</v>
      </c>
      <c r="DA26" s="4">
        <v>9.5390000000000004E-4</v>
      </c>
      <c r="DB26" s="4">
        <v>9.4050000000000004E-4</v>
      </c>
      <c r="DC26" s="4">
        <v>9.2739999999999999E-4</v>
      </c>
      <c r="DD26" s="4">
        <v>9.144E-4</v>
      </c>
      <c r="DE26" s="4">
        <v>9.0160000000000001E-4</v>
      </c>
      <c r="DF26" s="4">
        <v>8.8900000000000003E-4</v>
      </c>
      <c r="DG26" s="4">
        <v>8.7659999999999995E-4</v>
      </c>
      <c r="DH26" s="4">
        <v>8.6430000000000003E-4</v>
      </c>
      <c r="DI26" s="4">
        <v>8.5229999999999995E-4</v>
      </c>
      <c r="DJ26" s="4">
        <v>8.4040000000000004E-4</v>
      </c>
      <c r="DK26" s="4">
        <v>8.2859999999999997E-4</v>
      </c>
      <c r="DL26" s="4">
        <v>8.1709999999999997E-4</v>
      </c>
      <c r="DM26" s="4">
        <v>8.0570000000000001E-4</v>
      </c>
      <c r="DN26" s="4">
        <v>7.9440000000000001E-4</v>
      </c>
      <c r="DO26" s="4">
        <v>7.8330000000000001E-4</v>
      </c>
      <c r="DP26" s="4">
        <v>7.7240000000000002E-4</v>
      </c>
      <c r="DQ26" s="4">
        <v>5.4059799999999998E-2</v>
      </c>
      <c r="DR26" s="4">
        <v>0</v>
      </c>
      <c r="DS26" s="4">
        <v>1.316E-4</v>
      </c>
      <c r="DT26" s="4">
        <v>2.2000000000000001E-4</v>
      </c>
      <c r="DU26" s="4">
        <v>5.3810000000000001E-4</v>
      </c>
      <c r="DV26" s="4">
        <v>6.6410000000000004E-4</v>
      </c>
      <c r="DW26" s="4">
        <v>6.089E-4</v>
      </c>
      <c r="DX26" s="4">
        <v>5.6780000000000003E-4</v>
      </c>
      <c r="DY26" s="4">
        <v>5.1340000000000001E-4</v>
      </c>
      <c r="DZ26" s="4">
        <v>4.5199999999999998E-4</v>
      </c>
      <c r="EA26" s="4">
        <v>3.9889999999999999E-4</v>
      </c>
      <c r="EB26" s="4">
        <v>3.525E-4</v>
      </c>
      <c r="EC26" s="4">
        <v>3.1310000000000002E-4</v>
      </c>
      <c r="ED26" s="4">
        <v>2.7839999999999999E-4</v>
      </c>
      <c r="EE26" s="4">
        <v>2.477E-4</v>
      </c>
      <c r="EF26" s="4">
        <v>2.1460000000000001E-4</v>
      </c>
      <c r="EG26" s="4">
        <v>1.9340000000000001E-4</v>
      </c>
      <c r="EH26" s="4">
        <v>1.7420000000000001E-4</v>
      </c>
      <c r="EI26" s="4">
        <v>1.506E-4</v>
      </c>
      <c r="EJ26" s="4">
        <v>1.516E-4</v>
      </c>
      <c r="EK26" s="4">
        <v>1.383E-4</v>
      </c>
      <c r="EL26" s="4">
        <v>1.2799999999999999E-4</v>
      </c>
      <c r="EM26" s="4">
        <v>1.187E-4</v>
      </c>
      <c r="EN26" s="4">
        <v>1.105E-4</v>
      </c>
      <c r="EO26" s="4">
        <v>1.031E-4</v>
      </c>
      <c r="EP26" s="4">
        <v>9.6600000000000003E-5</v>
      </c>
      <c r="EQ26" s="4">
        <v>9.0699999999999996E-5</v>
      </c>
      <c r="ER26" s="4">
        <v>8.53E-5</v>
      </c>
      <c r="ES26" s="4">
        <v>8.0500000000000005E-5</v>
      </c>
      <c r="ET26" s="4">
        <v>7.6100000000000007E-5</v>
      </c>
      <c r="EU26" s="4">
        <v>7.2100000000000004E-5</v>
      </c>
      <c r="EV26" s="4">
        <v>6.8399999999999996E-5</v>
      </c>
      <c r="EW26" s="4">
        <v>6.4999999999999994E-5</v>
      </c>
      <c r="EX26" s="4">
        <v>6.19E-5</v>
      </c>
      <c r="EY26" s="4">
        <v>5.8999999999999998E-5</v>
      </c>
      <c r="EZ26" s="4">
        <v>5.63E-5</v>
      </c>
      <c r="FA26" s="4">
        <v>5.38E-5</v>
      </c>
      <c r="FB26" s="4">
        <v>5.1499999999999998E-5</v>
      </c>
      <c r="FC26" s="4">
        <v>4.9299999999999999E-5</v>
      </c>
      <c r="FD26" s="4">
        <v>4.7299999999999998E-5</v>
      </c>
      <c r="FE26" s="4">
        <v>4.5399999999999999E-5</v>
      </c>
      <c r="FF26" s="4">
        <v>4.3699999999999998E-5</v>
      </c>
      <c r="FG26" s="4">
        <v>4.21E-5</v>
      </c>
      <c r="FH26" s="4">
        <v>4.0599999999999998E-5</v>
      </c>
      <c r="FI26" s="4">
        <v>3.9199999999999997E-5</v>
      </c>
      <c r="FJ26" s="4">
        <v>3.79E-5</v>
      </c>
      <c r="FK26" s="4">
        <v>3.6699999999999998E-5</v>
      </c>
      <c r="FL26" s="4">
        <v>3.5500000000000002E-5</v>
      </c>
      <c r="FM26" s="4">
        <v>3.4499999999999998E-5</v>
      </c>
      <c r="FN26" s="4">
        <v>3.3500000000000001E-5</v>
      </c>
      <c r="FO26" s="4">
        <v>3.26E-5</v>
      </c>
      <c r="FP26" s="4">
        <v>3.1699999999999998E-5</v>
      </c>
      <c r="FQ26" s="4">
        <v>3.0899999999999999E-5</v>
      </c>
      <c r="FR26" s="4">
        <v>3.01E-5</v>
      </c>
      <c r="FS26" s="4">
        <v>2.94E-5</v>
      </c>
      <c r="FT26" s="4">
        <v>2.87E-5</v>
      </c>
      <c r="FU26" s="4">
        <v>2.8E-5</v>
      </c>
      <c r="FV26" s="4">
        <v>2.7399999999999999E-5</v>
      </c>
      <c r="FW26" s="4">
        <v>2.6800000000000001E-5</v>
      </c>
      <c r="FX26" s="4">
        <v>2.6299999999999999E-5</v>
      </c>
      <c r="FY26" s="4">
        <v>2.58E-5</v>
      </c>
      <c r="FZ26" s="4">
        <v>2.5299999999999998E-5</v>
      </c>
      <c r="GA26" s="4">
        <v>2.48E-5</v>
      </c>
      <c r="GB26" s="4">
        <v>2.4300000000000001E-5</v>
      </c>
      <c r="GC26" s="4">
        <v>2.3900000000000002E-5</v>
      </c>
      <c r="GD26" s="4">
        <v>2.3499999999999999E-5</v>
      </c>
      <c r="GE26" s="4">
        <v>2.3099999999999999E-5</v>
      </c>
      <c r="GF26" s="4">
        <v>2.27E-5</v>
      </c>
      <c r="GG26" s="4">
        <v>2.23E-5</v>
      </c>
      <c r="GH26" s="4">
        <v>2.19E-5</v>
      </c>
      <c r="GI26" s="4">
        <v>2.16E-5</v>
      </c>
      <c r="GJ26" s="4">
        <v>2.1299999999999999E-5</v>
      </c>
      <c r="GK26" s="4">
        <v>2.09E-5</v>
      </c>
      <c r="GL26" s="4">
        <v>2.0599999999999999E-5</v>
      </c>
      <c r="GM26" s="4">
        <v>2.0299999999999999E-5</v>
      </c>
      <c r="GN26" s="4">
        <v>2.0000000000000002E-5</v>
      </c>
      <c r="GO26" s="4">
        <v>1.9700000000000001E-5</v>
      </c>
      <c r="GP26" s="4">
        <v>1.9400000000000001E-5</v>
      </c>
      <c r="GQ26" s="4">
        <v>1.9199999999999999E-5</v>
      </c>
      <c r="GR26" s="4">
        <v>1.8899999999999999E-5</v>
      </c>
      <c r="GS26" s="4">
        <v>1.8600000000000001E-5</v>
      </c>
      <c r="GT26" s="4">
        <v>1.84E-5</v>
      </c>
      <c r="GU26" s="4">
        <v>1.8099999999999999E-5</v>
      </c>
      <c r="GV26" s="4">
        <v>1.7900000000000001E-5</v>
      </c>
      <c r="GW26" s="4">
        <v>1.7600000000000001E-5</v>
      </c>
      <c r="GX26" s="4">
        <v>1.7399999999999999E-5</v>
      </c>
      <c r="GY26" s="4">
        <v>1.7099999999999999E-5</v>
      </c>
      <c r="GZ26" s="4">
        <v>1.6900000000000001E-5</v>
      </c>
      <c r="HA26" s="4">
        <v>1.6699999999999999E-5</v>
      </c>
      <c r="HB26" s="4">
        <v>1.6399999999999999E-5</v>
      </c>
      <c r="HC26" s="4">
        <v>1.6200000000000001E-5</v>
      </c>
      <c r="HD26" s="4">
        <v>1.5999999999999999E-5</v>
      </c>
      <c r="HE26" s="4">
        <v>1.5800000000000001E-5</v>
      </c>
      <c r="HF26" s="4">
        <v>1.56E-5</v>
      </c>
      <c r="HG26" s="4">
        <v>1.5400000000000002E-5</v>
      </c>
      <c r="HH26" s="4">
        <v>1.52E-5</v>
      </c>
      <c r="HI26" s="4">
        <v>1.5E-5</v>
      </c>
      <c r="HJ26" s="4">
        <v>1.4800000000000001E-5</v>
      </c>
      <c r="HK26" s="4">
        <v>1.4600000000000001E-5</v>
      </c>
      <c r="HL26" s="4">
        <v>1.4399999999999999E-5</v>
      </c>
      <c r="HM26" s="4">
        <v>1.42E-5</v>
      </c>
      <c r="HN26" s="4">
        <v>1.4E-5</v>
      </c>
      <c r="HO26" s="4">
        <v>1.38E-5</v>
      </c>
      <c r="HP26" s="4">
        <v>1.36E-5</v>
      </c>
      <c r="HQ26" s="4">
        <v>1.3499999999999999E-5</v>
      </c>
      <c r="HR26" s="4">
        <v>1.33E-5</v>
      </c>
      <c r="HS26" s="4">
        <v>1.31E-5</v>
      </c>
      <c r="HT26" s="4">
        <v>1.29E-5</v>
      </c>
      <c r="HU26" s="4">
        <v>1.2799999999999999E-5</v>
      </c>
      <c r="HV26" s="4">
        <v>1.26E-5</v>
      </c>
      <c r="HW26" s="4">
        <v>1.24E-5</v>
      </c>
      <c r="HX26" s="4">
        <v>1.2300000000000001E-5</v>
      </c>
      <c r="HY26" s="4">
        <v>1.2099999999999999E-5</v>
      </c>
      <c r="HZ26" s="4">
        <v>1.19E-5</v>
      </c>
      <c r="IA26" s="4">
        <v>1.1800000000000001E-5</v>
      </c>
      <c r="IB26" s="4">
        <v>1.1600000000000001E-5</v>
      </c>
      <c r="IC26" s="4">
        <v>1.15E-5</v>
      </c>
      <c r="ID26" s="4">
        <v>1.13E-5</v>
      </c>
      <c r="IE26" s="4">
        <v>1.1199999999999999E-5</v>
      </c>
      <c r="IF26" s="4">
        <v>1.1E-5</v>
      </c>
      <c r="IG26" s="4">
        <v>7.8370000000000002E-4</v>
      </c>
      <c r="IH26" s="4"/>
      <c r="II26" s="4">
        <f t="shared" si="247"/>
        <v>0.11300303986143606</v>
      </c>
      <c r="IL26">
        <f t="shared" si="248"/>
        <v>0.35310820000000009</v>
      </c>
      <c r="IP26" s="4">
        <f t="shared" si="249"/>
        <v>3.98547E-2</v>
      </c>
      <c r="IQ26" s="4">
        <f t="shared" si="250"/>
        <v>3.1507899999999998E-2</v>
      </c>
      <c r="IR26" s="4">
        <f t="shared" si="251"/>
        <v>2.41508E-2</v>
      </c>
      <c r="IS26" s="4">
        <f t="shared" si="252"/>
        <v>1.8693999999999999E-2</v>
      </c>
      <c r="IT26" s="4">
        <f t="shared" si="253"/>
        <v>1.55604E-2</v>
      </c>
      <c r="IU26" s="4">
        <f t="shared" si="254"/>
        <v>5.9082400000000014E-2</v>
      </c>
      <c r="IV26" s="4">
        <f t="shared" si="255"/>
        <v>4.106060000000001E-2</v>
      </c>
      <c r="IW26" s="4">
        <f t="shared" si="256"/>
        <v>3.0434499999999993E-2</v>
      </c>
      <c r="IX26" s="4">
        <f t="shared" si="257"/>
        <v>9.2613999999999988E-2</v>
      </c>
      <c r="JA26" s="4">
        <f t="shared" si="289"/>
        <v>8.3148000000000041E-3</v>
      </c>
      <c r="JB26" s="4">
        <f t="shared" si="290"/>
        <v>7.342300000000003E-3</v>
      </c>
      <c r="JC26" s="4">
        <f t="shared" si="260"/>
        <v>4.5215000000000012E-3</v>
      </c>
      <c r="JD26" s="4">
        <f t="shared" si="261"/>
        <v>2.9042000000000009E-3</v>
      </c>
      <c r="JE26" s="4">
        <f t="shared" si="262"/>
        <v>2.1187999999999971E-3</v>
      </c>
      <c r="JF26" s="4">
        <f t="shared" si="263"/>
        <v>5.3479999999999847E-3</v>
      </c>
      <c r="JG26" s="4">
        <f t="shared" si="264"/>
        <v>2.4662999999999977E-3</v>
      </c>
      <c r="JH26" s="4">
        <f t="shared" si="265"/>
        <v>1.6584000000000043E-3</v>
      </c>
      <c r="JI26" s="4">
        <f t="shared" si="266"/>
        <v>5.2279999999999827E-3</v>
      </c>
      <c r="JK26">
        <f t="shared" si="284"/>
        <v>2012.25</v>
      </c>
      <c r="JL26">
        <f t="shared" si="291"/>
        <v>20.862784063109256</v>
      </c>
      <c r="JM26">
        <f t="shared" si="292"/>
        <v>23.303044633250718</v>
      </c>
      <c r="JN26">
        <f t="shared" si="293"/>
        <v>18.721947099060905</v>
      </c>
      <c r="JO26">
        <f t="shared" si="294"/>
        <v>15.535465924895693</v>
      </c>
      <c r="JP26">
        <f t="shared" si="295"/>
        <v>13.616616539420562</v>
      </c>
      <c r="JQ26">
        <f t="shared" si="296"/>
        <v>9.0517649926204484</v>
      </c>
      <c r="JR26">
        <f t="shared" si="297"/>
        <v>6.0064879714373323</v>
      </c>
      <c r="JS26">
        <f t="shared" si="298"/>
        <v>5.4490791700208803</v>
      </c>
      <c r="JT26">
        <f t="shared" si="299"/>
        <v>5.6449348910531709</v>
      </c>
      <c r="JV26" s="12">
        <f t="shared" si="285"/>
        <v>2012.25</v>
      </c>
      <c r="JW26" s="12">
        <f t="shared" si="300"/>
        <v>0.77033399145563664</v>
      </c>
      <c r="JX26" s="12">
        <f t="shared" si="301"/>
        <v>0.13933075814957263</v>
      </c>
      <c r="JY26" s="12">
        <f t="shared" si="302"/>
        <v>-0.84259545843623229</v>
      </c>
      <c r="JZ26" s="12">
        <f t="shared" si="303"/>
        <v>-0.55141200926192013</v>
      </c>
      <c r="KA26" s="12">
        <f t="shared" si="304"/>
        <v>0.2202923636283618</v>
      </c>
      <c r="KB26" s="12">
        <f t="shared" si="305"/>
        <v>-0.23963427521312397</v>
      </c>
      <c r="KC26" s="12">
        <f t="shared" si="306"/>
        <v>-0.18883886660325988</v>
      </c>
      <c r="KD26" s="12">
        <f t="shared" si="307"/>
        <v>-6.9448956413396878E-2</v>
      </c>
      <c r="KE26" s="12">
        <f t="shared" si="308"/>
        <v>0.11127104934722709</v>
      </c>
    </row>
    <row r="27" spans="1:291" x14ac:dyDescent="0.35">
      <c r="A27" s="1">
        <v>19</v>
      </c>
      <c r="B27" s="4">
        <v>1.0309199999999999E-2</v>
      </c>
      <c r="C27" s="4">
        <v>1.0309199999999999E-2</v>
      </c>
      <c r="D27" s="4">
        <v>1.01777E-2</v>
      </c>
      <c r="E27" s="4">
        <v>9.9576000000000005E-3</v>
      </c>
      <c r="F27" s="4">
        <v>9.4140000000000005E-3</v>
      </c>
      <c r="G27" s="4">
        <v>8.7516E-3</v>
      </c>
      <c r="H27" s="4">
        <v>8.1270999999999999E-3</v>
      </c>
      <c r="I27" s="4">
        <v>7.5667E-3</v>
      </c>
      <c r="J27" s="4">
        <v>7.0616999999999997E-3</v>
      </c>
      <c r="K27" s="4">
        <v>6.6100999999999998E-3</v>
      </c>
      <c r="L27" s="4">
        <v>6.208E-3</v>
      </c>
      <c r="M27" s="4">
        <v>5.8510999999999997E-3</v>
      </c>
      <c r="N27" s="4">
        <v>5.5285000000000004E-3</v>
      </c>
      <c r="O27" s="4">
        <v>5.2202000000000004E-3</v>
      </c>
      <c r="P27" s="4">
        <v>4.9232E-3</v>
      </c>
      <c r="Q27" s="4">
        <v>4.5389000000000002E-3</v>
      </c>
      <c r="R27" s="4">
        <v>4.3095E-3</v>
      </c>
      <c r="S27" s="4">
        <v>4.0923000000000001E-3</v>
      </c>
      <c r="T27" s="4">
        <v>3.7559E-3</v>
      </c>
      <c r="U27" s="4">
        <v>3.8716000000000002E-3</v>
      </c>
      <c r="V27" s="4">
        <v>3.7326999999999998E-3</v>
      </c>
      <c r="W27" s="4">
        <v>3.6316999999999999E-3</v>
      </c>
      <c r="X27" s="4">
        <v>3.5347E-3</v>
      </c>
      <c r="Y27" s="4">
        <v>3.4448E-3</v>
      </c>
      <c r="Z27" s="4">
        <v>3.3593E-3</v>
      </c>
      <c r="AA27" s="4">
        <v>3.2791000000000001E-3</v>
      </c>
      <c r="AB27" s="4">
        <v>3.2028E-3</v>
      </c>
      <c r="AC27" s="4">
        <v>3.13E-3</v>
      </c>
      <c r="AD27" s="4">
        <v>3.0604999999999999E-3</v>
      </c>
      <c r="AE27" s="4">
        <v>2.9941E-3</v>
      </c>
      <c r="AF27" s="4">
        <v>2.9305999999999998E-3</v>
      </c>
      <c r="AG27" s="4">
        <v>2.8697000000000002E-3</v>
      </c>
      <c r="AH27" s="4">
        <v>2.8115000000000002E-3</v>
      </c>
      <c r="AI27" s="4">
        <v>2.7556E-3</v>
      </c>
      <c r="AJ27" s="4">
        <v>2.7019000000000001E-3</v>
      </c>
      <c r="AK27" s="4">
        <v>2.6503999999999998E-3</v>
      </c>
      <c r="AL27" s="4">
        <v>2.6007999999999999E-3</v>
      </c>
      <c r="AM27" s="4">
        <v>2.5531E-3</v>
      </c>
      <c r="AN27" s="4">
        <v>2.5071E-3</v>
      </c>
      <c r="AO27" s="4">
        <v>2.4627999999999998E-3</v>
      </c>
      <c r="AP27" s="4">
        <v>2.4199999999999998E-3</v>
      </c>
      <c r="AQ27" s="4">
        <v>2.3787000000000001E-3</v>
      </c>
      <c r="AR27" s="4">
        <v>2.3386000000000001E-3</v>
      </c>
      <c r="AS27" s="4">
        <v>2.2999000000000001E-3</v>
      </c>
      <c r="AT27" s="4">
        <v>2.2621999999999998E-3</v>
      </c>
      <c r="AU27" s="4">
        <v>2.2257000000000002E-3</v>
      </c>
      <c r="AV27" s="4">
        <v>2.1900999999999999E-3</v>
      </c>
      <c r="AW27" s="4">
        <v>2.1554999999999999E-3</v>
      </c>
      <c r="AX27" s="4">
        <v>2.1216999999999998E-3</v>
      </c>
      <c r="AY27" s="4">
        <v>2.0888E-3</v>
      </c>
      <c r="AZ27" s="4">
        <v>2.0566E-3</v>
      </c>
      <c r="BA27" s="4">
        <v>2.0251000000000002E-3</v>
      </c>
      <c r="BB27" s="4">
        <v>1.9943000000000001E-3</v>
      </c>
      <c r="BC27" s="4">
        <v>1.9642000000000001E-3</v>
      </c>
      <c r="BD27" s="4">
        <v>1.9346000000000001E-3</v>
      </c>
      <c r="BE27" s="4">
        <v>1.9055999999999999E-3</v>
      </c>
      <c r="BF27" s="4">
        <v>1.8772000000000001E-3</v>
      </c>
      <c r="BG27" s="4">
        <v>1.8492999999999999E-3</v>
      </c>
      <c r="BH27" s="4">
        <v>1.8219E-3</v>
      </c>
      <c r="BI27" s="4">
        <v>1.7949999999999999E-3</v>
      </c>
      <c r="BJ27" s="4">
        <v>1.7685999999999999E-3</v>
      </c>
      <c r="BK27" s="4">
        <v>1.7426E-3</v>
      </c>
      <c r="BL27" s="4">
        <v>1.7171E-3</v>
      </c>
      <c r="BM27" s="4">
        <v>1.6919999999999999E-3</v>
      </c>
      <c r="BN27" s="4">
        <v>1.6674000000000001E-3</v>
      </c>
      <c r="BO27" s="4">
        <v>1.6431E-3</v>
      </c>
      <c r="BP27" s="4">
        <v>1.6192999999999999E-3</v>
      </c>
      <c r="BQ27" s="4">
        <v>1.5958000000000001E-3</v>
      </c>
      <c r="BR27" s="4">
        <v>1.5727E-3</v>
      </c>
      <c r="BS27" s="4">
        <v>1.5499999999999999E-3</v>
      </c>
      <c r="BT27" s="4">
        <v>1.5276000000000001E-3</v>
      </c>
      <c r="BU27" s="4">
        <v>1.5056E-3</v>
      </c>
      <c r="BV27" s="4">
        <v>1.4839E-3</v>
      </c>
      <c r="BW27" s="4">
        <v>1.4626000000000001E-3</v>
      </c>
      <c r="BX27" s="4">
        <v>1.4415999999999999E-3</v>
      </c>
      <c r="BY27" s="4">
        <v>1.421E-3</v>
      </c>
      <c r="BZ27" s="4">
        <v>1.4005999999999999E-3</v>
      </c>
      <c r="CA27" s="4">
        <v>1.3806000000000001E-3</v>
      </c>
      <c r="CB27" s="4">
        <v>1.3609E-3</v>
      </c>
      <c r="CC27" s="4">
        <v>1.3415E-3</v>
      </c>
      <c r="CD27" s="4">
        <v>1.3223E-3</v>
      </c>
      <c r="CE27" s="4">
        <v>1.3035E-3</v>
      </c>
      <c r="CF27" s="4">
        <v>1.2849999999999999E-3</v>
      </c>
      <c r="CG27" s="4">
        <v>1.2666999999999999E-3</v>
      </c>
      <c r="CH27" s="4">
        <v>1.2488E-3</v>
      </c>
      <c r="CI27" s="4">
        <v>1.2310999999999999E-3</v>
      </c>
      <c r="CJ27" s="4">
        <v>1.2136E-3</v>
      </c>
      <c r="CK27" s="4">
        <v>1.1964E-3</v>
      </c>
      <c r="CL27" s="4">
        <v>1.1795E-3</v>
      </c>
      <c r="CM27" s="4">
        <v>1.1628999999999999E-3</v>
      </c>
      <c r="CN27" s="4">
        <v>1.1463999999999999E-3</v>
      </c>
      <c r="CO27" s="4">
        <v>1.1303000000000001E-3</v>
      </c>
      <c r="CP27" s="4">
        <v>1.1142999999999999E-3</v>
      </c>
      <c r="CQ27" s="4">
        <v>1.0985999999999999E-3</v>
      </c>
      <c r="CR27" s="4">
        <v>1.0832000000000001E-3</v>
      </c>
      <c r="CS27" s="4">
        <v>1.0679000000000001E-3</v>
      </c>
      <c r="CT27" s="4">
        <v>1.0529000000000001E-3</v>
      </c>
      <c r="CU27" s="4">
        <v>1.0380999999999999E-3</v>
      </c>
      <c r="CV27" s="4">
        <v>1.0235000000000001E-3</v>
      </c>
      <c r="CW27" s="4">
        <v>1.0092E-3</v>
      </c>
      <c r="CX27" s="4">
        <v>9.9500000000000001E-4</v>
      </c>
      <c r="CY27" s="4">
        <v>9.8109999999999994E-4</v>
      </c>
      <c r="CZ27" s="4">
        <v>9.6730000000000004E-4</v>
      </c>
      <c r="DA27" s="4">
        <v>9.5379999999999998E-4</v>
      </c>
      <c r="DB27" s="4">
        <v>9.4039999999999998E-4</v>
      </c>
      <c r="DC27" s="4">
        <v>9.2719999999999999E-4</v>
      </c>
      <c r="DD27" s="4">
        <v>9.1430000000000005E-4</v>
      </c>
      <c r="DE27" s="4">
        <v>9.0149999999999996E-4</v>
      </c>
      <c r="DF27" s="4">
        <v>8.8880000000000003E-4</v>
      </c>
      <c r="DG27" s="4">
        <v>8.7640000000000005E-4</v>
      </c>
      <c r="DH27" s="4">
        <v>8.6419999999999997E-4</v>
      </c>
      <c r="DI27" s="4">
        <v>8.5209999999999995E-4</v>
      </c>
      <c r="DJ27" s="4">
        <v>8.4020000000000004E-4</v>
      </c>
      <c r="DK27" s="4">
        <v>8.2839999999999997E-4</v>
      </c>
      <c r="DL27" s="4">
        <v>8.1689999999999996E-4</v>
      </c>
      <c r="DM27" s="4">
        <v>8.0539999999999995E-4</v>
      </c>
      <c r="DN27" s="4">
        <v>7.9420000000000001E-4</v>
      </c>
      <c r="DO27" s="4">
        <v>7.8310000000000001E-4</v>
      </c>
      <c r="DP27" s="4">
        <v>7.7209999999999996E-4</v>
      </c>
      <c r="DQ27" s="4">
        <v>5.4037500000000002E-2</v>
      </c>
      <c r="DR27" s="4">
        <v>0</v>
      </c>
      <c r="DS27" s="4">
        <v>1.3129999999999999E-4</v>
      </c>
      <c r="DT27" s="4">
        <v>1.9699999999999999E-4</v>
      </c>
      <c r="DU27" s="4">
        <v>5.4299999999999997E-4</v>
      </c>
      <c r="DV27" s="4">
        <v>6.5850000000000001E-4</v>
      </c>
      <c r="DW27" s="4">
        <v>6.2540000000000002E-4</v>
      </c>
      <c r="DX27" s="4">
        <v>5.8370000000000004E-4</v>
      </c>
      <c r="DY27" s="4">
        <v>5.2689999999999996E-4</v>
      </c>
      <c r="DZ27" s="4">
        <v>4.6529999999999998E-4</v>
      </c>
      <c r="EA27" s="4">
        <v>4.1280000000000001E-4</v>
      </c>
      <c r="EB27" s="4">
        <v>3.6600000000000001E-4</v>
      </c>
      <c r="EC27" s="4">
        <v>3.2600000000000001E-4</v>
      </c>
      <c r="ED27" s="4">
        <v>2.9129999999999998E-4</v>
      </c>
      <c r="EE27" s="4">
        <v>2.6049999999999999E-4</v>
      </c>
      <c r="EF27" s="4">
        <v>2.33E-4</v>
      </c>
      <c r="EG27" s="4">
        <v>2.029E-4</v>
      </c>
      <c r="EH27" s="4">
        <v>1.8349999999999999E-4</v>
      </c>
      <c r="EI27" s="4">
        <v>1.6579999999999999E-4</v>
      </c>
      <c r="EJ27" s="4">
        <v>1.439E-4</v>
      </c>
      <c r="EK27" s="4">
        <v>1.449E-4</v>
      </c>
      <c r="EL27" s="4">
        <v>1.325E-4</v>
      </c>
      <c r="EM27" s="4">
        <v>1.2290000000000001E-4</v>
      </c>
      <c r="EN27" s="4">
        <v>1.141E-4</v>
      </c>
      <c r="EO27" s="4">
        <v>1.064E-4</v>
      </c>
      <c r="EP27" s="4">
        <v>9.9400000000000004E-5</v>
      </c>
      <c r="EQ27" s="4">
        <v>9.31E-5</v>
      </c>
      <c r="ER27" s="4">
        <v>8.7499999999999999E-5</v>
      </c>
      <c r="ES27" s="4">
        <v>8.2399999999999997E-5</v>
      </c>
      <c r="ET27" s="4">
        <v>7.7700000000000005E-5</v>
      </c>
      <c r="EU27" s="4">
        <v>7.3499999999999998E-5</v>
      </c>
      <c r="EV27" s="4">
        <v>6.9599999999999998E-5</v>
      </c>
      <c r="EW27" s="4">
        <v>6.6000000000000005E-5</v>
      </c>
      <c r="EX27" s="4">
        <v>6.2700000000000006E-5</v>
      </c>
      <c r="EY27" s="4">
        <v>5.9700000000000001E-5</v>
      </c>
      <c r="EZ27" s="4">
        <v>5.6900000000000001E-5</v>
      </c>
      <c r="FA27" s="4">
        <v>5.4299999999999998E-5</v>
      </c>
      <c r="FB27" s="4">
        <v>5.1900000000000001E-5</v>
      </c>
      <c r="FC27" s="4">
        <v>4.9700000000000002E-5</v>
      </c>
      <c r="FD27" s="4">
        <v>4.7599999999999998E-5</v>
      </c>
      <c r="FE27" s="4">
        <v>4.57E-5</v>
      </c>
      <c r="FF27" s="4">
        <v>4.3900000000000003E-5</v>
      </c>
      <c r="FG27" s="4">
        <v>4.2299999999999998E-5</v>
      </c>
      <c r="FH27" s="4">
        <v>4.07E-5</v>
      </c>
      <c r="FI27" s="4">
        <v>3.93E-5</v>
      </c>
      <c r="FJ27" s="4">
        <v>3.8000000000000002E-5</v>
      </c>
      <c r="FK27" s="4">
        <v>3.6699999999999998E-5</v>
      </c>
      <c r="FL27" s="4">
        <v>3.5599999999999998E-5</v>
      </c>
      <c r="FM27" s="4">
        <v>3.4499999999999998E-5</v>
      </c>
      <c r="FN27" s="4">
        <v>3.3500000000000001E-5</v>
      </c>
      <c r="FO27" s="4">
        <v>3.26E-5</v>
      </c>
      <c r="FP27" s="4">
        <v>3.1699999999999998E-5</v>
      </c>
      <c r="FQ27" s="4">
        <v>3.0899999999999999E-5</v>
      </c>
      <c r="FR27" s="4">
        <v>3.01E-5</v>
      </c>
      <c r="FS27" s="4">
        <v>2.94E-5</v>
      </c>
      <c r="FT27" s="4">
        <v>2.87E-5</v>
      </c>
      <c r="FU27" s="4">
        <v>2.8E-5</v>
      </c>
      <c r="FV27" s="4">
        <v>2.7399999999999999E-5</v>
      </c>
      <c r="FW27" s="4">
        <v>2.6800000000000001E-5</v>
      </c>
      <c r="FX27" s="4">
        <v>2.6299999999999999E-5</v>
      </c>
      <c r="FY27" s="4">
        <v>2.58E-5</v>
      </c>
      <c r="FZ27" s="4">
        <v>2.5299999999999998E-5</v>
      </c>
      <c r="GA27" s="4">
        <v>2.48E-5</v>
      </c>
      <c r="GB27" s="4">
        <v>2.4300000000000001E-5</v>
      </c>
      <c r="GC27" s="4">
        <v>2.3900000000000002E-5</v>
      </c>
      <c r="GD27" s="4">
        <v>2.3499999999999999E-5</v>
      </c>
      <c r="GE27" s="4">
        <v>2.3099999999999999E-5</v>
      </c>
      <c r="GF27" s="4">
        <v>2.27E-5</v>
      </c>
      <c r="GG27" s="4">
        <v>2.23E-5</v>
      </c>
      <c r="GH27" s="4">
        <v>2.1999999999999999E-5</v>
      </c>
      <c r="GI27" s="4">
        <v>2.16E-5</v>
      </c>
      <c r="GJ27" s="4">
        <v>2.1299999999999999E-5</v>
      </c>
      <c r="GK27" s="4">
        <v>2.09E-5</v>
      </c>
      <c r="GL27" s="4">
        <v>2.0599999999999999E-5</v>
      </c>
      <c r="GM27" s="4">
        <v>2.0299999999999999E-5</v>
      </c>
      <c r="GN27" s="4">
        <v>2.0000000000000002E-5</v>
      </c>
      <c r="GO27" s="4">
        <v>1.9700000000000001E-5</v>
      </c>
      <c r="GP27" s="4">
        <v>1.9400000000000001E-5</v>
      </c>
      <c r="GQ27" s="4">
        <v>1.9199999999999999E-5</v>
      </c>
      <c r="GR27" s="4">
        <v>1.8899999999999999E-5</v>
      </c>
      <c r="GS27" s="4">
        <v>1.8600000000000001E-5</v>
      </c>
      <c r="GT27" s="4">
        <v>1.84E-5</v>
      </c>
      <c r="GU27" s="4">
        <v>1.8099999999999999E-5</v>
      </c>
      <c r="GV27" s="4">
        <v>1.7900000000000001E-5</v>
      </c>
      <c r="GW27" s="4">
        <v>1.7600000000000001E-5</v>
      </c>
      <c r="GX27" s="4">
        <v>1.7399999999999999E-5</v>
      </c>
      <c r="GY27" s="4">
        <v>1.7099999999999999E-5</v>
      </c>
      <c r="GZ27" s="4">
        <v>1.6900000000000001E-5</v>
      </c>
      <c r="HA27" s="4">
        <v>1.6699999999999999E-5</v>
      </c>
      <c r="HB27" s="4">
        <v>1.6399999999999999E-5</v>
      </c>
      <c r="HC27" s="4">
        <v>1.6200000000000001E-5</v>
      </c>
      <c r="HD27" s="4">
        <v>1.5999999999999999E-5</v>
      </c>
      <c r="HE27" s="4">
        <v>1.5800000000000001E-5</v>
      </c>
      <c r="HF27" s="4">
        <v>1.56E-5</v>
      </c>
      <c r="HG27" s="4">
        <v>1.5400000000000002E-5</v>
      </c>
      <c r="HH27" s="4">
        <v>1.52E-5</v>
      </c>
      <c r="HI27" s="4">
        <v>1.5E-5</v>
      </c>
      <c r="HJ27" s="4">
        <v>1.4800000000000001E-5</v>
      </c>
      <c r="HK27" s="4">
        <v>1.4600000000000001E-5</v>
      </c>
      <c r="HL27" s="4">
        <v>1.4399999999999999E-5</v>
      </c>
      <c r="HM27" s="4">
        <v>1.42E-5</v>
      </c>
      <c r="HN27" s="4">
        <v>1.4E-5</v>
      </c>
      <c r="HO27" s="4">
        <v>1.38E-5</v>
      </c>
      <c r="HP27" s="4">
        <v>1.36E-5</v>
      </c>
      <c r="HQ27" s="4">
        <v>1.3499999999999999E-5</v>
      </c>
      <c r="HR27" s="4">
        <v>1.33E-5</v>
      </c>
      <c r="HS27" s="4">
        <v>1.31E-5</v>
      </c>
      <c r="HT27" s="4">
        <v>1.29E-5</v>
      </c>
      <c r="HU27" s="4">
        <v>1.27E-5</v>
      </c>
      <c r="HV27" s="4">
        <v>1.26E-5</v>
      </c>
      <c r="HW27" s="4">
        <v>1.24E-5</v>
      </c>
      <c r="HX27" s="4">
        <v>1.22E-5</v>
      </c>
      <c r="HY27" s="4">
        <v>1.2099999999999999E-5</v>
      </c>
      <c r="HZ27" s="4">
        <v>1.19E-5</v>
      </c>
      <c r="IA27" s="4">
        <v>1.1800000000000001E-5</v>
      </c>
      <c r="IB27" s="4">
        <v>1.1600000000000001E-5</v>
      </c>
      <c r="IC27" s="4">
        <v>1.15E-5</v>
      </c>
      <c r="ID27" s="4">
        <v>1.13E-5</v>
      </c>
      <c r="IE27" s="4">
        <v>1.11E-5</v>
      </c>
      <c r="IF27" s="4">
        <v>1.1E-5</v>
      </c>
      <c r="IG27" s="4">
        <v>7.8160000000000002E-4</v>
      </c>
      <c r="IH27" s="4"/>
      <c r="II27" s="4">
        <f t="shared" si="247"/>
        <v>0.11293656904472069</v>
      </c>
      <c r="IL27">
        <f t="shared" si="248"/>
        <v>0.35303622499999993</v>
      </c>
      <c r="IP27" s="4">
        <f t="shared" si="249"/>
        <v>3.9858499999999998E-2</v>
      </c>
      <c r="IQ27" s="4">
        <f t="shared" si="250"/>
        <v>3.1507099999999996E-2</v>
      </c>
      <c r="IR27" s="4">
        <f t="shared" si="251"/>
        <v>2.4197699999999996E-2</v>
      </c>
      <c r="IS27" s="4">
        <f t="shared" si="252"/>
        <v>1.89918E-2</v>
      </c>
      <c r="IT27" s="4">
        <f t="shared" si="253"/>
        <v>1.5452499999999999E-2</v>
      </c>
      <c r="IU27" s="4">
        <f t="shared" si="254"/>
        <v>5.8900500000000001E-2</v>
      </c>
      <c r="IV27" s="4">
        <f t="shared" si="255"/>
        <v>4.1053600000000003E-2</v>
      </c>
      <c r="IW27" s="4">
        <f t="shared" si="256"/>
        <v>3.0448199999999998E-2</v>
      </c>
      <c r="IX27" s="4">
        <f t="shared" si="257"/>
        <v>9.2591800000000002E-2</v>
      </c>
      <c r="JA27" s="4">
        <f t="shared" si="289"/>
        <v>8.2954000000000014E-3</v>
      </c>
      <c r="JB27" s="4">
        <f t="shared" si="290"/>
        <v>7.3329000000000033E-3</v>
      </c>
      <c r="JC27" s="4">
        <f t="shared" si="260"/>
        <v>4.5670000000000016E-3</v>
      </c>
      <c r="JD27" s="4">
        <f t="shared" si="261"/>
        <v>2.8808999999999987E-3</v>
      </c>
      <c r="JE27" s="4">
        <f t="shared" si="262"/>
        <v>2.109999999999999E-3</v>
      </c>
      <c r="JF27" s="4">
        <f t="shared" si="263"/>
        <v>5.349599999999996E-3</v>
      </c>
      <c r="JG27" s="4">
        <f t="shared" si="264"/>
        <v>2.4713999999999917E-3</v>
      </c>
      <c r="JH27" s="4">
        <f t="shared" si="265"/>
        <v>1.6606999999999976E-3</v>
      </c>
      <c r="JI27" s="4">
        <f t="shared" si="266"/>
        <v>5.2027999999999935E-3</v>
      </c>
      <c r="JK27">
        <f t="shared" si="284"/>
        <v>2012.5</v>
      </c>
      <c r="JL27">
        <f t="shared" si="291"/>
        <v>20.81212288470465</v>
      </c>
      <c r="JM27">
        <f t="shared" si="292"/>
        <v>23.273801778011954</v>
      </c>
      <c r="JN27">
        <f t="shared" si="293"/>
        <v>18.873694607338724</v>
      </c>
      <c r="JO27">
        <f t="shared" si="294"/>
        <v>15.169178276940567</v>
      </c>
      <c r="JP27">
        <f t="shared" si="295"/>
        <v>13.654748422585337</v>
      </c>
      <c r="JQ27">
        <f t="shared" si="296"/>
        <v>9.0824356329742475</v>
      </c>
      <c r="JR27">
        <f t="shared" si="297"/>
        <v>6.0199349143558454</v>
      </c>
      <c r="JS27">
        <f t="shared" si="298"/>
        <v>5.4541811995454506</v>
      </c>
      <c r="JT27">
        <f t="shared" si="299"/>
        <v>5.6190720992571634</v>
      </c>
      <c r="JV27" s="12">
        <f t="shared" si="285"/>
        <v>2012.5</v>
      </c>
      <c r="JW27" s="12">
        <f t="shared" si="300"/>
        <v>0.71967281305103015</v>
      </c>
      <c r="JX27" s="12">
        <f t="shared" si="301"/>
        <v>0.11008790291080928</v>
      </c>
      <c r="JY27" s="12">
        <f t="shared" si="302"/>
        <v>-0.69084795015841394</v>
      </c>
      <c r="JZ27" s="12">
        <f t="shared" si="303"/>
        <v>-0.91769965721704594</v>
      </c>
      <c r="KA27" s="12">
        <f t="shared" si="304"/>
        <v>0.2584242467931368</v>
      </c>
      <c r="KB27" s="12">
        <f t="shared" si="305"/>
        <v>-0.2089636348593249</v>
      </c>
      <c r="KC27" s="12">
        <f t="shared" si="306"/>
        <v>-0.17539192368474676</v>
      </c>
      <c r="KD27" s="12">
        <f t="shared" si="307"/>
        <v>-6.4346926888826594E-2</v>
      </c>
      <c r="KE27" s="12">
        <f t="shared" si="308"/>
        <v>8.5408257551219613E-2</v>
      </c>
    </row>
    <row r="28" spans="1:291" x14ac:dyDescent="0.35">
      <c r="A28" s="1">
        <v>20</v>
      </c>
      <c r="B28" s="4">
        <v>1.0309199999999999E-2</v>
      </c>
      <c r="C28" s="4">
        <v>1.0309199999999999E-2</v>
      </c>
      <c r="D28" s="4">
        <v>1.0178E-2</v>
      </c>
      <c r="E28" s="4">
        <v>9.9805999999999992E-3</v>
      </c>
      <c r="F28" s="4">
        <v>9.4146000000000004E-3</v>
      </c>
      <c r="G28" s="4">
        <v>8.7554999999999994E-3</v>
      </c>
      <c r="H28" s="4">
        <v>8.1262000000000001E-3</v>
      </c>
      <c r="I28" s="4">
        <v>7.5433999999999996E-3</v>
      </c>
      <c r="J28" s="4">
        <v>7.0397999999999997E-3</v>
      </c>
      <c r="K28" s="4">
        <v>6.5963000000000003E-3</v>
      </c>
      <c r="L28" s="4">
        <v>6.1973000000000002E-3</v>
      </c>
      <c r="M28" s="4">
        <v>5.842E-3</v>
      </c>
      <c r="N28" s="4">
        <v>5.5250999999999998E-3</v>
      </c>
      <c r="O28" s="4">
        <v>5.2372E-3</v>
      </c>
      <c r="P28" s="4">
        <v>4.9597E-3</v>
      </c>
      <c r="Q28" s="4">
        <v>4.6902000000000003E-3</v>
      </c>
      <c r="R28" s="4">
        <v>4.3359999999999996E-3</v>
      </c>
      <c r="S28" s="4">
        <v>4.1260000000000003E-3</v>
      </c>
      <c r="T28" s="4">
        <v>3.9265000000000003E-3</v>
      </c>
      <c r="U28" s="4">
        <v>3.6120000000000002E-3</v>
      </c>
      <c r="V28" s="4">
        <v>3.7266999999999999E-3</v>
      </c>
      <c r="W28" s="4">
        <v>3.6002999999999999E-3</v>
      </c>
      <c r="X28" s="4">
        <v>3.5087999999999999E-3</v>
      </c>
      <c r="Y28" s="4">
        <v>3.4206000000000002E-3</v>
      </c>
      <c r="Z28" s="4">
        <v>3.3384E-3</v>
      </c>
      <c r="AA28" s="4">
        <v>3.2599999999999999E-3</v>
      </c>
      <c r="AB28" s="4">
        <v>3.186E-3</v>
      </c>
      <c r="AC28" s="4">
        <v>3.1153000000000001E-3</v>
      </c>
      <c r="AD28" s="4">
        <v>3.0476000000000001E-3</v>
      </c>
      <c r="AE28" s="4">
        <v>2.9827999999999999E-3</v>
      </c>
      <c r="AF28" s="4">
        <v>2.9206000000000002E-3</v>
      </c>
      <c r="AG28" s="4">
        <v>2.8609999999999998E-3</v>
      </c>
      <c r="AH28" s="4">
        <v>2.8037000000000001E-3</v>
      </c>
      <c r="AI28" s="4">
        <v>2.7487000000000002E-3</v>
      </c>
      <c r="AJ28" s="4">
        <v>2.6957999999999999E-3</v>
      </c>
      <c r="AK28" s="4">
        <v>2.6450000000000002E-3</v>
      </c>
      <c r="AL28" s="4">
        <v>2.5959999999999998E-3</v>
      </c>
      <c r="AM28" s="4">
        <v>2.5489000000000002E-3</v>
      </c>
      <c r="AN28" s="4">
        <v>2.5033999999999998E-3</v>
      </c>
      <c r="AO28" s="4">
        <v>2.4594999999999999E-3</v>
      </c>
      <c r="AP28" s="4">
        <v>2.4171000000000002E-3</v>
      </c>
      <c r="AQ28" s="4">
        <v>2.3760999999999999E-3</v>
      </c>
      <c r="AR28" s="4">
        <v>2.3364000000000002E-3</v>
      </c>
      <c r="AS28" s="4">
        <v>2.2978999999999999E-3</v>
      </c>
      <c r="AT28" s="4">
        <v>2.2606000000000002E-3</v>
      </c>
      <c r="AU28" s="4">
        <v>2.2242999999999998E-3</v>
      </c>
      <c r="AV28" s="4">
        <v>2.1889000000000001E-3</v>
      </c>
      <c r="AW28" s="4">
        <v>2.1545000000000002E-3</v>
      </c>
      <c r="AX28" s="4">
        <v>2.1210000000000001E-3</v>
      </c>
      <c r="AY28" s="4">
        <v>2.0882000000000001E-3</v>
      </c>
      <c r="AZ28" s="4">
        <v>2.0562000000000002E-3</v>
      </c>
      <c r="BA28" s="4">
        <v>2.0249000000000001E-3</v>
      </c>
      <c r="BB28" s="4">
        <v>1.9941999999999998E-3</v>
      </c>
      <c r="BC28" s="4">
        <v>1.9642000000000001E-3</v>
      </c>
      <c r="BD28" s="4">
        <v>1.9348E-3</v>
      </c>
      <c r="BE28" s="4">
        <v>1.9059000000000001E-3</v>
      </c>
      <c r="BF28" s="4">
        <v>1.8776000000000001E-3</v>
      </c>
      <c r="BG28" s="4">
        <v>1.8498E-3</v>
      </c>
      <c r="BH28" s="4">
        <v>1.8224999999999999E-3</v>
      </c>
      <c r="BI28" s="4">
        <v>1.7956000000000001E-3</v>
      </c>
      <c r="BJ28" s="4">
        <v>1.7692999999999999E-3</v>
      </c>
      <c r="BK28" s="4">
        <v>1.7432999999999999E-3</v>
      </c>
      <c r="BL28" s="4">
        <v>1.7179000000000001E-3</v>
      </c>
      <c r="BM28" s="4">
        <v>1.6927999999999999E-3</v>
      </c>
      <c r="BN28" s="4">
        <v>1.6682000000000001E-3</v>
      </c>
      <c r="BO28" s="4">
        <v>1.6439E-3</v>
      </c>
      <c r="BP28" s="4">
        <v>1.6201E-3</v>
      </c>
      <c r="BQ28" s="4">
        <v>1.5966000000000001E-3</v>
      </c>
      <c r="BR28" s="4">
        <v>1.5735E-3</v>
      </c>
      <c r="BS28" s="4">
        <v>1.5506999999999999E-3</v>
      </c>
      <c r="BT28" s="4">
        <v>1.5284000000000001E-3</v>
      </c>
      <c r="BU28" s="4">
        <v>1.5062999999999999E-3</v>
      </c>
      <c r="BV28" s="4">
        <v>1.4847E-3</v>
      </c>
      <c r="BW28" s="4">
        <v>1.4633000000000001E-3</v>
      </c>
      <c r="BX28" s="4">
        <v>1.4423000000000001E-3</v>
      </c>
      <c r="BY28" s="4">
        <v>1.4216000000000001E-3</v>
      </c>
      <c r="BZ28" s="4">
        <v>1.4012E-3</v>
      </c>
      <c r="CA28" s="4">
        <v>1.3812E-3</v>
      </c>
      <c r="CB28" s="4">
        <v>1.3614E-3</v>
      </c>
      <c r="CC28" s="4">
        <v>1.3420000000000001E-3</v>
      </c>
      <c r="CD28" s="4">
        <v>1.3228000000000001E-3</v>
      </c>
      <c r="CE28" s="4">
        <v>1.304E-3</v>
      </c>
      <c r="CF28" s="4">
        <v>1.2853999999999999E-3</v>
      </c>
      <c r="CG28" s="4">
        <v>1.2671E-3</v>
      </c>
      <c r="CH28" s="4">
        <v>1.2490999999999999E-3</v>
      </c>
      <c r="CI28" s="4">
        <v>1.2313999999999999E-3</v>
      </c>
      <c r="CJ28" s="4">
        <v>1.2139E-3</v>
      </c>
      <c r="CK28" s="4">
        <v>1.1967E-3</v>
      </c>
      <c r="CL28" s="4">
        <v>1.1797999999999999E-3</v>
      </c>
      <c r="CM28" s="4">
        <v>1.1631E-3</v>
      </c>
      <c r="CN28" s="4">
        <v>1.1466E-3</v>
      </c>
      <c r="CO28" s="4">
        <v>1.1303999999999999E-3</v>
      </c>
      <c r="CP28" s="4">
        <v>1.1145E-3</v>
      </c>
      <c r="CQ28" s="4">
        <v>1.0988E-3</v>
      </c>
      <c r="CR28" s="4">
        <v>1.0832999999999999E-3</v>
      </c>
      <c r="CS28" s="4">
        <v>1.0679999999999999E-3</v>
      </c>
      <c r="CT28" s="4">
        <v>1.0529999999999999E-3</v>
      </c>
      <c r="CU28" s="4">
        <v>1.0382E-3</v>
      </c>
      <c r="CV28" s="4">
        <v>1.0235999999999999E-3</v>
      </c>
      <c r="CW28" s="4">
        <v>1.0092E-3</v>
      </c>
      <c r="CX28" s="4">
        <v>9.9500000000000001E-4</v>
      </c>
      <c r="CY28" s="4">
        <v>9.810000000000001E-4</v>
      </c>
      <c r="CZ28" s="4">
        <v>9.6730000000000004E-4</v>
      </c>
      <c r="DA28" s="4">
        <v>9.5370000000000003E-4</v>
      </c>
      <c r="DB28" s="4">
        <v>9.4030000000000003E-4</v>
      </c>
      <c r="DC28" s="4">
        <v>9.2710000000000004E-4</v>
      </c>
      <c r="DD28" s="4">
        <v>9.1410000000000005E-4</v>
      </c>
      <c r="DE28" s="4">
        <v>9.0129999999999995E-4</v>
      </c>
      <c r="DF28" s="4">
        <v>8.8869999999999997E-4</v>
      </c>
      <c r="DG28" s="4">
        <v>8.763E-4</v>
      </c>
      <c r="DH28" s="4">
        <v>8.6399999999999997E-4</v>
      </c>
      <c r="DI28" s="4">
        <v>8.5190000000000005E-4</v>
      </c>
      <c r="DJ28" s="4">
        <v>8.4000000000000003E-4</v>
      </c>
      <c r="DK28" s="4">
        <v>8.2819999999999996E-4</v>
      </c>
      <c r="DL28" s="4">
        <v>8.1669999999999996E-4</v>
      </c>
      <c r="DM28" s="4">
        <v>8.0519999999999995E-4</v>
      </c>
      <c r="DN28" s="4">
        <v>7.94E-4</v>
      </c>
      <c r="DO28" s="4">
        <v>7.829E-4</v>
      </c>
      <c r="DP28" s="4">
        <v>7.7189999999999995E-4</v>
      </c>
      <c r="DQ28" s="4">
        <v>5.4017000000000003E-2</v>
      </c>
      <c r="DR28" s="4">
        <v>0</v>
      </c>
      <c r="DS28" s="4">
        <v>1.317E-4</v>
      </c>
      <c r="DT28" s="4">
        <v>2.198E-4</v>
      </c>
      <c r="DU28" s="4">
        <v>5.622E-4</v>
      </c>
      <c r="DV28" s="4">
        <v>6.512E-4</v>
      </c>
      <c r="DW28" s="4">
        <v>6.3170000000000001E-4</v>
      </c>
      <c r="DX28" s="4">
        <v>5.8609999999999999E-4</v>
      </c>
      <c r="DY28" s="4">
        <v>5.2320000000000003E-4</v>
      </c>
      <c r="DZ28" s="4">
        <v>4.6190000000000001E-4</v>
      </c>
      <c r="EA28" s="4">
        <v>4.1070000000000001E-4</v>
      </c>
      <c r="EB28" s="4">
        <v>3.6319999999999999E-4</v>
      </c>
      <c r="EC28" s="4">
        <v>3.2239999999999998E-4</v>
      </c>
      <c r="ED28" s="4">
        <v>2.8739999999999999E-4</v>
      </c>
      <c r="EE28" s="4">
        <v>2.5740000000000002E-4</v>
      </c>
      <c r="EF28" s="4">
        <v>2.308E-4</v>
      </c>
      <c r="EG28" s="4">
        <v>2.0709999999999999E-4</v>
      </c>
      <c r="EH28" s="4">
        <v>1.8110000000000001E-4</v>
      </c>
      <c r="EI28" s="4">
        <v>1.6440000000000001E-4</v>
      </c>
      <c r="EJ28" s="4">
        <v>1.4919999999999999E-4</v>
      </c>
      <c r="EK28" s="4">
        <v>1.3009999999999999E-4</v>
      </c>
      <c r="EL28" s="4">
        <v>1.3119999999999999E-4</v>
      </c>
      <c r="EM28" s="4">
        <v>1.205E-4</v>
      </c>
      <c r="EN28" s="4">
        <v>1.1230000000000001E-4</v>
      </c>
      <c r="EO28" s="4">
        <v>1.047E-4</v>
      </c>
      <c r="EP28" s="4">
        <v>9.7999999999999997E-5</v>
      </c>
      <c r="EQ28" s="4">
        <v>9.1899999999999998E-5</v>
      </c>
      <c r="ER28" s="4">
        <v>8.6399999999999999E-5</v>
      </c>
      <c r="ES28" s="4">
        <v>8.14E-5</v>
      </c>
      <c r="ET28" s="4">
        <v>7.6899999999999999E-5</v>
      </c>
      <c r="EU28" s="4">
        <v>7.2799999999999994E-5</v>
      </c>
      <c r="EV28" s="4">
        <v>6.8999999999999997E-5</v>
      </c>
      <c r="EW28" s="4">
        <v>6.5500000000000006E-5</v>
      </c>
      <c r="EX28" s="4">
        <v>6.2299999999999996E-5</v>
      </c>
      <c r="EY28" s="4">
        <v>5.9299999999999998E-5</v>
      </c>
      <c r="EZ28" s="4">
        <v>5.66E-5</v>
      </c>
      <c r="FA28" s="4">
        <v>5.3999999999999998E-5</v>
      </c>
      <c r="FB28" s="4">
        <v>5.1700000000000003E-5</v>
      </c>
      <c r="FC28" s="4">
        <v>4.9499999999999997E-5</v>
      </c>
      <c r="FD28" s="4">
        <v>4.74E-5</v>
      </c>
      <c r="FE28" s="4">
        <v>4.5599999999999997E-5</v>
      </c>
      <c r="FF28" s="4">
        <v>4.3800000000000001E-5</v>
      </c>
      <c r="FG28" s="4">
        <v>4.2200000000000003E-5</v>
      </c>
      <c r="FH28" s="4">
        <v>4.07E-5</v>
      </c>
      <c r="FI28" s="4">
        <v>3.93E-5</v>
      </c>
      <c r="FJ28" s="4">
        <v>3.8000000000000002E-5</v>
      </c>
      <c r="FK28" s="4">
        <v>3.6699999999999998E-5</v>
      </c>
      <c r="FL28" s="4">
        <v>3.5599999999999998E-5</v>
      </c>
      <c r="FM28" s="4">
        <v>3.4499999999999998E-5</v>
      </c>
      <c r="FN28" s="4">
        <v>3.3599999999999997E-5</v>
      </c>
      <c r="FO28" s="4">
        <v>3.26E-5</v>
      </c>
      <c r="FP28" s="4">
        <v>3.18E-5</v>
      </c>
      <c r="FQ28" s="4">
        <v>3.0899999999999999E-5</v>
      </c>
      <c r="FR28" s="4">
        <v>3.0199999999999999E-5</v>
      </c>
      <c r="FS28" s="4">
        <v>2.9499999999999999E-5</v>
      </c>
      <c r="FT28" s="4">
        <v>2.8799999999999999E-5</v>
      </c>
      <c r="FU28" s="4">
        <v>2.8099999999999999E-5</v>
      </c>
      <c r="FV28" s="4">
        <v>2.7500000000000001E-5</v>
      </c>
      <c r="FW28" s="4">
        <v>2.69E-5</v>
      </c>
      <c r="FX28" s="4">
        <v>2.6400000000000001E-5</v>
      </c>
      <c r="FY28" s="4">
        <v>2.5899999999999999E-5</v>
      </c>
      <c r="FZ28" s="4">
        <v>2.5400000000000001E-5</v>
      </c>
      <c r="GA28" s="4">
        <v>2.4899999999999999E-5</v>
      </c>
      <c r="GB28" s="4">
        <v>2.44E-5</v>
      </c>
      <c r="GC28" s="4">
        <v>2.4000000000000001E-5</v>
      </c>
      <c r="GD28" s="4">
        <v>2.3600000000000001E-5</v>
      </c>
      <c r="GE28" s="4">
        <v>2.3200000000000001E-5</v>
      </c>
      <c r="GF28" s="4">
        <v>2.2799999999999999E-5</v>
      </c>
      <c r="GG28" s="4">
        <v>2.2399999999999999E-5</v>
      </c>
      <c r="GH28" s="4">
        <v>2.1999999999999999E-5</v>
      </c>
      <c r="GI28" s="4">
        <v>2.1699999999999999E-5</v>
      </c>
      <c r="GJ28" s="4">
        <v>2.1399999999999998E-5</v>
      </c>
      <c r="GK28" s="4">
        <v>2.0999999999999999E-5</v>
      </c>
      <c r="GL28" s="4">
        <v>2.0699999999999998E-5</v>
      </c>
      <c r="GM28" s="4">
        <v>2.0400000000000001E-5</v>
      </c>
      <c r="GN28" s="4">
        <v>2.0100000000000001E-5</v>
      </c>
      <c r="GO28" s="4">
        <v>1.98E-5</v>
      </c>
      <c r="GP28" s="4">
        <v>1.95E-5</v>
      </c>
      <c r="GQ28" s="4">
        <v>1.9199999999999999E-5</v>
      </c>
      <c r="GR28" s="4">
        <v>1.9000000000000001E-5</v>
      </c>
      <c r="GS28" s="4">
        <v>1.8700000000000001E-5</v>
      </c>
      <c r="GT28" s="4">
        <v>1.84E-5</v>
      </c>
      <c r="GU28" s="4">
        <v>1.8199999999999999E-5</v>
      </c>
      <c r="GV28" s="4">
        <v>1.7900000000000001E-5</v>
      </c>
      <c r="GW28" s="4">
        <v>1.77E-5</v>
      </c>
      <c r="GX28" s="4">
        <v>1.7399999999999999E-5</v>
      </c>
      <c r="GY28" s="4">
        <v>1.7200000000000001E-5</v>
      </c>
      <c r="GZ28" s="4">
        <v>1.6900000000000001E-5</v>
      </c>
      <c r="HA28" s="4">
        <v>1.6699999999999999E-5</v>
      </c>
      <c r="HB28" s="4">
        <v>1.6500000000000001E-5</v>
      </c>
      <c r="HC28" s="4">
        <v>1.63E-5</v>
      </c>
      <c r="HD28" s="4">
        <v>1.5999999999999999E-5</v>
      </c>
      <c r="HE28" s="4">
        <v>1.5800000000000001E-5</v>
      </c>
      <c r="HF28" s="4">
        <v>1.56E-5</v>
      </c>
      <c r="HG28" s="4">
        <v>1.5400000000000002E-5</v>
      </c>
      <c r="HH28" s="4">
        <v>1.52E-5</v>
      </c>
      <c r="HI28" s="4">
        <v>1.5E-5</v>
      </c>
      <c r="HJ28" s="4">
        <v>1.4800000000000001E-5</v>
      </c>
      <c r="HK28" s="4">
        <v>1.4600000000000001E-5</v>
      </c>
      <c r="HL28" s="4">
        <v>1.4399999999999999E-5</v>
      </c>
      <c r="HM28" s="4">
        <v>1.42E-5</v>
      </c>
      <c r="HN28" s="4">
        <v>1.4E-5</v>
      </c>
      <c r="HO28" s="4">
        <v>1.38E-5</v>
      </c>
      <c r="HP28" s="4">
        <v>1.36E-5</v>
      </c>
      <c r="HQ28" s="4">
        <v>1.3499999999999999E-5</v>
      </c>
      <c r="HR28" s="4">
        <v>1.33E-5</v>
      </c>
      <c r="HS28" s="4">
        <v>1.31E-5</v>
      </c>
      <c r="HT28" s="4">
        <v>1.29E-5</v>
      </c>
      <c r="HU28" s="4">
        <v>1.2799999999999999E-5</v>
      </c>
      <c r="HV28" s="4">
        <v>1.26E-5</v>
      </c>
      <c r="HW28" s="4">
        <v>1.24E-5</v>
      </c>
      <c r="HX28" s="4">
        <v>1.22E-5</v>
      </c>
      <c r="HY28" s="4">
        <v>1.2099999999999999E-5</v>
      </c>
      <c r="HZ28" s="4">
        <v>1.19E-5</v>
      </c>
      <c r="IA28" s="4">
        <v>1.1800000000000001E-5</v>
      </c>
      <c r="IB28" s="4">
        <v>1.1600000000000001E-5</v>
      </c>
      <c r="IC28" s="4">
        <v>1.1399999999999999E-5</v>
      </c>
      <c r="ID28" s="4">
        <v>1.13E-5</v>
      </c>
      <c r="IE28" s="4">
        <v>1.11E-5</v>
      </c>
      <c r="IF28" s="4">
        <v>1.1E-5</v>
      </c>
      <c r="IG28" s="4">
        <v>7.7999999999999999E-4</v>
      </c>
      <c r="IH28" s="4"/>
      <c r="II28" s="4">
        <f t="shared" si="247"/>
        <v>0.11375707781070134</v>
      </c>
      <c r="IL28">
        <f t="shared" si="248"/>
        <v>0.35295386249999972</v>
      </c>
      <c r="IP28" s="4">
        <f t="shared" si="249"/>
        <v>3.9882399999999998E-2</v>
      </c>
      <c r="IQ28" s="4">
        <f t="shared" si="250"/>
        <v>3.1464899999999997E-2</v>
      </c>
      <c r="IR28" s="4">
        <f t="shared" si="251"/>
        <v>2.41607E-2</v>
      </c>
      <c r="IS28" s="4">
        <f t="shared" si="252"/>
        <v>1.92231E-2</v>
      </c>
      <c r="IT28" s="4">
        <f t="shared" si="253"/>
        <v>1.5391200000000001E-2</v>
      </c>
      <c r="IU28" s="4">
        <f t="shared" si="254"/>
        <v>5.865950000000001E-2</v>
      </c>
      <c r="IV28" s="4">
        <f t="shared" si="255"/>
        <v>4.10429E-2</v>
      </c>
      <c r="IW28" s="4">
        <f t="shared" si="256"/>
        <v>3.0462199999999991E-2</v>
      </c>
      <c r="IX28" s="4">
        <f t="shared" si="257"/>
        <v>9.2572700000000008E-2</v>
      </c>
      <c r="JA28" s="4">
        <f t="shared" si="289"/>
        <v>8.3937000000000039E-3</v>
      </c>
      <c r="JB28" s="4">
        <f t="shared" si="290"/>
        <v>7.4426999999999965E-3</v>
      </c>
      <c r="JC28" s="4">
        <f t="shared" si="260"/>
        <v>4.6506000000000013E-3</v>
      </c>
      <c r="JD28" s="4">
        <f t="shared" si="261"/>
        <v>2.8800999999999966E-3</v>
      </c>
      <c r="JE28" s="4">
        <f t="shared" si="262"/>
        <v>2.1138999999999984E-3</v>
      </c>
      <c r="JF28" s="4">
        <f t="shared" si="263"/>
        <v>5.3461999999999885E-3</v>
      </c>
      <c r="JG28" s="4">
        <f t="shared" si="264"/>
        <v>2.4696999999999983E-3</v>
      </c>
      <c r="JH28" s="4">
        <f t="shared" si="265"/>
        <v>1.6623999999999979E-3</v>
      </c>
      <c r="JI28" s="4">
        <f t="shared" si="266"/>
        <v>5.1916999999999935E-3</v>
      </c>
    </row>
    <row r="29" spans="1:291" x14ac:dyDescent="0.35">
      <c r="A29" s="1">
        <v>21</v>
      </c>
      <c r="B29" s="4">
        <v>1.0309199999999999E-2</v>
      </c>
      <c r="C29" s="4">
        <v>1.0309199999999999E-2</v>
      </c>
      <c r="D29" s="4">
        <v>1.0177500000000001E-2</v>
      </c>
      <c r="E29" s="4">
        <v>9.9582000000000004E-3</v>
      </c>
      <c r="F29" s="4">
        <v>9.4184000000000004E-3</v>
      </c>
      <c r="G29" s="4">
        <v>8.7633999999999993E-3</v>
      </c>
      <c r="H29" s="4">
        <v>8.1238000000000005E-3</v>
      </c>
      <c r="I29" s="4">
        <v>7.5401000000000001E-3</v>
      </c>
      <c r="J29" s="4">
        <v>7.0201999999999999E-3</v>
      </c>
      <c r="K29" s="4">
        <v>6.5779000000000002E-3</v>
      </c>
      <c r="L29" s="4">
        <v>6.1856999999999997E-3</v>
      </c>
      <c r="M29" s="4">
        <v>5.8341E-3</v>
      </c>
      <c r="N29" s="4">
        <v>5.5196000000000004E-3</v>
      </c>
      <c r="O29" s="4">
        <v>5.2376999999999996E-3</v>
      </c>
      <c r="P29" s="4">
        <v>4.9798000000000004E-3</v>
      </c>
      <c r="Q29" s="4">
        <v>4.7289000000000003E-3</v>
      </c>
      <c r="R29" s="4">
        <v>4.4831000000000003E-3</v>
      </c>
      <c r="S29" s="4">
        <v>4.1549000000000004E-3</v>
      </c>
      <c r="T29" s="4">
        <v>3.9617000000000003E-3</v>
      </c>
      <c r="U29" s="4">
        <v>3.7772999999999999E-3</v>
      </c>
      <c r="V29" s="4">
        <v>3.4819E-3</v>
      </c>
      <c r="W29" s="4">
        <v>3.5956E-3</v>
      </c>
      <c r="X29" s="4">
        <v>3.4797999999999999E-3</v>
      </c>
      <c r="Y29" s="4">
        <v>3.3966000000000001E-3</v>
      </c>
      <c r="Z29" s="4">
        <v>3.3157999999999998E-3</v>
      </c>
      <c r="AA29" s="4">
        <v>3.2404000000000001E-3</v>
      </c>
      <c r="AB29" s="4">
        <v>3.1681000000000001E-3</v>
      </c>
      <c r="AC29" s="4">
        <v>3.0996000000000001E-3</v>
      </c>
      <c r="AD29" s="4">
        <v>3.0338000000000001E-3</v>
      </c>
      <c r="AE29" s="4">
        <v>2.9707000000000002E-3</v>
      </c>
      <c r="AF29" s="4">
        <v>2.9099999999999998E-3</v>
      </c>
      <c r="AG29" s="4">
        <v>2.8516000000000001E-3</v>
      </c>
      <c r="AH29" s="4">
        <v>2.7954999999999998E-3</v>
      </c>
      <c r="AI29" s="4">
        <v>2.7414000000000002E-3</v>
      </c>
      <c r="AJ29" s="4">
        <v>2.6894000000000002E-3</v>
      </c>
      <c r="AK29" s="4">
        <v>2.6392999999999998E-3</v>
      </c>
      <c r="AL29" s="4">
        <v>2.591E-3</v>
      </c>
      <c r="AM29" s="4">
        <v>2.5444E-3</v>
      </c>
      <c r="AN29" s="4">
        <v>2.4994000000000001E-3</v>
      </c>
      <c r="AO29" s="4">
        <v>2.4559999999999998E-3</v>
      </c>
      <c r="AP29" s="4">
        <v>2.4139999999999999E-3</v>
      </c>
      <c r="AQ29" s="4">
        <v>2.3733000000000001E-3</v>
      </c>
      <c r="AR29" s="4">
        <v>2.3338999999999999E-3</v>
      </c>
      <c r="AS29" s="4">
        <v>2.2956999999999999E-3</v>
      </c>
      <c r="AT29" s="4">
        <v>2.2587000000000002E-3</v>
      </c>
      <c r="AU29" s="4">
        <v>2.2225999999999999E-3</v>
      </c>
      <c r="AV29" s="4">
        <v>2.1875000000000002E-3</v>
      </c>
      <c r="AW29" s="4">
        <v>2.1532999999999999E-3</v>
      </c>
      <c r="AX29" s="4">
        <v>2.1199999999999999E-3</v>
      </c>
      <c r="AY29" s="4">
        <v>2.0874000000000001E-3</v>
      </c>
      <c r="AZ29" s="4">
        <v>2.0555999999999999E-3</v>
      </c>
      <c r="BA29" s="4">
        <v>2.0244999999999998E-3</v>
      </c>
      <c r="BB29" s="4">
        <v>1.9940000000000001E-3</v>
      </c>
      <c r="BC29" s="4">
        <v>1.9640999999999999E-3</v>
      </c>
      <c r="BD29" s="4">
        <v>1.9348E-3</v>
      </c>
      <c r="BE29" s="4">
        <v>1.9059999999999999E-3</v>
      </c>
      <c r="BF29" s="4">
        <v>1.8778E-3</v>
      </c>
      <c r="BG29" s="4">
        <v>1.8500999999999999E-3</v>
      </c>
      <c r="BH29" s="4">
        <v>1.8228000000000001E-3</v>
      </c>
      <c r="BI29" s="4">
        <v>1.7960999999999999E-3</v>
      </c>
      <c r="BJ29" s="4">
        <v>1.7698E-3</v>
      </c>
      <c r="BK29" s="4">
        <v>1.7439000000000001E-3</v>
      </c>
      <c r="BL29" s="4">
        <v>1.7183999999999999E-3</v>
      </c>
      <c r="BM29" s="4">
        <v>1.6934000000000001E-3</v>
      </c>
      <c r="BN29" s="4">
        <v>1.6688E-3</v>
      </c>
      <c r="BO29" s="4">
        <v>1.6446E-3</v>
      </c>
      <c r="BP29" s="4">
        <v>1.6207000000000001E-3</v>
      </c>
      <c r="BQ29" s="4">
        <v>1.5973000000000001E-3</v>
      </c>
      <c r="BR29" s="4">
        <v>1.5742E-3</v>
      </c>
      <c r="BS29" s="4">
        <v>1.5514000000000001E-3</v>
      </c>
      <c r="BT29" s="4">
        <v>1.529E-3</v>
      </c>
      <c r="BU29" s="4">
        <v>1.5070000000000001E-3</v>
      </c>
      <c r="BV29" s="4">
        <v>1.4852999999999999E-3</v>
      </c>
      <c r="BW29" s="4">
        <v>1.4639E-3</v>
      </c>
      <c r="BX29" s="4">
        <v>1.4429E-3</v>
      </c>
      <c r="BY29" s="4">
        <v>1.4222E-3</v>
      </c>
      <c r="BZ29" s="4">
        <v>1.4017999999999999E-3</v>
      </c>
      <c r="CA29" s="4">
        <v>1.3817E-3</v>
      </c>
      <c r="CB29" s="4">
        <v>1.3619999999999999E-3</v>
      </c>
      <c r="CC29" s="4">
        <v>1.3424999999999999E-3</v>
      </c>
      <c r="CD29" s="4">
        <v>1.3232999999999999E-3</v>
      </c>
      <c r="CE29" s="4">
        <v>1.3044E-3</v>
      </c>
      <c r="CF29" s="4">
        <v>1.2857999999999999E-3</v>
      </c>
      <c r="CG29" s="4">
        <v>1.2675E-3</v>
      </c>
      <c r="CH29" s="4">
        <v>1.2495E-3</v>
      </c>
      <c r="CI29" s="4">
        <v>1.2317000000000001E-3</v>
      </c>
      <c r="CJ29" s="4">
        <v>1.2141999999999999E-3</v>
      </c>
      <c r="CK29" s="4">
        <v>1.1969999999999999E-3</v>
      </c>
      <c r="CL29" s="4">
        <v>1.1800000000000001E-3</v>
      </c>
      <c r="CM29" s="4">
        <v>1.1632999999999999E-3</v>
      </c>
      <c r="CN29" s="4">
        <v>1.1467999999999999E-3</v>
      </c>
      <c r="CO29" s="4">
        <v>1.1306000000000001E-3</v>
      </c>
      <c r="CP29" s="4">
        <v>1.1146000000000001E-3</v>
      </c>
      <c r="CQ29" s="4">
        <v>1.0989000000000001E-3</v>
      </c>
      <c r="CR29" s="4">
        <v>1.0834E-3</v>
      </c>
      <c r="CS29" s="4">
        <v>1.0681E-3</v>
      </c>
      <c r="CT29" s="4">
        <v>1.0529999999999999E-3</v>
      </c>
      <c r="CU29" s="4">
        <v>1.0382E-3</v>
      </c>
      <c r="CV29" s="4">
        <v>1.0235999999999999E-3</v>
      </c>
      <c r="CW29" s="4">
        <v>1.0092E-3</v>
      </c>
      <c r="CX29" s="4">
        <v>9.9500000000000001E-4</v>
      </c>
      <c r="CY29" s="4">
        <v>9.810000000000001E-4</v>
      </c>
      <c r="CZ29" s="4">
        <v>9.6719999999999998E-4</v>
      </c>
      <c r="DA29" s="4">
        <v>9.5359999999999998E-4</v>
      </c>
      <c r="DB29" s="4">
        <v>9.4019999999999998E-4</v>
      </c>
      <c r="DC29" s="4">
        <v>9.2699999999999998E-4</v>
      </c>
      <c r="DD29" s="4">
        <v>9.1399999999999999E-4</v>
      </c>
      <c r="DE29" s="4">
        <v>9.012E-4</v>
      </c>
      <c r="DF29" s="4">
        <v>8.8860000000000002E-4</v>
      </c>
      <c r="DG29" s="4">
        <v>8.7609999999999999E-4</v>
      </c>
      <c r="DH29" s="4">
        <v>8.6390000000000002E-4</v>
      </c>
      <c r="DI29" s="4">
        <v>8.518E-4</v>
      </c>
      <c r="DJ29" s="4">
        <v>8.3980000000000003E-4</v>
      </c>
      <c r="DK29" s="4">
        <v>8.2810000000000002E-4</v>
      </c>
      <c r="DL29" s="4">
        <v>8.1649999999999995E-4</v>
      </c>
      <c r="DM29" s="4">
        <v>8.051E-4</v>
      </c>
      <c r="DN29" s="4">
        <v>7.938E-4</v>
      </c>
      <c r="DO29" s="4">
        <v>7.827E-4</v>
      </c>
      <c r="DP29" s="4">
        <v>7.7169999999999995E-4</v>
      </c>
      <c r="DQ29" s="4">
        <v>5.3997999999999997E-2</v>
      </c>
      <c r="DR29" s="4">
        <v>0</v>
      </c>
      <c r="DS29" s="4">
        <v>1.108E-4</v>
      </c>
      <c r="DT29" s="4">
        <v>2.2049999999999999E-4</v>
      </c>
      <c r="DU29" s="4">
        <v>5.4109999999999998E-4</v>
      </c>
      <c r="DV29" s="4">
        <v>6.3770000000000005E-4</v>
      </c>
      <c r="DW29" s="4">
        <v>6.246E-4</v>
      </c>
      <c r="DX29" s="4">
        <v>5.7289999999999999E-4</v>
      </c>
      <c r="DY29" s="4">
        <v>5.1630000000000003E-4</v>
      </c>
      <c r="DZ29" s="4">
        <v>4.5600000000000003E-4</v>
      </c>
      <c r="EA29" s="4">
        <v>4.0499999999999998E-4</v>
      </c>
      <c r="EB29" s="4">
        <v>3.5849999999999999E-4</v>
      </c>
      <c r="EC29" s="4">
        <v>3.1839999999999999E-4</v>
      </c>
      <c r="ED29" s="4">
        <v>2.8360000000000001E-4</v>
      </c>
      <c r="EE29" s="4">
        <v>2.5389999999999999E-4</v>
      </c>
      <c r="EF29" s="4">
        <v>2.2829999999999999E-4</v>
      </c>
      <c r="EG29" s="4">
        <v>2.0540000000000001E-4</v>
      </c>
      <c r="EH29" s="4">
        <v>1.85E-4</v>
      </c>
      <c r="EI29" s="4">
        <v>1.6239999999999999E-4</v>
      </c>
      <c r="EJ29" s="4">
        <v>1.4779999999999999E-4</v>
      </c>
      <c r="EK29" s="4">
        <v>1.3459999999999999E-4</v>
      </c>
      <c r="EL29" s="4">
        <v>1.178E-4</v>
      </c>
      <c r="EM29" s="4">
        <v>1.189E-4</v>
      </c>
      <c r="EN29" s="4">
        <v>1.097E-4</v>
      </c>
      <c r="EO29" s="4">
        <v>1.025E-4</v>
      </c>
      <c r="EP29" s="4">
        <v>9.59E-5</v>
      </c>
      <c r="EQ29" s="4">
        <v>9.0099999999999995E-5</v>
      </c>
      <c r="ER29" s="4">
        <v>8.4699999999999999E-5</v>
      </c>
      <c r="ES29" s="4">
        <v>7.9900000000000004E-5</v>
      </c>
      <c r="ET29" s="4">
        <v>7.5599999999999994E-5</v>
      </c>
      <c r="EU29" s="4">
        <v>7.1600000000000006E-5</v>
      </c>
      <c r="EV29" s="4">
        <v>6.7899999999999997E-5</v>
      </c>
      <c r="EW29" s="4">
        <v>6.4499999999999996E-5</v>
      </c>
      <c r="EX29" s="4">
        <v>6.1400000000000002E-5</v>
      </c>
      <c r="EY29" s="4">
        <v>5.8499999999999999E-5</v>
      </c>
      <c r="EZ29" s="4">
        <v>5.5800000000000001E-5</v>
      </c>
      <c r="FA29" s="4">
        <v>5.3300000000000001E-5</v>
      </c>
      <c r="FB29" s="4">
        <v>5.1E-5</v>
      </c>
      <c r="FC29" s="4">
        <v>4.8900000000000003E-5</v>
      </c>
      <c r="FD29" s="4">
        <v>4.6900000000000002E-5</v>
      </c>
      <c r="FE29" s="4">
        <v>4.5000000000000003E-5</v>
      </c>
      <c r="FF29" s="4">
        <v>4.3300000000000002E-5</v>
      </c>
      <c r="FG29" s="4">
        <v>4.1699999999999997E-5</v>
      </c>
      <c r="FH29" s="4">
        <v>4.0200000000000001E-5</v>
      </c>
      <c r="FI29" s="4">
        <v>3.8800000000000001E-5</v>
      </c>
      <c r="FJ29" s="4">
        <v>3.7499999999999997E-5</v>
      </c>
      <c r="FK29" s="4">
        <v>3.6300000000000001E-5</v>
      </c>
      <c r="FL29" s="4">
        <v>3.5200000000000002E-5</v>
      </c>
      <c r="FM29" s="4">
        <v>3.4199999999999998E-5</v>
      </c>
      <c r="FN29" s="4">
        <v>3.3200000000000001E-5</v>
      </c>
      <c r="FO29" s="4">
        <v>3.2299999999999999E-5</v>
      </c>
      <c r="FP29" s="4">
        <v>3.1399999999999998E-5</v>
      </c>
      <c r="FQ29" s="4">
        <v>3.0599999999999998E-5</v>
      </c>
      <c r="FR29" s="4">
        <v>2.9899999999999998E-5</v>
      </c>
      <c r="FS29" s="4">
        <v>2.9200000000000002E-5</v>
      </c>
      <c r="FT29" s="4">
        <v>2.8500000000000002E-5</v>
      </c>
      <c r="FU29" s="4">
        <v>2.7900000000000001E-5</v>
      </c>
      <c r="FV29" s="4">
        <v>2.73E-5</v>
      </c>
      <c r="FW29" s="4">
        <v>2.6699999999999998E-5</v>
      </c>
      <c r="FX29" s="4">
        <v>2.6100000000000001E-5</v>
      </c>
      <c r="FY29" s="4">
        <v>2.5599999999999999E-5</v>
      </c>
      <c r="FZ29" s="4">
        <v>2.51E-5</v>
      </c>
      <c r="GA29" s="4">
        <v>2.4700000000000001E-5</v>
      </c>
      <c r="GB29" s="4">
        <v>2.4199999999999999E-5</v>
      </c>
      <c r="GC29" s="4">
        <v>2.3799999999999999E-5</v>
      </c>
      <c r="GD29" s="4">
        <v>2.34E-5</v>
      </c>
      <c r="GE29" s="4">
        <v>2.3E-5</v>
      </c>
      <c r="GF29" s="4">
        <v>2.26E-5</v>
      </c>
      <c r="GG29" s="4">
        <v>2.2200000000000001E-5</v>
      </c>
      <c r="GH29" s="4">
        <v>2.19E-5</v>
      </c>
      <c r="GI29" s="4">
        <v>2.1500000000000001E-5</v>
      </c>
      <c r="GJ29" s="4">
        <v>2.12E-5</v>
      </c>
      <c r="GK29" s="4">
        <v>2.09E-5</v>
      </c>
      <c r="GL29" s="4">
        <v>2.0599999999999999E-5</v>
      </c>
      <c r="GM29" s="4">
        <v>2.0299999999999999E-5</v>
      </c>
      <c r="GN29" s="4">
        <v>2.0000000000000002E-5</v>
      </c>
      <c r="GO29" s="4">
        <v>1.9700000000000001E-5</v>
      </c>
      <c r="GP29" s="4">
        <v>1.9400000000000001E-5</v>
      </c>
      <c r="GQ29" s="4">
        <v>1.91E-5</v>
      </c>
      <c r="GR29" s="4">
        <v>1.8899999999999999E-5</v>
      </c>
      <c r="GS29" s="4">
        <v>1.8600000000000001E-5</v>
      </c>
      <c r="GT29" s="4">
        <v>1.8300000000000001E-5</v>
      </c>
      <c r="GU29" s="4">
        <v>1.8099999999999999E-5</v>
      </c>
      <c r="GV29" s="4">
        <v>1.7799999999999999E-5</v>
      </c>
      <c r="GW29" s="4">
        <v>1.7600000000000001E-5</v>
      </c>
      <c r="GX29" s="4">
        <v>1.73E-5</v>
      </c>
      <c r="GY29" s="4">
        <v>1.7099999999999999E-5</v>
      </c>
      <c r="GZ29" s="4">
        <v>1.6900000000000001E-5</v>
      </c>
      <c r="HA29" s="4">
        <v>1.66E-5</v>
      </c>
      <c r="HB29" s="4">
        <v>1.6399999999999999E-5</v>
      </c>
      <c r="HC29" s="4">
        <v>1.6200000000000001E-5</v>
      </c>
      <c r="HD29" s="4">
        <v>1.5999999999999999E-5</v>
      </c>
      <c r="HE29" s="4">
        <v>1.5800000000000001E-5</v>
      </c>
      <c r="HF29" s="4">
        <v>1.56E-5</v>
      </c>
      <c r="HG29" s="4">
        <v>1.5299999999999999E-5</v>
      </c>
      <c r="HH29" s="4">
        <v>1.5099999999999999E-5</v>
      </c>
      <c r="HI29" s="4">
        <v>1.49E-5</v>
      </c>
      <c r="HJ29" s="4">
        <v>1.47E-5</v>
      </c>
      <c r="HK29" s="4">
        <v>1.45E-5</v>
      </c>
      <c r="HL29" s="4">
        <v>1.4399999999999999E-5</v>
      </c>
      <c r="HM29" s="4">
        <v>1.42E-5</v>
      </c>
      <c r="HN29" s="4">
        <v>1.4E-5</v>
      </c>
      <c r="HO29" s="4">
        <v>1.38E-5</v>
      </c>
      <c r="HP29" s="4">
        <v>1.36E-5</v>
      </c>
      <c r="HQ29" s="4">
        <v>1.34E-5</v>
      </c>
      <c r="HR29" s="4">
        <v>1.3200000000000001E-5</v>
      </c>
      <c r="HS29" s="4">
        <v>1.31E-5</v>
      </c>
      <c r="HT29" s="4">
        <v>1.29E-5</v>
      </c>
      <c r="HU29" s="4">
        <v>1.27E-5</v>
      </c>
      <c r="HV29" s="4">
        <v>1.26E-5</v>
      </c>
      <c r="HW29" s="4">
        <v>1.24E-5</v>
      </c>
      <c r="HX29" s="4">
        <v>1.22E-5</v>
      </c>
      <c r="HY29" s="4">
        <v>1.2099999999999999E-5</v>
      </c>
      <c r="HZ29" s="4">
        <v>1.19E-5</v>
      </c>
      <c r="IA29" s="4">
        <v>1.17E-5</v>
      </c>
      <c r="IB29" s="4">
        <v>1.1600000000000001E-5</v>
      </c>
      <c r="IC29" s="4">
        <v>1.1399999999999999E-5</v>
      </c>
      <c r="ID29" s="4">
        <v>1.13E-5</v>
      </c>
      <c r="IE29" s="4">
        <v>1.11E-5</v>
      </c>
      <c r="IF29" s="4">
        <v>1.1E-5</v>
      </c>
      <c r="IG29" s="4">
        <v>7.7789999999999999E-4</v>
      </c>
      <c r="IH29" s="4"/>
      <c r="II29" s="4">
        <f t="shared" si="247"/>
        <v>0.11362001609029401</v>
      </c>
      <c r="IL29">
        <f t="shared" si="248"/>
        <v>0.3528990875000001</v>
      </c>
      <c r="IP29" s="4">
        <f t="shared" si="249"/>
        <v>3.9863300000000004E-2</v>
      </c>
      <c r="IQ29" s="4">
        <f t="shared" si="250"/>
        <v>3.1447499999999996E-2</v>
      </c>
      <c r="IR29" s="4">
        <f t="shared" si="251"/>
        <v>2.4117300000000001E-2</v>
      </c>
      <c r="IS29" s="4">
        <f t="shared" si="252"/>
        <v>1.9429500000000002E-2</v>
      </c>
      <c r="IT29" s="4">
        <f t="shared" si="253"/>
        <v>1.5375800000000002E-2</v>
      </c>
      <c r="IU29" s="4">
        <f t="shared" si="254"/>
        <v>5.8432400000000002E-2</v>
      </c>
      <c r="IV29" s="4">
        <f t="shared" si="255"/>
        <v>4.1028000000000002E-2</v>
      </c>
      <c r="IW29" s="4">
        <f t="shared" si="256"/>
        <v>3.0474299999999996E-2</v>
      </c>
      <c r="IX29" s="4">
        <f t="shared" si="257"/>
        <v>9.2555100000000001E-2</v>
      </c>
      <c r="JA29" s="4">
        <f t="shared" si="289"/>
        <v>8.3604999999999999E-3</v>
      </c>
      <c r="JB29" s="4">
        <f t="shared" si="290"/>
        <v>7.4279999999999971E-3</v>
      </c>
      <c r="JC29" s="4">
        <f t="shared" si="260"/>
        <v>4.6560999999999998E-3</v>
      </c>
      <c r="JD29" s="4">
        <f t="shared" si="261"/>
        <v>2.9469999999999982E-3</v>
      </c>
      <c r="JE29" s="4">
        <f t="shared" si="262"/>
        <v>2.0555000000000018E-3</v>
      </c>
      <c r="JF29" s="4">
        <f t="shared" si="263"/>
        <v>5.334300000000021E-3</v>
      </c>
      <c r="JG29" s="4">
        <f t="shared" si="264"/>
        <v>2.4696000000000162E-3</v>
      </c>
      <c r="JH29" s="4">
        <f t="shared" si="265"/>
        <v>1.663299999999996E-3</v>
      </c>
      <c r="JI29" s="4">
        <f t="shared" si="266"/>
        <v>5.182099999999995E-3</v>
      </c>
    </row>
    <row r="30" spans="1:291" x14ac:dyDescent="0.35">
      <c r="A30" s="1">
        <v>22</v>
      </c>
      <c r="B30" s="4">
        <v>1.0309199999999999E-2</v>
      </c>
      <c r="C30" s="4">
        <v>1.0309199999999999E-2</v>
      </c>
      <c r="D30" s="4">
        <v>1.01984E-2</v>
      </c>
      <c r="E30" s="4">
        <v>9.9570000000000006E-3</v>
      </c>
      <c r="F30" s="4">
        <v>9.4170999999999994E-3</v>
      </c>
      <c r="G30" s="4">
        <v>8.7807000000000007E-3</v>
      </c>
      <c r="H30" s="4">
        <v>8.1387999999999999E-3</v>
      </c>
      <c r="I30" s="4">
        <v>7.5509000000000001E-3</v>
      </c>
      <c r="J30" s="4">
        <v>7.0238000000000002E-3</v>
      </c>
      <c r="K30" s="4">
        <v>6.5642000000000001E-3</v>
      </c>
      <c r="L30" s="4">
        <v>6.1729000000000003E-3</v>
      </c>
      <c r="M30" s="4">
        <v>5.8271E-3</v>
      </c>
      <c r="N30" s="4">
        <v>5.5157000000000001E-3</v>
      </c>
      <c r="O30" s="4">
        <v>5.2360000000000002E-3</v>
      </c>
      <c r="P30" s="4">
        <v>4.9838E-3</v>
      </c>
      <c r="Q30" s="4">
        <v>4.7514999999999996E-3</v>
      </c>
      <c r="R30" s="4">
        <v>4.5234000000000003E-3</v>
      </c>
      <c r="S30" s="4">
        <v>4.2981E-3</v>
      </c>
      <c r="T30" s="4">
        <v>3.9925000000000004E-3</v>
      </c>
      <c r="U30" s="4">
        <v>3.8138E-3</v>
      </c>
      <c r="V30" s="4">
        <v>3.6426000000000002E-3</v>
      </c>
      <c r="W30" s="4">
        <v>3.3641000000000001E-3</v>
      </c>
      <c r="X30" s="4">
        <v>3.4765999999999998E-3</v>
      </c>
      <c r="Y30" s="4">
        <v>3.3701E-3</v>
      </c>
      <c r="Z30" s="4">
        <v>3.2940999999999999E-3</v>
      </c>
      <c r="AA30" s="4">
        <v>3.2198999999999999E-3</v>
      </c>
      <c r="AB30" s="4">
        <v>3.1503999999999998E-3</v>
      </c>
      <c r="AC30" s="4">
        <v>3.0834E-3</v>
      </c>
      <c r="AD30" s="4">
        <v>3.0195999999999999E-3</v>
      </c>
      <c r="AE30" s="4">
        <v>2.9583000000000001E-3</v>
      </c>
      <c r="AF30" s="4">
        <v>2.8990999999999999E-3</v>
      </c>
      <c r="AG30" s="4">
        <v>2.8421000000000002E-3</v>
      </c>
      <c r="AH30" s="4">
        <v>2.7870999999999998E-3</v>
      </c>
      <c r="AI30" s="4">
        <v>2.7341000000000002E-3</v>
      </c>
      <c r="AJ30" s="4">
        <v>2.6829000000000002E-3</v>
      </c>
      <c r="AK30" s="4">
        <v>2.6335999999999998E-3</v>
      </c>
      <c r="AL30" s="4">
        <v>2.5858999999999999E-3</v>
      </c>
      <c r="AM30" s="4">
        <v>2.5398999999999999E-3</v>
      </c>
      <c r="AN30" s="4">
        <v>2.4954999999999999E-3</v>
      </c>
      <c r="AO30" s="4">
        <v>2.4524999999999998E-3</v>
      </c>
      <c r="AP30" s="4">
        <v>2.4109000000000001E-3</v>
      </c>
      <c r="AQ30" s="4">
        <v>2.3706999999999999E-3</v>
      </c>
      <c r="AR30" s="4">
        <v>2.3316000000000001E-3</v>
      </c>
      <c r="AS30" s="4">
        <v>2.2937000000000001E-3</v>
      </c>
      <c r="AT30" s="4">
        <v>2.2569000000000001E-3</v>
      </c>
      <c r="AU30" s="4">
        <v>2.2211000000000002E-3</v>
      </c>
      <c r="AV30" s="4">
        <v>2.1863E-3</v>
      </c>
      <c r="AW30" s="4">
        <v>2.1522999999999998E-3</v>
      </c>
      <c r="AX30" s="4">
        <v>2.1191999999999999E-3</v>
      </c>
      <c r="AY30" s="4">
        <v>2.0868000000000002E-3</v>
      </c>
      <c r="AZ30" s="4">
        <v>2.0552000000000001E-3</v>
      </c>
      <c r="BA30" s="4">
        <v>2.0241999999999999E-3</v>
      </c>
      <c r="BB30" s="4">
        <v>1.9938E-3</v>
      </c>
      <c r="BC30" s="4">
        <v>1.9640999999999999E-3</v>
      </c>
      <c r="BD30" s="4">
        <v>1.9349E-3</v>
      </c>
      <c r="BE30" s="4">
        <v>1.9063000000000001E-3</v>
      </c>
      <c r="BF30" s="4">
        <v>1.8782E-3</v>
      </c>
      <c r="BG30" s="4">
        <v>1.8504999999999999E-3</v>
      </c>
      <c r="BH30" s="4">
        <v>1.8234E-3</v>
      </c>
      <c r="BI30" s="4">
        <v>1.7967E-3</v>
      </c>
      <c r="BJ30" s="4">
        <v>1.7704000000000001E-3</v>
      </c>
      <c r="BK30" s="4">
        <v>1.7446E-3</v>
      </c>
      <c r="BL30" s="4">
        <v>1.7191999999999999E-3</v>
      </c>
      <c r="BM30" s="4">
        <v>1.6942000000000001E-3</v>
      </c>
      <c r="BN30" s="4">
        <v>1.6696E-3</v>
      </c>
      <c r="BO30" s="4">
        <v>1.6454E-3</v>
      </c>
      <c r="BP30" s="4">
        <v>1.6216E-3</v>
      </c>
      <c r="BQ30" s="4">
        <v>1.5981000000000001E-3</v>
      </c>
      <c r="BR30" s="4">
        <v>1.575E-3</v>
      </c>
      <c r="BS30" s="4">
        <v>1.5522999999999999E-3</v>
      </c>
      <c r="BT30" s="4">
        <v>1.5299000000000001E-3</v>
      </c>
      <c r="BU30" s="4">
        <v>1.5077999999999999E-3</v>
      </c>
      <c r="BV30" s="4">
        <v>1.4861E-3</v>
      </c>
      <c r="BW30" s="4">
        <v>1.4647E-3</v>
      </c>
      <c r="BX30" s="4">
        <v>1.4437E-3</v>
      </c>
      <c r="BY30" s="4">
        <v>1.4228999999999999E-3</v>
      </c>
      <c r="BZ30" s="4">
        <v>1.4025000000000001E-3</v>
      </c>
      <c r="CA30" s="4">
        <v>1.3824E-3</v>
      </c>
      <c r="CB30" s="4">
        <v>1.3626000000000001E-3</v>
      </c>
      <c r="CC30" s="4">
        <v>1.3431000000000001E-3</v>
      </c>
      <c r="CD30" s="4">
        <v>1.3239E-3</v>
      </c>
      <c r="CE30" s="4">
        <v>1.305E-3</v>
      </c>
      <c r="CF30" s="4">
        <v>1.2863E-3</v>
      </c>
      <c r="CG30" s="4">
        <v>1.268E-3</v>
      </c>
      <c r="CH30" s="4">
        <v>1.2499E-3</v>
      </c>
      <c r="CI30" s="4">
        <v>1.2321000000000001E-3</v>
      </c>
      <c r="CJ30" s="4">
        <v>1.2145999999999999E-3</v>
      </c>
      <c r="CK30" s="4">
        <v>1.1973000000000001E-3</v>
      </c>
      <c r="CL30" s="4">
        <v>1.1803E-3</v>
      </c>
      <c r="CM30" s="4">
        <v>1.1636000000000001E-3</v>
      </c>
      <c r="CN30" s="4">
        <v>1.1471000000000001E-3</v>
      </c>
      <c r="CO30" s="4">
        <v>1.1307999999999999E-3</v>
      </c>
      <c r="CP30" s="4">
        <v>1.1148E-3</v>
      </c>
      <c r="CQ30" s="4">
        <v>1.0991E-3</v>
      </c>
      <c r="CR30" s="4">
        <v>1.0835E-3</v>
      </c>
      <c r="CS30" s="4">
        <v>1.0682000000000001E-3</v>
      </c>
      <c r="CT30" s="4">
        <v>1.0531E-3</v>
      </c>
      <c r="CU30" s="4">
        <v>1.0383E-3</v>
      </c>
      <c r="CV30" s="4">
        <v>1.0235999999999999E-3</v>
      </c>
      <c r="CW30" s="4">
        <v>1.0092E-3</v>
      </c>
      <c r="CX30" s="4">
        <v>9.9500000000000001E-4</v>
      </c>
      <c r="CY30" s="4">
        <v>9.810000000000001E-4</v>
      </c>
      <c r="CZ30" s="4">
        <v>9.6719999999999998E-4</v>
      </c>
      <c r="DA30" s="4">
        <v>9.5359999999999998E-4</v>
      </c>
      <c r="DB30" s="4">
        <v>9.4019999999999998E-4</v>
      </c>
      <c r="DC30" s="4">
        <v>9.2699999999999998E-4</v>
      </c>
      <c r="DD30" s="4">
        <v>9.1399999999999999E-4</v>
      </c>
      <c r="DE30" s="4">
        <v>9.0109999999999995E-4</v>
      </c>
      <c r="DF30" s="4">
        <v>8.8849999999999997E-4</v>
      </c>
      <c r="DG30" s="4">
        <v>8.7600000000000004E-4</v>
      </c>
      <c r="DH30" s="4">
        <v>8.6370000000000001E-4</v>
      </c>
      <c r="DI30" s="4">
        <v>8.5159999999999999E-4</v>
      </c>
      <c r="DJ30" s="4">
        <v>8.3969999999999997E-4</v>
      </c>
      <c r="DK30" s="4">
        <v>8.2790000000000001E-4</v>
      </c>
      <c r="DL30" s="4">
        <v>8.1629999999999995E-4</v>
      </c>
      <c r="DM30" s="4">
        <v>8.0489999999999999E-4</v>
      </c>
      <c r="DN30" s="4">
        <v>7.9359999999999999E-4</v>
      </c>
      <c r="DO30" s="4">
        <v>7.8249999999999999E-4</v>
      </c>
      <c r="DP30" s="4">
        <v>7.716E-4</v>
      </c>
      <c r="DQ30" s="4">
        <v>5.3980899999999998E-2</v>
      </c>
      <c r="DR30" s="4">
        <v>0</v>
      </c>
      <c r="DS30" s="4">
        <v>1.104E-4</v>
      </c>
      <c r="DT30" s="4">
        <v>2.3369999999999999E-4</v>
      </c>
      <c r="DU30" s="4">
        <v>5.042E-4</v>
      </c>
      <c r="DV30" s="4">
        <v>6.4179999999999999E-4</v>
      </c>
      <c r="DW30" s="4">
        <v>6.4159999999999998E-4</v>
      </c>
      <c r="DX30" s="4">
        <v>5.7390000000000002E-4</v>
      </c>
      <c r="DY30" s="4">
        <v>5.2139999999999999E-4</v>
      </c>
      <c r="DZ30" s="4">
        <v>4.5649999999999998E-4</v>
      </c>
      <c r="EA30" s="4">
        <v>4.0309999999999999E-4</v>
      </c>
      <c r="EB30" s="4">
        <v>3.569E-4</v>
      </c>
      <c r="EC30" s="4">
        <v>3.1740000000000002E-4</v>
      </c>
      <c r="ED30" s="4">
        <v>2.8279999999999999E-4</v>
      </c>
      <c r="EE30" s="4">
        <v>2.5310000000000003E-4</v>
      </c>
      <c r="EF30" s="4">
        <v>2.2770000000000001E-4</v>
      </c>
      <c r="EG30" s="4">
        <v>2.0570000000000001E-4</v>
      </c>
      <c r="EH30" s="4">
        <v>1.861E-4</v>
      </c>
      <c r="EI30" s="4">
        <v>1.685E-4</v>
      </c>
      <c r="EJ30" s="4">
        <v>1.4870000000000001E-4</v>
      </c>
      <c r="EK30" s="4">
        <v>1.36E-4</v>
      </c>
      <c r="EL30" s="4">
        <v>1.2439999999999999E-4</v>
      </c>
      <c r="EM30" s="4">
        <v>1.094E-4</v>
      </c>
      <c r="EN30" s="4">
        <v>1.1069999999999999E-4</v>
      </c>
      <c r="EO30" s="4">
        <v>1.025E-4</v>
      </c>
      <c r="EP30" s="4">
        <v>9.6199999999999994E-5</v>
      </c>
      <c r="EQ30" s="4">
        <v>9.0400000000000002E-5</v>
      </c>
      <c r="ER30" s="4">
        <v>8.5199999999999997E-5</v>
      </c>
      <c r="ES30" s="4">
        <v>8.0400000000000003E-5</v>
      </c>
      <c r="ET30" s="4">
        <v>7.6000000000000004E-5</v>
      </c>
      <c r="EU30" s="4">
        <v>7.2100000000000004E-5</v>
      </c>
      <c r="EV30" s="4">
        <v>6.8399999999999996E-5</v>
      </c>
      <c r="EW30" s="4">
        <v>6.4999999999999994E-5</v>
      </c>
      <c r="EX30" s="4">
        <v>6.19E-5</v>
      </c>
      <c r="EY30" s="4">
        <v>5.8900000000000002E-5</v>
      </c>
      <c r="EZ30" s="4">
        <v>5.6199999999999997E-5</v>
      </c>
      <c r="FA30" s="4">
        <v>5.3699999999999997E-5</v>
      </c>
      <c r="FB30" s="4">
        <v>5.1400000000000003E-5</v>
      </c>
      <c r="FC30" s="4">
        <v>4.9299999999999999E-5</v>
      </c>
      <c r="FD30" s="4">
        <v>4.7200000000000002E-5</v>
      </c>
      <c r="FE30" s="4">
        <v>4.5399999999999999E-5</v>
      </c>
      <c r="FF30" s="4">
        <v>4.3600000000000003E-5</v>
      </c>
      <c r="FG30" s="4">
        <v>4.1999999999999998E-5</v>
      </c>
      <c r="FH30" s="4">
        <v>4.0500000000000002E-5</v>
      </c>
      <c r="FI30" s="4">
        <v>3.9100000000000002E-5</v>
      </c>
      <c r="FJ30" s="4">
        <v>3.7799999999999997E-5</v>
      </c>
      <c r="FK30" s="4">
        <v>3.6600000000000002E-5</v>
      </c>
      <c r="FL30" s="4">
        <v>3.5500000000000002E-5</v>
      </c>
      <c r="FM30" s="4">
        <v>3.4400000000000003E-5</v>
      </c>
      <c r="FN30" s="4">
        <v>3.3399999999999999E-5</v>
      </c>
      <c r="FO30" s="4">
        <v>3.2499999999999997E-5</v>
      </c>
      <c r="FP30" s="4">
        <v>3.1699999999999998E-5</v>
      </c>
      <c r="FQ30" s="4">
        <v>3.0899999999999999E-5</v>
      </c>
      <c r="FR30" s="4">
        <v>3.01E-5</v>
      </c>
      <c r="FS30" s="4">
        <v>2.94E-5</v>
      </c>
      <c r="FT30" s="4">
        <v>2.87E-5</v>
      </c>
      <c r="FU30" s="4">
        <v>2.8099999999999999E-5</v>
      </c>
      <c r="FV30" s="4">
        <v>2.7500000000000001E-5</v>
      </c>
      <c r="FW30" s="4">
        <v>2.69E-5</v>
      </c>
      <c r="FX30" s="4">
        <v>2.6400000000000001E-5</v>
      </c>
      <c r="FY30" s="4">
        <v>2.58E-5</v>
      </c>
      <c r="FZ30" s="4">
        <v>2.5299999999999998E-5</v>
      </c>
      <c r="GA30" s="4">
        <v>2.4899999999999999E-5</v>
      </c>
      <c r="GB30" s="4">
        <v>2.44E-5</v>
      </c>
      <c r="GC30" s="4">
        <v>2.4000000000000001E-5</v>
      </c>
      <c r="GD30" s="4">
        <v>2.3600000000000001E-5</v>
      </c>
      <c r="GE30" s="4">
        <v>2.3200000000000001E-5</v>
      </c>
      <c r="GF30" s="4">
        <v>2.2799999999999999E-5</v>
      </c>
      <c r="GG30" s="4">
        <v>2.2399999999999999E-5</v>
      </c>
      <c r="GH30" s="4">
        <v>2.1999999999999999E-5</v>
      </c>
      <c r="GI30" s="4">
        <v>2.1699999999999999E-5</v>
      </c>
      <c r="GJ30" s="4">
        <v>2.1399999999999998E-5</v>
      </c>
      <c r="GK30" s="4">
        <v>2.0999999999999999E-5</v>
      </c>
      <c r="GL30" s="4">
        <v>2.0699999999999998E-5</v>
      </c>
      <c r="GM30" s="4">
        <v>2.0400000000000001E-5</v>
      </c>
      <c r="GN30" s="4">
        <v>2.0100000000000001E-5</v>
      </c>
      <c r="GO30" s="4">
        <v>1.98E-5</v>
      </c>
      <c r="GP30" s="4">
        <v>1.95E-5</v>
      </c>
      <c r="GQ30" s="4">
        <v>1.9199999999999999E-5</v>
      </c>
      <c r="GR30" s="4">
        <v>1.9000000000000001E-5</v>
      </c>
      <c r="GS30" s="4">
        <v>1.8700000000000001E-5</v>
      </c>
      <c r="GT30" s="4">
        <v>1.84E-5</v>
      </c>
      <c r="GU30" s="4">
        <v>1.8199999999999999E-5</v>
      </c>
      <c r="GV30" s="4">
        <v>1.7900000000000001E-5</v>
      </c>
      <c r="GW30" s="4">
        <v>1.77E-5</v>
      </c>
      <c r="GX30" s="4">
        <v>1.7399999999999999E-5</v>
      </c>
      <c r="GY30" s="4">
        <v>1.7200000000000001E-5</v>
      </c>
      <c r="GZ30" s="4">
        <v>1.6900000000000001E-5</v>
      </c>
      <c r="HA30" s="4">
        <v>1.6699999999999999E-5</v>
      </c>
      <c r="HB30" s="4">
        <v>1.6500000000000001E-5</v>
      </c>
      <c r="HC30" s="4">
        <v>1.63E-5</v>
      </c>
      <c r="HD30" s="4">
        <v>1.5999999999999999E-5</v>
      </c>
      <c r="HE30" s="4">
        <v>1.5800000000000001E-5</v>
      </c>
      <c r="HF30" s="4">
        <v>1.56E-5</v>
      </c>
      <c r="HG30" s="4">
        <v>1.5400000000000002E-5</v>
      </c>
      <c r="HH30" s="4">
        <v>1.52E-5</v>
      </c>
      <c r="HI30" s="4">
        <v>1.5E-5</v>
      </c>
      <c r="HJ30" s="4">
        <v>1.4800000000000001E-5</v>
      </c>
      <c r="HK30" s="4">
        <v>1.4600000000000001E-5</v>
      </c>
      <c r="HL30" s="4">
        <v>1.4399999999999999E-5</v>
      </c>
      <c r="HM30" s="4">
        <v>1.42E-5</v>
      </c>
      <c r="HN30" s="4">
        <v>1.4E-5</v>
      </c>
      <c r="HO30" s="4">
        <v>1.38E-5</v>
      </c>
      <c r="HP30" s="4">
        <v>1.36E-5</v>
      </c>
      <c r="HQ30" s="4">
        <v>1.34E-5</v>
      </c>
      <c r="HR30" s="4">
        <v>1.33E-5</v>
      </c>
      <c r="HS30" s="4">
        <v>1.31E-5</v>
      </c>
      <c r="HT30" s="4">
        <v>1.29E-5</v>
      </c>
      <c r="HU30" s="4">
        <v>1.27E-5</v>
      </c>
      <c r="HV30" s="4">
        <v>1.26E-5</v>
      </c>
      <c r="HW30" s="4">
        <v>1.24E-5</v>
      </c>
      <c r="HX30" s="4">
        <v>1.22E-5</v>
      </c>
      <c r="HY30" s="4">
        <v>1.2099999999999999E-5</v>
      </c>
      <c r="HZ30" s="4">
        <v>1.19E-5</v>
      </c>
      <c r="IA30" s="4">
        <v>1.17E-5</v>
      </c>
      <c r="IB30" s="4">
        <v>1.1600000000000001E-5</v>
      </c>
      <c r="IC30" s="4">
        <v>1.1399999999999999E-5</v>
      </c>
      <c r="ID30" s="4">
        <v>1.13E-5</v>
      </c>
      <c r="IE30" s="4">
        <v>1.11E-5</v>
      </c>
      <c r="IF30" s="4">
        <v>1.1E-5</v>
      </c>
      <c r="IG30" s="4">
        <v>7.7660000000000001E-4</v>
      </c>
      <c r="IH30" s="4"/>
      <c r="II30" s="4">
        <f t="shared" si="247"/>
        <v>0.11386607218482429</v>
      </c>
      <c r="IL30">
        <f t="shared" si="248"/>
        <v>0.35286191249999982</v>
      </c>
      <c r="IP30" s="4">
        <f t="shared" si="249"/>
        <v>3.9881699999999999E-2</v>
      </c>
      <c r="IQ30" s="4">
        <f t="shared" si="250"/>
        <v>3.14942E-2</v>
      </c>
      <c r="IR30" s="4">
        <f t="shared" si="251"/>
        <v>2.4079900000000001E-2</v>
      </c>
      <c r="IS30" s="4">
        <f t="shared" si="252"/>
        <v>1.94947E-2</v>
      </c>
      <c r="IT30" s="4">
        <f t="shared" si="253"/>
        <v>1.5747000000000001E-2</v>
      </c>
      <c r="IU30" s="4">
        <f t="shared" si="254"/>
        <v>5.8000100000000006E-2</v>
      </c>
      <c r="IV30" s="4">
        <f t="shared" si="255"/>
        <v>4.1016299999999992E-2</v>
      </c>
      <c r="IW30" s="4">
        <f t="shared" si="256"/>
        <v>3.0489599999999999E-2</v>
      </c>
      <c r="IX30" s="4">
        <f t="shared" si="257"/>
        <v>9.2541099999999987E-2</v>
      </c>
      <c r="JA30" s="4">
        <f t="shared" si="289"/>
        <v>8.3497000000000016E-3</v>
      </c>
      <c r="JB30" s="4">
        <f t="shared" si="290"/>
        <v>7.4529999999999978E-3</v>
      </c>
      <c r="JC30" s="4">
        <f t="shared" si="260"/>
        <v>4.6799999999999967E-3</v>
      </c>
      <c r="JD30" s="4">
        <f t="shared" si="261"/>
        <v>3.0033000000000004E-3</v>
      </c>
      <c r="JE30" s="4">
        <f t="shared" si="262"/>
        <v>2.0461000000000003E-3</v>
      </c>
      <c r="JF30" s="4">
        <f t="shared" si="263"/>
        <v>5.3382000000000013E-3</v>
      </c>
      <c r="JG30" s="4">
        <f t="shared" si="264"/>
        <v>2.4697000000000052E-3</v>
      </c>
      <c r="JH30" s="4">
        <f t="shared" si="265"/>
        <v>1.6648999999999969E-3</v>
      </c>
      <c r="JI30" s="4">
        <f t="shared" si="266"/>
        <v>5.1741000000000009E-3</v>
      </c>
    </row>
    <row r="31" spans="1:291" x14ac:dyDescent="0.35">
      <c r="A31" s="1">
        <v>23</v>
      </c>
      <c r="B31" s="4">
        <v>1.0309199999999999E-2</v>
      </c>
      <c r="C31" s="4">
        <v>1.0309199999999999E-2</v>
      </c>
      <c r="D31" s="4">
        <v>1.0198799999999999E-2</v>
      </c>
      <c r="E31" s="4">
        <v>9.9646000000000005E-3</v>
      </c>
      <c r="F31" s="4">
        <v>9.4528000000000008E-3</v>
      </c>
      <c r="G31" s="4">
        <v>8.7752000000000004E-3</v>
      </c>
      <c r="H31" s="4">
        <v>8.1391999999999992E-3</v>
      </c>
      <c r="I31" s="4">
        <v>7.5649000000000003E-3</v>
      </c>
      <c r="J31" s="4">
        <v>7.0295000000000002E-3</v>
      </c>
      <c r="K31" s="4">
        <v>6.5672999999999999E-3</v>
      </c>
      <c r="L31" s="4">
        <v>6.1611000000000001E-3</v>
      </c>
      <c r="M31" s="4">
        <v>5.8158999999999997E-3</v>
      </c>
      <c r="N31" s="4">
        <v>5.5097999999999996E-3</v>
      </c>
      <c r="O31" s="4">
        <v>5.2329000000000004E-3</v>
      </c>
      <c r="P31" s="4">
        <v>4.9829000000000002E-3</v>
      </c>
      <c r="Q31" s="4">
        <v>4.7561000000000001E-3</v>
      </c>
      <c r="R31" s="4">
        <v>4.5458E-3</v>
      </c>
      <c r="S31" s="4">
        <v>4.3372999999999997E-3</v>
      </c>
      <c r="T31" s="4">
        <v>4.1295999999999998E-3</v>
      </c>
      <c r="U31" s="4">
        <v>3.8438000000000001E-3</v>
      </c>
      <c r="V31" s="4">
        <v>3.6778000000000002E-3</v>
      </c>
      <c r="W31" s="4">
        <v>3.5182E-3</v>
      </c>
      <c r="X31" s="4">
        <v>3.2547000000000001E-3</v>
      </c>
      <c r="Y31" s="4">
        <v>3.3660000000000001E-3</v>
      </c>
      <c r="Z31" s="4">
        <v>3.2675E-3</v>
      </c>
      <c r="AA31" s="4">
        <v>3.1978000000000002E-3</v>
      </c>
      <c r="AB31" s="4">
        <v>3.1294999999999999E-3</v>
      </c>
      <c r="AC31" s="4">
        <v>3.0652000000000001E-3</v>
      </c>
      <c r="AD31" s="4">
        <v>3.003E-3</v>
      </c>
      <c r="AE31" s="4">
        <v>2.9436000000000002E-3</v>
      </c>
      <c r="AF31" s="4">
        <v>2.8861999999999998E-3</v>
      </c>
      <c r="AG31" s="4">
        <v>2.8306999999999998E-3</v>
      </c>
      <c r="AH31" s="4">
        <v>2.7770999999999998E-3</v>
      </c>
      <c r="AI31" s="4">
        <v>2.7252999999999999E-3</v>
      </c>
      <c r="AJ31" s="4">
        <v>2.6751000000000001E-3</v>
      </c>
      <c r="AK31" s="4">
        <v>2.6267E-3</v>
      </c>
      <c r="AL31" s="4">
        <v>2.5798000000000001E-3</v>
      </c>
      <c r="AM31" s="4">
        <v>2.5344999999999999E-3</v>
      </c>
      <c r="AN31" s="4">
        <v>2.4907000000000002E-3</v>
      </c>
      <c r="AO31" s="4">
        <v>2.4483E-3</v>
      </c>
      <c r="AP31" s="4">
        <v>2.4072E-3</v>
      </c>
      <c r="AQ31" s="4">
        <v>2.3673000000000001E-3</v>
      </c>
      <c r="AR31" s="4">
        <v>2.3286000000000001E-3</v>
      </c>
      <c r="AS31" s="4">
        <v>2.2910999999999999E-3</v>
      </c>
      <c r="AT31" s="4">
        <v>2.2545999999999998E-3</v>
      </c>
      <c r="AU31" s="4">
        <v>2.2190999999999999E-3</v>
      </c>
      <c r="AV31" s="4">
        <v>2.1844999999999998E-3</v>
      </c>
      <c r="AW31" s="4">
        <v>2.1508E-3</v>
      </c>
      <c r="AX31" s="4">
        <v>2.1178999999999998E-3</v>
      </c>
      <c r="AY31" s="4">
        <v>2.0856999999999998E-3</v>
      </c>
      <c r="AZ31" s="4">
        <v>2.0542999999999998E-3</v>
      </c>
      <c r="BA31" s="4">
        <v>2.0235000000000001E-3</v>
      </c>
      <c r="BB31" s="4">
        <v>1.9932999999999999E-3</v>
      </c>
      <c r="BC31" s="4">
        <v>1.9637000000000001E-3</v>
      </c>
      <c r="BD31" s="4">
        <v>1.9346999999999999E-3</v>
      </c>
      <c r="BE31" s="4">
        <v>1.9062E-3</v>
      </c>
      <c r="BF31" s="4">
        <v>1.8782E-3</v>
      </c>
      <c r="BG31" s="4">
        <v>1.8507E-3</v>
      </c>
      <c r="BH31" s="4">
        <v>1.8236000000000001E-3</v>
      </c>
      <c r="BI31" s="4">
        <v>1.797E-3</v>
      </c>
      <c r="BJ31" s="4">
        <v>1.7708999999999999E-3</v>
      </c>
      <c r="BK31" s="4">
        <v>1.7451000000000001E-3</v>
      </c>
      <c r="BL31" s="4">
        <v>1.7197E-3</v>
      </c>
      <c r="BM31" s="4">
        <v>1.6948E-3</v>
      </c>
      <c r="BN31" s="4">
        <v>1.6701999999999999E-3</v>
      </c>
      <c r="BO31" s="4">
        <v>1.6461E-3</v>
      </c>
      <c r="BP31" s="4">
        <v>1.6222000000000001E-3</v>
      </c>
      <c r="BQ31" s="4">
        <v>1.5988E-3</v>
      </c>
      <c r="BR31" s="4">
        <v>1.5757E-3</v>
      </c>
      <c r="BS31" s="4">
        <v>1.5529999999999999E-3</v>
      </c>
      <c r="BT31" s="4">
        <v>1.5306E-3</v>
      </c>
      <c r="BU31" s="4">
        <v>1.5085000000000001E-3</v>
      </c>
      <c r="BV31" s="4">
        <v>1.4867999999999999E-3</v>
      </c>
      <c r="BW31" s="4">
        <v>1.4653999999999999E-3</v>
      </c>
      <c r="BX31" s="4">
        <v>1.4442999999999999E-3</v>
      </c>
      <c r="BY31" s="4">
        <v>1.4235999999999999E-3</v>
      </c>
      <c r="BZ31" s="4">
        <v>1.4031E-3</v>
      </c>
      <c r="CA31" s="4">
        <v>1.3829999999999999E-3</v>
      </c>
      <c r="CB31" s="4">
        <v>1.3632E-3</v>
      </c>
      <c r="CC31" s="4">
        <v>1.3435999999999999E-3</v>
      </c>
      <c r="CD31" s="4">
        <v>1.3244000000000001E-3</v>
      </c>
      <c r="CE31" s="4">
        <v>1.3055E-3</v>
      </c>
      <c r="CF31" s="4">
        <v>1.2868000000000001E-3</v>
      </c>
      <c r="CG31" s="4">
        <v>1.2684E-3</v>
      </c>
      <c r="CH31" s="4">
        <v>1.2503E-3</v>
      </c>
      <c r="CI31" s="4">
        <v>1.2325000000000001E-3</v>
      </c>
      <c r="CJ31" s="4">
        <v>1.2149999999999999E-3</v>
      </c>
      <c r="CK31" s="4">
        <v>1.1976999999999999E-3</v>
      </c>
      <c r="CL31" s="4">
        <v>1.1806E-3</v>
      </c>
      <c r="CM31" s="4">
        <v>1.1639E-3</v>
      </c>
      <c r="CN31" s="4">
        <v>1.1473E-3</v>
      </c>
      <c r="CO31" s="4">
        <v>1.1310000000000001E-3</v>
      </c>
      <c r="CP31" s="4">
        <v>1.1150000000000001E-3</v>
      </c>
      <c r="CQ31" s="4">
        <v>1.0992E-3</v>
      </c>
      <c r="CR31" s="4">
        <v>1.0836999999999999E-3</v>
      </c>
      <c r="CS31" s="4">
        <v>1.0682999999999999E-3</v>
      </c>
      <c r="CT31" s="4">
        <v>1.0532E-3</v>
      </c>
      <c r="CU31" s="4">
        <v>1.0384000000000001E-3</v>
      </c>
      <c r="CV31" s="4">
        <v>1.0237E-3</v>
      </c>
      <c r="CW31" s="4">
        <v>1.0093000000000001E-3</v>
      </c>
      <c r="CX31" s="4">
        <v>9.9500000000000001E-4</v>
      </c>
      <c r="CY31" s="4">
        <v>9.810000000000001E-4</v>
      </c>
      <c r="CZ31" s="4">
        <v>9.6719999999999998E-4</v>
      </c>
      <c r="DA31" s="4">
        <v>9.5359999999999998E-4</v>
      </c>
      <c r="DB31" s="4">
        <v>9.4019999999999998E-4</v>
      </c>
      <c r="DC31" s="4">
        <v>9.2690000000000003E-4</v>
      </c>
      <c r="DD31" s="4">
        <v>9.1390000000000004E-4</v>
      </c>
      <c r="DE31" s="4">
        <v>9.0109999999999995E-4</v>
      </c>
      <c r="DF31" s="4">
        <v>8.8840000000000002E-4</v>
      </c>
      <c r="DG31" s="4">
        <v>8.7589999999999999E-4</v>
      </c>
      <c r="DH31" s="4">
        <v>8.6359999999999996E-4</v>
      </c>
      <c r="DI31" s="4">
        <v>8.5150000000000004E-4</v>
      </c>
      <c r="DJ31" s="4">
        <v>8.3960000000000003E-4</v>
      </c>
      <c r="DK31" s="4">
        <v>8.2779999999999996E-4</v>
      </c>
      <c r="DL31" s="4">
        <v>8.162E-4</v>
      </c>
      <c r="DM31" s="4">
        <v>8.0480000000000005E-4</v>
      </c>
      <c r="DN31" s="4">
        <v>7.9350000000000004E-4</v>
      </c>
      <c r="DO31" s="4">
        <v>7.8240000000000004E-4</v>
      </c>
      <c r="DP31" s="4">
        <v>7.7139999999999999E-4</v>
      </c>
      <c r="DQ31" s="4">
        <v>5.3964900000000003E-2</v>
      </c>
      <c r="DR31" s="4">
        <v>0</v>
      </c>
      <c r="DS31" s="4">
        <v>1.109E-4</v>
      </c>
      <c r="DT31" s="4">
        <v>2.332E-4</v>
      </c>
      <c r="DU31" s="4">
        <v>5.1679999999999999E-4</v>
      </c>
      <c r="DV31" s="4">
        <v>6.6859999999999999E-4</v>
      </c>
      <c r="DW31" s="4">
        <v>6.3730000000000004E-4</v>
      </c>
      <c r="DX31" s="4">
        <v>5.6910000000000001E-4</v>
      </c>
      <c r="DY31" s="4">
        <v>5.2309999999999998E-4</v>
      </c>
      <c r="DZ31" s="4">
        <v>4.5449999999999999E-4</v>
      </c>
      <c r="EA31" s="4">
        <v>4.0190000000000001E-4</v>
      </c>
      <c r="EB31" s="4">
        <v>3.5530000000000002E-4</v>
      </c>
      <c r="EC31" s="4">
        <v>3.1609999999999999E-4</v>
      </c>
      <c r="ED31" s="4">
        <v>2.8210000000000003E-4</v>
      </c>
      <c r="EE31" s="4">
        <v>2.5270000000000002E-4</v>
      </c>
      <c r="EF31" s="4">
        <v>2.2719999999999999E-4</v>
      </c>
      <c r="EG31" s="4">
        <v>2.0540000000000001E-4</v>
      </c>
      <c r="EH31" s="4">
        <v>1.864E-4</v>
      </c>
      <c r="EI31" s="4">
        <v>1.6919999999999999E-4</v>
      </c>
      <c r="EJ31" s="4">
        <v>1.537E-4</v>
      </c>
      <c r="EK31" s="4">
        <v>1.362E-4</v>
      </c>
      <c r="EL31" s="4">
        <v>1.249E-4</v>
      </c>
      <c r="EM31" s="4">
        <v>1.1459999999999999E-4</v>
      </c>
      <c r="EN31" s="4">
        <v>1.011E-4</v>
      </c>
      <c r="EO31" s="4">
        <v>1.024E-4</v>
      </c>
      <c r="EP31" s="4">
        <v>9.5199999999999997E-5</v>
      </c>
      <c r="EQ31" s="4">
        <v>8.9599999999999996E-5</v>
      </c>
      <c r="ER31" s="4">
        <v>8.4400000000000005E-5</v>
      </c>
      <c r="ES31" s="4">
        <v>7.9699999999999999E-5</v>
      </c>
      <c r="ET31" s="4">
        <v>7.5400000000000003E-5</v>
      </c>
      <c r="EU31" s="4">
        <v>7.1500000000000003E-5</v>
      </c>
      <c r="EV31" s="4">
        <v>6.7899999999999997E-5</v>
      </c>
      <c r="EW31" s="4">
        <v>6.4599999999999998E-5</v>
      </c>
      <c r="EX31" s="4">
        <v>6.1500000000000004E-5</v>
      </c>
      <c r="EY31" s="4">
        <v>5.8600000000000001E-5</v>
      </c>
      <c r="EZ31" s="4">
        <v>5.5999999999999999E-5</v>
      </c>
      <c r="FA31" s="4">
        <v>5.3499999999999999E-5</v>
      </c>
      <c r="FB31" s="4">
        <v>5.1199999999999998E-5</v>
      </c>
      <c r="FC31" s="4">
        <v>4.8999999999999998E-5</v>
      </c>
      <c r="FD31" s="4">
        <v>4.71E-5</v>
      </c>
      <c r="FE31" s="4">
        <v>4.5200000000000001E-5</v>
      </c>
      <c r="FF31" s="4">
        <v>4.35E-5</v>
      </c>
      <c r="FG31" s="4">
        <v>4.1900000000000002E-5</v>
      </c>
      <c r="FH31" s="4">
        <v>4.0399999999999999E-5</v>
      </c>
      <c r="FI31" s="4">
        <v>3.8999999999999999E-5</v>
      </c>
      <c r="FJ31" s="4">
        <v>3.7700000000000002E-5</v>
      </c>
      <c r="FK31" s="4">
        <v>3.65E-5</v>
      </c>
      <c r="FL31" s="4">
        <v>3.54E-5</v>
      </c>
      <c r="FM31" s="4">
        <v>3.43E-5</v>
      </c>
      <c r="FN31" s="4">
        <v>3.3300000000000003E-5</v>
      </c>
      <c r="FO31" s="4">
        <v>3.2400000000000001E-5</v>
      </c>
      <c r="FP31" s="4">
        <v>3.1600000000000002E-5</v>
      </c>
      <c r="FQ31" s="4">
        <v>3.0800000000000003E-5</v>
      </c>
      <c r="FR31" s="4">
        <v>3.0000000000000001E-5</v>
      </c>
      <c r="FS31" s="4">
        <v>2.9300000000000001E-5</v>
      </c>
      <c r="FT31" s="4">
        <v>2.8600000000000001E-5</v>
      </c>
      <c r="FU31" s="4">
        <v>2.8E-5</v>
      </c>
      <c r="FV31" s="4">
        <v>2.7399999999999999E-5</v>
      </c>
      <c r="FW31" s="4">
        <v>2.6800000000000001E-5</v>
      </c>
      <c r="FX31" s="4">
        <v>2.6299999999999999E-5</v>
      </c>
      <c r="FY31" s="4">
        <v>2.58E-5</v>
      </c>
      <c r="FZ31" s="4">
        <v>2.5299999999999998E-5</v>
      </c>
      <c r="GA31" s="4">
        <v>2.48E-5</v>
      </c>
      <c r="GB31" s="4">
        <v>2.44E-5</v>
      </c>
      <c r="GC31" s="4">
        <v>2.3900000000000002E-5</v>
      </c>
      <c r="GD31" s="4">
        <v>2.3499999999999999E-5</v>
      </c>
      <c r="GE31" s="4">
        <v>2.3099999999999999E-5</v>
      </c>
      <c r="GF31" s="4">
        <v>2.27E-5</v>
      </c>
      <c r="GG31" s="4">
        <v>2.2399999999999999E-5</v>
      </c>
      <c r="GH31" s="4">
        <v>2.1999999999999999E-5</v>
      </c>
      <c r="GI31" s="4">
        <v>2.16E-5</v>
      </c>
      <c r="GJ31" s="4">
        <v>2.1299999999999999E-5</v>
      </c>
      <c r="GK31" s="4">
        <v>2.0999999999999999E-5</v>
      </c>
      <c r="GL31" s="4">
        <v>2.0699999999999998E-5</v>
      </c>
      <c r="GM31" s="4">
        <v>2.0400000000000001E-5</v>
      </c>
      <c r="GN31" s="4">
        <v>2.0100000000000001E-5</v>
      </c>
      <c r="GO31" s="4">
        <v>1.98E-5</v>
      </c>
      <c r="GP31" s="4">
        <v>1.95E-5</v>
      </c>
      <c r="GQ31" s="4">
        <v>1.9199999999999999E-5</v>
      </c>
      <c r="GR31" s="4">
        <v>1.8899999999999999E-5</v>
      </c>
      <c r="GS31" s="4">
        <v>1.8700000000000001E-5</v>
      </c>
      <c r="GT31" s="4">
        <v>1.84E-5</v>
      </c>
      <c r="GU31" s="4">
        <v>1.8099999999999999E-5</v>
      </c>
      <c r="GV31" s="4">
        <v>1.7900000000000001E-5</v>
      </c>
      <c r="GW31" s="4">
        <v>1.7600000000000001E-5</v>
      </c>
      <c r="GX31" s="4">
        <v>1.7399999999999999E-5</v>
      </c>
      <c r="GY31" s="4">
        <v>1.7200000000000001E-5</v>
      </c>
      <c r="GZ31" s="4">
        <v>1.6900000000000001E-5</v>
      </c>
      <c r="HA31" s="4">
        <v>1.6699999999999999E-5</v>
      </c>
      <c r="HB31" s="4">
        <v>1.6500000000000001E-5</v>
      </c>
      <c r="HC31" s="4">
        <v>1.6200000000000001E-5</v>
      </c>
      <c r="HD31" s="4">
        <v>1.5999999999999999E-5</v>
      </c>
      <c r="HE31" s="4">
        <v>1.5800000000000001E-5</v>
      </c>
      <c r="HF31" s="4">
        <v>1.56E-5</v>
      </c>
      <c r="HG31" s="4">
        <v>1.5400000000000002E-5</v>
      </c>
      <c r="HH31" s="4">
        <v>1.52E-5</v>
      </c>
      <c r="HI31" s="4">
        <v>1.5E-5</v>
      </c>
      <c r="HJ31" s="4">
        <v>1.4800000000000001E-5</v>
      </c>
      <c r="HK31" s="4">
        <v>1.4600000000000001E-5</v>
      </c>
      <c r="HL31" s="4">
        <v>1.4399999999999999E-5</v>
      </c>
      <c r="HM31" s="4">
        <v>1.42E-5</v>
      </c>
      <c r="HN31" s="4">
        <v>1.4E-5</v>
      </c>
      <c r="HO31" s="4">
        <v>1.38E-5</v>
      </c>
      <c r="HP31" s="4">
        <v>1.36E-5</v>
      </c>
      <c r="HQ31" s="4">
        <v>1.34E-5</v>
      </c>
      <c r="HR31" s="4">
        <v>1.3200000000000001E-5</v>
      </c>
      <c r="HS31" s="4">
        <v>1.31E-5</v>
      </c>
      <c r="HT31" s="4">
        <v>1.29E-5</v>
      </c>
      <c r="HU31" s="4">
        <v>1.27E-5</v>
      </c>
      <c r="HV31" s="4">
        <v>1.2500000000000001E-5</v>
      </c>
      <c r="HW31" s="4">
        <v>1.24E-5</v>
      </c>
      <c r="HX31" s="4">
        <v>1.22E-5</v>
      </c>
      <c r="HY31" s="4">
        <v>1.2E-5</v>
      </c>
      <c r="HZ31" s="4">
        <v>1.19E-5</v>
      </c>
      <c r="IA31" s="4">
        <v>1.17E-5</v>
      </c>
      <c r="IB31" s="4">
        <v>1.1600000000000001E-5</v>
      </c>
      <c r="IC31" s="4">
        <v>1.1399999999999999E-5</v>
      </c>
      <c r="ID31" s="4">
        <v>1.13E-5</v>
      </c>
      <c r="IE31" s="4">
        <v>1.11E-5</v>
      </c>
      <c r="IF31" s="4">
        <v>1.1E-5</v>
      </c>
      <c r="IG31" s="4">
        <v>7.7519999999999998E-4</v>
      </c>
      <c r="IH31" s="4"/>
      <c r="II31" s="4">
        <f t="shared" si="247"/>
        <v>0.11348451570046991</v>
      </c>
      <c r="IL31">
        <f t="shared" si="248"/>
        <v>0.35284813749999955</v>
      </c>
      <c r="IP31" s="4">
        <f t="shared" si="249"/>
        <v>3.99254E-2</v>
      </c>
      <c r="IQ31" s="4">
        <f t="shared" si="250"/>
        <v>3.1508799999999997E-2</v>
      </c>
      <c r="IR31" s="4">
        <f t="shared" si="251"/>
        <v>2.4054099999999998E-2</v>
      </c>
      <c r="IS31" s="4">
        <f t="shared" si="252"/>
        <v>1.9517699999999999E-2</v>
      </c>
      <c r="IT31" s="4">
        <f t="shared" si="253"/>
        <v>1.5988499999999999E-2</v>
      </c>
      <c r="IU31" s="4">
        <f t="shared" si="254"/>
        <v>5.7727099999999996E-2</v>
      </c>
      <c r="IV31" s="4">
        <f t="shared" si="255"/>
        <v>4.0995699999999989E-2</v>
      </c>
      <c r="IW31" s="4">
        <f t="shared" si="256"/>
        <v>3.0502099999999997E-2</v>
      </c>
      <c r="IX31" s="4">
        <f t="shared" si="257"/>
        <v>9.2528700000000005E-2</v>
      </c>
      <c r="JA31" s="4">
        <f t="shared" si="289"/>
        <v>8.3483999999999989E-3</v>
      </c>
      <c r="JB31" s="4">
        <f t="shared" si="290"/>
        <v>7.4187999999999962E-3</v>
      </c>
      <c r="JC31" s="4">
        <f t="shared" si="260"/>
        <v>4.6465000000000013E-3</v>
      </c>
      <c r="JD31" s="4">
        <f t="shared" si="261"/>
        <v>3.0121999999999996E-3</v>
      </c>
      <c r="JE31" s="4">
        <f t="shared" si="262"/>
        <v>2.0176000000000013E-3</v>
      </c>
      <c r="JF31" s="4">
        <f t="shared" si="263"/>
        <v>5.2991000000000149E-3</v>
      </c>
      <c r="JG31" s="4">
        <f t="shared" si="264"/>
        <v>2.466999999999997E-3</v>
      </c>
      <c r="JH31" s="4">
        <f t="shared" si="265"/>
        <v>1.6658999999999945E-3</v>
      </c>
      <c r="JI31" s="4">
        <f t="shared" si="266"/>
        <v>5.1673000000000135E-3</v>
      </c>
    </row>
    <row r="32" spans="1:291" x14ac:dyDescent="0.35">
      <c r="A32" s="1">
        <v>24</v>
      </c>
      <c r="B32" s="4">
        <v>1.05568E-2</v>
      </c>
      <c r="C32" s="4">
        <v>1.0309199999999999E-2</v>
      </c>
      <c r="D32" s="4">
        <v>1.01983E-2</v>
      </c>
      <c r="E32" s="4">
        <v>9.9655999999999998E-3</v>
      </c>
      <c r="F32" s="4">
        <v>9.4477999999999993E-3</v>
      </c>
      <c r="G32" s="4">
        <v>8.7842000000000007E-3</v>
      </c>
      <c r="H32" s="4">
        <v>8.1379E-3</v>
      </c>
      <c r="I32" s="4">
        <v>7.5700999999999997E-3</v>
      </c>
      <c r="J32" s="4">
        <v>7.0418E-3</v>
      </c>
      <c r="K32" s="4">
        <v>6.5750000000000001E-3</v>
      </c>
      <c r="L32" s="4">
        <v>6.1653999999999997E-3</v>
      </c>
      <c r="M32" s="4">
        <v>5.8057999999999998E-3</v>
      </c>
      <c r="N32" s="4">
        <v>5.4999000000000003E-3</v>
      </c>
      <c r="O32" s="4">
        <v>5.2275999999999998E-3</v>
      </c>
      <c r="P32" s="4">
        <v>4.9801999999999997E-3</v>
      </c>
      <c r="Q32" s="4">
        <v>4.7556999999999999E-3</v>
      </c>
      <c r="R32" s="4">
        <v>4.5507000000000004E-3</v>
      </c>
      <c r="S32" s="4">
        <v>4.3594000000000003E-3</v>
      </c>
      <c r="T32" s="4">
        <v>4.1681000000000001E-3</v>
      </c>
      <c r="U32" s="4">
        <v>3.9757999999999998E-3</v>
      </c>
      <c r="V32" s="4">
        <v>3.7076000000000001E-3</v>
      </c>
      <c r="W32" s="4">
        <v>3.5528999999999999E-3</v>
      </c>
      <c r="X32" s="4">
        <v>3.4036000000000001E-3</v>
      </c>
      <c r="Y32" s="4">
        <v>3.1535999999999999E-3</v>
      </c>
      <c r="Z32" s="4">
        <v>3.2634999999999999E-3</v>
      </c>
      <c r="AA32" s="4">
        <v>3.1724000000000001E-3</v>
      </c>
      <c r="AB32" s="4">
        <v>3.1083E-3</v>
      </c>
      <c r="AC32" s="4">
        <v>3.0450999999999998E-3</v>
      </c>
      <c r="AD32" s="4">
        <v>2.9854999999999999E-3</v>
      </c>
      <c r="AE32" s="4">
        <v>2.9275999999999998E-3</v>
      </c>
      <c r="AF32" s="4">
        <v>2.8720999999999998E-3</v>
      </c>
      <c r="AG32" s="4">
        <v>2.8183000000000001E-3</v>
      </c>
      <c r="AH32" s="4">
        <v>2.7661999999999999E-3</v>
      </c>
      <c r="AI32" s="4">
        <v>2.7155999999999999E-3</v>
      </c>
      <c r="AJ32" s="4">
        <v>2.6665999999999999E-3</v>
      </c>
      <c r="AK32" s="4">
        <v>2.6191999999999999E-3</v>
      </c>
      <c r="AL32" s="4">
        <v>2.5731999999999999E-3</v>
      </c>
      <c r="AM32" s="4">
        <v>2.5287E-3</v>
      </c>
      <c r="AN32" s="4">
        <v>2.4854999999999999E-3</v>
      </c>
      <c r="AO32" s="4">
        <v>2.4436000000000002E-3</v>
      </c>
      <c r="AP32" s="4">
        <v>2.4031E-3</v>
      </c>
      <c r="AQ32" s="4">
        <v>2.3636999999999998E-3</v>
      </c>
      <c r="AR32" s="4">
        <v>2.3254E-3</v>
      </c>
      <c r="AS32" s="4">
        <v>2.2882000000000002E-3</v>
      </c>
      <c r="AT32" s="4">
        <v>2.2520999999999999E-3</v>
      </c>
      <c r="AU32" s="4">
        <v>2.2168999999999999E-3</v>
      </c>
      <c r="AV32" s="4">
        <v>2.1825999999999998E-3</v>
      </c>
      <c r="AW32" s="4">
        <v>2.1491000000000001E-3</v>
      </c>
      <c r="AX32" s="4">
        <v>2.1164999999999999E-3</v>
      </c>
      <c r="AY32" s="4">
        <v>2.0845E-3</v>
      </c>
      <c r="AZ32" s="4">
        <v>2.0533000000000001E-3</v>
      </c>
      <c r="BA32" s="4">
        <v>2.0227000000000001E-3</v>
      </c>
      <c r="BB32" s="4">
        <v>1.9927E-3</v>
      </c>
      <c r="BC32" s="4">
        <v>1.9632999999999999E-3</v>
      </c>
      <c r="BD32" s="4">
        <v>1.9344E-3</v>
      </c>
      <c r="BE32" s="4">
        <v>1.9061E-3</v>
      </c>
      <c r="BF32" s="4">
        <v>1.8782E-3</v>
      </c>
      <c r="BG32" s="4">
        <v>1.8508000000000001E-3</v>
      </c>
      <c r="BH32" s="4">
        <v>1.8239E-3</v>
      </c>
      <c r="BI32" s="4">
        <v>1.7974E-3</v>
      </c>
      <c r="BJ32" s="4">
        <v>1.7713E-3</v>
      </c>
      <c r="BK32" s="4">
        <v>1.7455999999999999E-3</v>
      </c>
      <c r="BL32" s="4">
        <v>1.7202999999999999E-3</v>
      </c>
      <c r="BM32" s="4">
        <v>1.6953999999999999E-3</v>
      </c>
      <c r="BN32" s="4">
        <v>1.6708999999999999E-3</v>
      </c>
      <c r="BO32" s="4">
        <v>1.6467000000000001E-3</v>
      </c>
      <c r="BP32" s="4">
        <v>1.6229E-3</v>
      </c>
      <c r="BQ32" s="4">
        <v>1.5995E-3</v>
      </c>
      <c r="BR32" s="4">
        <v>1.5763999999999999E-3</v>
      </c>
      <c r="BS32" s="4">
        <v>1.5537000000000001E-3</v>
      </c>
      <c r="BT32" s="4">
        <v>1.5313E-3</v>
      </c>
      <c r="BU32" s="4">
        <v>1.5093000000000001E-3</v>
      </c>
      <c r="BV32" s="4">
        <v>1.4875000000000001E-3</v>
      </c>
      <c r="BW32" s="4">
        <v>1.4660999999999999E-3</v>
      </c>
      <c r="BX32" s="4">
        <v>1.4450000000000001E-3</v>
      </c>
      <c r="BY32" s="4">
        <v>1.4243000000000001E-3</v>
      </c>
      <c r="BZ32" s="4">
        <v>1.4038E-3</v>
      </c>
      <c r="CA32" s="4">
        <v>1.3837000000000001E-3</v>
      </c>
      <c r="CB32" s="4">
        <v>1.3638000000000001E-3</v>
      </c>
      <c r="CC32" s="4">
        <v>1.3443000000000001E-3</v>
      </c>
      <c r="CD32" s="4">
        <v>1.325E-3</v>
      </c>
      <c r="CE32" s="4">
        <v>1.3060000000000001E-3</v>
      </c>
      <c r="CF32" s="4">
        <v>1.2872999999999999E-3</v>
      </c>
      <c r="CG32" s="4">
        <v>1.2689000000000001E-3</v>
      </c>
      <c r="CH32" s="4">
        <v>1.2508E-3</v>
      </c>
      <c r="CI32" s="4">
        <v>1.2329000000000001E-3</v>
      </c>
      <c r="CJ32" s="4">
        <v>1.2153999999999999E-3</v>
      </c>
      <c r="CK32" s="4">
        <v>1.1980000000000001E-3</v>
      </c>
      <c r="CL32" s="4">
        <v>1.181E-3</v>
      </c>
      <c r="CM32" s="4">
        <v>1.1642E-3</v>
      </c>
      <c r="CN32" s="4">
        <v>1.1475999999999999E-3</v>
      </c>
      <c r="CO32" s="4">
        <v>1.1313E-3</v>
      </c>
      <c r="CP32" s="4">
        <v>1.1153000000000001E-3</v>
      </c>
      <c r="CQ32" s="4">
        <v>1.0993999999999999E-3</v>
      </c>
      <c r="CR32" s="4">
        <v>1.0838E-3</v>
      </c>
      <c r="CS32" s="4">
        <v>1.0685E-3</v>
      </c>
      <c r="CT32" s="4">
        <v>1.0533999999999999E-3</v>
      </c>
      <c r="CU32" s="4">
        <v>1.0384999999999999E-3</v>
      </c>
      <c r="CV32" s="4">
        <v>1.0238000000000001E-3</v>
      </c>
      <c r="CW32" s="4">
        <v>1.0093000000000001E-3</v>
      </c>
      <c r="CX32" s="4">
        <v>9.9510000000000006E-4</v>
      </c>
      <c r="CY32" s="4">
        <v>9.810000000000001E-4</v>
      </c>
      <c r="CZ32" s="4">
        <v>9.6719999999999998E-4</v>
      </c>
      <c r="DA32" s="4">
        <v>9.5359999999999998E-4</v>
      </c>
      <c r="DB32" s="4">
        <v>9.4010000000000003E-4</v>
      </c>
      <c r="DC32" s="4">
        <v>9.2690000000000003E-4</v>
      </c>
      <c r="DD32" s="4">
        <v>9.1390000000000004E-4</v>
      </c>
      <c r="DE32" s="4">
        <v>9.01E-4</v>
      </c>
      <c r="DF32" s="4">
        <v>8.8829999999999996E-4</v>
      </c>
      <c r="DG32" s="4">
        <v>8.7589999999999999E-4</v>
      </c>
      <c r="DH32" s="4">
        <v>8.6359999999999996E-4</v>
      </c>
      <c r="DI32" s="4">
        <v>8.5139999999999999E-4</v>
      </c>
      <c r="DJ32" s="4">
        <v>8.3949999999999997E-4</v>
      </c>
      <c r="DK32" s="4">
        <v>8.2770000000000001E-4</v>
      </c>
      <c r="DL32" s="4">
        <v>8.1610000000000005E-4</v>
      </c>
      <c r="DM32" s="4">
        <v>8.0460000000000004E-4</v>
      </c>
      <c r="DN32" s="4">
        <v>7.9339999999999999E-4</v>
      </c>
      <c r="DO32" s="4">
        <v>7.8220000000000004E-4</v>
      </c>
      <c r="DP32" s="4">
        <v>7.7130000000000005E-4</v>
      </c>
      <c r="DQ32" s="4">
        <v>5.3950199999999997E-2</v>
      </c>
      <c r="DR32" s="4">
        <v>0</v>
      </c>
      <c r="DS32" s="4">
        <v>8.5099999999999995E-5</v>
      </c>
      <c r="DT32" s="4">
        <v>2.1670000000000001E-4</v>
      </c>
      <c r="DU32" s="4">
        <v>4.9169999999999997E-4</v>
      </c>
      <c r="DV32" s="4">
        <v>6.4510000000000001E-4</v>
      </c>
      <c r="DW32" s="4">
        <v>6.3880000000000002E-4</v>
      </c>
      <c r="DX32" s="4">
        <v>5.6709999999999996E-4</v>
      </c>
      <c r="DY32" s="4">
        <v>5.218E-4</v>
      </c>
      <c r="DZ32" s="4">
        <v>4.5389999999999997E-4</v>
      </c>
      <c r="EA32" s="4">
        <v>4.0240000000000002E-4</v>
      </c>
      <c r="EB32" s="4">
        <v>3.5639999999999999E-4</v>
      </c>
      <c r="EC32" s="4">
        <v>3.168E-4</v>
      </c>
      <c r="ED32" s="4">
        <v>2.832E-4</v>
      </c>
      <c r="EE32" s="4">
        <v>2.543E-4</v>
      </c>
      <c r="EF32" s="4">
        <v>2.2900000000000001E-4</v>
      </c>
      <c r="EG32" s="4">
        <v>2.0699999999999999E-4</v>
      </c>
      <c r="EH32" s="4">
        <v>1.8799999999999999E-4</v>
      </c>
      <c r="EI32" s="4">
        <v>1.7129999999999999E-4</v>
      </c>
      <c r="EJ32" s="4">
        <v>1.562E-4</v>
      </c>
      <c r="EK32" s="4">
        <v>1.4239999999999999E-4</v>
      </c>
      <c r="EL32" s="4">
        <v>1.2650000000000001E-4</v>
      </c>
      <c r="EM32" s="4">
        <v>1.164E-4</v>
      </c>
      <c r="EN32" s="4">
        <v>1.07E-4</v>
      </c>
      <c r="EO32" s="4">
        <v>9.48E-5</v>
      </c>
      <c r="EP32" s="4">
        <v>9.6100000000000005E-5</v>
      </c>
      <c r="EQ32" s="4">
        <v>8.9499999999999994E-5</v>
      </c>
      <c r="ER32" s="4">
        <v>8.4400000000000005E-5</v>
      </c>
      <c r="ES32" s="4">
        <v>7.9699999999999999E-5</v>
      </c>
      <c r="ET32" s="4">
        <v>7.5500000000000006E-5</v>
      </c>
      <c r="EU32" s="4">
        <v>7.1500000000000003E-5</v>
      </c>
      <c r="EV32" s="4">
        <v>6.7899999999999997E-5</v>
      </c>
      <c r="EW32" s="4">
        <v>6.4599999999999998E-5</v>
      </c>
      <c r="EX32" s="4">
        <v>6.1500000000000004E-5</v>
      </c>
      <c r="EY32" s="4">
        <v>5.8600000000000001E-5</v>
      </c>
      <c r="EZ32" s="4">
        <v>5.5999999999999999E-5</v>
      </c>
      <c r="FA32" s="4">
        <v>5.3499999999999999E-5</v>
      </c>
      <c r="FB32" s="4">
        <v>5.1199999999999998E-5</v>
      </c>
      <c r="FC32" s="4">
        <v>4.8999999999999998E-5</v>
      </c>
      <c r="FD32" s="4">
        <v>4.6999999999999997E-5</v>
      </c>
      <c r="FE32" s="4">
        <v>4.5099999999999998E-5</v>
      </c>
      <c r="FF32" s="4">
        <v>4.3399999999999998E-5</v>
      </c>
      <c r="FG32" s="4">
        <v>4.18E-5</v>
      </c>
      <c r="FH32" s="4">
        <v>4.0299999999999997E-5</v>
      </c>
      <c r="FI32" s="4">
        <v>3.8899999999999997E-5</v>
      </c>
      <c r="FJ32" s="4">
        <v>3.7599999999999999E-5</v>
      </c>
      <c r="FK32" s="4">
        <v>3.6399999999999997E-5</v>
      </c>
      <c r="FL32" s="4">
        <v>3.5200000000000002E-5</v>
      </c>
      <c r="FM32" s="4">
        <v>3.4199999999999998E-5</v>
      </c>
      <c r="FN32" s="4">
        <v>3.3200000000000001E-5</v>
      </c>
      <c r="FO32" s="4">
        <v>3.2299999999999999E-5</v>
      </c>
      <c r="FP32" s="4">
        <v>3.1399999999999998E-5</v>
      </c>
      <c r="FQ32" s="4">
        <v>3.0599999999999998E-5</v>
      </c>
      <c r="FR32" s="4">
        <v>2.9899999999999998E-5</v>
      </c>
      <c r="FS32" s="4">
        <v>2.9099999999999999E-5</v>
      </c>
      <c r="FT32" s="4">
        <v>2.8500000000000002E-5</v>
      </c>
      <c r="FU32" s="4">
        <v>2.7800000000000001E-5</v>
      </c>
      <c r="FV32" s="4">
        <v>2.72E-5</v>
      </c>
      <c r="FW32" s="4">
        <v>2.6699999999999998E-5</v>
      </c>
      <c r="FX32" s="4">
        <v>2.6100000000000001E-5</v>
      </c>
      <c r="FY32" s="4">
        <v>2.5599999999999999E-5</v>
      </c>
      <c r="FZ32" s="4">
        <v>2.51E-5</v>
      </c>
      <c r="GA32" s="4">
        <v>2.4700000000000001E-5</v>
      </c>
      <c r="GB32" s="4">
        <v>2.4199999999999999E-5</v>
      </c>
      <c r="GC32" s="4">
        <v>2.3799999999999999E-5</v>
      </c>
      <c r="GD32" s="4">
        <v>2.34E-5</v>
      </c>
      <c r="GE32" s="4">
        <v>2.3E-5</v>
      </c>
      <c r="GF32" s="4">
        <v>2.26E-5</v>
      </c>
      <c r="GG32" s="4">
        <v>2.2200000000000001E-5</v>
      </c>
      <c r="GH32" s="4">
        <v>2.19E-5</v>
      </c>
      <c r="GI32" s="4">
        <v>2.1500000000000001E-5</v>
      </c>
      <c r="GJ32" s="4">
        <v>2.12E-5</v>
      </c>
      <c r="GK32" s="4">
        <v>2.09E-5</v>
      </c>
      <c r="GL32" s="4">
        <v>2.0599999999999999E-5</v>
      </c>
      <c r="GM32" s="4">
        <v>2.0299999999999999E-5</v>
      </c>
      <c r="GN32" s="4">
        <v>2.0000000000000002E-5</v>
      </c>
      <c r="GO32" s="4">
        <v>1.9700000000000001E-5</v>
      </c>
      <c r="GP32" s="4">
        <v>1.9400000000000001E-5</v>
      </c>
      <c r="GQ32" s="4">
        <v>1.91E-5</v>
      </c>
      <c r="GR32" s="4">
        <v>1.8899999999999999E-5</v>
      </c>
      <c r="GS32" s="4">
        <v>1.8600000000000001E-5</v>
      </c>
      <c r="GT32" s="4">
        <v>1.8300000000000001E-5</v>
      </c>
      <c r="GU32" s="4">
        <v>1.8099999999999999E-5</v>
      </c>
      <c r="GV32" s="4">
        <v>1.7799999999999999E-5</v>
      </c>
      <c r="GW32" s="4">
        <v>1.7600000000000001E-5</v>
      </c>
      <c r="GX32" s="4">
        <v>1.73E-5</v>
      </c>
      <c r="GY32" s="4">
        <v>1.7099999999999999E-5</v>
      </c>
      <c r="GZ32" s="4">
        <v>1.6900000000000001E-5</v>
      </c>
      <c r="HA32" s="4">
        <v>1.66E-5</v>
      </c>
      <c r="HB32" s="4">
        <v>1.6399999999999999E-5</v>
      </c>
      <c r="HC32" s="4">
        <v>1.6200000000000001E-5</v>
      </c>
      <c r="HD32" s="4">
        <v>1.5999999999999999E-5</v>
      </c>
      <c r="HE32" s="4">
        <v>1.5800000000000001E-5</v>
      </c>
      <c r="HF32" s="4">
        <v>1.5500000000000001E-5</v>
      </c>
      <c r="HG32" s="4">
        <v>1.5299999999999999E-5</v>
      </c>
      <c r="HH32" s="4">
        <v>1.5099999999999999E-5</v>
      </c>
      <c r="HI32" s="4">
        <v>1.49E-5</v>
      </c>
      <c r="HJ32" s="4">
        <v>1.47E-5</v>
      </c>
      <c r="HK32" s="4">
        <v>1.45E-5</v>
      </c>
      <c r="HL32" s="4">
        <v>1.43E-5</v>
      </c>
      <c r="HM32" s="4">
        <v>1.4100000000000001E-5</v>
      </c>
      <c r="HN32" s="4">
        <v>1.4E-5</v>
      </c>
      <c r="HO32" s="4">
        <v>1.38E-5</v>
      </c>
      <c r="HP32" s="4">
        <v>1.36E-5</v>
      </c>
      <c r="HQ32" s="4">
        <v>1.34E-5</v>
      </c>
      <c r="HR32" s="4">
        <v>1.3200000000000001E-5</v>
      </c>
      <c r="HS32" s="4">
        <v>1.2999999999999999E-5</v>
      </c>
      <c r="HT32" s="4">
        <v>1.29E-5</v>
      </c>
      <c r="HU32" s="4">
        <v>1.27E-5</v>
      </c>
      <c r="HV32" s="4">
        <v>1.2500000000000001E-5</v>
      </c>
      <c r="HW32" s="4">
        <v>1.24E-5</v>
      </c>
      <c r="HX32" s="4">
        <v>1.22E-5</v>
      </c>
      <c r="HY32" s="4">
        <v>1.2E-5</v>
      </c>
      <c r="HZ32" s="4">
        <v>1.19E-5</v>
      </c>
      <c r="IA32" s="4">
        <v>1.17E-5</v>
      </c>
      <c r="IB32" s="4">
        <v>1.15E-5</v>
      </c>
      <c r="IC32" s="4">
        <v>1.1399999999999999E-5</v>
      </c>
      <c r="ID32" s="4">
        <v>1.1199999999999999E-5</v>
      </c>
      <c r="IE32" s="4">
        <v>1.11E-5</v>
      </c>
      <c r="IF32" s="4">
        <v>1.0900000000000001E-5</v>
      </c>
      <c r="IG32" s="4">
        <v>7.7380000000000005E-4</v>
      </c>
      <c r="IH32" s="4"/>
      <c r="II32" s="4">
        <f t="shared" si="247"/>
        <v>0.1130994138746696</v>
      </c>
      <c r="IL32">
        <f t="shared" si="248"/>
        <v>0.35285328749999983</v>
      </c>
      <c r="IP32" s="4">
        <f t="shared" si="249"/>
        <v>3.9920899999999995E-2</v>
      </c>
      <c r="IQ32" s="4">
        <f t="shared" si="250"/>
        <v>3.1534E-2</v>
      </c>
      <c r="IR32" s="4">
        <f t="shared" si="251"/>
        <v>2.4046100000000001E-2</v>
      </c>
      <c r="IS32" s="4">
        <f t="shared" si="252"/>
        <v>1.9514199999999999E-2</v>
      </c>
      <c r="IT32" s="4">
        <f t="shared" si="253"/>
        <v>1.62109E-2</v>
      </c>
      <c r="IU32" s="4">
        <f t="shared" si="254"/>
        <v>5.7504599999999989E-2</v>
      </c>
      <c r="IV32" s="4">
        <f t="shared" si="255"/>
        <v>4.0973099999999998E-2</v>
      </c>
      <c r="IW32" s="4">
        <f t="shared" si="256"/>
        <v>3.0515500000000001E-2</v>
      </c>
      <c r="IX32" s="4">
        <f t="shared" si="257"/>
        <v>9.2518400000000001E-2</v>
      </c>
      <c r="JA32" s="4">
        <f t="shared" si="289"/>
        <v>8.2961000000000007E-3</v>
      </c>
      <c r="JB32" s="4">
        <f t="shared" si="290"/>
        <v>7.3889999999999928E-3</v>
      </c>
      <c r="JC32" s="4">
        <f t="shared" si="260"/>
        <v>4.6274000000000003E-3</v>
      </c>
      <c r="JD32" s="4">
        <f t="shared" si="261"/>
        <v>3.0332000000000033E-3</v>
      </c>
      <c r="JE32" s="4">
        <f t="shared" si="262"/>
        <v>2.0029000000000019E-3</v>
      </c>
      <c r="JF32" s="4">
        <f t="shared" si="263"/>
        <v>5.2762000000000156E-3</v>
      </c>
      <c r="JG32" s="4">
        <f t="shared" si="264"/>
        <v>2.4609000000000089E-3</v>
      </c>
      <c r="JH32" s="4">
        <f t="shared" si="265"/>
        <v>1.6626999999999927E-3</v>
      </c>
      <c r="JI32" s="4">
        <f t="shared" si="266"/>
        <v>5.1590999999999998E-3</v>
      </c>
    </row>
    <row r="33" spans="1:269" x14ac:dyDescent="0.35">
      <c r="A33" s="1">
        <v>25</v>
      </c>
      <c r="B33" s="4">
        <v>1.05568E-2</v>
      </c>
      <c r="C33" s="4">
        <v>1.05568E-2</v>
      </c>
      <c r="D33" s="4">
        <v>1.02241E-2</v>
      </c>
      <c r="E33" s="4">
        <v>9.9816000000000002E-3</v>
      </c>
      <c r="F33" s="4">
        <v>9.4739000000000004E-3</v>
      </c>
      <c r="G33" s="4">
        <v>8.8027000000000001E-3</v>
      </c>
      <c r="H33" s="4">
        <v>8.1454000000000006E-3</v>
      </c>
      <c r="I33" s="4">
        <v>7.5707999999999999E-3</v>
      </c>
      <c r="J33" s="4">
        <v>7.0483000000000004E-3</v>
      </c>
      <c r="K33" s="4">
        <v>6.5878999999999998E-3</v>
      </c>
      <c r="L33" s="4">
        <v>6.1726000000000003E-3</v>
      </c>
      <c r="M33" s="4">
        <v>5.8089999999999999E-3</v>
      </c>
      <c r="N33" s="4">
        <v>5.489E-3</v>
      </c>
      <c r="O33" s="4">
        <v>5.2166000000000001E-3</v>
      </c>
      <c r="P33" s="4">
        <v>4.9734000000000002E-3</v>
      </c>
      <c r="Q33" s="4">
        <v>4.7511999999999997E-3</v>
      </c>
      <c r="R33" s="4">
        <v>4.5487000000000001E-3</v>
      </c>
      <c r="S33" s="4">
        <v>4.3628E-3</v>
      </c>
      <c r="T33" s="4">
        <v>4.1881000000000002E-3</v>
      </c>
      <c r="U33" s="4">
        <v>4.0118999999999997E-3</v>
      </c>
      <c r="V33" s="4">
        <v>3.8335000000000001E-3</v>
      </c>
      <c r="W33" s="4">
        <v>3.581E-3</v>
      </c>
      <c r="X33" s="4">
        <v>3.4364999999999999E-3</v>
      </c>
      <c r="Y33" s="4">
        <v>3.2965999999999998E-3</v>
      </c>
      <c r="Z33" s="4">
        <v>3.0588E-3</v>
      </c>
      <c r="AA33" s="4">
        <v>3.1675000000000002E-3</v>
      </c>
      <c r="AB33" s="4">
        <v>3.0829E-3</v>
      </c>
      <c r="AC33" s="4">
        <v>3.0238000000000001E-3</v>
      </c>
      <c r="AD33" s="4">
        <v>2.9654E-3</v>
      </c>
      <c r="AE33" s="4">
        <v>2.9099999999999998E-3</v>
      </c>
      <c r="AF33" s="4">
        <v>2.856E-3</v>
      </c>
      <c r="AG33" s="4">
        <v>2.8042000000000002E-3</v>
      </c>
      <c r="AH33" s="4">
        <v>2.7537E-3</v>
      </c>
      <c r="AI33" s="4">
        <v>2.7047E-3</v>
      </c>
      <c r="AJ33" s="4">
        <v>2.6570000000000001E-3</v>
      </c>
      <c r="AK33" s="4">
        <v>2.6107000000000001E-3</v>
      </c>
      <c r="AL33" s="4">
        <v>2.5657000000000002E-3</v>
      </c>
      <c r="AM33" s="4">
        <v>2.5219999999999999E-3</v>
      </c>
      <c r="AN33" s="4">
        <v>2.4796000000000002E-3</v>
      </c>
      <c r="AO33" s="4">
        <v>2.4385000000000001E-3</v>
      </c>
      <c r="AP33" s="4">
        <v>2.3985E-3</v>
      </c>
      <c r="AQ33" s="4">
        <v>2.3595999999999999E-3</v>
      </c>
      <c r="AR33" s="4">
        <v>2.3219E-3</v>
      </c>
      <c r="AS33" s="4">
        <v>2.2851E-3</v>
      </c>
      <c r="AT33" s="4">
        <v>2.2493999999999999E-3</v>
      </c>
      <c r="AU33" s="4">
        <v>2.2144999999999999E-3</v>
      </c>
      <c r="AV33" s="4">
        <v>2.1805000000000001E-3</v>
      </c>
      <c r="AW33" s="4">
        <v>2.1473E-3</v>
      </c>
      <c r="AX33" s="4">
        <v>2.1148999999999999E-3</v>
      </c>
      <c r="AY33" s="4">
        <v>2.0831999999999999E-3</v>
      </c>
      <c r="AZ33" s="4">
        <v>2.0522000000000001E-3</v>
      </c>
      <c r="BA33" s="4">
        <v>2.0219000000000001E-3</v>
      </c>
      <c r="BB33" s="4">
        <v>1.9921000000000001E-3</v>
      </c>
      <c r="BC33" s="4">
        <v>1.9629000000000001E-3</v>
      </c>
      <c r="BD33" s="4">
        <v>1.9342000000000001E-3</v>
      </c>
      <c r="BE33" s="4">
        <v>1.9059999999999999E-3</v>
      </c>
      <c r="BF33" s="4">
        <v>1.8782E-3</v>
      </c>
      <c r="BG33" s="4">
        <v>1.851E-3</v>
      </c>
      <c r="BH33" s="4">
        <v>1.8240999999999999E-3</v>
      </c>
      <c r="BI33" s="4">
        <v>1.7976999999999999E-3</v>
      </c>
      <c r="BJ33" s="4">
        <v>1.7717E-3</v>
      </c>
      <c r="BK33" s="4">
        <v>1.7461E-3</v>
      </c>
      <c r="BL33" s="4">
        <v>1.7209E-3</v>
      </c>
      <c r="BM33" s="4">
        <v>1.6961000000000001E-3</v>
      </c>
      <c r="BN33" s="4">
        <v>1.6716000000000001E-3</v>
      </c>
      <c r="BO33" s="4">
        <v>1.6475000000000001E-3</v>
      </c>
      <c r="BP33" s="4">
        <v>1.6237000000000001E-3</v>
      </c>
      <c r="BQ33" s="4">
        <v>1.6003E-3</v>
      </c>
      <c r="BR33" s="4">
        <v>1.5773E-3</v>
      </c>
      <c r="BS33" s="4">
        <v>1.5545999999999999E-3</v>
      </c>
      <c r="BT33" s="4">
        <v>1.5322000000000001E-3</v>
      </c>
      <c r="BU33" s="4">
        <v>1.5100999999999999E-3</v>
      </c>
      <c r="BV33" s="4">
        <v>1.4884E-3</v>
      </c>
      <c r="BW33" s="4">
        <v>1.467E-3</v>
      </c>
      <c r="BX33" s="4">
        <v>1.4459E-3</v>
      </c>
      <c r="BY33" s="4">
        <v>1.4251000000000001E-3</v>
      </c>
      <c r="BZ33" s="4">
        <v>1.4046E-3</v>
      </c>
      <c r="CA33" s="4">
        <v>1.3844E-3</v>
      </c>
      <c r="CB33" s="4">
        <v>1.3645E-3</v>
      </c>
      <c r="CC33" s="4">
        <v>1.3449E-3</v>
      </c>
      <c r="CD33" s="4">
        <v>1.3257E-3</v>
      </c>
      <c r="CE33" s="4">
        <v>1.3067E-3</v>
      </c>
      <c r="CF33" s="4">
        <v>1.2879E-3</v>
      </c>
      <c r="CG33" s="4">
        <v>1.2695E-3</v>
      </c>
      <c r="CH33" s="4">
        <v>1.2512999999999999E-3</v>
      </c>
      <c r="CI33" s="4">
        <v>1.2335E-3</v>
      </c>
      <c r="CJ33" s="4">
        <v>1.2158E-3</v>
      </c>
      <c r="CK33" s="4">
        <v>1.1984999999999999E-3</v>
      </c>
      <c r="CL33" s="4">
        <v>1.1814E-3</v>
      </c>
      <c r="CM33" s="4">
        <v>1.1646E-3</v>
      </c>
      <c r="CN33" s="4">
        <v>1.1479999999999999E-3</v>
      </c>
      <c r="CO33" s="4">
        <v>1.1316E-3</v>
      </c>
      <c r="CP33" s="4">
        <v>1.1156E-3</v>
      </c>
      <c r="CQ33" s="4">
        <v>1.0996999999999999E-3</v>
      </c>
      <c r="CR33" s="4">
        <v>1.0841E-3</v>
      </c>
      <c r="CS33" s="4">
        <v>1.0686999999999999E-3</v>
      </c>
      <c r="CT33" s="4">
        <v>1.0536E-3</v>
      </c>
      <c r="CU33" s="4">
        <v>1.0386E-3</v>
      </c>
      <c r="CV33" s="4">
        <v>1.0238999999999999E-3</v>
      </c>
      <c r="CW33" s="4">
        <v>1.0095E-3</v>
      </c>
      <c r="CX33" s="4">
        <v>9.951999999999999E-4</v>
      </c>
      <c r="CY33" s="4">
        <v>9.8109999999999994E-4</v>
      </c>
      <c r="CZ33" s="4">
        <v>9.6730000000000004E-4</v>
      </c>
      <c r="DA33" s="4">
        <v>9.5359999999999998E-4</v>
      </c>
      <c r="DB33" s="4">
        <v>9.4019999999999998E-4</v>
      </c>
      <c r="DC33" s="4">
        <v>9.2690000000000003E-4</v>
      </c>
      <c r="DD33" s="4">
        <v>9.1390000000000004E-4</v>
      </c>
      <c r="DE33" s="4">
        <v>9.01E-4</v>
      </c>
      <c r="DF33" s="4">
        <v>8.8829999999999996E-4</v>
      </c>
      <c r="DG33" s="4">
        <v>8.7580000000000004E-4</v>
      </c>
      <c r="DH33" s="4">
        <v>8.6350000000000001E-4</v>
      </c>
      <c r="DI33" s="4">
        <v>8.5139999999999999E-4</v>
      </c>
      <c r="DJ33" s="4">
        <v>8.3940000000000002E-4</v>
      </c>
      <c r="DK33" s="4">
        <v>8.2759999999999995E-4</v>
      </c>
      <c r="DL33" s="4">
        <v>8.1599999999999999E-4</v>
      </c>
      <c r="DM33" s="4">
        <v>8.0449999999999999E-4</v>
      </c>
      <c r="DN33" s="4">
        <v>7.9319999999999998E-4</v>
      </c>
      <c r="DO33" s="4">
        <v>7.8209999999999998E-4</v>
      </c>
      <c r="DP33" s="4">
        <v>7.7119999999999999E-4</v>
      </c>
      <c r="DQ33" s="4">
        <v>5.3936699999999997E-2</v>
      </c>
      <c r="DR33" s="4">
        <v>0</v>
      </c>
      <c r="DS33" s="4">
        <v>1.026E-4</v>
      </c>
      <c r="DT33" s="4">
        <v>2.375E-4</v>
      </c>
      <c r="DU33" s="4">
        <v>5.0969999999999998E-4</v>
      </c>
      <c r="DV33" s="4">
        <v>6.4349999999999997E-4</v>
      </c>
      <c r="DW33" s="4">
        <v>6.2120000000000003E-4</v>
      </c>
      <c r="DX33" s="4">
        <v>5.643E-4</v>
      </c>
      <c r="DY33" s="4">
        <v>5.1460000000000004E-4</v>
      </c>
      <c r="DZ33" s="4">
        <v>4.4930000000000002E-4</v>
      </c>
      <c r="EA33" s="4">
        <v>4.013E-4</v>
      </c>
      <c r="EB33" s="4">
        <v>3.5540000000000002E-4</v>
      </c>
      <c r="EC33" s="4">
        <v>3.1619999999999999E-4</v>
      </c>
      <c r="ED33" s="4">
        <v>2.8239999999999998E-4</v>
      </c>
      <c r="EE33" s="4">
        <v>2.5399999999999999E-4</v>
      </c>
      <c r="EF33" s="4">
        <v>2.2939999999999999E-4</v>
      </c>
      <c r="EG33" s="4">
        <v>2.0780000000000001E-4</v>
      </c>
      <c r="EH33" s="4">
        <v>1.8900000000000001E-4</v>
      </c>
      <c r="EI33" s="4">
        <v>1.7259999999999999E-4</v>
      </c>
      <c r="EJ33" s="4">
        <v>1.5809999999999999E-4</v>
      </c>
      <c r="EK33" s="4">
        <v>1.448E-4</v>
      </c>
      <c r="EL33" s="4">
        <v>1.325E-4</v>
      </c>
      <c r="EM33" s="4">
        <v>1.183E-4</v>
      </c>
      <c r="EN33" s="4">
        <v>1.092E-4</v>
      </c>
      <c r="EO33" s="4">
        <v>1.008E-4</v>
      </c>
      <c r="EP33" s="4">
        <v>8.9599999999999996E-5</v>
      </c>
      <c r="EQ33" s="4">
        <v>9.1000000000000003E-5</v>
      </c>
      <c r="ER33" s="4">
        <v>8.5099999999999995E-5</v>
      </c>
      <c r="ES33" s="4">
        <v>8.0500000000000005E-5</v>
      </c>
      <c r="ET33" s="4">
        <v>7.6299999999999998E-5</v>
      </c>
      <c r="EU33" s="4">
        <v>7.2399999999999998E-5</v>
      </c>
      <c r="EV33" s="4">
        <v>6.8800000000000005E-5</v>
      </c>
      <c r="EW33" s="4">
        <v>6.5599999999999995E-5</v>
      </c>
      <c r="EX33" s="4">
        <v>6.2500000000000001E-5</v>
      </c>
      <c r="EY33" s="4">
        <v>5.9700000000000001E-5</v>
      </c>
      <c r="EZ33" s="4">
        <v>5.7000000000000003E-5</v>
      </c>
      <c r="FA33" s="4">
        <v>5.4599999999999999E-5</v>
      </c>
      <c r="FB33" s="4">
        <v>5.2299999999999997E-5</v>
      </c>
      <c r="FC33" s="4">
        <v>5.0099999999999998E-5</v>
      </c>
      <c r="FD33" s="4">
        <v>4.8099999999999997E-5</v>
      </c>
      <c r="FE33" s="4">
        <v>4.6300000000000001E-5</v>
      </c>
      <c r="FF33" s="4">
        <v>4.4499999999999997E-5</v>
      </c>
      <c r="FG33" s="4">
        <v>4.2899999999999999E-5</v>
      </c>
      <c r="FH33" s="4">
        <v>4.1399999999999997E-5</v>
      </c>
      <c r="FI33" s="4">
        <v>4.0000000000000003E-5</v>
      </c>
      <c r="FJ33" s="4">
        <v>3.8699999999999999E-5</v>
      </c>
      <c r="FK33" s="4">
        <v>3.7499999999999997E-5</v>
      </c>
      <c r="FL33" s="4">
        <v>3.6300000000000001E-5</v>
      </c>
      <c r="FM33" s="4">
        <v>3.5299999999999997E-5</v>
      </c>
      <c r="FN33" s="4">
        <v>3.43E-5</v>
      </c>
      <c r="FO33" s="4">
        <v>3.3300000000000003E-5</v>
      </c>
      <c r="FP33" s="4">
        <v>3.2400000000000001E-5</v>
      </c>
      <c r="FQ33" s="4">
        <v>3.1600000000000002E-5</v>
      </c>
      <c r="FR33" s="4">
        <v>3.0800000000000003E-5</v>
      </c>
      <c r="FS33" s="4">
        <v>3.01E-5</v>
      </c>
      <c r="FT33" s="4">
        <v>2.94E-5</v>
      </c>
      <c r="FU33" s="4">
        <v>2.87E-5</v>
      </c>
      <c r="FV33" s="4">
        <v>2.8099999999999999E-5</v>
      </c>
      <c r="FW33" s="4">
        <v>2.7500000000000001E-5</v>
      </c>
      <c r="FX33" s="4">
        <v>2.69E-5</v>
      </c>
      <c r="FY33" s="4">
        <v>2.6400000000000001E-5</v>
      </c>
      <c r="FZ33" s="4">
        <v>2.5899999999999999E-5</v>
      </c>
      <c r="GA33" s="4">
        <v>2.5400000000000001E-5</v>
      </c>
      <c r="GB33" s="4">
        <v>2.4899999999999999E-5</v>
      </c>
      <c r="GC33" s="4">
        <v>2.4499999999999999E-5</v>
      </c>
      <c r="GD33" s="4">
        <v>2.4000000000000001E-5</v>
      </c>
      <c r="GE33" s="4">
        <v>2.3600000000000001E-5</v>
      </c>
      <c r="GF33" s="4">
        <v>2.3200000000000001E-5</v>
      </c>
      <c r="GG33" s="4">
        <v>2.2799999999999999E-5</v>
      </c>
      <c r="GH33" s="4">
        <v>2.2399999999999999E-5</v>
      </c>
      <c r="GI33" s="4">
        <v>2.2099999999999998E-5</v>
      </c>
      <c r="GJ33" s="4">
        <v>2.1699999999999999E-5</v>
      </c>
      <c r="GK33" s="4">
        <v>2.1399999999999998E-5</v>
      </c>
      <c r="GL33" s="4">
        <v>2.0999999999999999E-5</v>
      </c>
      <c r="GM33" s="4">
        <v>2.0699999999999998E-5</v>
      </c>
      <c r="GN33" s="4">
        <v>2.0400000000000001E-5</v>
      </c>
      <c r="GO33" s="4">
        <v>2.0100000000000001E-5</v>
      </c>
      <c r="GP33" s="4">
        <v>1.98E-5</v>
      </c>
      <c r="GQ33" s="4">
        <v>1.95E-5</v>
      </c>
      <c r="GR33" s="4">
        <v>1.9199999999999999E-5</v>
      </c>
      <c r="GS33" s="4">
        <v>1.8899999999999999E-5</v>
      </c>
      <c r="GT33" s="4">
        <v>1.8600000000000001E-5</v>
      </c>
      <c r="GU33" s="4">
        <v>1.8300000000000001E-5</v>
      </c>
      <c r="GV33" s="4">
        <v>1.8099999999999999E-5</v>
      </c>
      <c r="GW33" s="4">
        <v>1.7799999999999999E-5</v>
      </c>
      <c r="GX33" s="4">
        <v>1.7600000000000001E-5</v>
      </c>
      <c r="GY33" s="4">
        <v>1.73E-5</v>
      </c>
      <c r="GZ33" s="4">
        <v>1.7099999999999999E-5</v>
      </c>
      <c r="HA33" s="4">
        <v>1.6799999999999998E-5</v>
      </c>
      <c r="HB33" s="4">
        <v>1.66E-5</v>
      </c>
      <c r="HC33" s="4">
        <v>1.6399999999999999E-5</v>
      </c>
      <c r="HD33" s="4">
        <v>1.6099999999999998E-5</v>
      </c>
      <c r="HE33" s="4">
        <v>1.59E-5</v>
      </c>
      <c r="HF33" s="4">
        <v>1.5699999999999999E-5</v>
      </c>
      <c r="HG33" s="4">
        <v>1.5500000000000001E-5</v>
      </c>
      <c r="HH33" s="4">
        <v>1.5299999999999999E-5</v>
      </c>
      <c r="HI33" s="4">
        <v>1.5E-5</v>
      </c>
      <c r="HJ33" s="4">
        <v>1.4800000000000001E-5</v>
      </c>
      <c r="HK33" s="4">
        <v>1.4600000000000001E-5</v>
      </c>
      <c r="HL33" s="4">
        <v>1.4399999999999999E-5</v>
      </c>
      <c r="HM33" s="4">
        <v>1.42E-5</v>
      </c>
      <c r="HN33" s="4">
        <v>1.4E-5</v>
      </c>
      <c r="HO33" s="4">
        <v>1.38E-5</v>
      </c>
      <c r="HP33" s="4">
        <v>1.3699999999999999E-5</v>
      </c>
      <c r="HQ33" s="4">
        <v>1.3499999999999999E-5</v>
      </c>
      <c r="HR33" s="4">
        <v>1.33E-5</v>
      </c>
      <c r="HS33" s="4">
        <v>1.31E-5</v>
      </c>
      <c r="HT33" s="4">
        <v>1.29E-5</v>
      </c>
      <c r="HU33" s="4">
        <v>1.27E-5</v>
      </c>
      <c r="HV33" s="4">
        <v>1.26E-5</v>
      </c>
      <c r="HW33" s="4">
        <v>1.24E-5</v>
      </c>
      <c r="HX33" s="4">
        <v>1.22E-5</v>
      </c>
      <c r="HY33" s="4">
        <v>1.2099999999999999E-5</v>
      </c>
      <c r="HZ33" s="4">
        <v>1.19E-5</v>
      </c>
      <c r="IA33" s="4">
        <v>1.17E-5</v>
      </c>
      <c r="IB33" s="4">
        <v>1.1600000000000001E-5</v>
      </c>
      <c r="IC33" s="4">
        <v>1.1399999999999999E-5</v>
      </c>
      <c r="ID33" s="4">
        <v>1.13E-5</v>
      </c>
      <c r="IE33" s="4">
        <v>1.11E-5</v>
      </c>
      <c r="IF33" s="4">
        <v>1.1E-5</v>
      </c>
      <c r="IG33" s="4">
        <v>7.7309999999999998E-4</v>
      </c>
      <c r="IH33" s="4"/>
      <c r="II33" s="4">
        <f t="shared" si="247"/>
        <v>0.1131587818577426</v>
      </c>
      <c r="IL33">
        <f t="shared" si="248"/>
        <v>0.35289351250000039</v>
      </c>
      <c r="IP33" s="4">
        <f t="shared" si="249"/>
        <v>4.0236399999999999E-2</v>
      </c>
      <c r="IQ33" s="4">
        <f t="shared" si="250"/>
        <v>3.1567200000000004E-2</v>
      </c>
      <c r="IR33" s="4">
        <f t="shared" si="251"/>
        <v>2.4058500000000003E-2</v>
      </c>
      <c r="IS33" s="4">
        <f t="shared" si="252"/>
        <v>1.9489900000000001E-2</v>
      </c>
      <c r="IT33" s="4">
        <f t="shared" si="253"/>
        <v>1.6396299999999999E-2</v>
      </c>
      <c r="IU33" s="4">
        <f t="shared" si="254"/>
        <v>5.7313099999999985E-2</v>
      </c>
      <c r="IV33" s="4">
        <f t="shared" si="255"/>
        <v>4.0948399999999996E-2</v>
      </c>
      <c r="IW33" s="4">
        <f t="shared" si="256"/>
        <v>3.05309E-2</v>
      </c>
      <c r="IX33" s="4">
        <f t="shared" si="257"/>
        <v>9.2511399999999994E-2</v>
      </c>
      <c r="JA33" s="4">
        <f t="shared" si="289"/>
        <v>8.2324999999999968E-3</v>
      </c>
      <c r="JB33" s="4">
        <f t="shared" si="290"/>
        <v>7.3985999999999982E-3</v>
      </c>
      <c r="JC33" s="4">
        <f t="shared" si="260"/>
        <v>4.6233000000000003E-3</v>
      </c>
      <c r="JD33" s="4">
        <f t="shared" si="261"/>
        <v>3.0477000000000039E-3</v>
      </c>
      <c r="JE33" s="4">
        <f t="shared" si="262"/>
        <v>2.0602999999999993E-3</v>
      </c>
      <c r="JF33" s="4">
        <f t="shared" si="263"/>
        <v>5.2632000000000095E-3</v>
      </c>
      <c r="JG33" s="4">
        <f t="shared" si="264"/>
        <v>2.4792999999999968E-3</v>
      </c>
      <c r="JH33" s="4">
        <f t="shared" si="265"/>
        <v>1.6714000000000034E-3</v>
      </c>
      <c r="JI33" s="4">
        <f t="shared" si="266"/>
        <v>5.1566999999999863E-3</v>
      </c>
    </row>
    <row r="34" spans="1:269" x14ac:dyDescent="0.35">
      <c r="A34" s="1">
        <v>26</v>
      </c>
      <c r="B34" s="4">
        <v>1.05568E-2</v>
      </c>
      <c r="C34" s="4">
        <v>1.05568E-2</v>
      </c>
      <c r="D34" s="4">
        <v>1.04542E-2</v>
      </c>
      <c r="E34" s="4">
        <v>9.9866E-3</v>
      </c>
      <c r="F34" s="4">
        <v>9.4719000000000001E-3</v>
      </c>
      <c r="G34" s="4">
        <v>8.8304000000000004E-3</v>
      </c>
      <c r="H34" s="4">
        <v>8.1814999999999995E-3</v>
      </c>
      <c r="I34" s="4">
        <v>7.5811000000000003E-3</v>
      </c>
      <c r="J34" s="4">
        <v>7.0562000000000003E-3</v>
      </c>
      <c r="K34" s="4">
        <v>6.5989999999999998E-3</v>
      </c>
      <c r="L34" s="4">
        <v>6.1866000000000004E-3</v>
      </c>
      <c r="M34" s="4">
        <v>5.8171999999999998E-3</v>
      </c>
      <c r="N34" s="4">
        <v>5.4927999999999999E-3</v>
      </c>
      <c r="O34" s="4">
        <v>5.2065999999999996E-3</v>
      </c>
      <c r="P34" s="4">
        <v>4.9626000000000002E-3</v>
      </c>
      <c r="Q34" s="4">
        <v>4.744E-3</v>
      </c>
      <c r="R34" s="4">
        <v>4.5434000000000004E-3</v>
      </c>
      <c r="S34" s="4">
        <v>4.3597000000000002E-3</v>
      </c>
      <c r="T34" s="4">
        <v>4.1901999999999998E-3</v>
      </c>
      <c r="U34" s="4">
        <v>4.0299999999999997E-3</v>
      </c>
      <c r="V34" s="4">
        <v>3.8671000000000001E-3</v>
      </c>
      <c r="W34" s="4">
        <v>3.7009E-3</v>
      </c>
      <c r="X34" s="4">
        <v>3.4627E-3</v>
      </c>
      <c r="Y34" s="4">
        <v>3.3273E-3</v>
      </c>
      <c r="Z34" s="4">
        <v>3.1957999999999999E-3</v>
      </c>
      <c r="AA34" s="4">
        <v>2.9692E-3</v>
      </c>
      <c r="AB34" s="4">
        <v>3.0764999999999998E-3</v>
      </c>
      <c r="AC34" s="4">
        <v>2.9978000000000001E-3</v>
      </c>
      <c r="AD34" s="4">
        <v>2.9432999999999998E-3</v>
      </c>
      <c r="AE34" s="4">
        <v>2.8890999999999999E-3</v>
      </c>
      <c r="AF34" s="4">
        <v>2.8376E-3</v>
      </c>
      <c r="AG34" s="4">
        <v>2.7872000000000001E-3</v>
      </c>
      <c r="AH34" s="4">
        <v>2.7385999999999999E-3</v>
      </c>
      <c r="AI34" s="4">
        <v>2.6911999999999999E-3</v>
      </c>
      <c r="AJ34" s="4">
        <v>2.6450000000000002E-3</v>
      </c>
      <c r="AK34" s="4">
        <v>2.5999999999999999E-3</v>
      </c>
      <c r="AL34" s="4">
        <v>2.5561E-3</v>
      </c>
      <c r="AM34" s="4">
        <v>2.5133999999999998E-3</v>
      </c>
      <c r="AN34" s="4">
        <v>2.4719E-3</v>
      </c>
      <c r="AO34" s="4">
        <v>2.4315000000000001E-3</v>
      </c>
      <c r="AP34" s="4">
        <v>2.3922000000000001E-3</v>
      </c>
      <c r="AQ34" s="4">
        <v>2.3540000000000002E-3</v>
      </c>
      <c r="AR34" s="4">
        <v>2.3167000000000001E-3</v>
      </c>
      <c r="AS34" s="4">
        <v>2.2805E-3</v>
      </c>
      <c r="AT34" s="4">
        <v>2.2450999999999999E-3</v>
      </c>
      <c r="AU34" s="4">
        <v>2.2106999999999999E-3</v>
      </c>
      <c r="AV34" s="4">
        <v>2.1770000000000001E-3</v>
      </c>
      <c r="AW34" s="4">
        <v>2.1442000000000002E-3</v>
      </c>
      <c r="AX34" s="4">
        <v>2.1121E-3</v>
      </c>
      <c r="AY34" s="4">
        <v>2.0807E-3</v>
      </c>
      <c r="AZ34" s="4">
        <v>2.0498999999999999E-3</v>
      </c>
      <c r="BA34" s="4">
        <v>2.0198E-3</v>
      </c>
      <c r="BB34" s="4">
        <v>1.9903E-3</v>
      </c>
      <c r="BC34" s="4">
        <v>1.9613E-3</v>
      </c>
      <c r="BD34" s="4">
        <v>1.9327999999999999E-3</v>
      </c>
      <c r="BE34" s="4">
        <v>1.9047999999999999E-3</v>
      </c>
      <c r="BF34" s="4">
        <v>1.8772000000000001E-3</v>
      </c>
      <c r="BG34" s="4">
        <v>1.8500999999999999E-3</v>
      </c>
      <c r="BH34" s="4">
        <v>1.8235E-3</v>
      </c>
      <c r="BI34" s="4">
        <v>1.7972000000000001E-3</v>
      </c>
      <c r="BJ34" s="4">
        <v>1.7713E-3</v>
      </c>
      <c r="BK34" s="4">
        <v>1.7458E-3</v>
      </c>
      <c r="BL34" s="4">
        <v>1.7206999999999999E-3</v>
      </c>
      <c r="BM34" s="4">
        <v>1.696E-3</v>
      </c>
      <c r="BN34" s="4">
        <v>1.6716000000000001E-3</v>
      </c>
      <c r="BO34" s="4">
        <v>1.6475999999999999E-3</v>
      </c>
      <c r="BP34" s="4">
        <v>1.6239E-3</v>
      </c>
      <c r="BQ34" s="4">
        <v>1.6004999999999999E-3</v>
      </c>
      <c r="BR34" s="4">
        <v>1.5774999999999999E-3</v>
      </c>
      <c r="BS34" s="4">
        <v>1.5548000000000001E-3</v>
      </c>
      <c r="BT34" s="4">
        <v>1.5325E-3</v>
      </c>
      <c r="BU34" s="4">
        <v>1.5104999999999999E-3</v>
      </c>
      <c r="BV34" s="4">
        <v>1.4886999999999999E-3</v>
      </c>
      <c r="BW34" s="4">
        <v>1.4672999999999999E-3</v>
      </c>
      <c r="BX34" s="4">
        <v>1.4463E-3</v>
      </c>
      <c r="BY34" s="4">
        <v>1.4254999999999999E-3</v>
      </c>
      <c r="BZ34" s="4">
        <v>1.405E-3</v>
      </c>
      <c r="CA34" s="4">
        <v>1.3848E-3</v>
      </c>
      <c r="CB34" s="4">
        <v>1.3649000000000001E-3</v>
      </c>
      <c r="CC34" s="4">
        <v>1.3454000000000001E-3</v>
      </c>
      <c r="CD34" s="4">
        <v>1.3261E-3</v>
      </c>
      <c r="CE34" s="4">
        <v>1.307E-3</v>
      </c>
      <c r="CF34" s="4">
        <v>1.2883E-3</v>
      </c>
      <c r="CG34" s="4">
        <v>1.2699E-3</v>
      </c>
      <c r="CH34" s="4">
        <v>1.2516999999999999E-3</v>
      </c>
      <c r="CI34" s="4">
        <v>1.2338E-3</v>
      </c>
      <c r="CJ34" s="4">
        <v>1.2160999999999999E-3</v>
      </c>
      <c r="CK34" s="4">
        <v>1.1988000000000001E-3</v>
      </c>
      <c r="CL34" s="4">
        <v>1.1816999999999999E-3</v>
      </c>
      <c r="CM34" s="4">
        <v>1.1647999999999999E-3</v>
      </c>
      <c r="CN34" s="4">
        <v>1.1482E-3</v>
      </c>
      <c r="CO34" s="4">
        <v>1.1318000000000001E-3</v>
      </c>
      <c r="CP34" s="4">
        <v>1.1157000000000001E-3</v>
      </c>
      <c r="CQ34" s="4">
        <v>1.0999E-3</v>
      </c>
      <c r="CR34" s="4">
        <v>1.0842E-3</v>
      </c>
      <c r="CS34" s="4">
        <v>1.0688E-3</v>
      </c>
      <c r="CT34" s="4">
        <v>1.0537000000000001E-3</v>
      </c>
      <c r="CU34" s="4">
        <v>1.0387E-3</v>
      </c>
      <c r="CV34" s="4">
        <v>1.024E-3</v>
      </c>
      <c r="CW34" s="4">
        <v>1.0095E-3</v>
      </c>
      <c r="CX34" s="4">
        <v>9.951999999999999E-4</v>
      </c>
      <c r="CY34" s="4">
        <v>9.8109999999999994E-4</v>
      </c>
      <c r="CZ34" s="4">
        <v>9.6730000000000004E-4</v>
      </c>
      <c r="DA34" s="4">
        <v>9.5359999999999998E-4</v>
      </c>
      <c r="DB34" s="4">
        <v>9.4019999999999998E-4</v>
      </c>
      <c r="DC34" s="4">
        <v>9.2690000000000003E-4</v>
      </c>
      <c r="DD34" s="4">
        <v>9.1379999999999999E-4</v>
      </c>
      <c r="DE34" s="4">
        <v>9.0090000000000005E-4</v>
      </c>
      <c r="DF34" s="4">
        <v>8.8829999999999996E-4</v>
      </c>
      <c r="DG34" s="4">
        <v>8.7569999999999998E-4</v>
      </c>
      <c r="DH34" s="4">
        <v>8.6339999999999995E-4</v>
      </c>
      <c r="DI34" s="4">
        <v>8.5130000000000004E-4</v>
      </c>
      <c r="DJ34" s="4">
        <v>8.3929999999999996E-4</v>
      </c>
      <c r="DK34" s="4">
        <v>8.275E-4</v>
      </c>
      <c r="DL34" s="4">
        <v>8.1590000000000005E-4</v>
      </c>
      <c r="DM34" s="4">
        <v>8.0440000000000004E-4</v>
      </c>
      <c r="DN34" s="4">
        <v>7.9310000000000003E-4</v>
      </c>
      <c r="DO34" s="4">
        <v>7.8200000000000003E-4</v>
      </c>
      <c r="DP34" s="4">
        <v>7.7099999999999998E-4</v>
      </c>
      <c r="DQ34" s="4">
        <v>5.3923800000000001E-2</v>
      </c>
      <c r="DR34" s="4">
        <v>0</v>
      </c>
      <c r="DS34" s="4">
        <v>7.8399999999999995E-5</v>
      </c>
      <c r="DT34" s="4">
        <v>2.6360000000000001E-4</v>
      </c>
      <c r="DU34" s="4">
        <v>4.9919999999999999E-4</v>
      </c>
      <c r="DV34" s="4">
        <v>6.2699999999999995E-4</v>
      </c>
      <c r="DW34" s="4">
        <v>6.3270000000000004E-4</v>
      </c>
      <c r="DX34" s="4">
        <v>5.7430000000000003E-4</v>
      </c>
      <c r="DY34" s="4">
        <v>5.1559999999999996E-4</v>
      </c>
      <c r="DZ34" s="4">
        <v>4.5120000000000002E-4</v>
      </c>
      <c r="EA34" s="4">
        <v>4.0039999999999997E-4</v>
      </c>
      <c r="EB34" s="4">
        <v>3.5609999999999998E-4</v>
      </c>
      <c r="EC34" s="4">
        <v>3.165E-4</v>
      </c>
      <c r="ED34" s="4">
        <v>2.8249999999999998E-4</v>
      </c>
      <c r="EE34" s="4">
        <v>2.5329999999999998E-4</v>
      </c>
      <c r="EF34" s="4">
        <v>2.285E-4</v>
      </c>
      <c r="EG34" s="4">
        <v>2.0689999999999999E-4</v>
      </c>
      <c r="EH34" s="4">
        <v>1.8799999999999999E-4</v>
      </c>
      <c r="EI34" s="4">
        <v>1.7139999999999999E-4</v>
      </c>
      <c r="EJ34" s="4">
        <v>1.5679999999999999E-4</v>
      </c>
      <c r="EK34" s="4">
        <v>1.439E-4</v>
      </c>
      <c r="EL34" s="4">
        <v>1.3210000000000001E-4</v>
      </c>
      <c r="EM34" s="4">
        <v>1.211E-4</v>
      </c>
      <c r="EN34" s="4">
        <v>1.083E-4</v>
      </c>
      <c r="EO34" s="4">
        <v>1.002E-4</v>
      </c>
      <c r="EP34" s="4">
        <v>9.2600000000000001E-5</v>
      </c>
      <c r="EQ34" s="4">
        <v>8.25E-5</v>
      </c>
      <c r="ER34" s="4">
        <v>8.3900000000000006E-5</v>
      </c>
      <c r="ES34" s="4">
        <v>7.86E-5</v>
      </c>
      <c r="ET34" s="4">
        <v>7.4499999999999995E-5</v>
      </c>
      <c r="EU34" s="4">
        <v>7.0699999999999997E-5</v>
      </c>
      <c r="EV34" s="4">
        <v>6.7299999999999996E-5</v>
      </c>
      <c r="EW34" s="4">
        <v>6.3999999999999997E-5</v>
      </c>
      <c r="EX34" s="4">
        <v>6.1099999999999994E-5</v>
      </c>
      <c r="EY34" s="4">
        <v>5.8300000000000001E-5</v>
      </c>
      <c r="EZ34" s="4">
        <v>5.5699999999999999E-5</v>
      </c>
      <c r="FA34" s="4">
        <v>5.3300000000000001E-5</v>
      </c>
      <c r="FB34" s="4">
        <v>5.1100000000000002E-5</v>
      </c>
      <c r="FC34" s="4">
        <v>4.8999999999999998E-5</v>
      </c>
      <c r="FD34" s="4">
        <v>4.71E-5</v>
      </c>
      <c r="FE34" s="4">
        <v>4.5200000000000001E-5</v>
      </c>
      <c r="FF34" s="4">
        <v>4.35E-5</v>
      </c>
      <c r="FG34" s="4">
        <v>4.1999999999999998E-5</v>
      </c>
      <c r="FH34" s="4">
        <v>4.0500000000000002E-5</v>
      </c>
      <c r="FI34" s="4">
        <v>3.9100000000000002E-5</v>
      </c>
      <c r="FJ34" s="4">
        <v>3.79E-5</v>
      </c>
      <c r="FK34" s="4">
        <v>3.6699999999999998E-5</v>
      </c>
      <c r="FL34" s="4">
        <v>3.5500000000000002E-5</v>
      </c>
      <c r="FM34" s="4">
        <v>3.4499999999999998E-5</v>
      </c>
      <c r="FN34" s="4">
        <v>3.3500000000000001E-5</v>
      </c>
      <c r="FO34" s="4">
        <v>3.26E-5</v>
      </c>
      <c r="FP34" s="4">
        <v>3.18E-5</v>
      </c>
      <c r="FQ34" s="4">
        <v>3.1000000000000001E-5</v>
      </c>
      <c r="FR34" s="4">
        <v>3.0199999999999999E-5</v>
      </c>
      <c r="FS34" s="4">
        <v>2.9499999999999999E-5</v>
      </c>
      <c r="FT34" s="4">
        <v>2.8799999999999999E-5</v>
      </c>
      <c r="FU34" s="4">
        <v>2.8200000000000001E-5</v>
      </c>
      <c r="FV34" s="4">
        <v>2.76E-5</v>
      </c>
      <c r="FW34" s="4">
        <v>2.6999999999999999E-5</v>
      </c>
      <c r="FX34" s="4">
        <v>2.65E-5</v>
      </c>
      <c r="FY34" s="4">
        <v>2.5999999999999998E-5</v>
      </c>
      <c r="FZ34" s="4">
        <v>2.55E-5</v>
      </c>
      <c r="GA34" s="4">
        <v>2.5000000000000001E-5</v>
      </c>
      <c r="GB34" s="4">
        <v>2.4499999999999999E-5</v>
      </c>
      <c r="GC34" s="4">
        <v>2.41E-5</v>
      </c>
      <c r="GD34" s="4">
        <v>2.37E-5</v>
      </c>
      <c r="GE34" s="4">
        <v>2.3300000000000001E-5</v>
      </c>
      <c r="GF34" s="4">
        <v>2.2900000000000001E-5</v>
      </c>
      <c r="GG34" s="4">
        <v>2.2500000000000001E-5</v>
      </c>
      <c r="GH34" s="4">
        <v>2.2099999999999998E-5</v>
      </c>
      <c r="GI34" s="4">
        <v>2.1800000000000001E-5</v>
      </c>
      <c r="GJ34" s="4">
        <v>2.1500000000000001E-5</v>
      </c>
      <c r="GK34" s="4">
        <v>2.1100000000000001E-5</v>
      </c>
      <c r="GL34" s="4">
        <v>2.0800000000000001E-5</v>
      </c>
      <c r="GM34" s="4">
        <v>2.05E-5</v>
      </c>
      <c r="GN34" s="4">
        <v>2.02E-5</v>
      </c>
      <c r="GO34" s="4">
        <v>1.9899999999999999E-5</v>
      </c>
      <c r="GP34" s="4">
        <v>1.9599999999999999E-5</v>
      </c>
      <c r="GQ34" s="4">
        <v>1.9300000000000002E-5</v>
      </c>
      <c r="GR34" s="4">
        <v>1.9000000000000001E-5</v>
      </c>
      <c r="GS34" s="4">
        <v>1.8700000000000001E-5</v>
      </c>
      <c r="GT34" s="4">
        <v>1.8499999999999999E-5</v>
      </c>
      <c r="GU34" s="4">
        <v>1.8199999999999999E-5</v>
      </c>
      <c r="GV34" s="4">
        <v>1.8E-5</v>
      </c>
      <c r="GW34" s="4">
        <v>1.77E-5</v>
      </c>
      <c r="GX34" s="4">
        <v>1.7499999999999998E-5</v>
      </c>
      <c r="GY34" s="4">
        <v>1.7200000000000001E-5</v>
      </c>
      <c r="GZ34" s="4">
        <v>1.7E-5</v>
      </c>
      <c r="HA34" s="4">
        <v>1.6699999999999999E-5</v>
      </c>
      <c r="HB34" s="4">
        <v>1.6500000000000001E-5</v>
      </c>
      <c r="HC34" s="4">
        <v>1.63E-5</v>
      </c>
      <c r="HD34" s="4">
        <v>1.6099999999999998E-5</v>
      </c>
      <c r="HE34" s="4">
        <v>1.5800000000000001E-5</v>
      </c>
      <c r="HF34" s="4">
        <v>1.56E-5</v>
      </c>
      <c r="HG34" s="4">
        <v>1.5400000000000002E-5</v>
      </c>
      <c r="HH34" s="4">
        <v>1.52E-5</v>
      </c>
      <c r="HI34" s="4">
        <v>1.5E-5</v>
      </c>
      <c r="HJ34" s="4">
        <v>1.4800000000000001E-5</v>
      </c>
      <c r="HK34" s="4">
        <v>1.4600000000000001E-5</v>
      </c>
      <c r="HL34" s="4">
        <v>1.4399999999999999E-5</v>
      </c>
      <c r="HM34" s="4">
        <v>1.42E-5</v>
      </c>
      <c r="HN34" s="4">
        <v>1.4E-5</v>
      </c>
      <c r="HO34" s="4">
        <v>1.38E-5</v>
      </c>
      <c r="HP34" s="4">
        <v>1.36E-5</v>
      </c>
      <c r="HQ34" s="4">
        <v>1.34E-5</v>
      </c>
      <c r="HR34" s="4">
        <v>1.3200000000000001E-5</v>
      </c>
      <c r="HS34" s="4">
        <v>1.31E-5</v>
      </c>
      <c r="HT34" s="4">
        <v>1.29E-5</v>
      </c>
      <c r="HU34" s="4">
        <v>1.27E-5</v>
      </c>
      <c r="HV34" s="4">
        <v>1.2500000000000001E-5</v>
      </c>
      <c r="HW34" s="4">
        <v>1.24E-5</v>
      </c>
      <c r="HX34" s="4">
        <v>1.22E-5</v>
      </c>
      <c r="HY34" s="4">
        <v>1.2E-5</v>
      </c>
      <c r="HZ34" s="4">
        <v>1.19E-5</v>
      </c>
      <c r="IA34" s="4">
        <v>1.17E-5</v>
      </c>
      <c r="IB34" s="4">
        <v>1.15E-5</v>
      </c>
      <c r="IC34" s="4">
        <v>1.1399999999999999E-5</v>
      </c>
      <c r="ID34" s="4">
        <v>1.1199999999999999E-5</v>
      </c>
      <c r="IE34" s="4">
        <v>1.11E-5</v>
      </c>
      <c r="IF34" s="4">
        <v>1.0900000000000001E-5</v>
      </c>
      <c r="IG34" s="4">
        <v>7.7200000000000001E-4</v>
      </c>
      <c r="IH34" s="4"/>
      <c r="II34" s="4">
        <f t="shared" si="247"/>
        <v>0.11303223126839392</v>
      </c>
      <c r="IL34">
        <f t="shared" si="248"/>
        <v>0.35296392500000057</v>
      </c>
      <c r="IP34" s="4">
        <f t="shared" si="249"/>
        <v>4.0469499999999999E-2</v>
      </c>
      <c r="IQ34" s="4">
        <f t="shared" si="250"/>
        <v>3.1649200000000002E-2</v>
      </c>
      <c r="IR34" s="4">
        <f t="shared" si="251"/>
        <v>2.4095600000000002E-2</v>
      </c>
      <c r="IS34" s="4">
        <f t="shared" si="252"/>
        <v>1.9456600000000001E-2</v>
      </c>
      <c r="IT34" s="4">
        <f t="shared" si="253"/>
        <v>1.6446999999999996E-2</v>
      </c>
      <c r="IU34" s="4">
        <f t="shared" si="254"/>
        <v>5.7227299999999988E-2</v>
      </c>
      <c r="IV34" s="4">
        <f t="shared" si="255"/>
        <v>4.0899199999999997E-2</v>
      </c>
      <c r="IW34" s="4">
        <f t="shared" si="256"/>
        <v>3.0535400000000001E-2</v>
      </c>
      <c r="IX34" s="4">
        <f t="shared" si="257"/>
        <v>9.2501300000000009E-2</v>
      </c>
      <c r="JA34" s="4">
        <f t="shared" si="289"/>
        <v>8.2101000000000049E-3</v>
      </c>
      <c r="JB34" s="4">
        <f t="shared" si="290"/>
        <v>7.3738999999999957E-3</v>
      </c>
      <c r="JC34" s="4">
        <f t="shared" si="260"/>
        <v>4.6192000000000004E-3</v>
      </c>
      <c r="JD34" s="4">
        <f t="shared" si="261"/>
        <v>3.0544999999999982E-3</v>
      </c>
      <c r="JE34" s="4">
        <f t="shared" si="262"/>
        <v>2.0921999999999989E-3</v>
      </c>
      <c r="JF34" s="4">
        <f t="shared" si="263"/>
        <v>5.2392999999999953E-3</v>
      </c>
      <c r="JG34" s="4">
        <f t="shared" si="264"/>
        <v>2.4813999999999878E-3</v>
      </c>
      <c r="JH34" s="4">
        <f t="shared" si="265"/>
        <v>1.6732999999999991E-3</v>
      </c>
      <c r="JI34" s="4">
        <f t="shared" si="266"/>
        <v>5.1524000000000014E-3</v>
      </c>
    </row>
    <row r="35" spans="1:269" x14ac:dyDescent="0.35">
      <c r="A35" s="1">
        <v>27</v>
      </c>
      <c r="B35" s="4">
        <v>1.05568E-2</v>
      </c>
      <c r="C35" s="4">
        <v>1.05568E-2</v>
      </c>
      <c r="D35" s="4">
        <v>1.0478400000000001E-2</v>
      </c>
      <c r="E35" s="4">
        <v>1.0190599999999999E-2</v>
      </c>
      <c r="F35" s="4">
        <v>9.4874E-3</v>
      </c>
      <c r="G35" s="4">
        <v>8.8448999999999993E-3</v>
      </c>
      <c r="H35" s="4">
        <v>8.1975999999999993E-3</v>
      </c>
      <c r="I35" s="4">
        <v>7.6071999999999997E-3</v>
      </c>
      <c r="J35" s="4">
        <v>7.0656E-3</v>
      </c>
      <c r="K35" s="4">
        <v>6.6051E-3</v>
      </c>
      <c r="L35" s="4">
        <v>6.1985E-3</v>
      </c>
      <c r="M35" s="4">
        <v>5.8304999999999997E-3</v>
      </c>
      <c r="N35" s="4">
        <v>5.5008000000000001E-3</v>
      </c>
      <c r="O35" s="4">
        <v>5.2103999999999996E-3</v>
      </c>
      <c r="P35" s="4">
        <v>4.9532999999999999E-3</v>
      </c>
      <c r="Q35" s="4">
        <v>4.7340999999999998E-3</v>
      </c>
      <c r="R35" s="4">
        <v>4.5370999999999996E-3</v>
      </c>
      <c r="S35" s="4">
        <v>4.3553999999999997E-3</v>
      </c>
      <c r="T35" s="4">
        <v>4.1882999999999998E-3</v>
      </c>
      <c r="U35" s="4">
        <v>4.0334000000000004E-3</v>
      </c>
      <c r="V35" s="4">
        <v>3.8861E-3</v>
      </c>
      <c r="W35" s="4">
        <v>3.7350999999999999E-3</v>
      </c>
      <c r="X35" s="4">
        <v>3.5798000000000002E-3</v>
      </c>
      <c r="Y35" s="4">
        <v>3.3543000000000002E-3</v>
      </c>
      <c r="Z35" s="4">
        <v>3.2271000000000001E-3</v>
      </c>
      <c r="AA35" s="4">
        <v>3.1032E-3</v>
      </c>
      <c r="AB35" s="4">
        <v>2.8866999999999999E-3</v>
      </c>
      <c r="AC35" s="4">
        <v>2.9927E-3</v>
      </c>
      <c r="AD35" s="4">
        <v>2.9191999999999998E-3</v>
      </c>
      <c r="AE35" s="4">
        <v>2.8687999999999999E-3</v>
      </c>
      <c r="AF35" s="4">
        <v>2.8184E-3</v>
      </c>
      <c r="AG35" s="4">
        <v>2.7702999999999998E-3</v>
      </c>
      <c r="AH35" s="4">
        <v>2.7231999999999998E-3</v>
      </c>
      <c r="AI35" s="4">
        <v>2.6776E-3</v>
      </c>
      <c r="AJ35" s="4">
        <v>2.6329999999999999E-3</v>
      </c>
      <c r="AK35" s="4">
        <v>2.5893000000000001E-3</v>
      </c>
      <c r="AL35" s="4">
        <v>2.5466999999999998E-3</v>
      </c>
      <c r="AM35" s="4">
        <v>2.5049999999999998E-3</v>
      </c>
      <c r="AN35" s="4">
        <v>2.4643999999999998E-3</v>
      </c>
      <c r="AO35" s="4">
        <v>2.4248E-3</v>
      </c>
      <c r="AP35" s="4">
        <v>2.3863000000000001E-3</v>
      </c>
      <c r="AQ35" s="4">
        <v>2.3487E-3</v>
      </c>
      <c r="AR35" s="4">
        <v>2.3119999999999998E-3</v>
      </c>
      <c r="AS35" s="4">
        <v>2.2761999999999999E-3</v>
      </c>
      <c r="AT35" s="4">
        <v>2.2412999999999999E-3</v>
      </c>
      <c r="AU35" s="4">
        <v>2.2073000000000001E-3</v>
      </c>
      <c r="AV35" s="4">
        <v>2.1740000000000002E-3</v>
      </c>
      <c r="AW35" s="4">
        <v>2.1415000000000002E-3</v>
      </c>
      <c r="AX35" s="4">
        <v>2.1096999999999999E-3</v>
      </c>
      <c r="AY35" s="4">
        <v>2.0785000000000001E-3</v>
      </c>
      <c r="AZ35" s="4">
        <v>2.0481000000000002E-3</v>
      </c>
      <c r="BA35" s="4">
        <v>2.0181999999999999E-3</v>
      </c>
      <c r="BB35" s="4">
        <v>1.9888000000000002E-3</v>
      </c>
      <c r="BC35" s="4">
        <v>1.9601000000000002E-3</v>
      </c>
      <c r="BD35" s="4">
        <v>1.9318E-3</v>
      </c>
      <c r="BE35" s="4">
        <v>1.9039E-3</v>
      </c>
      <c r="BF35" s="4">
        <v>1.8766E-3</v>
      </c>
      <c r="BG35" s="4">
        <v>1.8496000000000001E-3</v>
      </c>
      <c r="BH35" s="4">
        <v>1.8231E-3</v>
      </c>
      <c r="BI35" s="4">
        <v>1.797E-3</v>
      </c>
      <c r="BJ35" s="4">
        <v>1.7711999999999999E-3</v>
      </c>
      <c r="BK35" s="4">
        <v>1.7459000000000001E-3</v>
      </c>
      <c r="BL35" s="4">
        <v>1.7209E-3</v>
      </c>
      <c r="BM35" s="4">
        <v>1.6961999999999999E-3</v>
      </c>
      <c r="BN35" s="4">
        <v>1.6719E-3</v>
      </c>
      <c r="BO35" s="4">
        <v>1.6479000000000001E-3</v>
      </c>
      <c r="BP35" s="4">
        <v>1.6243E-3</v>
      </c>
      <c r="BQ35" s="4">
        <v>1.601E-3</v>
      </c>
      <c r="BR35" s="4">
        <v>1.578E-3</v>
      </c>
      <c r="BS35" s="4">
        <v>1.5554E-3</v>
      </c>
      <c r="BT35" s="4">
        <v>1.5330000000000001E-3</v>
      </c>
      <c r="BU35" s="4">
        <v>1.511E-3</v>
      </c>
      <c r="BV35" s="4">
        <v>1.4893E-3</v>
      </c>
      <c r="BW35" s="4">
        <v>1.4679000000000001E-3</v>
      </c>
      <c r="BX35" s="4">
        <v>1.4469000000000001E-3</v>
      </c>
      <c r="BY35" s="4">
        <v>1.4261E-3</v>
      </c>
      <c r="BZ35" s="4">
        <v>1.4055999999999999E-3</v>
      </c>
      <c r="CA35" s="4">
        <v>1.3854E-3</v>
      </c>
      <c r="CB35" s="4">
        <v>1.3655E-3</v>
      </c>
      <c r="CC35" s="4">
        <v>1.3458999999999999E-3</v>
      </c>
      <c r="CD35" s="4">
        <v>1.3266E-3</v>
      </c>
      <c r="CE35" s="4">
        <v>1.3075999999999999E-3</v>
      </c>
      <c r="CF35" s="4">
        <v>1.2888000000000001E-3</v>
      </c>
      <c r="CG35" s="4">
        <v>1.2704000000000001E-3</v>
      </c>
      <c r="CH35" s="4">
        <v>1.2522E-3</v>
      </c>
      <c r="CI35" s="4">
        <v>1.2342E-3</v>
      </c>
      <c r="CJ35" s="4">
        <v>1.2166E-3</v>
      </c>
      <c r="CK35" s="4">
        <v>1.1992000000000001E-3</v>
      </c>
      <c r="CL35" s="4">
        <v>1.1820000000000001E-3</v>
      </c>
      <c r="CM35" s="4">
        <v>1.1651999999999999E-3</v>
      </c>
      <c r="CN35" s="4">
        <v>1.1485E-3</v>
      </c>
      <c r="CO35" s="4">
        <v>1.1321E-3</v>
      </c>
      <c r="CP35" s="4">
        <v>1.116E-3</v>
      </c>
      <c r="CQ35" s="4">
        <v>1.1000999999999999E-3</v>
      </c>
      <c r="CR35" s="4">
        <v>1.0845E-3</v>
      </c>
      <c r="CS35" s="4">
        <v>1.0690000000000001E-3</v>
      </c>
      <c r="CT35" s="4">
        <v>1.0539E-3</v>
      </c>
      <c r="CU35" s="4">
        <v>1.0388999999999999E-3</v>
      </c>
      <c r="CV35" s="4">
        <v>1.0242000000000001E-3</v>
      </c>
      <c r="CW35" s="4">
        <v>1.0096E-3</v>
      </c>
      <c r="CX35" s="4">
        <v>9.9529999999999996E-4</v>
      </c>
      <c r="CY35" s="4">
        <v>9.812E-4</v>
      </c>
      <c r="CZ35" s="4">
        <v>9.6739999999999999E-4</v>
      </c>
      <c r="DA35" s="4">
        <v>9.5370000000000003E-4</v>
      </c>
      <c r="DB35" s="4">
        <v>9.4019999999999998E-4</v>
      </c>
      <c r="DC35" s="4">
        <v>9.2690000000000003E-4</v>
      </c>
      <c r="DD35" s="4">
        <v>9.1379999999999999E-4</v>
      </c>
      <c r="DE35" s="4">
        <v>9.0090000000000005E-4</v>
      </c>
      <c r="DF35" s="4">
        <v>8.8820000000000001E-4</v>
      </c>
      <c r="DG35" s="4">
        <v>8.7569999999999998E-4</v>
      </c>
      <c r="DH35" s="4">
        <v>8.6339999999999995E-4</v>
      </c>
      <c r="DI35" s="4">
        <v>8.5119999999999998E-4</v>
      </c>
      <c r="DJ35" s="4">
        <v>8.3920000000000002E-4</v>
      </c>
      <c r="DK35" s="4">
        <v>8.2740000000000005E-4</v>
      </c>
      <c r="DL35" s="4">
        <v>8.1579999999999999E-4</v>
      </c>
      <c r="DM35" s="4">
        <v>8.0429999999999998E-4</v>
      </c>
      <c r="DN35" s="4">
        <v>7.9299999999999998E-4</v>
      </c>
      <c r="DO35" s="4">
        <v>7.8189999999999998E-4</v>
      </c>
      <c r="DP35" s="4">
        <v>7.7090000000000004E-4</v>
      </c>
      <c r="DQ35" s="4">
        <v>5.3911899999999999E-2</v>
      </c>
      <c r="DR35" s="4">
        <v>0</v>
      </c>
      <c r="DS35" s="4">
        <v>5.8300000000000001E-5</v>
      </c>
      <c r="DT35" s="4">
        <v>2.633E-4</v>
      </c>
      <c r="DU35" s="4">
        <v>5.0290000000000003E-4</v>
      </c>
      <c r="DV35" s="4">
        <v>6.1149999999999996E-4</v>
      </c>
      <c r="DW35" s="4">
        <v>6.2399999999999999E-4</v>
      </c>
      <c r="DX35" s="4">
        <v>5.574E-4</v>
      </c>
      <c r="DY35" s="4">
        <v>5.0790000000000004E-4</v>
      </c>
      <c r="DZ35" s="4">
        <v>4.4109999999999999E-4</v>
      </c>
      <c r="EA35" s="4">
        <v>3.9209999999999999E-4</v>
      </c>
      <c r="EB35" s="4">
        <v>3.4830000000000001E-4</v>
      </c>
      <c r="EC35" s="4">
        <v>3.1070000000000002E-4</v>
      </c>
      <c r="ED35" s="4">
        <v>2.7750000000000002E-4</v>
      </c>
      <c r="EE35" s="4">
        <v>2.4909999999999998E-4</v>
      </c>
      <c r="EF35" s="4">
        <v>2.2460000000000001E-4</v>
      </c>
      <c r="EG35" s="4">
        <v>2.0379999999999999E-4</v>
      </c>
      <c r="EH35" s="4">
        <v>1.8569999999999999E-4</v>
      </c>
      <c r="EI35" s="4">
        <v>1.697E-4</v>
      </c>
      <c r="EJ35" s="4">
        <v>1.5559999999999999E-4</v>
      </c>
      <c r="EK35" s="4">
        <v>1.4310000000000001E-4</v>
      </c>
      <c r="EL35" s="4">
        <v>1.3200000000000001E-4</v>
      </c>
      <c r="EM35" s="4">
        <v>1.217E-4</v>
      </c>
      <c r="EN35" s="4">
        <v>1.12E-4</v>
      </c>
      <c r="EO35" s="4">
        <v>1.0069999999999999E-4</v>
      </c>
      <c r="EP35" s="4">
        <v>9.3499999999999996E-5</v>
      </c>
      <c r="EQ35" s="4">
        <v>8.6799999999999996E-5</v>
      </c>
      <c r="ER35" s="4">
        <v>7.7600000000000002E-5</v>
      </c>
      <c r="ES35" s="4">
        <v>7.8999999999999996E-5</v>
      </c>
      <c r="ET35" s="4">
        <v>7.4300000000000004E-5</v>
      </c>
      <c r="EU35" s="4">
        <v>7.0699999999999997E-5</v>
      </c>
      <c r="EV35" s="4">
        <v>6.7299999999999996E-5</v>
      </c>
      <c r="EW35" s="4">
        <v>6.41E-5</v>
      </c>
      <c r="EX35" s="4">
        <v>6.1199999999999997E-5</v>
      </c>
      <c r="EY35" s="4">
        <v>5.8400000000000003E-5</v>
      </c>
      <c r="EZ35" s="4">
        <v>5.5899999999999997E-5</v>
      </c>
      <c r="FA35" s="4">
        <v>5.3499999999999999E-5</v>
      </c>
      <c r="FB35" s="4">
        <v>5.13E-5</v>
      </c>
      <c r="FC35" s="4">
        <v>4.9200000000000003E-5</v>
      </c>
      <c r="FD35" s="4">
        <v>4.7200000000000002E-5</v>
      </c>
      <c r="FE35" s="4">
        <v>4.5399999999999999E-5</v>
      </c>
      <c r="FF35" s="4">
        <v>4.3699999999999998E-5</v>
      </c>
      <c r="FG35" s="4">
        <v>4.21E-5</v>
      </c>
      <c r="FH35" s="4">
        <v>4.0599999999999998E-5</v>
      </c>
      <c r="FI35" s="4">
        <v>3.9199999999999997E-5</v>
      </c>
      <c r="FJ35" s="4">
        <v>3.79E-5</v>
      </c>
      <c r="FK35" s="4">
        <v>3.6699999999999998E-5</v>
      </c>
      <c r="FL35" s="4">
        <v>3.5599999999999998E-5</v>
      </c>
      <c r="FM35" s="4">
        <v>3.4600000000000001E-5</v>
      </c>
      <c r="FN35" s="4">
        <v>3.3599999999999997E-5</v>
      </c>
      <c r="FO35" s="4">
        <v>3.26E-5</v>
      </c>
      <c r="FP35" s="4">
        <v>3.18E-5</v>
      </c>
      <c r="FQ35" s="4">
        <v>3.1000000000000001E-5</v>
      </c>
      <c r="FR35" s="4">
        <v>3.0199999999999999E-5</v>
      </c>
      <c r="FS35" s="4">
        <v>2.9499999999999999E-5</v>
      </c>
      <c r="FT35" s="4">
        <v>2.8799999999999999E-5</v>
      </c>
      <c r="FU35" s="4">
        <v>2.8200000000000001E-5</v>
      </c>
      <c r="FV35" s="4">
        <v>2.76E-5</v>
      </c>
      <c r="FW35" s="4">
        <v>2.6999999999999999E-5</v>
      </c>
      <c r="FX35" s="4">
        <v>2.65E-5</v>
      </c>
      <c r="FY35" s="4">
        <v>2.5899999999999999E-5</v>
      </c>
      <c r="FZ35" s="4">
        <v>2.55E-5</v>
      </c>
      <c r="GA35" s="4">
        <v>2.5000000000000001E-5</v>
      </c>
      <c r="GB35" s="4">
        <v>2.4499999999999999E-5</v>
      </c>
      <c r="GC35" s="4">
        <v>2.41E-5</v>
      </c>
      <c r="GD35" s="4">
        <v>2.37E-5</v>
      </c>
      <c r="GE35" s="4">
        <v>2.3300000000000001E-5</v>
      </c>
      <c r="GF35" s="4">
        <v>2.2900000000000001E-5</v>
      </c>
      <c r="GG35" s="4">
        <v>2.2500000000000001E-5</v>
      </c>
      <c r="GH35" s="4">
        <v>2.2099999999999998E-5</v>
      </c>
      <c r="GI35" s="4">
        <v>2.1800000000000001E-5</v>
      </c>
      <c r="GJ35" s="4">
        <v>2.1399999999999998E-5</v>
      </c>
      <c r="GK35" s="4">
        <v>2.1100000000000001E-5</v>
      </c>
      <c r="GL35" s="4">
        <v>2.0800000000000001E-5</v>
      </c>
      <c r="GM35" s="4">
        <v>2.05E-5</v>
      </c>
      <c r="GN35" s="4">
        <v>2.02E-5</v>
      </c>
      <c r="GO35" s="4">
        <v>1.9899999999999999E-5</v>
      </c>
      <c r="GP35" s="4">
        <v>1.9599999999999999E-5</v>
      </c>
      <c r="GQ35" s="4">
        <v>1.9300000000000002E-5</v>
      </c>
      <c r="GR35" s="4">
        <v>1.9000000000000001E-5</v>
      </c>
      <c r="GS35" s="4">
        <v>1.8700000000000001E-5</v>
      </c>
      <c r="GT35" s="4">
        <v>1.8499999999999999E-5</v>
      </c>
      <c r="GU35" s="4">
        <v>1.8199999999999999E-5</v>
      </c>
      <c r="GV35" s="4">
        <v>1.8E-5</v>
      </c>
      <c r="GW35" s="4">
        <v>1.77E-5</v>
      </c>
      <c r="GX35" s="4">
        <v>1.7499999999999998E-5</v>
      </c>
      <c r="GY35" s="4">
        <v>1.7200000000000001E-5</v>
      </c>
      <c r="GZ35" s="4">
        <v>1.7E-5</v>
      </c>
      <c r="HA35" s="4">
        <v>1.6699999999999999E-5</v>
      </c>
      <c r="HB35" s="4">
        <v>1.6500000000000001E-5</v>
      </c>
      <c r="HC35" s="4">
        <v>1.63E-5</v>
      </c>
      <c r="HD35" s="4">
        <v>1.6099999999999998E-5</v>
      </c>
      <c r="HE35" s="4">
        <v>1.5800000000000001E-5</v>
      </c>
      <c r="HF35" s="4">
        <v>1.56E-5</v>
      </c>
      <c r="HG35" s="4">
        <v>1.5400000000000002E-5</v>
      </c>
      <c r="HH35" s="4">
        <v>1.52E-5</v>
      </c>
      <c r="HI35" s="4">
        <v>1.5E-5</v>
      </c>
      <c r="HJ35" s="4">
        <v>1.4800000000000001E-5</v>
      </c>
      <c r="HK35" s="4">
        <v>1.4600000000000001E-5</v>
      </c>
      <c r="HL35" s="4">
        <v>1.4399999999999999E-5</v>
      </c>
      <c r="HM35" s="4">
        <v>1.42E-5</v>
      </c>
      <c r="HN35" s="4">
        <v>1.4E-5</v>
      </c>
      <c r="HO35" s="4">
        <v>1.38E-5</v>
      </c>
      <c r="HP35" s="4">
        <v>1.36E-5</v>
      </c>
      <c r="HQ35" s="4">
        <v>1.34E-5</v>
      </c>
      <c r="HR35" s="4">
        <v>1.3200000000000001E-5</v>
      </c>
      <c r="HS35" s="4">
        <v>1.31E-5</v>
      </c>
      <c r="HT35" s="4">
        <v>1.29E-5</v>
      </c>
      <c r="HU35" s="4">
        <v>1.27E-5</v>
      </c>
      <c r="HV35" s="4">
        <v>1.2500000000000001E-5</v>
      </c>
      <c r="HW35" s="4">
        <v>1.24E-5</v>
      </c>
      <c r="HX35" s="4">
        <v>1.22E-5</v>
      </c>
      <c r="HY35" s="4">
        <v>1.2E-5</v>
      </c>
      <c r="HZ35" s="4">
        <v>1.19E-5</v>
      </c>
      <c r="IA35" s="4">
        <v>1.17E-5</v>
      </c>
      <c r="IB35" s="4">
        <v>1.15E-5</v>
      </c>
      <c r="IC35" s="4">
        <v>1.1399999999999999E-5</v>
      </c>
      <c r="ID35" s="4">
        <v>1.1199999999999999E-5</v>
      </c>
      <c r="IE35" s="4">
        <v>1.11E-5</v>
      </c>
      <c r="IF35" s="4">
        <v>1.0900000000000001E-5</v>
      </c>
      <c r="IG35" s="4">
        <v>7.7119999999999999E-4</v>
      </c>
      <c r="IH35" s="4"/>
      <c r="II35" s="4">
        <f t="shared" si="247"/>
        <v>0.11252330948611257</v>
      </c>
      <c r="IL35">
        <f t="shared" si="248"/>
        <v>0.35310195000000033</v>
      </c>
      <c r="IP35" s="4">
        <f t="shared" si="249"/>
        <v>4.0713199999999998E-2</v>
      </c>
      <c r="IQ35" s="4">
        <f t="shared" si="250"/>
        <v>3.1715299999999995E-2</v>
      </c>
      <c r="IR35" s="4">
        <f t="shared" si="251"/>
        <v>2.4134900000000001E-2</v>
      </c>
      <c r="IS35" s="4">
        <f t="shared" si="252"/>
        <v>1.9434899999999998E-2</v>
      </c>
      <c r="IT35" s="4">
        <f t="shared" si="253"/>
        <v>1.6463200000000001E-2</v>
      </c>
      <c r="IU35" s="4">
        <f t="shared" si="254"/>
        <v>5.7205900000000004E-2</v>
      </c>
      <c r="IV35" s="4">
        <f t="shared" si="255"/>
        <v>4.0857600000000008E-2</v>
      </c>
      <c r="IW35" s="4">
        <f t="shared" si="256"/>
        <v>3.0544699999999998E-2</v>
      </c>
      <c r="IX35" s="4">
        <f t="shared" si="257"/>
        <v>9.2495300000000003E-2</v>
      </c>
      <c r="JA35" s="4">
        <f t="shared" si="289"/>
        <v>8.0845999999999904E-3</v>
      </c>
      <c r="JB35" s="4">
        <f t="shared" si="290"/>
        <v>7.3263999999999968E-3</v>
      </c>
      <c r="JC35" s="4">
        <f t="shared" si="260"/>
        <v>4.6026000000000018E-3</v>
      </c>
      <c r="JD35" s="4">
        <f t="shared" si="261"/>
        <v>3.0540000000000012E-3</v>
      </c>
      <c r="JE35" s="4">
        <f t="shared" si="262"/>
        <v>2.1219000000000012E-3</v>
      </c>
      <c r="JF35" s="4">
        <f t="shared" si="263"/>
        <v>5.2319999999999867E-3</v>
      </c>
      <c r="JG35" s="4">
        <f t="shared" si="264"/>
        <v>2.486099999999998E-3</v>
      </c>
      <c r="JH35" s="4">
        <f t="shared" si="265"/>
        <v>1.6760000000000039E-3</v>
      </c>
      <c r="JI35" s="4">
        <f t="shared" si="266"/>
        <v>5.1485999999999893E-3</v>
      </c>
    </row>
    <row r="36" spans="1:269" x14ac:dyDescent="0.35">
      <c r="A36" s="1">
        <v>28</v>
      </c>
      <c r="B36" s="4">
        <v>1.05568E-2</v>
      </c>
      <c r="C36" s="4">
        <v>1.05568E-2</v>
      </c>
      <c r="D36" s="4">
        <v>1.0498499999999999E-2</v>
      </c>
      <c r="E36" s="4">
        <v>1.0215200000000001E-2</v>
      </c>
      <c r="F36" s="4">
        <v>9.6877999999999999E-3</v>
      </c>
      <c r="G36" s="4">
        <v>8.8759000000000008E-3</v>
      </c>
      <c r="H36" s="4">
        <v>8.2208999999999997E-3</v>
      </c>
      <c r="I36" s="4">
        <v>7.6401999999999998E-3</v>
      </c>
      <c r="J36" s="4">
        <v>7.0993000000000002E-3</v>
      </c>
      <c r="K36" s="4">
        <v>6.6245000000000002E-3</v>
      </c>
      <c r="L36" s="4">
        <v>6.2129999999999998E-3</v>
      </c>
      <c r="M36" s="4">
        <v>5.8503000000000001E-3</v>
      </c>
      <c r="N36" s="4">
        <v>5.5198000000000001E-3</v>
      </c>
      <c r="O36" s="4">
        <v>5.2231999999999999E-3</v>
      </c>
      <c r="P36" s="4">
        <v>4.9613000000000001E-3</v>
      </c>
      <c r="Q36" s="4">
        <v>4.7286999999999997E-3</v>
      </c>
      <c r="R36" s="4">
        <v>4.5303000000000001E-3</v>
      </c>
      <c r="S36" s="4">
        <v>4.3514000000000001E-3</v>
      </c>
      <c r="T36" s="4">
        <v>4.1856999999999997E-3</v>
      </c>
      <c r="U36" s="4">
        <v>4.0327999999999996E-3</v>
      </c>
      <c r="V36" s="4">
        <v>3.8903000000000002E-3</v>
      </c>
      <c r="W36" s="4">
        <v>3.7540999999999998E-3</v>
      </c>
      <c r="X36" s="4">
        <v>3.6134000000000001E-3</v>
      </c>
      <c r="Y36" s="4">
        <v>3.4678E-3</v>
      </c>
      <c r="Z36" s="4">
        <v>3.2537E-3</v>
      </c>
      <c r="AA36" s="4">
        <v>3.1337000000000001E-3</v>
      </c>
      <c r="AB36" s="4">
        <v>3.0163999999999998E-3</v>
      </c>
      <c r="AC36" s="4">
        <v>2.8091000000000001E-3</v>
      </c>
      <c r="AD36" s="4">
        <v>2.9136000000000001E-3</v>
      </c>
      <c r="AE36" s="4">
        <v>2.8448000000000002E-3</v>
      </c>
      <c r="AF36" s="4">
        <v>2.7981E-3</v>
      </c>
      <c r="AG36" s="4">
        <v>2.7510999999999998E-3</v>
      </c>
      <c r="AH36" s="4">
        <v>2.7062000000000002E-3</v>
      </c>
      <c r="AI36" s="4">
        <v>2.6619999999999999E-3</v>
      </c>
      <c r="AJ36" s="4">
        <v>2.6191000000000001E-3</v>
      </c>
      <c r="AK36" s="4">
        <v>2.5771000000000001E-3</v>
      </c>
      <c r="AL36" s="4">
        <v>2.5357999999999999E-3</v>
      </c>
      <c r="AM36" s="4">
        <v>2.4954E-3</v>
      </c>
      <c r="AN36" s="4">
        <v>2.4559E-3</v>
      </c>
      <c r="AO36" s="4">
        <v>2.4172E-3</v>
      </c>
      <c r="AP36" s="4">
        <v>2.3795000000000001E-3</v>
      </c>
      <c r="AQ36" s="4">
        <v>2.3425999999999998E-3</v>
      </c>
      <c r="AR36" s="4">
        <v>2.3065999999999998E-3</v>
      </c>
      <c r="AS36" s="4">
        <v>2.2713999999999998E-3</v>
      </c>
      <c r="AT36" s="4">
        <v>2.2369999999999998E-3</v>
      </c>
      <c r="AU36" s="4">
        <v>2.2033999999999999E-3</v>
      </c>
      <c r="AV36" s="4">
        <v>2.1705000000000001E-3</v>
      </c>
      <c r="AW36" s="4">
        <v>2.1383999999999999E-3</v>
      </c>
      <c r="AX36" s="4">
        <v>2.1069000000000001E-3</v>
      </c>
      <c r="AY36" s="4">
        <v>2.0761E-3</v>
      </c>
      <c r="AZ36" s="4">
        <v>2.0458999999999998E-3</v>
      </c>
      <c r="BA36" s="4">
        <v>2.0162999999999999E-3</v>
      </c>
      <c r="BB36" s="4">
        <v>1.9872000000000002E-3</v>
      </c>
      <c r="BC36" s="4">
        <v>1.9586E-3</v>
      </c>
      <c r="BD36" s="4">
        <v>1.9306E-3</v>
      </c>
      <c r="BE36" s="4">
        <v>1.9028999999999999E-3</v>
      </c>
      <c r="BF36" s="4">
        <v>1.8758E-3</v>
      </c>
      <c r="BG36" s="4">
        <v>1.8489999999999999E-3</v>
      </c>
      <c r="BH36" s="4">
        <v>1.8226E-3</v>
      </c>
      <c r="BI36" s="4">
        <v>1.7967E-3</v>
      </c>
      <c r="BJ36" s="4">
        <v>1.771E-3</v>
      </c>
      <c r="BK36" s="4">
        <v>1.7458E-3</v>
      </c>
      <c r="BL36" s="4">
        <v>1.7209E-3</v>
      </c>
      <c r="BM36" s="4">
        <v>1.6963E-3</v>
      </c>
      <c r="BN36" s="4">
        <v>1.6720999999999999E-3</v>
      </c>
      <c r="BO36" s="4">
        <v>1.6482000000000001E-3</v>
      </c>
      <c r="BP36" s="4">
        <v>1.6247E-3</v>
      </c>
      <c r="BQ36" s="4">
        <v>1.6014E-3</v>
      </c>
      <c r="BR36" s="4">
        <v>1.5785E-3</v>
      </c>
      <c r="BS36" s="4">
        <v>1.5559E-3</v>
      </c>
      <c r="BT36" s="4">
        <v>1.5336E-3</v>
      </c>
      <c r="BU36" s="4">
        <v>1.5116000000000001E-3</v>
      </c>
      <c r="BV36" s="4">
        <v>1.4898999999999999E-3</v>
      </c>
      <c r="BW36" s="4">
        <v>1.4685E-3</v>
      </c>
      <c r="BX36" s="4">
        <v>1.4475E-3</v>
      </c>
      <c r="BY36" s="4">
        <v>1.4266999999999999E-3</v>
      </c>
      <c r="BZ36" s="4">
        <v>1.4062E-3</v>
      </c>
      <c r="CA36" s="4">
        <v>1.3860000000000001E-3</v>
      </c>
      <c r="CB36" s="4">
        <v>1.3661000000000001E-3</v>
      </c>
      <c r="CC36" s="4">
        <v>1.3465E-3</v>
      </c>
      <c r="CD36" s="4">
        <v>1.3272E-3</v>
      </c>
      <c r="CE36" s="4">
        <v>1.3081E-3</v>
      </c>
      <c r="CF36" s="4">
        <v>1.2894E-3</v>
      </c>
      <c r="CG36" s="4">
        <v>1.2708999999999999E-3</v>
      </c>
      <c r="CH36" s="4">
        <v>1.2526E-3</v>
      </c>
      <c r="CI36" s="4">
        <v>1.2347E-3</v>
      </c>
      <c r="CJ36" s="4">
        <v>1.217E-3</v>
      </c>
      <c r="CK36" s="4">
        <v>1.1996000000000001E-3</v>
      </c>
      <c r="CL36" s="4">
        <v>1.1823999999999999E-3</v>
      </c>
      <c r="CM36" s="4">
        <v>1.1655000000000001E-3</v>
      </c>
      <c r="CN36" s="4">
        <v>1.1489E-3</v>
      </c>
      <c r="CO36" s="4">
        <v>1.1325E-3</v>
      </c>
      <c r="CP36" s="4">
        <v>1.1163E-3</v>
      </c>
      <c r="CQ36" s="4">
        <v>1.1004000000000001E-3</v>
      </c>
      <c r="CR36" s="4">
        <v>1.0847000000000001E-3</v>
      </c>
      <c r="CS36" s="4">
        <v>1.0693E-3</v>
      </c>
      <c r="CT36" s="4">
        <v>1.0541000000000001E-3</v>
      </c>
      <c r="CU36" s="4">
        <v>1.0391E-3</v>
      </c>
      <c r="CV36" s="4">
        <v>1.0242999999999999E-3</v>
      </c>
      <c r="CW36" s="4">
        <v>1.0097999999999999E-3</v>
      </c>
      <c r="CX36" s="4">
        <v>9.9550000000000007E-4</v>
      </c>
      <c r="CY36" s="4">
        <v>9.8130000000000005E-4</v>
      </c>
      <c r="CZ36" s="4">
        <v>9.6739999999999999E-4</v>
      </c>
      <c r="DA36" s="4">
        <v>9.5370000000000003E-4</v>
      </c>
      <c r="DB36" s="4">
        <v>9.4019999999999998E-4</v>
      </c>
      <c r="DC36" s="4">
        <v>9.2699999999999998E-4</v>
      </c>
      <c r="DD36" s="4">
        <v>9.1390000000000004E-4</v>
      </c>
      <c r="DE36" s="4">
        <v>9.0090000000000005E-4</v>
      </c>
      <c r="DF36" s="4">
        <v>8.8820000000000001E-4</v>
      </c>
      <c r="DG36" s="4">
        <v>8.7569999999999998E-4</v>
      </c>
      <c r="DH36" s="4">
        <v>8.6339999999999995E-4</v>
      </c>
      <c r="DI36" s="4">
        <v>8.5119999999999998E-4</v>
      </c>
      <c r="DJ36" s="4">
        <v>8.3920000000000002E-4</v>
      </c>
      <c r="DK36" s="4">
        <v>8.2740000000000005E-4</v>
      </c>
      <c r="DL36" s="4">
        <v>8.1570000000000004E-4</v>
      </c>
      <c r="DM36" s="4">
        <v>8.0429999999999998E-4</v>
      </c>
      <c r="DN36" s="4">
        <v>7.9290000000000003E-4</v>
      </c>
      <c r="DO36" s="4">
        <v>7.8180000000000003E-4</v>
      </c>
      <c r="DP36" s="4">
        <v>7.7079999999999998E-4</v>
      </c>
      <c r="DQ36" s="4">
        <v>5.3900700000000003E-2</v>
      </c>
      <c r="DR36" s="4">
        <v>0</v>
      </c>
      <c r="DS36" s="4">
        <v>7.7799999999999994E-5</v>
      </c>
      <c r="DT36" s="4">
        <v>2.8069999999999999E-4</v>
      </c>
      <c r="DU36" s="4">
        <v>4.8919999999999996E-4</v>
      </c>
      <c r="DV36" s="4">
        <v>6.357E-4</v>
      </c>
      <c r="DW36" s="4">
        <v>6.3699999999999998E-4</v>
      </c>
      <c r="DX36" s="4">
        <v>5.6400000000000005E-4</v>
      </c>
      <c r="DY36" s="4">
        <v>5.218E-4</v>
      </c>
      <c r="DZ36" s="4">
        <v>4.529E-4</v>
      </c>
      <c r="EA36" s="4">
        <v>4.0309999999999999E-4</v>
      </c>
      <c r="EB36" s="4">
        <v>3.568E-4</v>
      </c>
      <c r="EC36" s="4">
        <v>3.1809999999999998E-4</v>
      </c>
      <c r="ED36" s="4">
        <v>2.8420000000000002E-4</v>
      </c>
      <c r="EE36" s="4">
        <v>2.5450000000000001E-4</v>
      </c>
      <c r="EF36" s="4">
        <v>2.2900000000000001E-4</v>
      </c>
      <c r="EG36" s="4">
        <v>2.0699999999999999E-4</v>
      </c>
      <c r="EH36" s="4">
        <v>1.883E-4</v>
      </c>
      <c r="EI36" s="4">
        <v>1.719E-4</v>
      </c>
      <c r="EJ36" s="4">
        <v>1.574E-4</v>
      </c>
      <c r="EK36" s="4">
        <v>1.4459999999999999E-4</v>
      </c>
      <c r="EL36" s="4">
        <v>1.3329999999999999E-4</v>
      </c>
      <c r="EM36" s="4">
        <v>1.2310000000000001E-4</v>
      </c>
      <c r="EN36" s="4">
        <v>1.137E-4</v>
      </c>
      <c r="EO36" s="4">
        <v>1.049E-4</v>
      </c>
      <c r="EP36" s="4">
        <v>9.4500000000000007E-5</v>
      </c>
      <c r="EQ36" s="4">
        <v>8.7899999999999995E-5</v>
      </c>
      <c r="ER36" s="4">
        <v>8.1799999999999996E-5</v>
      </c>
      <c r="ES36" s="4">
        <v>7.3300000000000006E-5</v>
      </c>
      <c r="ET36" s="4">
        <v>7.47E-5</v>
      </c>
      <c r="EU36" s="4">
        <v>7.0400000000000004E-5</v>
      </c>
      <c r="EV36" s="4">
        <v>6.7100000000000005E-5</v>
      </c>
      <c r="EW36" s="4">
        <v>6.3899999999999995E-5</v>
      </c>
      <c r="EX36" s="4">
        <v>6.1099999999999994E-5</v>
      </c>
      <c r="EY36" s="4">
        <v>5.8300000000000001E-5</v>
      </c>
      <c r="EZ36" s="4">
        <v>5.5800000000000001E-5</v>
      </c>
      <c r="FA36" s="4">
        <v>5.3499999999999999E-5</v>
      </c>
      <c r="FB36" s="4">
        <v>5.13E-5</v>
      </c>
      <c r="FC36" s="4">
        <v>4.9200000000000003E-5</v>
      </c>
      <c r="FD36" s="4">
        <v>4.7299999999999998E-5</v>
      </c>
      <c r="FE36" s="4">
        <v>4.5500000000000001E-5</v>
      </c>
      <c r="FF36" s="4">
        <v>4.3800000000000001E-5</v>
      </c>
      <c r="FG36" s="4">
        <v>4.2200000000000003E-5</v>
      </c>
      <c r="FH36" s="4">
        <v>4.07E-5</v>
      </c>
      <c r="FI36" s="4">
        <v>3.93E-5</v>
      </c>
      <c r="FJ36" s="4">
        <v>3.8099999999999998E-5</v>
      </c>
      <c r="FK36" s="4">
        <v>3.6900000000000002E-5</v>
      </c>
      <c r="FL36" s="4">
        <v>3.57E-5</v>
      </c>
      <c r="FM36" s="4">
        <v>3.4700000000000003E-5</v>
      </c>
      <c r="FN36" s="4">
        <v>3.3699999999999999E-5</v>
      </c>
      <c r="FO36" s="4">
        <v>3.2799999999999998E-5</v>
      </c>
      <c r="FP36" s="4">
        <v>3.1900000000000003E-5</v>
      </c>
      <c r="FQ36" s="4">
        <v>3.1099999999999997E-5</v>
      </c>
      <c r="FR36" s="4">
        <v>3.04E-5</v>
      </c>
      <c r="FS36" s="4">
        <v>2.97E-5</v>
      </c>
      <c r="FT36" s="4">
        <v>2.9E-5</v>
      </c>
      <c r="FU36" s="4">
        <v>2.83E-5</v>
      </c>
      <c r="FV36" s="4">
        <v>2.7699999999999999E-5</v>
      </c>
      <c r="FW36" s="4">
        <v>2.72E-5</v>
      </c>
      <c r="FX36" s="4">
        <v>2.6599999999999999E-5</v>
      </c>
      <c r="FY36" s="4">
        <v>2.6100000000000001E-5</v>
      </c>
      <c r="FZ36" s="4">
        <v>2.5599999999999999E-5</v>
      </c>
      <c r="GA36" s="4">
        <v>2.51E-5</v>
      </c>
      <c r="GB36" s="4">
        <v>2.4700000000000001E-5</v>
      </c>
      <c r="GC36" s="4">
        <v>2.4199999999999999E-5</v>
      </c>
      <c r="GD36" s="4">
        <v>2.3799999999999999E-5</v>
      </c>
      <c r="GE36" s="4">
        <v>2.34E-5</v>
      </c>
      <c r="GF36" s="4">
        <v>2.3E-5</v>
      </c>
      <c r="GG36" s="4">
        <v>2.26E-5</v>
      </c>
      <c r="GH36" s="4">
        <v>2.23E-5</v>
      </c>
      <c r="GI36" s="4">
        <v>2.19E-5</v>
      </c>
      <c r="GJ36" s="4">
        <v>2.16E-5</v>
      </c>
      <c r="GK36" s="4">
        <v>2.12E-5</v>
      </c>
      <c r="GL36" s="4">
        <v>2.09E-5</v>
      </c>
      <c r="GM36" s="4">
        <v>2.0599999999999999E-5</v>
      </c>
      <c r="GN36" s="4">
        <v>2.0299999999999999E-5</v>
      </c>
      <c r="GO36" s="4">
        <v>2.0000000000000002E-5</v>
      </c>
      <c r="GP36" s="4">
        <v>1.9700000000000001E-5</v>
      </c>
      <c r="GQ36" s="4">
        <v>1.9400000000000001E-5</v>
      </c>
      <c r="GR36" s="4">
        <v>1.91E-5</v>
      </c>
      <c r="GS36" s="4">
        <v>1.88E-5</v>
      </c>
      <c r="GT36" s="4">
        <v>1.8499999999999999E-5</v>
      </c>
      <c r="GU36" s="4">
        <v>1.8300000000000001E-5</v>
      </c>
      <c r="GV36" s="4">
        <v>1.8E-5</v>
      </c>
      <c r="GW36" s="4">
        <v>1.7799999999999999E-5</v>
      </c>
      <c r="GX36" s="4">
        <v>1.7499999999999998E-5</v>
      </c>
      <c r="GY36" s="4">
        <v>1.73E-5</v>
      </c>
      <c r="GZ36" s="4">
        <v>1.7E-5</v>
      </c>
      <c r="HA36" s="4">
        <v>1.6799999999999998E-5</v>
      </c>
      <c r="HB36" s="4">
        <v>1.6500000000000001E-5</v>
      </c>
      <c r="HC36" s="4">
        <v>1.63E-5</v>
      </c>
      <c r="HD36" s="4">
        <v>1.6099999999999998E-5</v>
      </c>
      <c r="HE36" s="4">
        <v>1.59E-5</v>
      </c>
      <c r="HF36" s="4">
        <v>1.56E-5</v>
      </c>
      <c r="HG36" s="4">
        <v>1.5400000000000002E-5</v>
      </c>
      <c r="HH36" s="4">
        <v>1.52E-5</v>
      </c>
      <c r="HI36" s="4">
        <v>1.5E-5</v>
      </c>
      <c r="HJ36" s="4">
        <v>1.4800000000000001E-5</v>
      </c>
      <c r="HK36" s="4">
        <v>1.4600000000000001E-5</v>
      </c>
      <c r="HL36" s="4">
        <v>1.4399999999999999E-5</v>
      </c>
      <c r="HM36" s="4">
        <v>1.42E-5</v>
      </c>
      <c r="HN36" s="4">
        <v>1.4E-5</v>
      </c>
      <c r="HO36" s="4">
        <v>1.38E-5</v>
      </c>
      <c r="HP36" s="4">
        <v>1.36E-5</v>
      </c>
      <c r="HQ36" s="4">
        <v>1.34E-5</v>
      </c>
      <c r="HR36" s="4">
        <v>1.33E-5</v>
      </c>
      <c r="HS36" s="4">
        <v>1.31E-5</v>
      </c>
      <c r="HT36" s="4">
        <v>1.29E-5</v>
      </c>
      <c r="HU36" s="4">
        <v>1.27E-5</v>
      </c>
      <c r="HV36" s="4">
        <v>1.2500000000000001E-5</v>
      </c>
      <c r="HW36" s="4">
        <v>1.24E-5</v>
      </c>
      <c r="HX36" s="4">
        <v>1.22E-5</v>
      </c>
      <c r="HY36" s="4">
        <v>1.2E-5</v>
      </c>
      <c r="HZ36" s="4">
        <v>1.19E-5</v>
      </c>
      <c r="IA36" s="4">
        <v>1.17E-5</v>
      </c>
      <c r="IB36" s="4">
        <v>1.15E-5</v>
      </c>
      <c r="IC36" s="4">
        <v>1.1399999999999999E-5</v>
      </c>
      <c r="ID36" s="4">
        <v>1.1199999999999999E-5</v>
      </c>
      <c r="IE36" s="4">
        <v>1.11E-5</v>
      </c>
      <c r="IF36" s="4">
        <v>1.0900000000000001E-5</v>
      </c>
      <c r="IG36" s="4">
        <v>7.7050000000000003E-4</v>
      </c>
      <c r="IH36" s="4"/>
      <c r="II36" s="4">
        <f t="shared" si="247"/>
        <v>0.11274701578085257</v>
      </c>
      <c r="IL36">
        <f t="shared" si="248"/>
        <v>0.35328651249999998</v>
      </c>
      <c r="IP36" s="4">
        <f t="shared" si="249"/>
        <v>4.0958300000000003E-2</v>
      </c>
      <c r="IQ36" s="4">
        <f t="shared" si="250"/>
        <v>3.1836300000000005E-2</v>
      </c>
      <c r="IR36" s="4">
        <f t="shared" si="251"/>
        <v>2.4207600000000003E-2</v>
      </c>
      <c r="IS36" s="4">
        <f t="shared" si="252"/>
        <v>1.9443499999999999E-2</v>
      </c>
      <c r="IT36" s="4">
        <f t="shared" si="253"/>
        <v>1.6460199999999998E-2</v>
      </c>
      <c r="IU36" s="4">
        <f t="shared" si="254"/>
        <v>5.7203999999999991E-2</v>
      </c>
      <c r="IV36" s="4">
        <f t="shared" si="255"/>
        <v>4.0809499999999999E-2</v>
      </c>
      <c r="IW36" s="4">
        <f t="shared" si="256"/>
        <v>3.0553600000000004E-2</v>
      </c>
      <c r="IX36" s="4">
        <f t="shared" si="257"/>
        <v>9.2490800000000012E-2</v>
      </c>
      <c r="JA36" s="4">
        <f t="shared" si="289"/>
        <v>8.1701999999999955E-3</v>
      </c>
      <c r="JB36" s="4">
        <f t="shared" si="290"/>
        <v>7.3113000000000067E-3</v>
      </c>
      <c r="JC36" s="4">
        <f t="shared" si="260"/>
        <v>4.6004000000000045E-3</v>
      </c>
      <c r="JD36" s="4">
        <f t="shared" si="261"/>
        <v>3.0519999999999992E-3</v>
      </c>
      <c r="JE36" s="4">
        <f t="shared" si="262"/>
        <v>2.1457999999999998E-3</v>
      </c>
      <c r="JF36" s="4">
        <f t="shared" si="263"/>
        <v>5.2254999999999802E-3</v>
      </c>
      <c r="JG36" s="4">
        <f t="shared" si="264"/>
        <v>2.4959999999999982E-3</v>
      </c>
      <c r="JH36" s="4">
        <f t="shared" si="265"/>
        <v>1.6830999999999999E-3</v>
      </c>
      <c r="JI36" s="4">
        <f t="shared" si="266"/>
        <v>5.1476999999999773E-3</v>
      </c>
    </row>
    <row r="37" spans="1:269" x14ac:dyDescent="0.35">
      <c r="A37" s="1">
        <v>29</v>
      </c>
      <c r="B37" s="4">
        <v>1.05568E-2</v>
      </c>
      <c r="C37" s="4">
        <v>1.05568E-2</v>
      </c>
      <c r="D37" s="4">
        <v>1.0479E-2</v>
      </c>
      <c r="E37" s="4">
        <v>1.0217800000000001E-2</v>
      </c>
      <c r="F37" s="4">
        <v>9.7260000000000003E-3</v>
      </c>
      <c r="G37" s="4">
        <v>9.0519999999999993E-3</v>
      </c>
      <c r="H37" s="4">
        <v>8.2389000000000004E-3</v>
      </c>
      <c r="I37" s="4">
        <v>7.6569000000000003E-3</v>
      </c>
      <c r="J37" s="4">
        <v>7.1184000000000004E-3</v>
      </c>
      <c r="K37" s="4">
        <v>6.6464000000000002E-3</v>
      </c>
      <c r="L37" s="4">
        <v>6.2212999999999999E-3</v>
      </c>
      <c r="M37" s="4">
        <v>5.8561000000000004E-3</v>
      </c>
      <c r="N37" s="4">
        <v>5.5320999999999999E-3</v>
      </c>
      <c r="O37" s="4">
        <v>5.2356E-3</v>
      </c>
      <c r="P37" s="4">
        <v>4.9687000000000004E-3</v>
      </c>
      <c r="Q37" s="4">
        <v>4.7321999999999998E-3</v>
      </c>
      <c r="R37" s="4">
        <v>4.5215999999999998E-3</v>
      </c>
      <c r="S37" s="4">
        <v>4.3420000000000004E-3</v>
      </c>
      <c r="T37" s="4">
        <v>4.1793999999999998E-3</v>
      </c>
      <c r="U37" s="4">
        <v>4.0283000000000003E-3</v>
      </c>
      <c r="V37" s="4">
        <v>3.8882000000000001E-3</v>
      </c>
      <c r="W37" s="4">
        <v>3.7569999999999999E-3</v>
      </c>
      <c r="X37" s="4">
        <v>3.6310000000000001E-3</v>
      </c>
      <c r="Y37" s="4">
        <v>3.4997000000000001E-3</v>
      </c>
      <c r="Z37" s="4">
        <v>3.3628E-3</v>
      </c>
      <c r="AA37" s="4">
        <v>3.1591000000000002E-3</v>
      </c>
      <c r="AB37" s="4">
        <v>3.0458E-3</v>
      </c>
      <c r="AC37" s="4">
        <v>2.9345999999999999E-3</v>
      </c>
      <c r="AD37" s="4">
        <v>2.7358E-3</v>
      </c>
      <c r="AE37" s="4">
        <v>2.8389999999999999E-3</v>
      </c>
      <c r="AF37" s="4">
        <v>2.7744000000000002E-3</v>
      </c>
      <c r="AG37" s="4">
        <v>2.7309999999999999E-3</v>
      </c>
      <c r="AH37" s="4">
        <v>2.6871E-3</v>
      </c>
      <c r="AI37" s="4">
        <v>2.6451999999999999E-3</v>
      </c>
      <c r="AJ37" s="4">
        <v>2.6037E-3</v>
      </c>
      <c r="AK37" s="4">
        <v>2.5633000000000001E-3</v>
      </c>
      <c r="AL37" s="4">
        <v>2.5236E-3</v>
      </c>
      <c r="AM37" s="4">
        <v>2.4845000000000002E-3</v>
      </c>
      <c r="AN37" s="4">
        <v>2.4461999999999999E-3</v>
      </c>
      <c r="AO37" s="4">
        <v>2.4085999999999999E-3</v>
      </c>
      <c r="AP37" s="4">
        <v>2.3717999999999999E-3</v>
      </c>
      <c r="AQ37" s="4">
        <v>2.3357E-3</v>
      </c>
      <c r="AR37" s="4">
        <v>2.3004000000000002E-3</v>
      </c>
      <c r="AS37" s="4">
        <v>2.2658000000000001E-3</v>
      </c>
      <c r="AT37" s="4">
        <v>2.232E-3</v>
      </c>
      <c r="AU37" s="4">
        <v>2.1989000000000002E-3</v>
      </c>
      <c r="AV37" s="4">
        <v>2.1665E-3</v>
      </c>
      <c r="AW37" s="4">
        <v>2.1348000000000001E-3</v>
      </c>
      <c r="AX37" s="4">
        <v>2.1037E-3</v>
      </c>
      <c r="AY37" s="4">
        <v>2.0731999999999999E-3</v>
      </c>
      <c r="AZ37" s="4">
        <v>2.0433000000000001E-3</v>
      </c>
      <c r="BA37" s="4">
        <v>2.0140000000000002E-3</v>
      </c>
      <c r="BB37" s="4">
        <v>1.9851000000000001E-3</v>
      </c>
      <c r="BC37" s="4">
        <v>1.9567999999999999E-3</v>
      </c>
      <c r="BD37" s="4">
        <v>1.9289999999999999E-3</v>
      </c>
      <c r="BE37" s="4">
        <v>1.9016E-3</v>
      </c>
      <c r="BF37" s="4">
        <v>1.8745999999999999E-3</v>
      </c>
      <c r="BG37" s="4">
        <v>1.848E-3</v>
      </c>
      <c r="BH37" s="4">
        <v>1.8217999999999999E-3</v>
      </c>
      <c r="BI37" s="4">
        <v>1.7960000000000001E-3</v>
      </c>
      <c r="BJ37" s="4">
        <v>1.7706E-3</v>
      </c>
      <c r="BK37" s="4">
        <v>1.7455000000000001E-3</v>
      </c>
      <c r="BL37" s="4">
        <v>1.7206999999999999E-3</v>
      </c>
      <c r="BM37" s="4">
        <v>1.6961999999999999E-3</v>
      </c>
      <c r="BN37" s="4">
        <v>1.6720999999999999E-3</v>
      </c>
      <c r="BO37" s="4">
        <v>1.6482999999999999E-3</v>
      </c>
      <c r="BP37" s="4">
        <v>1.6248E-3</v>
      </c>
      <c r="BQ37" s="4">
        <v>1.6017E-3</v>
      </c>
      <c r="BR37" s="4">
        <v>1.5788E-3</v>
      </c>
      <c r="BS37" s="4">
        <v>1.5562E-3</v>
      </c>
      <c r="BT37" s="4">
        <v>1.534E-3</v>
      </c>
      <c r="BU37" s="4">
        <v>1.5120000000000001E-3</v>
      </c>
      <c r="BV37" s="4">
        <v>1.4904E-3</v>
      </c>
      <c r="BW37" s="4">
        <v>1.469E-3</v>
      </c>
      <c r="BX37" s="4">
        <v>1.4480000000000001E-3</v>
      </c>
      <c r="BY37" s="4">
        <v>1.4272E-3</v>
      </c>
      <c r="BZ37" s="4">
        <v>1.4067000000000001E-3</v>
      </c>
      <c r="CA37" s="4">
        <v>1.3864999999999999E-3</v>
      </c>
      <c r="CB37" s="4">
        <v>1.3665999999999999E-3</v>
      </c>
      <c r="CC37" s="4">
        <v>1.3470000000000001E-3</v>
      </c>
      <c r="CD37" s="4">
        <v>1.3277E-3</v>
      </c>
      <c r="CE37" s="4">
        <v>1.3086E-3</v>
      </c>
      <c r="CF37" s="4">
        <v>1.2899000000000001E-3</v>
      </c>
      <c r="CG37" s="4">
        <v>1.2712999999999999E-3</v>
      </c>
      <c r="CH37" s="4">
        <v>1.2531E-3</v>
      </c>
      <c r="CI37" s="4">
        <v>1.2351E-3</v>
      </c>
      <c r="CJ37" s="4">
        <v>1.2174E-3</v>
      </c>
      <c r="CK37" s="4">
        <v>1.1999999999999999E-3</v>
      </c>
      <c r="CL37" s="4">
        <v>1.1827999999999999E-3</v>
      </c>
      <c r="CM37" s="4">
        <v>1.1659000000000001E-3</v>
      </c>
      <c r="CN37" s="4">
        <v>1.1492E-3</v>
      </c>
      <c r="CO37" s="4">
        <v>1.1328E-3</v>
      </c>
      <c r="CP37" s="4">
        <v>1.1165999999999999E-3</v>
      </c>
      <c r="CQ37" s="4">
        <v>1.1007E-3</v>
      </c>
      <c r="CR37" s="4">
        <v>1.085E-3</v>
      </c>
      <c r="CS37" s="4">
        <v>1.0694999999999999E-3</v>
      </c>
      <c r="CT37" s="4">
        <v>1.0543E-3</v>
      </c>
      <c r="CU37" s="4">
        <v>1.0392999999999999E-3</v>
      </c>
      <c r="CV37" s="4">
        <v>1.0245E-3</v>
      </c>
      <c r="CW37" s="4">
        <v>1.0099E-3</v>
      </c>
      <c r="CX37" s="4">
        <v>9.9559999999999991E-4</v>
      </c>
      <c r="CY37" s="4">
        <v>9.8139999999999989E-4</v>
      </c>
      <c r="CZ37" s="4">
        <v>9.6750000000000004E-4</v>
      </c>
      <c r="DA37" s="4">
        <v>9.5379999999999998E-4</v>
      </c>
      <c r="DB37" s="4">
        <v>9.4030000000000003E-4</v>
      </c>
      <c r="DC37" s="4">
        <v>9.2699999999999998E-4</v>
      </c>
      <c r="DD37" s="4">
        <v>9.1390000000000004E-4</v>
      </c>
      <c r="DE37" s="4">
        <v>9.01E-4</v>
      </c>
      <c r="DF37" s="4">
        <v>8.8820000000000001E-4</v>
      </c>
      <c r="DG37" s="4">
        <v>8.7569999999999998E-4</v>
      </c>
      <c r="DH37" s="4">
        <v>8.633E-4</v>
      </c>
      <c r="DI37" s="4">
        <v>8.5119999999999998E-4</v>
      </c>
      <c r="DJ37" s="4">
        <v>8.3920000000000002E-4</v>
      </c>
      <c r="DK37" s="4">
        <v>8.273E-4</v>
      </c>
      <c r="DL37" s="4">
        <v>8.1570000000000004E-4</v>
      </c>
      <c r="DM37" s="4">
        <v>8.0420000000000003E-4</v>
      </c>
      <c r="DN37" s="4">
        <v>7.9290000000000003E-4</v>
      </c>
      <c r="DO37" s="4">
        <v>7.8169999999999997E-4</v>
      </c>
      <c r="DP37" s="4">
        <v>7.7070000000000003E-4</v>
      </c>
      <c r="DQ37" s="4">
        <v>5.3890100000000003E-2</v>
      </c>
      <c r="DR37" s="4">
        <v>0</v>
      </c>
      <c r="DS37" s="4">
        <v>4.5899999999999998E-5</v>
      </c>
      <c r="DT37" s="4">
        <v>2.6069999999999999E-4</v>
      </c>
      <c r="DU37" s="4">
        <v>4.5350000000000002E-4</v>
      </c>
      <c r="DV37" s="4">
        <v>6.5169999999999996E-4</v>
      </c>
      <c r="DW37" s="4">
        <v>6.489E-4</v>
      </c>
      <c r="DX37" s="4">
        <v>5.5710000000000004E-4</v>
      </c>
      <c r="DY37" s="4">
        <v>5.1909999999999999E-4</v>
      </c>
      <c r="DZ37" s="4">
        <v>4.4779999999999999E-4</v>
      </c>
      <c r="EA37" s="4">
        <v>3.991E-4</v>
      </c>
      <c r="EB37" s="4">
        <v>3.5139999999999998E-4</v>
      </c>
      <c r="EC37" s="4">
        <v>3.123E-4</v>
      </c>
      <c r="ED37" s="4">
        <v>2.787E-4</v>
      </c>
      <c r="EE37" s="4">
        <v>2.497E-4</v>
      </c>
      <c r="EF37" s="4">
        <v>2.2440000000000001E-4</v>
      </c>
      <c r="EG37" s="4">
        <v>2.0269999999999999E-4</v>
      </c>
      <c r="EH37" s="4">
        <v>1.839E-4</v>
      </c>
      <c r="EI37" s="4">
        <v>1.6780000000000001E-4</v>
      </c>
      <c r="EJ37" s="4">
        <v>1.537E-4</v>
      </c>
      <c r="EK37" s="4">
        <v>1.4119999999999999E-4</v>
      </c>
      <c r="EL37" s="4">
        <v>1.2999999999999999E-4</v>
      </c>
      <c r="EM37" s="4">
        <v>1.2019999999999999E-4</v>
      </c>
      <c r="EN37" s="4">
        <v>1.1129999999999999E-4</v>
      </c>
      <c r="EO37" s="4">
        <v>1.031E-4</v>
      </c>
      <c r="EP37" s="4">
        <v>9.5400000000000001E-5</v>
      </c>
      <c r="EQ37" s="4">
        <v>8.6199999999999995E-5</v>
      </c>
      <c r="ER37" s="4">
        <v>8.0400000000000003E-5</v>
      </c>
      <c r="ES37" s="4">
        <v>7.4999999999999993E-5</v>
      </c>
      <c r="ET37" s="4">
        <v>6.7399999999999998E-5</v>
      </c>
      <c r="EU37" s="4">
        <v>6.8800000000000005E-5</v>
      </c>
      <c r="EV37" s="4">
        <v>6.4999999999999994E-5</v>
      </c>
      <c r="EW37" s="4">
        <v>6.2100000000000005E-5</v>
      </c>
      <c r="EX37" s="4">
        <v>5.94E-5</v>
      </c>
      <c r="EY37" s="4">
        <v>5.6799999999999998E-5</v>
      </c>
      <c r="EZ37" s="4">
        <v>5.4400000000000001E-5</v>
      </c>
      <c r="FA37" s="4">
        <v>5.2200000000000002E-5</v>
      </c>
      <c r="FB37" s="4">
        <v>5.0099999999999998E-5</v>
      </c>
      <c r="FC37" s="4">
        <v>4.8199999999999999E-5</v>
      </c>
      <c r="FD37" s="4">
        <v>4.6300000000000001E-5</v>
      </c>
      <c r="FE37" s="4">
        <v>4.46E-5</v>
      </c>
      <c r="FF37" s="4">
        <v>4.3000000000000002E-5</v>
      </c>
      <c r="FG37" s="4">
        <v>4.1499999999999999E-5</v>
      </c>
      <c r="FH37" s="4">
        <v>4.0099999999999999E-5</v>
      </c>
      <c r="FI37" s="4">
        <v>3.8699999999999999E-5</v>
      </c>
      <c r="FJ37" s="4">
        <v>3.7499999999999997E-5</v>
      </c>
      <c r="FK37" s="4">
        <v>3.6300000000000001E-5</v>
      </c>
      <c r="FL37" s="4">
        <v>3.5299999999999997E-5</v>
      </c>
      <c r="FM37" s="4">
        <v>3.43E-5</v>
      </c>
      <c r="FN37" s="4">
        <v>3.3300000000000003E-5</v>
      </c>
      <c r="FO37" s="4">
        <v>3.2400000000000001E-5</v>
      </c>
      <c r="FP37" s="4">
        <v>3.1600000000000002E-5</v>
      </c>
      <c r="FQ37" s="4">
        <v>3.0800000000000003E-5</v>
      </c>
      <c r="FR37" s="4">
        <v>3.01E-5</v>
      </c>
      <c r="FS37" s="4">
        <v>2.94E-5</v>
      </c>
      <c r="FT37" s="4">
        <v>2.87E-5</v>
      </c>
      <c r="FU37" s="4">
        <v>2.8099999999999999E-5</v>
      </c>
      <c r="FV37" s="4">
        <v>2.7500000000000001E-5</v>
      </c>
      <c r="FW37" s="4">
        <v>2.69E-5</v>
      </c>
      <c r="FX37" s="4">
        <v>2.6400000000000001E-5</v>
      </c>
      <c r="FY37" s="4">
        <v>2.5899999999999999E-5</v>
      </c>
      <c r="FZ37" s="4">
        <v>2.5400000000000001E-5</v>
      </c>
      <c r="GA37" s="4">
        <v>2.5000000000000001E-5</v>
      </c>
      <c r="GB37" s="4">
        <v>2.4499999999999999E-5</v>
      </c>
      <c r="GC37" s="4">
        <v>2.41E-5</v>
      </c>
      <c r="GD37" s="4">
        <v>2.37E-5</v>
      </c>
      <c r="GE37" s="4">
        <v>2.3300000000000001E-5</v>
      </c>
      <c r="GF37" s="4">
        <v>2.2900000000000001E-5</v>
      </c>
      <c r="GG37" s="4">
        <v>2.2500000000000001E-5</v>
      </c>
      <c r="GH37" s="4">
        <v>2.2200000000000001E-5</v>
      </c>
      <c r="GI37" s="4">
        <v>2.1800000000000001E-5</v>
      </c>
      <c r="GJ37" s="4">
        <v>2.1500000000000001E-5</v>
      </c>
      <c r="GK37" s="4">
        <v>2.1100000000000001E-5</v>
      </c>
      <c r="GL37" s="4">
        <v>2.0800000000000001E-5</v>
      </c>
      <c r="GM37" s="4">
        <v>2.05E-5</v>
      </c>
      <c r="GN37" s="4">
        <v>2.02E-5</v>
      </c>
      <c r="GO37" s="4">
        <v>1.9899999999999999E-5</v>
      </c>
      <c r="GP37" s="4">
        <v>1.9599999999999999E-5</v>
      </c>
      <c r="GQ37" s="4">
        <v>1.9300000000000002E-5</v>
      </c>
      <c r="GR37" s="4">
        <v>1.9000000000000001E-5</v>
      </c>
      <c r="GS37" s="4">
        <v>1.88E-5</v>
      </c>
      <c r="GT37" s="4">
        <v>1.8499999999999999E-5</v>
      </c>
      <c r="GU37" s="4">
        <v>1.8199999999999999E-5</v>
      </c>
      <c r="GV37" s="4">
        <v>1.8E-5</v>
      </c>
      <c r="GW37" s="4">
        <v>1.77E-5</v>
      </c>
      <c r="GX37" s="4">
        <v>1.7499999999999998E-5</v>
      </c>
      <c r="GY37" s="4">
        <v>1.7200000000000001E-5</v>
      </c>
      <c r="GZ37" s="4">
        <v>1.7E-5</v>
      </c>
      <c r="HA37" s="4">
        <v>1.6799999999999998E-5</v>
      </c>
      <c r="HB37" s="4">
        <v>1.6500000000000001E-5</v>
      </c>
      <c r="HC37" s="4">
        <v>1.63E-5</v>
      </c>
      <c r="HD37" s="4">
        <v>1.6099999999999998E-5</v>
      </c>
      <c r="HE37" s="4">
        <v>1.5800000000000001E-5</v>
      </c>
      <c r="HF37" s="4">
        <v>1.56E-5</v>
      </c>
      <c r="HG37" s="4">
        <v>1.5400000000000002E-5</v>
      </c>
      <c r="HH37" s="4">
        <v>1.52E-5</v>
      </c>
      <c r="HI37" s="4">
        <v>1.5E-5</v>
      </c>
      <c r="HJ37" s="4">
        <v>1.4800000000000001E-5</v>
      </c>
      <c r="HK37" s="4">
        <v>1.4600000000000001E-5</v>
      </c>
      <c r="HL37" s="4">
        <v>1.4399999999999999E-5</v>
      </c>
      <c r="HM37" s="4">
        <v>1.42E-5</v>
      </c>
      <c r="HN37" s="4">
        <v>1.4E-5</v>
      </c>
      <c r="HO37" s="4">
        <v>1.38E-5</v>
      </c>
      <c r="HP37" s="4">
        <v>1.36E-5</v>
      </c>
      <c r="HQ37" s="4">
        <v>1.34E-5</v>
      </c>
      <c r="HR37" s="4">
        <v>1.3200000000000001E-5</v>
      </c>
      <c r="HS37" s="4">
        <v>1.31E-5</v>
      </c>
      <c r="HT37" s="4">
        <v>1.29E-5</v>
      </c>
      <c r="HU37" s="4">
        <v>1.27E-5</v>
      </c>
      <c r="HV37" s="4">
        <v>1.2500000000000001E-5</v>
      </c>
      <c r="HW37" s="4">
        <v>1.24E-5</v>
      </c>
      <c r="HX37" s="4">
        <v>1.22E-5</v>
      </c>
      <c r="HY37" s="4">
        <v>1.2E-5</v>
      </c>
      <c r="HZ37" s="4">
        <v>1.19E-5</v>
      </c>
      <c r="IA37" s="4">
        <v>1.17E-5</v>
      </c>
      <c r="IB37" s="4">
        <v>1.15E-5</v>
      </c>
      <c r="IC37" s="4">
        <v>1.1399999999999999E-5</v>
      </c>
      <c r="ID37" s="4">
        <v>1.1199999999999999E-5</v>
      </c>
      <c r="IE37" s="4">
        <v>1.11E-5</v>
      </c>
      <c r="IF37" s="4">
        <v>1.0900000000000001E-5</v>
      </c>
      <c r="IG37" s="4">
        <v>7.6979999999999995E-4</v>
      </c>
      <c r="IH37" s="4"/>
      <c r="II37" s="4">
        <f t="shared" si="247"/>
        <v>0.11237212636245797</v>
      </c>
      <c r="IL37">
        <f t="shared" si="248"/>
        <v>0.35351916249999948</v>
      </c>
      <c r="IP37" s="4">
        <f t="shared" si="249"/>
        <v>4.0979599999999998E-2</v>
      </c>
      <c r="IQ37" s="4">
        <f t="shared" si="250"/>
        <v>3.2066200000000003E-2</v>
      </c>
      <c r="IR37" s="4">
        <f t="shared" si="251"/>
        <v>2.4255899999999997E-2</v>
      </c>
      <c r="IS37" s="4">
        <f t="shared" si="252"/>
        <v>1.9458099999999999E-2</v>
      </c>
      <c r="IT37" s="4">
        <f t="shared" si="253"/>
        <v>1.6437900000000002E-2</v>
      </c>
      <c r="IU37" s="4">
        <f t="shared" si="254"/>
        <v>5.7204199999999997E-2</v>
      </c>
      <c r="IV37" s="4">
        <f t="shared" si="255"/>
        <v>4.0751799999999998E-2</v>
      </c>
      <c r="IW37" s="4">
        <f t="shared" si="256"/>
        <v>3.0559400000000004E-2</v>
      </c>
      <c r="IX37" s="4">
        <f t="shared" si="257"/>
        <v>9.2486600000000002E-2</v>
      </c>
      <c r="JA37" s="4">
        <f t="shared" si="289"/>
        <v>8.1725999999999951E-3</v>
      </c>
      <c r="JB37" s="4">
        <f t="shared" si="290"/>
        <v>7.3174000000000017E-3</v>
      </c>
      <c r="JC37" s="4">
        <f t="shared" si="260"/>
        <v>4.5825000000000032E-3</v>
      </c>
      <c r="JD37" s="4">
        <f t="shared" si="261"/>
        <v>3.0319000000000006E-3</v>
      </c>
      <c r="JE37" s="4">
        <f t="shared" si="262"/>
        <v>2.1358999999999979E-3</v>
      </c>
      <c r="JF37" s="4">
        <f t="shared" si="263"/>
        <v>5.1844999999999808E-3</v>
      </c>
      <c r="JG37" s="4">
        <f t="shared" si="264"/>
        <v>2.4801999999999949E-3</v>
      </c>
      <c r="JH37" s="4">
        <f t="shared" si="265"/>
        <v>1.6781000000000018E-3</v>
      </c>
      <c r="JI37" s="4">
        <f t="shared" si="266"/>
        <v>5.1425999999999972E-3</v>
      </c>
    </row>
    <row r="38" spans="1:269" x14ac:dyDescent="0.35">
      <c r="A38" s="1">
        <v>30</v>
      </c>
      <c r="B38" s="4">
        <v>1.05568E-2</v>
      </c>
      <c r="C38" s="4">
        <v>1.05568E-2</v>
      </c>
      <c r="D38" s="4">
        <v>1.05109E-2</v>
      </c>
      <c r="E38" s="4">
        <v>1.02183E-2</v>
      </c>
      <c r="F38" s="4">
        <v>9.7643999999999995E-3</v>
      </c>
      <c r="G38" s="4">
        <v>9.0741999999999993E-3</v>
      </c>
      <c r="H38" s="4">
        <v>8.4031000000000002E-3</v>
      </c>
      <c r="I38" s="4">
        <v>7.6817999999999999E-3</v>
      </c>
      <c r="J38" s="4">
        <v>7.1377999999999997E-3</v>
      </c>
      <c r="K38" s="4">
        <v>6.6705999999999996E-3</v>
      </c>
      <c r="L38" s="4">
        <v>6.2472999999999999E-3</v>
      </c>
      <c r="M38" s="4">
        <v>5.8700000000000002E-3</v>
      </c>
      <c r="N38" s="4">
        <v>5.5439E-3</v>
      </c>
      <c r="O38" s="4">
        <v>5.2534000000000001E-3</v>
      </c>
      <c r="P38" s="4">
        <v>4.9858999999999997E-3</v>
      </c>
      <c r="Q38" s="4">
        <v>4.7442999999999999E-3</v>
      </c>
      <c r="R38" s="4">
        <v>4.5294999999999997E-3</v>
      </c>
      <c r="S38" s="4">
        <v>4.3376999999999999E-3</v>
      </c>
      <c r="T38" s="4">
        <v>4.1742000000000003E-3</v>
      </c>
      <c r="U38" s="4">
        <v>4.0257000000000001E-3</v>
      </c>
      <c r="V38" s="4">
        <v>3.8871000000000001E-3</v>
      </c>
      <c r="W38" s="4">
        <v>3.7580999999999999E-3</v>
      </c>
      <c r="X38" s="4">
        <v>3.6367999999999999E-3</v>
      </c>
      <c r="Y38" s="4">
        <v>3.5195999999999999E-3</v>
      </c>
      <c r="Z38" s="4">
        <v>3.3966000000000001E-3</v>
      </c>
      <c r="AA38" s="4">
        <v>3.2674000000000002E-3</v>
      </c>
      <c r="AB38" s="4">
        <v>3.0728999999999999E-3</v>
      </c>
      <c r="AC38" s="4">
        <v>2.9654E-3</v>
      </c>
      <c r="AD38" s="4">
        <v>2.8597000000000002E-3</v>
      </c>
      <c r="AE38" s="4">
        <v>2.6683000000000002E-3</v>
      </c>
      <c r="AF38" s="4">
        <v>2.7702E-3</v>
      </c>
      <c r="AG38" s="4">
        <v>2.7093999999999998E-3</v>
      </c>
      <c r="AH38" s="4">
        <v>2.6689000000000001E-3</v>
      </c>
      <c r="AI38" s="4">
        <v>2.6278E-3</v>
      </c>
      <c r="AJ38" s="4">
        <v>2.5883E-3</v>
      </c>
      <c r="AK38" s="4">
        <v>2.5492000000000002E-3</v>
      </c>
      <c r="AL38" s="4">
        <v>2.5111000000000001E-3</v>
      </c>
      <c r="AM38" s="4">
        <v>2.4735E-3</v>
      </c>
      <c r="AN38" s="4">
        <v>2.4364E-3</v>
      </c>
      <c r="AO38" s="4">
        <v>2.3998999999999999E-3</v>
      </c>
      <c r="AP38" s="4">
        <v>2.3640000000000002E-3</v>
      </c>
      <c r="AQ38" s="4">
        <v>2.3287999999999998E-3</v>
      </c>
      <c r="AR38" s="4">
        <v>2.2942000000000001E-3</v>
      </c>
      <c r="AS38" s="4">
        <v>2.2602999999999998E-3</v>
      </c>
      <c r="AT38" s="4">
        <v>2.2271000000000001E-3</v>
      </c>
      <c r="AU38" s="4">
        <v>2.1944999999999998E-3</v>
      </c>
      <c r="AV38" s="4">
        <v>2.1626000000000002E-3</v>
      </c>
      <c r="AW38" s="4">
        <v>2.1313E-3</v>
      </c>
      <c r="AX38" s="4">
        <v>2.1004999999999999E-3</v>
      </c>
      <c r="AY38" s="4">
        <v>2.0704E-3</v>
      </c>
      <c r="AZ38" s="4">
        <v>2.0408000000000002E-3</v>
      </c>
      <c r="BA38" s="4">
        <v>2.0116999999999999E-3</v>
      </c>
      <c r="BB38" s="4">
        <v>1.9832000000000001E-3</v>
      </c>
      <c r="BC38" s="4">
        <v>1.9551E-3</v>
      </c>
      <c r="BD38" s="4">
        <v>1.9273999999999999E-3</v>
      </c>
      <c r="BE38" s="4">
        <v>1.9002999999999999E-3</v>
      </c>
      <c r="BF38" s="4">
        <v>1.8734999999999999E-3</v>
      </c>
      <c r="BG38" s="4">
        <v>1.8471E-3</v>
      </c>
      <c r="BH38" s="4">
        <v>1.8211E-3</v>
      </c>
      <c r="BI38" s="4">
        <v>1.7953999999999999E-3</v>
      </c>
      <c r="BJ38" s="4">
        <v>1.7700999999999999E-3</v>
      </c>
      <c r="BK38" s="4">
        <v>1.7451000000000001E-3</v>
      </c>
      <c r="BL38" s="4">
        <v>1.7205E-3</v>
      </c>
      <c r="BM38" s="4">
        <v>1.6961999999999999E-3</v>
      </c>
      <c r="BN38" s="4">
        <v>1.6722E-3</v>
      </c>
      <c r="BO38" s="4">
        <v>1.6484E-3</v>
      </c>
      <c r="BP38" s="4">
        <v>1.6249999999999999E-3</v>
      </c>
      <c r="BQ38" s="4">
        <v>1.6019000000000001E-3</v>
      </c>
      <c r="BR38" s="4">
        <v>1.5790999999999999E-3</v>
      </c>
      <c r="BS38" s="4">
        <v>1.5566E-3</v>
      </c>
      <c r="BT38" s="4">
        <v>1.5344E-3</v>
      </c>
      <c r="BU38" s="4">
        <v>1.5125E-3</v>
      </c>
      <c r="BV38" s="4">
        <v>1.4909000000000001E-3</v>
      </c>
      <c r="BW38" s="4">
        <v>1.4695999999999999E-3</v>
      </c>
      <c r="BX38" s="4">
        <v>1.4484999999999999E-3</v>
      </c>
      <c r="BY38" s="4">
        <v>1.4277999999999999E-3</v>
      </c>
      <c r="BZ38" s="4">
        <v>1.4073E-3</v>
      </c>
      <c r="CA38" s="4">
        <v>1.3871000000000001E-3</v>
      </c>
      <c r="CB38" s="4">
        <v>1.3672000000000001E-3</v>
      </c>
      <c r="CC38" s="4">
        <v>1.3476E-3</v>
      </c>
      <c r="CD38" s="4">
        <v>1.3282999999999999E-3</v>
      </c>
      <c r="CE38" s="4">
        <v>1.3091999999999999E-3</v>
      </c>
      <c r="CF38" s="4">
        <v>1.2903999999999999E-3</v>
      </c>
      <c r="CG38" s="4">
        <v>1.2719000000000001E-3</v>
      </c>
      <c r="CH38" s="4">
        <v>1.2535999999999999E-3</v>
      </c>
      <c r="CI38" s="4">
        <v>1.2355999999999999E-3</v>
      </c>
      <c r="CJ38" s="4">
        <v>1.2179000000000001E-3</v>
      </c>
      <c r="CK38" s="4">
        <v>1.2003999999999999E-3</v>
      </c>
      <c r="CL38" s="4">
        <v>1.1831999999999999E-3</v>
      </c>
      <c r="CM38" s="4">
        <v>1.1663000000000001E-3</v>
      </c>
      <c r="CN38" s="4">
        <v>1.1496E-3</v>
      </c>
      <c r="CO38" s="4">
        <v>1.1330999999999999E-3</v>
      </c>
      <c r="CP38" s="4">
        <v>1.1169000000000001E-3</v>
      </c>
      <c r="CQ38" s="4">
        <v>1.101E-3</v>
      </c>
      <c r="CR38" s="4">
        <v>1.0853E-3</v>
      </c>
      <c r="CS38" s="4">
        <v>1.0698000000000001E-3</v>
      </c>
      <c r="CT38" s="4">
        <v>1.0545000000000001E-3</v>
      </c>
      <c r="CU38" s="4">
        <v>1.0395000000000001E-3</v>
      </c>
      <c r="CV38" s="4">
        <v>1.0246999999999999E-3</v>
      </c>
      <c r="CW38" s="4">
        <v>1.0101000000000001E-3</v>
      </c>
      <c r="CX38" s="4">
        <v>9.9569999999999997E-4</v>
      </c>
      <c r="CY38" s="4">
        <v>9.8160000000000001E-4</v>
      </c>
      <c r="CZ38" s="4">
        <v>9.6759999999999999E-4</v>
      </c>
      <c r="DA38" s="4">
        <v>9.5390000000000004E-4</v>
      </c>
      <c r="DB38" s="4">
        <v>9.4039999999999998E-4</v>
      </c>
      <c r="DC38" s="4">
        <v>9.2710000000000004E-4</v>
      </c>
      <c r="DD38" s="4">
        <v>9.1390000000000004E-4</v>
      </c>
      <c r="DE38" s="4">
        <v>9.01E-4</v>
      </c>
      <c r="DF38" s="4">
        <v>8.8829999999999996E-4</v>
      </c>
      <c r="DG38" s="4">
        <v>8.7569999999999998E-4</v>
      </c>
      <c r="DH38" s="4">
        <v>8.633E-4</v>
      </c>
      <c r="DI38" s="4">
        <v>8.5110000000000003E-4</v>
      </c>
      <c r="DJ38" s="4">
        <v>8.3909999999999996E-4</v>
      </c>
      <c r="DK38" s="4">
        <v>8.273E-4</v>
      </c>
      <c r="DL38" s="4">
        <v>8.1559999999999998E-4</v>
      </c>
      <c r="DM38" s="4">
        <v>8.0409999999999998E-4</v>
      </c>
      <c r="DN38" s="4">
        <v>7.9279999999999997E-4</v>
      </c>
      <c r="DO38" s="4">
        <v>7.8160000000000002E-4</v>
      </c>
      <c r="DP38" s="4">
        <v>7.7059999999999997E-4</v>
      </c>
      <c r="DQ38" s="4">
        <v>5.38801E-2</v>
      </c>
      <c r="DR38" s="4">
        <v>0</v>
      </c>
      <c r="DS38" s="4">
        <v>4.5899999999999998E-5</v>
      </c>
      <c r="DT38" s="4">
        <v>2.8709999999999999E-4</v>
      </c>
      <c r="DU38" s="4">
        <v>4.4519999999999998E-4</v>
      </c>
      <c r="DV38" s="4">
        <v>6.5680000000000003E-4</v>
      </c>
      <c r="DW38" s="4">
        <v>6.5110000000000005E-4</v>
      </c>
      <c r="DX38" s="4">
        <v>5.7810000000000001E-4</v>
      </c>
      <c r="DY38" s="4">
        <v>5.1889999999999998E-4</v>
      </c>
      <c r="DZ38" s="4">
        <v>4.4979999999999998E-4</v>
      </c>
      <c r="EA38" s="4">
        <v>4.0250000000000003E-4</v>
      </c>
      <c r="EB38" s="4">
        <v>3.57E-4</v>
      </c>
      <c r="EC38" s="4">
        <v>3.1750000000000002E-4</v>
      </c>
      <c r="ED38" s="4">
        <v>2.8360000000000001E-4</v>
      </c>
      <c r="EE38" s="4">
        <v>2.5470000000000001E-4</v>
      </c>
      <c r="EF38" s="4">
        <v>2.296E-4</v>
      </c>
      <c r="EG38" s="4">
        <v>2.076E-4</v>
      </c>
      <c r="EH38" s="4">
        <v>1.886E-4</v>
      </c>
      <c r="EI38" s="4">
        <v>1.7220000000000001E-4</v>
      </c>
      <c r="EJ38" s="4">
        <v>1.5809999999999999E-4</v>
      </c>
      <c r="EK38" s="4">
        <v>1.4569999999999999E-4</v>
      </c>
      <c r="EL38" s="4">
        <v>1.3449999999999999E-4</v>
      </c>
      <c r="EM38" s="4">
        <v>1.2459999999999999E-4</v>
      </c>
      <c r="EN38" s="4">
        <v>1.1569999999999999E-4</v>
      </c>
      <c r="EO38" s="4">
        <v>1.076E-4</v>
      </c>
      <c r="EP38" s="4">
        <v>1E-4</v>
      </c>
      <c r="EQ38" s="4">
        <v>9.2800000000000006E-5</v>
      </c>
      <c r="ER38" s="4">
        <v>8.4099999999999998E-5</v>
      </c>
      <c r="ES38" s="4">
        <v>7.86E-5</v>
      </c>
      <c r="ET38" s="4">
        <v>7.3499999999999998E-5</v>
      </c>
      <c r="EU38" s="4">
        <v>6.6199999999999996E-5</v>
      </c>
      <c r="EV38" s="4">
        <v>6.7600000000000003E-5</v>
      </c>
      <c r="EW38" s="4">
        <v>6.3899999999999995E-5</v>
      </c>
      <c r="EX38" s="4">
        <v>6.1099999999999994E-5</v>
      </c>
      <c r="EY38" s="4">
        <v>5.8400000000000003E-5</v>
      </c>
      <c r="EZ38" s="4">
        <v>5.5899999999999997E-5</v>
      </c>
      <c r="FA38" s="4">
        <v>5.3600000000000002E-5</v>
      </c>
      <c r="FB38" s="4">
        <v>5.1400000000000003E-5</v>
      </c>
      <c r="FC38" s="4">
        <v>4.9299999999999999E-5</v>
      </c>
      <c r="FD38" s="4">
        <v>4.74E-5</v>
      </c>
      <c r="FE38" s="4">
        <v>4.5599999999999997E-5</v>
      </c>
      <c r="FF38" s="4">
        <v>4.3900000000000003E-5</v>
      </c>
      <c r="FG38" s="4">
        <v>4.2299999999999998E-5</v>
      </c>
      <c r="FH38" s="4">
        <v>4.0800000000000002E-5</v>
      </c>
      <c r="FI38" s="4">
        <v>3.9400000000000002E-5</v>
      </c>
      <c r="FJ38" s="4">
        <v>3.8099999999999998E-5</v>
      </c>
      <c r="FK38" s="4">
        <v>3.6900000000000002E-5</v>
      </c>
      <c r="FL38" s="4">
        <v>3.5800000000000003E-5</v>
      </c>
      <c r="FM38" s="4">
        <v>3.4700000000000003E-5</v>
      </c>
      <c r="FN38" s="4">
        <v>3.3699999999999999E-5</v>
      </c>
      <c r="FO38" s="4">
        <v>3.2799999999999998E-5</v>
      </c>
      <c r="FP38" s="4">
        <v>3.1900000000000003E-5</v>
      </c>
      <c r="FQ38" s="4">
        <v>3.1099999999999997E-5</v>
      </c>
      <c r="FR38" s="4">
        <v>3.0300000000000001E-5</v>
      </c>
      <c r="FS38" s="4">
        <v>2.9600000000000001E-5</v>
      </c>
      <c r="FT38" s="4">
        <v>2.8900000000000001E-5</v>
      </c>
      <c r="FU38" s="4">
        <v>2.83E-5</v>
      </c>
      <c r="FV38" s="4">
        <v>2.7699999999999999E-5</v>
      </c>
      <c r="FW38" s="4">
        <v>2.7100000000000001E-5</v>
      </c>
      <c r="FX38" s="4">
        <v>2.6599999999999999E-5</v>
      </c>
      <c r="FY38" s="4">
        <v>2.6100000000000001E-5</v>
      </c>
      <c r="FZ38" s="4">
        <v>2.5599999999999999E-5</v>
      </c>
      <c r="GA38" s="4">
        <v>2.51E-5</v>
      </c>
      <c r="GB38" s="4">
        <v>2.4600000000000002E-5</v>
      </c>
      <c r="GC38" s="4">
        <v>2.4199999999999999E-5</v>
      </c>
      <c r="GD38" s="4">
        <v>2.3799999999999999E-5</v>
      </c>
      <c r="GE38" s="4">
        <v>2.34E-5</v>
      </c>
      <c r="GF38" s="4">
        <v>2.3E-5</v>
      </c>
      <c r="GG38" s="4">
        <v>2.26E-5</v>
      </c>
      <c r="GH38" s="4">
        <v>2.2200000000000001E-5</v>
      </c>
      <c r="GI38" s="4">
        <v>2.19E-5</v>
      </c>
      <c r="GJ38" s="4">
        <v>2.1500000000000001E-5</v>
      </c>
      <c r="GK38" s="4">
        <v>2.12E-5</v>
      </c>
      <c r="GL38" s="4">
        <v>2.09E-5</v>
      </c>
      <c r="GM38" s="4">
        <v>2.0599999999999999E-5</v>
      </c>
      <c r="GN38" s="4">
        <v>2.0299999999999999E-5</v>
      </c>
      <c r="GO38" s="4">
        <v>2.0000000000000002E-5</v>
      </c>
      <c r="GP38" s="4">
        <v>1.9700000000000001E-5</v>
      </c>
      <c r="GQ38" s="4">
        <v>1.9400000000000001E-5</v>
      </c>
      <c r="GR38" s="4">
        <v>1.91E-5</v>
      </c>
      <c r="GS38" s="4">
        <v>1.88E-5</v>
      </c>
      <c r="GT38" s="4">
        <v>1.8499999999999999E-5</v>
      </c>
      <c r="GU38" s="4">
        <v>1.8300000000000001E-5</v>
      </c>
      <c r="GV38" s="4">
        <v>1.8E-5</v>
      </c>
      <c r="GW38" s="4">
        <v>1.7799999999999999E-5</v>
      </c>
      <c r="GX38" s="4">
        <v>1.7499999999999998E-5</v>
      </c>
      <c r="GY38" s="4">
        <v>1.73E-5</v>
      </c>
      <c r="GZ38" s="4">
        <v>1.7E-5</v>
      </c>
      <c r="HA38" s="4">
        <v>1.6799999999999998E-5</v>
      </c>
      <c r="HB38" s="4">
        <v>1.6500000000000001E-5</v>
      </c>
      <c r="HC38" s="4">
        <v>1.63E-5</v>
      </c>
      <c r="HD38" s="4">
        <v>1.6099999999999998E-5</v>
      </c>
      <c r="HE38" s="4">
        <v>1.59E-5</v>
      </c>
      <c r="HF38" s="4">
        <v>1.56E-5</v>
      </c>
      <c r="HG38" s="4">
        <v>1.5400000000000002E-5</v>
      </c>
      <c r="HH38" s="4">
        <v>1.52E-5</v>
      </c>
      <c r="HI38" s="4">
        <v>1.5E-5</v>
      </c>
      <c r="HJ38" s="4">
        <v>1.4800000000000001E-5</v>
      </c>
      <c r="HK38" s="4">
        <v>1.4600000000000001E-5</v>
      </c>
      <c r="HL38" s="4">
        <v>1.4399999999999999E-5</v>
      </c>
      <c r="HM38" s="4">
        <v>1.42E-5</v>
      </c>
      <c r="HN38" s="4">
        <v>1.4E-5</v>
      </c>
      <c r="HO38" s="4">
        <v>1.38E-5</v>
      </c>
      <c r="HP38" s="4">
        <v>1.36E-5</v>
      </c>
      <c r="HQ38" s="4">
        <v>1.34E-5</v>
      </c>
      <c r="HR38" s="4">
        <v>1.3200000000000001E-5</v>
      </c>
      <c r="HS38" s="4">
        <v>1.31E-5</v>
      </c>
      <c r="HT38" s="4">
        <v>1.29E-5</v>
      </c>
      <c r="HU38" s="4">
        <v>1.27E-5</v>
      </c>
      <c r="HV38" s="4">
        <v>1.2500000000000001E-5</v>
      </c>
      <c r="HW38" s="4">
        <v>1.24E-5</v>
      </c>
      <c r="HX38" s="4">
        <v>1.22E-5</v>
      </c>
      <c r="HY38" s="4">
        <v>1.2E-5</v>
      </c>
      <c r="HZ38" s="4">
        <v>1.19E-5</v>
      </c>
      <c r="IA38" s="4">
        <v>1.17E-5</v>
      </c>
      <c r="IB38" s="4">
        <v>1.15E-5</v>
      </c>
      <c r="IC38" s="4">
        <v>1.1399999999999999E-5</v>
      </c>
      <c r="ID38" s="4">
        <v>1.1199999999999999E-5</v>
      </c>
      <c r="IE38" s="4">
        <v>1.11E-5</v>
      </c>
      <c r="IF38" s="4">
        <v>1.0900000000000001E-5</v>
      </c>
      <c r="IG38" s="4">
        <v>7.6920000000000005E-4</v>
      </c>
      <c r="IH38" s="4"/>
      <c r="II38" s="4">
        <f t="shared" si="247"/>
        <v>0.11244733244695862</v>
      </c>
      <c r="IL38">
        <f t="shared" si="248"/>
        <v>0.3537816249999996</v>
      </c>
      <c r="IP38" s="4">
        <f t="shared" si="249"/>
        <v>4.1050400000000001E-2</v>
      </c>
      <c r="IQ38" s="4">
        <f t="shared" si="250"/>
        <v>3.2296900000000003E-2</v>
      </c>
      <c r="IR38" s="4">
        <f t="shared" si="251"/>
        <v>2.4331800000000001E-2</v>
      </c>
      <c r="IS38" s="4">
        <f t="shared" si="252"/>
        <v>1.9513099999999999E-2</v>
      </c>
      <c r="IT38" s="4">
        <f t="shared" si="253"/>
        <v>1.64247E-2</v>
      </c>
      <c r="IU38" s="4">
        <f t="shared" si="254"/>
        <v>5.724350000000001E-2</v>
      </c>
      <c r="IV38" s="4">
        <f t="shared" si="255"/>
        <v>4.06954E-2</v>
      </c>
      <c r="IW38" s="4">
        <f t="shared" si="256"/>
        <v>3.0566199999999998E-2</v>
      </c>
      <c r="IX38" s="4">
        <f t="shared" si="257"/>
        <v>9.2483800000000005E-2</v>
      </c>
      <c r="JA38" s="4">
        <f t="shared" si="289"/>
        <v>8.1945999999999963E-3</v>
      </c>
      <c r="JB38" s="4">
        <f t="shared" si="290"/>
        <v>7.3162999999999909E-3</v>
      </c>
      <c r="JC38" s="4">
        <f t="shared" si="260"/>
        <v>4.5829000000000009E-3</v>
      </c>
      <c r="JD38" s="4">
        <f t="shared" si="261"/>
        <v>3.0323999999999976E-3</v>
      </c>
      <c r="JE38" s="4">
        <f t="shared" si="262"/>
        <v>2.1441000000000012E-3</v>
      </c>
      <c r="JF38" s="4">
        <f t="shared" si="263"/>
        <v>5.2094000000000099E-3</v>
      </c>
      <c r="JG38" s="4">
        <f t="shared" si="264"/>
        <v>2.4827000000000043E-3</v>
      </c>
      <c r="JH38" s="4">
        <f t="shared" si="265"/>
        <v>1.6793999999999976E-3</v>
      </c>
      <c r="JI38" s="4">
        <f t="shared" si="266"/>
        <v>5.1400000000000057E-3</v>
      </c>
    </row>
    <row r="39" spans="1:269" x14ac:dyDescent="0.35">
      <c r="A39" s="1">
        <v>31</v>
      </c>
      <c r="B39" s="4">
        <v>1.05568E-2</v>
      </c>
      <c r="C39" s="4">
        <v>1.05568E-2</v>
      </c>
      <c r="D39" s="4">
        <v>1.05109E-2</v>
      </c>
      <c r="E39" s="4">
        <v>1.02238E-2</v>
      </c>
      <c r="F39" s="4">
        <v>9.7730999999999998E-3</v>
      </c>
      <c r="G39" s="4">
        <v>9.1074999999999993E-3</v>
      </c>
      <c r="H39" s="4">
        <v>8.4230999999999993E-3</v>
      </c>
      <c r="I39" s="4">
        <v>7.8250999999999998E-3</v>
      </c>
      <c r="J39" s="4">
        <v>7.1628999999999998E-3</v>
      </c>
      <c r="K39" s="4">
        <v>6.6880000000000004E-3</v>
      </c>
      <c r="L39" s="4">
        <v>6.2681000000000004E-3</v>
      </c>
      <c r="M39" s="4">
        <v>5.8903999999999996E-3</v>
      </c>
      <c r="N39" s="4">
        <v>5.5525000000000001E-3</v>
      </c>
      <c r="O39" s="4">
        <v>5.2602999999999999E-3</v>
      </c>
      <c r="P39" s="4">
        <v>4.9987E-3</v>
      </c>
      <c r="Q39" s="4">
        <v>4.7562999999999998E-3</v>
      </c>
      <c r="R39" s="4">
        <v>4.5367000000000003E-3</v>
      </c>
      <c r="S39" s="4">
        <v>4.3409E-3</v>
      </c>
      <c r="T39" s="4">
        <v>4.1654999999999999E-3</v>
      </c>
      <c r="U39" s="4">
        <v>4.0160999999999999E-3</v>
      </c>
      <c r="V39" s="4">
        <v>3.8800000000000002E-3</v>
      </c>
      <c r="W39" s="4">
        <v>3.7525000000000002E-3</v>
      </c>
      <c r="X39" s="4">
        <v>3.6335E-3</v>
      </c>
      <c r="Y39" s="4">
        <v>3.5211000000000001E-3</v>
      </c>
      <c r="Z39" s="4">
        <v>3.4120000000000001E-3</v>
      </c>
      <c r="AA39" s="4">
        <v>3.2965999999999998E-3</v>
      </c>
      <c r="AB39" s="4">
        <v>3.1746000000000001E-3</v>
      </c>
      <c r="AC39" s="4">
        <v>2.9887999999999998E-3</v>
      </c>
      <c r="AD39" s="4">
        <v>2.8868000000000001E-3</v>
      </c>
      <c r="AE39" s="4">
        <v>2.7862E-3</v>
      </c>
      <c r="AF39" s="4">
        <v>2.6021999999999998E-3</v>
      </c>
      <c r="AG39" s="4">
        <v>2.7025999999999999E-3</v>
      </c>
      <c r="AH39" s="4">
        <v>2.6454999999999998E-3</v>
      </c>
      <c r="AI39" s="4">
        <v>2.6077000000000001E-3</v>
      </c>
      <c r="AJ39" s="4">
        <v>2.5693000000000001E-3</v>
      </c>
      <c r="AK39" s="4">
        <v>2.5324000000000002E-3</v>
      </c>
      <c r="AL39" s="4">
        <v>2.4957E-3</v>
      </c>
      <c r="AM39" s="4">
        <v>2.4597E-3</v>
      </c>
      <c r="AN39" s="4">
        <v>2.4242000000000001E-3</v>
      </c>
      <c r="AO39" s="4">
        <v>2.3890000000000001E-3</v>
      </c>
      <c r="AP39" s="4">
        <v>2.3543000000000001E-3</v>
      </c>
      <c r="AQ39" s="4">
        <v>2.3200999999999999E-3</v>
      </c>
      <c r="AR39" s="4">
        <v>2.2864999999999999E-3</v>
      </c>
      <c r="AS39" s="4">
        <v>2.2534E-3</v>
      </c>
      <c r="AT39" s="4">
        <v>2.2209E-3</v>
      </c>
      <c r="AU39" s="4">
        <v>2.189E-3</v>
      </c>
      <c r="AV39" s="4">
        <v>2.1576E-3</v>
      </c>
      <c r="AW39" s="4">
        <v>2.1267999999999999E-3</v>
      </c>
      <c r="AX39" s="4">
        <v>2.0966000000000001E-3</v>
      </c>
      <c r="AY39" s="4">
        <v>2.0668000000000001E-3</v>
      </c>
      <c r="AZ39" s="4">
        <v>2.0376000000000001E-3</v>
      </c>
      <c r="BA39" s="4">
        <v>2.0089000000000001E-3</v>
      </c>
      <c r="BB39" s="4">
        <v>1.9805999999999999E-3</v>
      </c>
      <c r="BC39" s="4">
        <v>1.9528E-3</v>
      </c>
      <c r="BD39" s="4">
        <v>1.9254000000000001E-3</v>
      </c>
      <c r="BE39" s="4">
        <v>1.8985E-3</v>
      </c>
      <c r="BF39" s="4">
        <v>1.872E-3</v>
      </c>
      <c r="BG39" s="4">
        <v>1.8458000000000001E-3</v>
      </c>
      <c r="BH39" s="4">
        <v>1.82E-3</v>
      </c>
      <c r="BI39" s="4">
        <v>1.7945000000000001E-3</v>
      </c>
      <c r="BJ39" s="4">
        <v>1.7694E-3</v>
      </c>
      <c r="BK39" s="4">
        <v>1.7446E-3</v>
      </c>
      <c r="BL39" s="4">
        <v>1.7201E-3</v>
      </c>
      <c r="BM39" s="4">
        <v>1.6959E-3</v>
      </c>
      <c r="BN39" s="4">
        <v>1.6720000000000001E-3</v>
      </c>
      <c r="BO39" s="4">
        <v>1.6484E-3</v>
      </c>
      <c r="BP39" s="4">
        <v>1.6251E-3</v>
      </c>
      <c r="BQ39" s="4">
        <v>1.6021E-3</v>
      </c>
      <c r="BR39" s="4">
        <v>1.5793000000000001E-3</v>
      </c>
      <c r="BS39" s="4">
        <v>1.5569E-3</v>
      </c>
      <c r="BT39" s="4">
        <v>1.5348E-3</v>
      </c>
      <c r="BU39" s="4">
        <v>1.5129E-3</v>
      </c>
      <c r="BV39" s="4">
        <v>1.4913000000000001E-3</v>
      </c>
      <c r="BW39" s="4">
        <v>1.47E-3</v>
      </c>
      <c r="BX39" s="4">
        <v>1.449E-3</v>
      </c>
      <c r="BY39" s="4">
        <v>1.4283E-3</v>
      </c>
      <c r="BZ39" s="4">
        <v>1.4078000000000001E-3</v>
      </c>
      <c r="CA39" s="4">
        <v>1.3875999999999999E-3</v>
      </c>
      <c r="CB39" s="4">
        <v>1.3678E-3</v>
      </c>
      <c r="CC39" s="4">
        <v>1.3481000000000001E-3</v>
      </c>
      <c r="CD39" s="4">
        <v>1.3288E-3</v>
      </c>
      <c r="CE39" s="4">
        <v>1.3097E-3</v>
      </c>
      <c r="CF39" s="4">
        <v>1.2909E-3</v>
      </c>
      <c r="CG39" s="4">
        <v>1.2723999999999999E-3</v>
      </c>
      <c r="CH39" s="4">
        <v>1.2541E-3</v>
      </c>
      <c r="CI39" s="4">
        <v>1.2361E-3</v>
      </c>
      <c r="CJ39" s="4">
        <v>1.2183999999999999E-3</v>
      </c>
      <c r="CK39" s="4">
        <v>1.2009E-3</v>
      </c>
      <c r="CL39" s="4">
        <v>1.1837E-3</v>
      </c>
      <c r="CM39" s="4">
        <v>1.1666999999999999E-3</v>
      </c>
      <c r="CN39" s="4">
        <v>1.15E-3</v>
      </c>
      <c r="CO39" s="4">
        <v>1.1335E-3</v>
      </c>
      <c r="CP39" s="4">
        <v>1.1173000000000001E-3</v>
      </c>
      <c r="CQ39" s="4">
        <v>1.1012999999999999E-3</v>
      </c>
      <c r="CR39" s="4">
        <v>1.0855000000000001E-3</v>
      </c>
      <c r="CS39" s="4">
        <v>1.07E-3</v>
      </c>
      <c r="CT39" s="4">
        <v>1.0548000000000001E-3</v>
      </c>
      <c r="CU39" s="4">
        <v>1.0397E-3</v>
      </c>
      <c r="CV39" s="4">
        <v>1.0249E-3</v>
      </c>
      <c r="CW39" s="4">
        <v>1.0103E-3</v>
      </c>
      <c r="CX39" s="4">
        <v>9.9590000000000008E-4</v>
      </c>
      <c r="CY39" s="4">
        <v>9.8170000000000006E-4</v>
      </c>
      <c r="CZ39" s="4">
        <v>9.678E-4</v>
      </c>
      <c r="DA39" s="4">
        <v>9.5399999999999999E-4</v>
      </c>
      <c r="DB39" s="4">
        <v>9.4050000000000004E-4</v>
      </c>
      <c r="DC39" s="4">
        <v>9.2710000000000004E-4</v>
      </c>
      <c r="DD39" s="4">
        <v>9.1399999999999999E-4</v>
      </c>
      <c r="DE39" s="4">
        <v>9.01E-4</v>
      </c>
      <c r="DF39" s="4">
        <v>8.8829999999999996E-4</v>
      </c>
      <c r="DG39" s="4">
        <v>8.7569999999999998E-4</v>
      </c>
      <c r="DH39" s="4">
        <v>8.633E-4</v>
      </c>
      <c r="DI39" s="4">
        <v>8.5110000000000003E-4</v>
      </c>
      <c r="DJ39" s="4">
        <v>8.3909999999999996E-4</v>
      </c>
      <c r="DK39" s="4">
        <v>8.273E-4</v>
      </c>
      <c r="DL39" s="4">
        <v>8.1559999999999998E-4</v>
      </c>
      <c r="DM39" s="4">
        <v>8.0409999999999998E-4</v>
      </c>
      <c r="DN39" s="4">
        <v>7.9279999999999997E-4</v>
      </c>
      <c r="DO39" s="4">
        <v>7.8160000000000002E-4</v>
      </c>
      <c r="DP39" s="4">
        <v>7.7059999999999997E-4</v>
      </c>
      <c r="DQ39" s="4">
        <v>5.3870700000000001E-2</v>
      </c>
      <c r="DR39" s="4">
        <v>0</v>
      </c>
      <c r="DS39" s="4">
        <v>7.7799999999999994E-5</v>
      </c>
      <c r="DT39" s="4">
        <v>2.8590000000000001E-4</v>
      </c>
      <c r="DU39" s="4">
        <v>3.9950000000000001E-4</v>
      </c>
      <c r="DV39" s="4">
        <v>6.6850000000000004E-4</v>
      </c>
      <c r="DW39" s="4">
        <v>6.6E-4</v>
      </c>
      <c r="DX39" s="4">
        <v>5.9449999999999998E-4</v>
      </c>
      <c r="DY39" s="4">
        <v>5.3810000000000001E-4</v>
      </c>
      <c r="DZ39" s="4">
        <v>4.6050000000000003E-4</v>
      </c>
      <c r="EA39" s="4">
        <v>4.0969999999999998E-4</v>
      </c>
      <c r="EB39" s="4">
        <v>3.6400000000000001E-4</v>
      </c>
      <c r="EC39" s="4">
        <v>3.2420000000000002E-4</v>
      </c>
      <c r="ED39" s="4">
        <v>2.8880000000000003E-4</v>
      </c>
      <c r="EE39" s="4">
        <v>2.589E-4</v>
      </c>
      <c r="EF39" s="4">
        <v>2.332E-4</v>
      </c>
      <c r="EG39" s="4">
        <v>2.106E-4</v>
      </c>
      <c r="EH39" s="4">
        <v>1.9090000000000001E-4</v>
      </c>
      <c r="EI39" s="4">
        <v>1.738E-4</v>
      </c>
      <c r="EJ39" s="4">
        <v>1.5880000000000001E-4</v>
      </c>
      <c r="EK39" s="4">
        <v>1.459E-4</v>
      </c>
      <c r="EL39" s="4">
        <v>1.3449999999999999E-4</v>
      </c>
      <c r="EM39" s="4">
        <v>1.2430000000000001E-4</v>
      </c>
      <c r="EN39" s="4">
        <v>1.1510000000000001E-4</v>
      </c>
      <c r="EO39" s="4">
        <v>1.07E-4</v>
      </c>
      <c r="EP39" s="4">
        <v>9.9599999999999995E-5</v>
      </c>
      <c r="EQ39" s="4">
        <v>9.2700000000000004E-5</v>
      </c>
      <c r="ER39" s="4">
        <v>8.6100000000000006E-5</v>
      </c>
      <c r="ES39" s="4">
        <v>7.8100000000000001E-5</v>
      </c>
      <c r="ET39" s="4">
        <v>7.3100000000000001E-5</v>
      </c>
      <c r="EU39" s="4">
        <v>6.8399999999999996E-5</v>
      </c>
      <c r="EV39" s="4">
        <v>6.1699999999999995E-5</v>
      </c>
      <c r="EW39" s="4">
        <v>6.3100000000000002E-5</v>
      </c>
      <c r="EX39" s="4">
        <v>5.9799999999999997E-5</v>
      </c>
      <c r="EY39" s="4">
        <v>5.7200000000000001E-5</v>
      </c>
      <c r="EZ39" s="4">
        <v>5.4799999999999997E-5</v>
      </c>
      <c r="FA39" s="4">
        <v>5.2599999999999998E-5</v>
      </c>
      <c r="FB39" s="4">
        <v>5.0399999999999999E-5</v>
      </c>
      <c r="FC39" s="4">
        <v>4.85E-5</v>
      </c>
      <c r="FD39" s="4">
        <v>4.6600000000000001E-5</v>
      </c>
      <c r="FE39" s="4">
        <v>4.49E-5</v>
      </c>
      <c r="FF39" s="4">
        <v>4.32E-5</v>
      </c>
      <c r="FG39" s="4">
        <v>4.1699999999999997E-5</v>
      </c>
      <c r="FH39" s="4">
        <v>4.0299999999999997E-5</v>
      </c>
      <c r="FI39" s="4">
        <v>3.8899999999999997E-5</v>
      </c>
      <c r="FJ39" s="4">
        <v>3.7700000000000002E-5</v>
      </c>
      <c r="FK39" s="4">
        <v>3.65E-5</v>
      </c>
      <c r="FL39" s="4">
        <v>3.54E-5</v>
      </c>
      <c r="FM39" s="4">
        <v>3.4400000000000003E-5</v>
      </c>
      <c r="FN39" s="4">
        <v>3.3399999999999999E-5</v>
      </c>
      <c r="FO39" s="4">
        <v>3.2499999999999997E-5</v>
      </c>
      <c r="FP39" s="4">
        <v>3.1699999999999998E-5</v>
      </c>
      <c r="FQ39" s="4">
        <v>3.0899999999999999E-5</v>
      </c>
      <c r="FR39" s="4">
        <v>3.01E-5</v>
      </c>
      <c r="FS39" s="4">
        <v>2.94E-5</v>
      </c>
      <c r="FT39" s="4">
        <v>2.8799999999999999E-5</v>
      </c>
      <c r="FU39" s="4">
        <v>2.8200000000000001E-5</v>
      </c>
      <c r="FV39" s="4">
        <v>2.76E-5</v>
      </c>
      <c r="FW39" s="4">
        <v>2.6999999999999999E-5</v>
      </c>
      <c r="FX39" s="4">
        <v>2.65E-5</v>
      </c>
      <c r="FY39" s="4">
        <v>2.5999999999999998E-5</v>
      </c>
      <c r="FZ39" s="4">
        <v>2.55E-5</v>
      </c>
      <c r="GA39" s="4">
        <v>2.5000000000000001E-5</v>
      </c>
      <c r="GB39" s="4">
        <v>2.4600000000000002E-5</v>
      </c>
      <c r="GC39" s="4">
        <v>2.41E-5</v>
      </c>
      <c r="GD39" s="4">
        <v>2.37E-5</v>
      </c>
      <c r="GE39" s="4">
        <v>2.3300000000000001E-5</v>
      </c>
      <c r="GF39" s="4">
        <v>2.2900000000000001E-5</v>
      </c>
      <c r="GG39" s="4">
        <v>2.26E-5</v>
      </c>
      <c r="GH39" s="4">
        <v>2.2200000000000001E-5</v>
      </c>
      <c r="GI39" s="4">
        <v>2.19E-5</v>
      </c>
      <c r="GJ39" s="4">
        <v>2.1500000000000001E-5</v>
      </c>
      <c r="GK39" s="4">
        <v>2.12E-5</v>
      </c>
      <c r="GL39" s="4">
        <v>2.09E-5</v>
      </c>
      <c r="GM39" s="4">
        <v>2.05E-5</v>
      </c>
      <c r="GN39" s="4">
        <v>2.02E-5</v>
      </c>
      <c r="GO39" s="4">
        <v>1.9899999999999999E-5</v>
      </c>
      <c r="GP39" s="4">
        <v>1.9599999999999999E-5</v>
      </c>
      <c r="GQ39" s="4">
        <v>1.9400000000000001E-5</v>
      </c>
      <c r="GR39" s="4">
        <v>1.91E-5</v>
      </c>
      <c r="GS39" s="4">
        <v>1.88E-5</v>
      </c>
      <c r="GT39" s="4">
        <v>1.8499999999999999E-5</v>
      </c>
      <c r="GU39" s="4">
        <v>1.8300000000000001E-5</v>
      </c>
      <c r="GV39" s="4">
        <v>1.8E-5</v>
      </c>
      <c r="GW39" s="4">
        <v>1.7799999999999999E-5</v>
      </c>
      <c r="GX39" s="4">
        <v>1.7499999999999998E-5</v>
      </c>
      <c r="GY39" s="4">
        <v>1.73E-5</v>
      </c>
      <c r="GZ39" s="4">
        <v>1.7E-5</v>
      </c>
      <c r="HA39" s="4">
        <v>1.6799999999999998E-5</v>
      </c>
      <c r="HB39" s="4">
        <v>1.6500000000000001E-5</v>
      </c>
      <c r="HC39" s="4">
        <v>1.63E-5</v>
      </c>
      <c r="HD39" s="4">
        <v>1.6099999999999998E-5</v>
      </c>
      <c r="HE39" s="4">
        <v>1.59E-5</v>
      </c>
      <c r="HF39" s="4">
        <v>1.56E-5</v>
      </c>
      <c r="HG39" s="4">
        <v>1.5400000000000002E-5</v>
      </c>
      <c r="HH39" s="4">
        <v>1.52E-5</v>
      </c>
      <c r="HI39" s="4">
        <v>1.5E-5</v>
      </c>
      <c r="HJ39" s="4">
        <v>1.4800000000000001E-5</v>
      </c>
      <c r="HK39" s="4">
        <v>1.4600000000000001E-5</v>
      </c>
      <c r="HL39" s="4">
        <v>1.4399999999999999E-5</v>
      </c>
      <c r="HM39" s="4">
        <v>1.42E-5</v>
      </c>
      <c r="HN39" s="4">
        <v>1.4E-5</v>
      </c>
      <c r="HO39" s="4">
        <v>1.38E-5</v>
      </c>
      <c r="HP39" s="4">
        <v>1.36E-5</v>
      </c>
      <c r="HQ39" s="4">
        <v>1.34E-5</v>
      </c>
      <c r="HR39" s="4">
        <v>1.3200000000000001E-5</v>
      </c>
      <c r="HS39" s="4">
        <v>1.31E-5</v>
      </c>
      <c r="HT39" s="4">
        <v>1.29E-5</v>
      </c>
      <c r="HU39" s="4">
        <v>1.27E-5</v>
      </c>
      <c r="HV39" s="4">
        <v>1.2500000000000001E-5</v>
      </c>
      <c r="HW39" s="4">
        <v>1.24E-5</v>
      </c>
      <c r="HX39" s="4">
        <v>1.22E-5</v>
      </c>
      <c r="HY39" s="4">
        <v>1.2E-5</v>
      </c>
      <c r="HZ39" s="4">
        <v>1.19E-5</v>
      </c>
      <c r="IA39" s="4">
        <v>1.17E-5</v>
      </c>
      <c r="IB39" s="4">
        <v>1.15E-5</v>
      </c>
      <c r="IC39" s="4">
        <v>1.1399999999999999E-5</v>
      </c>
      <c r="ID39" s="4">
        <v>1.1199999999999999E-5</v>
      </c>
      <c r="IE39" s="4">
        <v>1.11E-5</v>
      </c>
      <c r="IF39" s="4">
        <v>1.0900000000000001E-5</v>
      </c>
      <c r="IG39" s="4">
        <v>7.6869999999999998E-4</v>
      </c>
      <c r="IH39" s="4"/>
      <c r="II39" s="4">
        <f t="shared" si="247"/>
        <v>0.1130672259592025</v>
      </c>
      <c r="IL39">
        <f t="shared" si="248"/>
        <v>0.35406634999999975</v>
      </c>
      <c r="IP39" s="4">
        <f t="shared" si="249"/>
        <v>4.10646E-2</v>
      </c>
      <c r="IQ39" s="4">
        <f t="shared" si="250"/>
        <v>3.2518600000000002E-2</v>
      </c>
      <c r="IR39" s="4">
        <f t="shared" si="251"/>
        <v>2.4399000000000004E-2</v>
      </c>
      <c r="IS39" s="4">
        <f t="shared" si="252"/>
        <v>1.9552E-2</v>
      </c>
      <c r="IT39" s="4">
        <f t="shared" si="253"/>
        <v>1.64025E-2</v>
      </c>
      <c r="IU39" s="4">
        <f t="shared" si="254"/>
        <v>5.7234699999999999E-2</v>
      </c>
      <c r="IV39" s="4">
        <f t="shared" si="255"/>
        <v>4.0623199999999998E-2</v>
      </c>
      <c r="IW39" s="4">
        <f t="shared" si="256"/>
        <v>3.0570800000000002E-2</v>
      </c>
      <c r="IX39" s="4">
        <f t="shared" si="257"/>
        <v>9.248240000000002E-2</v>
      </c>
      <c r="JA39" s="4">
        <f t="shared" si="289"/>
        <v>8.2906000000000021E-3</v>
      </c>
      <c r="JB39" s="4">
        <f t="shared" si="290"/>
        <v>7.3854000000000038E-3</v>
      </c>
      <c r="JC39" s="4">
        <f t="shared" si="260"/>
        <v>4.631200000000002E-3</v>
      </c>
      <c r="JD39" s="4">
        <f t="shared" si="261"/>
        <v>3.0537999999999989E-3</v>
      </c>
      <c r="JE39" s="4">
        <f t="shared" si="262"/>
        <v>2.1538999999999968E-3</v>
      </c>
      <c r="JF39" s="4">
        <f t="shared" si="263"/>
        <v>5.2181999999999923E-3</v>
      </c>
      <c r="JG39" s="4">
        <f t="shared" si="264"/>
        <v>2.4811E-3</v>
      </c>
      <c r="JH39" s="4">
        <f t="shared" si="265"/>
        <v>1.6807000000000037E-3</v>
      </c>
      <c r="JI39" s="4">
        <f t="shared" si="266"/>
        <v>5.1384000000000152E-3</v>
      </c>
    </row>
    <row r="40" spans="1:269" x14ac:dyDescent="0.35">
      <c r="A40" s="1">
        <v>32</v>
      </c>
      <c r="B40" s="4">
        <v>1.05568E-2</v>
      </c>
      <c r="C40" s="4">
        <v>1.05568E-2</v>
      </c>
      <c r="D40" s="4">
        <v>1.0479E-2</v>
      </c>
      <c r="E40" s="4">
        <v>1.02249E-2</v>
      </c>
      <c r="F40" s="4">
        <v>9.8242999999999994E-3</v>
      </c>
      <c r="G40" s="4">
        <v>9.1045999999999992E-3</v>
      </c>
      <c r="H40" s="4">
        <v>8.4475000000000001E-3</v>
      </c>
      <c r="I40" s="4">
        <v>7.8285999999999998E-3</v>
      </c>
      <c r="J40" s="4">
        <v>7.2870000000000001E-3</v>
      </c>
      <c r="K40" s="4">
        <v>6.7023999999999999E-3</v>
      </c>
      <c r="L40" s="4">
        <v>6.2782999999999997E-3</v>
      </c>
      <c r="M40" s="4">
        <v>5.9040000000000004E-3</v>
      </c>
      <c r="N40" s="4">
        <v>5.5662000000000003E-3</v>
      </c>
      <c r="O40" s="4">
        <v>5.2636999999999996E-3</v>
      </c>
      <c r="P40" s="4">
        <v>5.0013999999999996E-3</v>
      </c>
      <c r="Q40" s="4">
        <v>4.7656E-3</v>
      </c>
      <c r="R40" s="4">
        <v>4.5456999999999997E-3</v>
      </c>
      <c r="S40" s="4">
        <v>4.3458000000000004E-3</v>
      </c>
      <c r="T40" s="4">
        <v>4.1671E-3</v>
      </c>
      <c r="U40" s="4">
        <v>4.0067000000000002E-3</v>
      </c>
      <c r="V40" s="4">
        <v>3.8701E-3</v>
      </c>
      <c r="W40" s="4">
        <v>3.7455000000000001E-3</v>
      </c>
      <c r="X40" s="4">
        <v>3.6281999999999998E-3</v>
      </c>
      <c r="Y40" s="4">
        <v>3.5184000000000001E-3</v>
      </c>
      <c r="Z40" s="4">
        <v>3.4142E-3</v>
      </c>
      <c r="AA40" s="4">
        <v>3.3124000000000001E-3</v>
      </c>
      <c r="AB40" s="4">
        <v>3.2039E-3</v>
      </c>
      <c r="AC40" s="4">
        <v>3.0885000000000001E-3</v>
      </c>
      <c r="AD40" s="4">
        <v>2.9107E-3</v>
      </c>
      <c r="AE40" s="4">
        <v>2.8135999999999999E-3</v>
      </c>
      <c r="AF40" s="4">
        <v>2.7177999999999998E-3</v>
      </c>
      <c r="AG40" s="4">
        <v>2.5403999999999999E-3</v>
      </c>
      <c r="AH40" s="4">
        <v>2.6394999999999999E-3</v>
      </c>
      <c r="AI40" s="4">
        <v>2.5856999999999998E-3</v>
      </c>
      <c r="AJ40" s="4">
        <v>2.5504999999999998E-3</v>
      </c>
      <c r="AK40" s="4">
        <v>2.5144999999999998E-3</v>
      </c>
      <c r="AL40" s="4">
        <v>2.4797999999999999E-3</v>
      </c>
      <c r="AM40" s="4">
        <v>2.4451999999999998E-3</v>
      </c>
      <c r="AN40" s="4">
        <v>2.4112999999999999E-3</v>
      </c>
      <c r="AO40" s="4">
        <v>2.3776000000000001E-3</v>
      </c>
      <c r="AP40" s="4">
        <v>2.3441999999999998E-3</v>
      </c>
      <c r="AQ40" s="4">
        <v>2.3111E-3</v>
      </c>
      <c r="AR40" s="4">
        <v>2.2783999999999999E-3</v>
      </c>
      <c r="AS40" s="4">
        <v>2.2461999999999998E-3</v>
      </c>
      <c r="AT40" s="4">
        <v>2.2144999999999999E-3</v>
      </c>
      <c r="AU40" s="4">
        <v>2.1832000000000002E-3</v>
      </c>
      <c r="AV40" s="4">
        <v>2.1524999999999999E-3</v>
      </c>
      <c r="AW40" s="4">
        <v>2.1221999999999999E-3</v>
      </c>
      <c r="AX40" s="4">
        <v>2.0923999999999999E-3</v>
      </c>
      <c r="AY40" s="4">
        <v>2.0631E-3</v>
      </c>
      <c r="AZ40" s="4">
        <v>2.0343000000000002E-3</v>
      </c>
      <c r="BA40" s="4">
        <v>2.0059000000000001E-3</v>
      </c>
      <c r="BB40" s="4">
        <v>1.9780000000000002E-3</v>
      </c>
      <c r="BC40" s="4">
        <v>1.9505E-3</v>
      </c>
      <c r="BD40" s="4">
        <v>1.9234E-3</v>
      </c>
      <c r="BE40" s="4">
        <v>1.8967000000000001E-3</v>
      </c>
      <c r="BF40" s="4">
        <v>1.8703000000000001E-3</v>
      </c>
      <c r="BG40" s="4">
        <v>1.8443999999999999E-3</v>
      </c>
      <c r="BH40" s="4">
        <v>1.8188E-3</v>
      </c>
      <c r="BI40" s="4">
        <v>1.7935E-3</v>
      </c>
      <c r="BJ40" s="4">
        <v>1.7685000000000001E-3</v>
      </c>
      <c r="BK40" s="4">
        <v>1.7439000000000001E-3</v>
      </c>
      <c r="BL40" s="4">
        <v>1.7195999999999999E-3</v>
      </c>
      <c r="BM40" s="4">
        <v>1.6955E-3</v>
      </c>
      <c r="BN40" s="4">
        <v>1.6716999999999999E-3</v>
      </c>
      <c r="BO40" s="4">
        <v>1.6482999999999999E-3</v>
      </c>
      <c r="BP40" s="4">
        <v>1.6251E-3</v>
      </c>
      <c r="BQ40" s="4">
        <v>1.6021E-3</v>
      </c>
      <c r="BR40" s="4">
        <v>1.5795E-3</v>
      </c>
      <c r="BS40" s="4">
        <v>1.5571000000000001E-3</v>
      </c>
      <c r="BT40" s="4">
        <v>1.5351E-3</v>
      </c>
      <c r="BU40" s="4">
        <v>1.5131999999999999E-3</v>
      </c>
      <c r="BV40" s="4">
        <v>1.4917000000000001E-3</v>
      </c>
      <c r="BW40" s="4">
        <v>1.4705E-3</v>
      </c>
      <c r="BX40" s="4">
        <v>1.4495000000000001E-3</v>
      </c>
      <c r="BY40" s="4">
        <v>1.4288E-3</v>
      </c>
      <c r="BZ40" s="4">
        <v>1.4082999999999999E-3</v>
      </c>
      <c r="CA40" s="4">
        <v>1.3882E-3</v>
      </c>
      <c r="CB40" s="4">
        <v>1.3683E-3</v>
      </c>
      <c r="CC40" s="4">
        <v>1.3487E-3</v>
      </c>
      <c r="CD40" s="4">
        <v>1.3293000000000001E-3</v>
      </c>
      <c r="CE40" s="4">
        <v>1.3102999999999999E-3</v>
      </c>
      <c r="CF40" s="4">
        <v>1.2914000000000001E-3</v>
      </c>
      <c r="CG40" s="4">
        <v>1.2729E-3</v>
      </c>
      <c r="CH40" s="4">
        <v>1.2546E-3</v>
      </c>
      <c r="CI40" s="4">
        <v>1.2366E-3</v>
      </c>
      <c r="CJ40" s="4">
        <v>1.2187999999999999E-3</v>
      </c>
      <c r="CK40" s="4">
        <v>1.2013E-3</v>
      </c>
      <c r="CL40" s="4">
        <v>1.1841E-3</v>
      </c>
      <c r="CM40" s="4">
        <v>1.1670999999999999E-3</v>
      </c>
      <c r="CN40" s="4">
        <v>1.1504E-3</v>
      </c>
      <c r="CO40" s="4">
        <v>1.1339E-3</v>
      </c>
      <c r="CP40" s="4">
        <v>1.1176000000000001E-3</v>
      </c>
      <c r="CQ40" s="4">
        <v>1.1016000000000001E-3</v>
      </c>
      <c r="CR40" s="4">
        <v>1.0859000000000001E-3</v>
      </c>
      <c r="CS40" s="4">
        <v>1.0702999999999999E-3</v>
      </c>
      <c r="CT40" s="4">
        <v>1.0549999999999999E-3</v>
      </c>
      <c r="CU40" s="4">
        <v>1.0399999999999999E-3</v>
      </c>
      <c r="CV40" s="4">
        <v>1.0250999999999999E-3</v>
      </c>
      <c r="CW40" s="4">
        <v>1.0104999999999999E-3</v>
      </c>
      <c r="CX40" s="4">
        <v>9.9609999999999998E-4</v>
      </c>
      <c r="CY40" s="4">
        <v>9.8189999999999996E-4</v>
      </c>
      <c r="CZ40" s="4">
        <v>9.6790000000000005E-4</v>
      </c>
      <c r="DA40" s="4">
        <v>9.5419999999999999E-4</v>
      </c>
      <c r="DB40" s="4">
        <v>9.4059999999999999E-4</v>
      </c>
      <c r="DC40" s="4">
        <v>9.2719999999999999E-4</v>
      </c>
      <c r="DD40" s="4">
        <v>9.1410000000000005E-4</v>
      </c>
      <c r="DE40" s="4">
        <v>9.0109999999999995E-4</v>
      </c>
      <c r="DF40" s="4">
        <v>8.8829999999999996E-4</v>
      </c>
      <c r="DG40" s="4">
        <v>8.7580000000000004E-4</v>
      </c>
      <c r="DH40" s="4">
        <v>8.6339999999999995E-4</v>
      </c>
      <c r="DI40" s="4">
        <v>8.5110000000000003E-4</v>
      </c>
      <c r="DJ40" s="4">
        <v>8.3909999999999996E-4</v>
      </c>
      <c r="DK40" s="4">
        <v>8.273E-4</v>
      </c>
      <c r="DL40" s="4">
        <v>8.1559999999999998E-4</v>
      </c>
      <c r="DM40" s="4">
        <v>8.0409999999999998E-4</v>
      </c>
      <c r="DN40" s="4">
        <v>7.9270000000000002E-4</v>
      </c>
      <c r="DO40" s="4">
        <v>7.8149999999999997E-4</v>
      </c>
      <c r="DP40" s="4">
        <v>7.7050000000000003E-4</v>
      </c>
      <c r="DQ40" s="4">
        <v>5.3861699999999998E-2</v>
      </c>
      <c r="DR40" s="4">
        <v>0</v>
      </c>
      <c r="DS40" s="4">
        <v>7.7799999999999994E-5</v>
      </c>
      <c r="DT40" s="4">
        <v>2.7230000000000001E-4</v>
      </c>
      <c r="DU40" s="4">
        <v>4.0190000000000001E-4</v>
      </c>
      <c r="DV40" s="4">
        <v>6.8329999999999997E-4</v>
      </c>
      <c r="DW40" s="4">
        <v>6.5850000000000001E-4</v>
      </c>
      <c r="DX40" s="4">
        <v>5.9509999999999999E-4</v>
      </c>
      <c r="DY40" s="4">
        <v>5.354E-4</v>
      </c>
      <c r="DZ40" s="4">
        <v>4.7080000000000001E-4</v>
      </c>
      <c r="EA40" s="4">
        <v>4.0969999999999998E-4</v>
      </c>
      <c r="EB40" s="4">
        <v>3.6400000000000001E-4</v>
      </c>
      <c r="EC40" s="4">
        <v>3.2469999999999998E-4</v>
      </c>
      <c r="ED40" s="4">
        <v>2.899E-4</v>
      </c>
      <c r="EE40" s="4">
        <v>2.5930000000000001E-4</v>
      </c>
      <c r="EF40" s="4">
        <v>2.3340000000000001E-4</v>
      </c>
      <c r="EG40" s="4">
        <v>2.1100000000000001E-4</v>
      </c>
      <c r="EH40" s="4">
        <v>1.9120000000000001E-4</v>
      </c>
      <c r="EI40" s="4">
        <v>1.739E-4</v>
      </c>
      <c r="EJ40" s="4">
        <v>1.5880000000000001E-4</v>
      </c>
      <c r="EK40" s="4">
        <v>1.4569999999999999E-4</v>
      </c>
      <c r="EL40" s="4">
        <v>1.3430000000000001E-4</v>
      </c>
      <c r="EM40" s="4">
        <v>1.2420000000000001E-4</v>
      </c>
      <c r="EN40" s="4">
        <v>1.1510000000000001E-4</v>
      </c>
      <c r="EO40" s="4">
        <v>1.069E-4</v>
      </c>
      <c r="EP40" s="4">
        <v>9.9599999999999995E-5</v>
      </c>
      <c r="EQ40" s="4">
        <v>9.2999999999999997E-5</v>
      </c>
      <c r="ER40" s="4">
        <v>8.6799999999999996E-5</v>
      </c>
      <c r="ES40" s="4">
        <v>8.0900000000000001E-5</v>
      </c>
      <c r="ET40" s="4">
        <v>7.36E-5</v>
      </c>
      <c r="EU40" s="4">
        <v>6.8999999999999997E-5</v>
      </c>
      <c r="EV40" s="4">
        <v>6.4700000000000001E-5</v>
      </c>
      <c r="EW40" s="4">
        <v>5.8499999999999999E-5</v>
      </c>
      <c r="EX40" s="4">
        <v>5.9799999999999997E-5</v>
      </c>
      <c r="EY40" s="4">
        <v>5.6799999999999998E-5</v>
      </c>
      <c r="EZ40" s="4">
        <v>5.4500000000000003E-5</v>
      </c>
      <c r="FA40" s="4">
        <v>5.2299999999999997E-5</v>
      </c>
      <c r="FB40" s="4">
        <v>5.02E-5</v>
      </c>
      <c r="FC40" s="4">
        <v>4.8199999999999999E-5</v>
      </c>
      <c r="FD40" s="4">
        <v>4.6400000000000003E-5</v>
      </c>
      <c r="FE40" s="4">
        <v>4.4700000000000002E-5</v>
      </c>
      <c r="FF40" s="4">
        <v>4.3099999999999997E-5</v>
      </c>
      <c r="FG40" s="4">
        <v>4.1600000000000002E-5</v>
      </c>
      <c r="FH40" s="4">
        <v>4.0200000000000001E-5</v>
      </c>
      <c r="FI40" s="4">
        <v>3.8899999999999997E-5</v>
      </c>
      <c r="FJ40" s="4">
        <v>3.7700000000000002E-5</v>
      </c>
      <c r="FK40" s="4">
        <v>3.65E-5</v>
      </c>
      <c r="FL40" s="4">
        <v>3.54E-5</v>
      </c>
      <c r="FM40" s="4">
        <v>3.4400000000000003E-5</v>
      </c>
      <c r="FN40" s="4">
        <v>3.3500000000000001E-5</v>
      </c>
      <c r="FO40" s="4">
        <v>3.26E-5</v>
      </c>
      <c r="FP40" s="4">
        <v>3.1699999999999998E-5</v>
      </c>
      <c r="FQ40" s="4">
        <v>3.1000000000000001E-5</v>
      </c>
      <c r="FR40" s="4">
        <v>3.0199999999999999E-5</v>
      </c>
      <c r="FS40" s="4">
        <v>2.9499999999999999E-5</v>
      </c>
      <c r="FT40" s="4">
        <v>2.8900000000000001E-5</v>
      </c>
      <c r="FU40" s="4">
        <v>2.83E-5</v>
      </c>
      <c r="FV40" s="4">
        <v>2.7699999999999999E-5</v>
      </c>
      <c r="FW40" s="4">
        <v>2.7100000000000001E-5</v>
      </c>
      <c r="FX40" s="4">
        <v>2.6599999999999999E-5</v>
      </c>
      <c r="FY40" s="4">
        <v>2.6100000000000001E-5</v>
      </c>
      <c r="FZ40" s="4">
        <v>2.5599999999999999E-5</v>
      </c>
      <c r="GA40" s="4">
        <v>2.51E-5</v>
      </c>
      <c r="GB40" s="4">
        <v>2.4700000000000001E-5</v>
      </c>
      <c r="GC40" s="4">
        <v>2.4199999999999999E-5</v>
      </c>
      <c r="GD40" s="4">
        <v>2.3799999999999999E-5</v>
      </c>
      <c r="GE40" s="4">
        <v>2.34E-5</v>
      </c>
      <c r="GF40" s="4">
        <v>2.3E-5</v>
      </c>
      <c r="GG40" s="4">
        <v>2.27E-5</v>
      </c>
      <c r="GH40" s="4">
        <v>2.23E-5</v>
      </c>
      <c r="GI40" s="4">
        <v>2.1999999999999999E-5</v>
      </c>
      <c r="GJ40" s="4">
        <v>2.16E-5</v>
      </c>
      <c r="GK40" s="4">
        <v>2.1299999999999999E-5</v>
      </c>
      <c r="GL40" s="4">
        <v>2.0999999999999999E-5</v>
      </c>
      <c r="GM40" s="4">
        <v>2.0599999999999999E-5</v>
      </c>
      <c r="GN40" s="4">
        <v>2.0299999999999999E-5</v>
      </c>
      <c r="GO40" s="4">
        <v>2.0000000000000002E-5</v>
      </c>
      <c r="GP40" s="4">
        <v>1.9700000000000001E-5</v>
      </c>
      <c r="GQ40" s="4">
        <v>1.9400000000000001E-5</v>
      </c>
      <c r="GR40" s="4">
        <v>1.9199999999999999E-5</v>
      </c>
      <c r="GS40" s="4">
        <v>1.8899999999999999E-5</v>
      </c>
      <c r="GT40" s="4">
        <v>1.8600000000000001E-5</v>
      </c>
      <c r="GU40" s="4">
        <v>1.8300000000000001E-5</v>
      </c>
      <c r="GV40" s="4">
        <v>1.8099999999999999E-5</v>
      </c>
      <c r="GW40" s="4">
        <v>1.7799999999999999E-5</v>
      </c>
      <c r="GX40" s="4">
        <v>1.7600000000000001E-5</v>
      </c>
      <c r="GY40" s="4">
        <v>1.73E-5</v>
      </c>
      <c r="GZ40" s="4">
        <v>1.7099999999999999E-5</v>
      </c>
      <c r="HA40" s="4">
        <v>1.6799999999999998E-5</v>
      </c>
      <c r="HB40" s="4">
        <v>1.66E-5</v>
      </c>
      <c r="HC40" s="4">
        <v>1.6399999999999999E-5</v>
      </c>
      <c r="HD40" s="4">
        <v>1.6099999999999998E-5</v>
      </c>
      <c r="HE40" s="4">
        <v>1.59E-5</v>
      </c>
      <c r="HF40" s="4">
        <v>1.5699999999999999E-5</v>
      </c>
      <c r="HG40" s="4">
        <v>1.5500000000000001E-5</v>
      </c>
      <c r="HH40" s="4">
        <v>1.5299999999999999E-5</v>
      </c>
      <c r="HI40" s="4">
        <v>1.5E-5</v>
      </c>
      <c r="HJ40" s="4">
        <v>1.4800000000000001E-5</v>
      </c>
      <c r="HK40" s="4">
        <v>1.4600000000000001E-5</v>
      </c>
      <c r="HL40" s="4">
        <v>1.4399999999999999E-5</v>
      </c>
      <c r="HM40" s="4">
        <v>1.42E-5</v>
      </c>
      <c r="HN40" s="4">
        <v>1.4E-5</v>
      </c>
      <c r="HO40" s="4">
        <v>1.38E-5</v>
      </c>
      <c r="HP40" s="4">
        <v>1.36E-5</v>
      </c>
      <c r="HQ40" s="4">
        <v>1.34E-5</v>
      </c>
      <c r="HR40" s="4">
        <v>1.33E-5</v>
      </c>
      <c r="HS40" s="4">
        <v>1.31E-5</v>
      </c>
      <c r="HT40" s="4">
        <v>1.29E-5</v>
      </c>
      <c r="HU40" s="4">
        <v>1.27E-5</v>
      </c>
      <c r="HV40" s="4">
        <v>1.2500000000000001E-5</v>
      </c>
      <c r="HW40" s="4">
        <v>1.24E-5</v>
      </c>
      <c r="HX40" s="4">
        <v>1.22E-5</v>
      </c>
      <c r="HY40" s="4">
        <v>1.2E-5</v>
      </c>
      <c r="HZ40" s="4">
        <v>1.19E-5</v>
      </c>
      <c r="IA40" s="4">
        <v>1.17E-5</v>
      </c>
      <c r="IB40" s="4">
        <v>1.15E-5</v>
      </c>
      <c r="IC40" s="4">
        <v>1.1399999999999999E-5</v>
      </c>
      <c r="ID40" s="4">
        <v>1.1199999999999999E-5</v>
      </c>
      <c r="IE40" s="4">
        <v>1.11E-5</v>
      </c>
      <c r="IF40" s="4">
        <v>1.0900000000000001E-5</v>
      </c>
      <c r="IG40" s="4">
        <v>7.6829999999999997E-4</v>
      </c>
      <c r="IH40" s="4"/>
      <c r="II40" s="4">
        <f t="shared" si="247"/>
        <v>0.11316746095772412</v>
      </c>
      <c r="IL40">
        <f t="shared" si="248"/>
        <v>0.3543306500000003</v>
      </c>
      <c r="IP40" s="4">
        <f t="shared" si="249"/>
        <v>4.1085000000000003E-2</v>
      </c>
      <c r="IQ40" s="4">
        <f t="shared" si="250"/>
        <v>3.2667700000000001E-2</v>
      </c>
      <c r="IR40" s="4">
        <f t="shared" si="251"/>
        <v>2.4450900000000001E-2</v>
      </c>
      <c r="IS40" s="4">
        <f t="shared" si="252"/>
        <v>1.9576400000000001E-2</v>
      </c>
      <c r="IT40" s="4">
        <f t="shared" si="253"/>
        <v>1.63897E-2</v>
      </c>
      <c r="IU40" s="4">
        <f t="shared" si="254"/>
        <v>5.7241899999999991E-2</v>
      </c>
      <c r="IV40" s="4">
        <f t="shared" si="255"/>
        <v>4.0547900000000005E-2</v>
      </c>
      <c r="IW40" s="4">
        <f t="shared" si="256"/>
        <v>3.0574399999999998E-2</v>
      </c>
      <c r="IX40" s="4">
        <f t="shared" si="257"/>
        <v>9.2481600000000011E-2</v>
      </c>
      <c r="JA40" s="4">
        <f t="shared" si="289"/>
        <v>8.2469999999999974E-3</v>
      </c>
      <c r="JB40" s="4">
        <f t="shared" si="290"/>
        <v>7.4637000000000037E-3</v>
      </c>
      <c r="JC40" s="4">
        <f t="shared" si="260"/>
        <v>4.6525999999999963E-3</v>
      </c>
      <c r="JD40" s="4">
        <f t="shared" si="261"/>
        <v>3.0623000000000004E-3</v>
      </c>
      <c r="JE40" s="4">
        <f t="shared" si="262"/>
        <v>2.1559000000000023E-3</v>
      </c>
      <c r="JF40" s="4">
        <f t="shared" si="263"/>
        <v>5.221499999999997E-3</v>
      </c>
      <c r="JG40" s="4">
        <f t="shared" si="264"/>
        <v>2.4773999999999977E-3</v>
      </c>
      <c r="JH40" s="4">
        <f t="shared" si="265"/>
        <v>1.6817000000000082E-3</v>
      </c>
      <c r="JI40" s="4">
        <f t="shared" si="266"/>
        <v>5.1366000000000189E-3</v>
      </c>
    </row>
    <row r="41" spans="1:269" x14ac:dyDescent="0.35">
      <c r="A41" s="1">
        <v>33</v>
      </c>
      <c r="B41" s="4">
        <v>1.05568E-2</v>
      </c>
      <c r="C41" s="4">
        <v>1.05568E-2</v>
      </c>
      <c r="D41" s="4">
        <v>1.0479E-2</v>
      </c>
      <c r="E41" s="4">
        <v>1.0206700000000001E-2</v>
      </c>
      <c r="F41" s="4">
        <v>9.8230000000000001E-3</v>
      </c>
      <c r="G41" s="4">
        <v>9.1409999999999998E-3</v>
      </c>
      <c r="H41" s="4">
        <v>8.4460999999999998E-3</v>
      </c>
      <c r="I41" s="4">
        <v>7.8524000000000007E-3</v>
      </c>
      <c r="J41" s="4">
        <v>7.2931000000000003E-3</v>
      </c>
      <c r="K41" s="4">
        <v>6.8161000000000003E-3</v>
      </c>
      <c r="L41" s="4">
        <v>6.2927E-3</v>
      </c>
      <c r="M41" s="4">
        <v>5.9142999999999999E-3</v>
      </c>
      <c r="N41" s="4">
        <v>5.5794E-3</v>
      </c>
      <c r="O41" s="4">
        <v>5.2763000000000003E-3</v>
      </c>
      <c r="P41" s="4">
        <v>5.0044E-3</v>
      </c>
      <c r="Q41" s="4">
        <v>4.7679999999999997E-3</v>
      </c>
      <c r="R41" s="4">
        <v>4.5545999999999998E-3</v>
      </c>
      <c r="S41" s="4">
        <v>4.3544999999999999E-3</v>
      </c>
      <c r="T41" s="4">
        <v>4.1719000000000001E-3</v>
      </c>
      <c r="U41" s="4">
        <v>4.0083000000000002E-3</v>
      </c>
      <c r="V41" s="4">
        <v>3.8611000000000001E-3</v>
      </c>
      <c r="W41" s="4">
        <v>3.7358999999999999E-3</v>
      </c>
      <c r="X41" s="4">
        <v>3.6213999999999999E-3</v>
      </c>
      <c r="Y41" s="4">
        <v>3.5132000000000002E-3</v>
      </c>
      <c r="Z41" s="4">
        <v>3.4115E-3</v>
      </c>
      <c r="AA41" s="4">
        <v>3.3145000000000002E-3</v>
      </c>
      <c r="AB41" s="4">
        <v>3.2193999999999999E-3</v>
      </c>
      <c r="AC41" s="4">
        <v>3.1170999999999998E-3</v>
      </c>
      <c r="AD41" s="4">
        <v>3.0076E-3</v>
      </c>
      <c r="AE41" s="4">
        <v>2.8371E-3</v>
      </c>
      <c r="AF41" s="4">
        <v>2.7447000000000001E-3</v>
      </c>
      <c r="AG41" s="4">
        <v>2.6530999999999998E-3</v>
      </c>
      <c r="AH41" s="4">
        <v>2.4819E-3</v>
      </c>
      <c r="AI41" s="4">
        <v>2.5796999999999999E-3</v>
      </c>
      <c r="AJ41" s="4">
        <v>2.5289000000000002E-3</v>
      </c>
      <c r="AK41" s="4">
        <v>2.496E-3</v>
      </c>
      <c r="AL41" s="4">
        <v>2.4623000000000002E-3</v>
      </c>
      <c r="AM41" s="4">
        <v>2.4296999999999999E-3</v>
      </c>
      <c r="AN41" s="4">
        <v>2.3969999999999998E-3</v>
      </c>
      <c r="AO41" s="4">
        <v>2.3647999999999998E-3</v>
      </c>
      <c r="AP41" s="4">
        <v>2.3329000000000002E-3</v>
      </c>
      <c r="AQ41" s="4">
        <v>2.3010000000000001E-3</v>
      </c>
      <c r="AR41" s="4">
        <v>2.2694999999999998E-3</v>
      </c>
      <c r="AS41" s="4">
        <v>2.2382000000000001E-3</v>
      </c>
      <c r="AT41" s="4">
        <v>2.2073000000000001E-3</v>
      </c>
      <c r="AU41" s="4">
        <v>2.1768E-3</v>
      </c>
      <c r="AV41" s="4">
        <v>2.1467000000000001E-3</v>
      </c>
      <c r="AW41" s="4">
        <v>2.1170999999999998E-3</v>
      </c>
      <c r="AX41" s="4">
        <v>2.0877999999999999E-3</v>
      </c>
      <c r="AY41" s="4">
        <v>2.0590000000000001E-3</v>
      </c>
      <c r="AZ41" s="4">
        <v>2.0305000000000002E-3</v>
      </c>
      <c r="BA41" s="4">
        <v>2.0024999999999999E-3</v>
      </c>
      <c r="BB41" s="4">
        <v>1.9748999999999999E-3</v>
      </c>
      <c r="BC41" s="4">
        <v>1.9476999999999999E-3</v>
      </c>
      <c r="BD41" s="4">
        <v>1.9208999999999999E-3</v>
      </c>
      <c r="BE41" s="4">
        <v>1.8944999999999999E-3</v>
      </c>
      <c r="BF41" s="4">
        <v>1.8684000000000001E-3</v>
      </c>
      <c r="BG41" s="4">
        <v>1.8427000000000001E-3</v>
      </c>
      <c r="BH41" s="4">
        <v>1.8173E-3</v>
      </c>
      <c r="BI41" s="4">
        <v>1.7922000000000001E-3</v>
      </c>
      <c r="BJ41" s="4">
        <v>1.7673999999999999E-3</v>
      </c>
      <c r="BK41" s="4">
        <v>1.743E-3</v>
      </c>
      <c r="BL41" s="4">
        <v>1.7187999999999999E-3</v>
      </c>
      <c r="BM41" s="4">
        <v>1.6949000000000001E-3</v>
      </c>
      <c r="BN41" s="4">
        <v>1.6712999999999999E-3</v>
      </c>
      <c r="BO41" s="4">
        <v>1.6479000000000001E-3</v>
      </c>
      <c r="BP41" s="4">
        <v>1.6248E-3</v>
      </c>
      <c r="BQ41" s="4">
        <v>1.6019999999999999E-3</v>
      </c>
      <c r="BR41" s="4">
        <v>1.5795E-3</v>
      </c>
      <c r="BS41" s="4">
        <v>1.5571999999999999E-3</v>
      </c>
      <c r="BT41" s="4">
        <v>1.5352E-3</v>
      </c>
      <c r="BU41" s="4">
        <v>1.5134E-3</v>
      </c>
      <c r="BV41" s="4">
        <v>1.4920000000000001E-3</v>
      </c>
      <c r="BW41" s="4">
        <v>1.4708E-3</v>
      </c>
      <c r="BX41" s="4">
        <v>1.4498E-3</v>
      </c>
      <c r="BY41" s="4">
        <v>1.4291E-3</v>
      </c>
      <c r="BZ41" s="4">
        <v>1.4086999999999999E-3</v>
      </c>
      <c r="CA41" s="4">
        <v>1.3886E-3</v>
      </c>
      <c r="CB41" s="4">
        <v>1.3687E-3</v>
      </c>
      <c r="CC41" s="4">
        <v>1.3491E-3</v>
      </c>
      <c r="CD41" s="4">
        <v>1.3297999999999999E-3</v>
      </c>
      <c r="CE41" s="4">
        <v>1.3106999999999999E-3</v>
      </c>
      <c r="CF41" s="4">
        <v>1.2918999999999999E-3</v>
      </c>
      <c r="CG41" s="4">
        <v>1.2734000000000001E-3</v>
      </c>
      <c r="CH41" s="4">
        <v>1.2551000000000001E-3</v>
      </c>
      <c r="CI41" s="4">
        <v>1.2371000000000001E-3</v>
      </c>
      <c r="CJ41" s="4">
        <v>1.2193E-3</v>
      </c>
      <c r="CK41" s="4">
        <v>1.2018E-3</v>
      </c>
      <c r="CL41" s="4">
        <v>1.1845E-3</v>
      </c>
      <c r="CM41" s="4">
        <v>1.1674999999999999E-3</v>
      </c>
      <c r="CN41" s="4">
        <v>1.1508E-3</v>
      </c>
      <c r="CO41" s="4">
        <v>1.1341999999999999E-3</v>
      </c>
      <c r="CP41" s="4">
        <v>1.1180000000000001E-3</v>
      </c>
      <c r="CQ41" s="4">
        <v>1.1019000000000001E-3</v>
      </c>
      <c r="CR41" s="4">
        <v>1.0862000000000001E-3</v>
      </c>
      <c r="CS41" s="4">
        <v>1.0705999999999999E-3</v>
      </c>
      <c r="CT41" s="4">
        <v>1.0552999999999999E-3</v>
      </c>
      <c r="CU41" s="4">
        <v>1.0402E-3</v>
      </c>
      <c r="CV41" s="4">
        <v>1.0253E-3</v>
      </c>
      <c r="CW41" s="4">
        <v>1.0107E-3</v>
      </c>
      <c r="CX41" s="4">
        <v>9.9630000000000009E-4</v>
      </c>
      <c r="CY41" s="4">
        <v>9.8210000000000007E-4</v>
      </c>
      <c r="CZ41" s="4">
        <v>9.6809999999999995E-4</v>
      </c>
      <c r="DA41" s="4">
        <v>9.5430000000000005E-4</v>
      </c>
      <c r="DB41" s="4">
        <v>9.4070000000000004E-4</v>
      </c>
      <c r="DC41" s="4">
        <v>9.2730000000000004E-4</v>
      </c>
      <c r="DD41" s="4">
        <v>9.142E-4</v>
      </c>
      <c r="DE41" s="4">
        <v>9.012E-4</v>
      </c>
      <c r="DF41" s="4">
        <v>8.8840000000000002E-4</v>
      </c>
      <c r="DG41" s="4">
        <v>8.7580000000000004E-4</v>
      </c>
      <c r="DH41" s="4">
        <v>8.6339999999999995E-4</v>
      </c>
      <c r="DI41" s="4">
        <v>8.5119999999999998E-4</v>
      </c>
      <c r="DJ41" s="4">
        <v>8.3909999999999996E-4</v>
      </c>
      <c r="DK41" s="4">
        <v>8.2720000000000005E-4</v>
      </c>
      <c r="DL41" s="4">
        <v>8.1559999999999998E-4</v>
      </c>
      <c r="DM41" s="4">
        <v>8.0400000000000003E-4</v>
      </c>
      <c r="DN41" s="4">
        <v>7.9270000000000002E-4</v>
      </c>
      <c r="DO41" s="4">
        <v>7.8149999999999997E-4</v>
      </c>
      <c r="DP41" s="4">
        <v>7.7050000000000003E-4</v>
      </c>
      <c r="DQ41" s="4">
        <v>5.3852999999999998E-2</v>
      </c>
      <c r="DR41" s="4">
        <v>0</v>
      </c>
      <c r="DS41" s="4">
        <v>4.5899999999999998E-5</v>
      </c>
      <c r="DT41" s="4">
        <v>2.72E-4</v>
      </c>
      <c r="DU41" s="4">
        <v>4.0690000000000002E-4</v>
      </c>
      <c r="DV41" s="4">
        <v>6.7579999999999995E-4</v>
      </c>
      <c r="DW41" s="4">
        <v>6.6430000000000005E-4</v>
      </c>
      <c r="DX41" s="4">
        <v>5.8620000000000005E-4</v>
      </c>
      <c r="DY41" s="4">
        <v>5.3120000000000001E-4</v>
      </c>
      <c r="DZ41" s="4">
        <v>4.639E-4</v>
      </c>
      <c r="EA41" s="4">
        <v>4.1320000000000001E-4</v>
      </c>
      <c r="EB41" s="4">
        <v>3.5930000000000001E-4</v>
      </c>
      <c r="EC41" s="4">
        <v>3.2049999999999998E-4</v>
      </c>
      <c r="ED41" s="4">
        <v>2.8640000000000002E-4</v>
      </c>
      <c r="EE41" s="4">
        <v>2.5680000000000001E-4</v>
      </c>
      <c r="EF41" s="4">
        <v>2.308E-4</v>
      </c>
      <c r="EG41" s="4">
        <v>2.086E-4</v>
      </c>
      <c r="EH41" s="4">
        <v>1.8929999999999999E-4</v>
      </c>
      <c r="EI41" s="4">
        <v>1.7229999999999999E-4</v>
      </c>
      <c r="EJ41" s="4">
        <v>1.574E-4</v>
      </c>
      <c r="EK41" s="4">
        <v>1.4430000000000001E-4</v>
      </c>
      <c r="EL41" s="4">
        <v>1.329E-4</v>
      </c>
      <c r="EM41" s="4">
        <v>1.2300000000000001E-4</v>
      </c>
      <c r="EN41" s="4">
        <v>1.142E-4</v>
      </c>
      <c r="EO41" s="4">
        <v>1.0620000000000001E-4</v>
      </c>
      <c r="EP41" s="4">
        <v>9.9099999999999996E-5</v>
      </c>
      <c r="EQ41" s="4">
        <v>9.2700000000000004E-5</v>
      </c>
      <c r="ER41" s="4">
        <v>8.6899999999999998E-5</v>
      </c>
      <c r="ES41" s="4">
        <v>8.1299999999999997E-5</v>
      </c>
      <c r="ET41" s="4">
        <v>7.6000000000000004E-5</v>
      </c>
      <c r="EU41" s="4">
        <v>6.9400000000000006E-5</v>
      </c>
      <c r="EV41" s="4">
        <v>6.5199999999999999E-5</v>
      </c>
      <c r="EW41" s="4">
        <v>6.1299999999999999E-5</v>
      </c>
      <c r="EX41" s="4">
        <v>5.5600000000000003E-5</v>
      </c>
      <c r="EY41" s="4">
        <v>5.6900000000000001E-5</v>
      </c>
      <c r="EZ41" s="4">
        <v>5.41E-5</v>
      </c>
      <c r="FA41" s="4">
        <v>5.1999999999999997E-5</v>
      </c>
      <c r="FB41" s="4">
        <v>5.0000000000000002E-5</v>
      </c>
      <c r="FC41" s="4">
        <v>4.8099999999999997E-5</v>
      </c>
      <c r="FD41" s="4">
        <v>4.6300000000000001E-5</v>
      </c>
      <c r="FE41" s="4">
        <v>4.46E-5</v>
      </c>
      <c r="FF41" s="4">
        <v>4.3000000000000002E-5</v>
      </c>
      <c r="FG41" s="4">
        <v>4.1600000000000002E-5</v>
      </c>
      <c r="FH41" s="4">
        <v>4.0200000000000001E-5</v>
      </c>
      <c r="FI41" s="4">
        <v>3.8800000000000001E-5</v>
      </c>
      <c r="FJ41" s="4">
        <v>3.7599999999999999E-5</v>
      </c>
      <c r="FK41" s="4">
        <v>3.6399999999999997E-5</v>
      </c>
      <c r="FL41" s="4">
        <v>3.54E-5</v>
      </c>
      <c r="FM41" s="4">
        <v>3.43E-5</v>
      </c>
      <c r="FN41" s="4">
        <v>3.3399999999999999E-5</v>
      </c>
      <c r="FO41" s="4">
        <v>3.2499999999999997E-5</v>
      </c>
      <c r="FP41" s="4">
        <v>3.1699999999999998E-5</v>
      </c>
      <c r="FQ41" s="4">
        <v>3.0899999999999999E-5</v>
      </c>
      <c r="FR41" s="4">
        <v>3.01E-5</v>
      </c>
      <c r="FS41" s="4">
        <v>2.94E-5</v>
      </c>
      <c r="FT41" s="4">
        <v>2.8799999999999999E-5</v>
      </c>
      <c r="FU41" s="4">
        <v>2.8099999999999999E-5</v>
      </c>
      <c r="FV41" s="4">
        <v>2.7500000000000001E-5</v>
      </c>
      <c r="FW41" s="4">
        <v>2.6999999999999999E-5</v>
      </c>
      <c r="FX41" s="4">
        <v>2.65E-5</v>
      </c>
      <c r="FY41" s="4">
        <v>2.5899999999999999E-5</v>
      </c>
      <c r="FZ41" s="4">
        <v>2.55E-5</v>
      </c>
      <c r="GA41" s="4">
        <v>2.5000000000000001E-5</v>
      </c>
      <c r="GB41" s="4">
        <v>2.4600000000000002E-5</v>
      </c>
      <c r="GC41" s="4">
        <v>2.41E-5</v>
      </c>
      <c r="GD41" s="4">
        <v>2.37E-5</v>
      </c>
      <c r="GE41" s="4">
        <v>2.3300000000000001E-5</v>
      </c>
      <c r="GF41" s="4">
        <v>2.2900000000000001E-5</v>
      </c>
      <c r="GG41" s="4">
        <v>2.26E-5</v>
      </c>
      <c r="GH41" s="4">
        <v>2.2200000000000001E-5</v>
      </c>
      <c r="GI41" s="4">
        <v>2.19E-5</v>
      </c>
      <c r="GJ41" s="4">
        <v>2.1500000000000001E-5</v>
      </c>
      <c r="GK41" s="4">
        <v>2.12E-5</v>
      </c>
      <c r="GL41" s="4">
        <v>2.09E-5</v>
      </c>
      <c r="GM41" s="4">
        <v>2.0599999999999999E-5</v>
      </c>
      <c r="GN41" s="4">
        <v>2.02E-5</v>
      </c>
      <c r="GO41" s="4">
        <v>1.9899999999999999E-5</v>
      </c>
      <c r="GP41" s="4">
        <v>1.9700000000000001E-5</v>
      </c>
      <c r="GQ41" s="4">
        <v>1.9400000000000001E-5</v>
      </c>
      <c r="GR41" s="4">
        <v>1.91E-5</v>
      </c>
      <c r="GS41" s="4">
        <v>1.88E-5</v>
      </c>
      <c r="GT41" s="4">
        <v>1.8499999999999999E-5</v>
      </c>
      <c r="GU41" s="4">
        <v>1.8300000000000001E-5</v>
      </c>
      <c r="GV41" s="4">
        <v>1.8E-5</v>
      </c>
      <c r="GW41" s="4">
        <v>1.7799999999999999E-5</v>
      </c>
      <c r="GX41" s="4">
        <v>1.7499999999999998E-5</v>
      </c>
      <c r="GY41" s="4">
        <v>1.73E-5</v>
      </c>
      <c r="GZ41" s="4">
        <v>1.7E-5</v>
      </c>
      <c r="HA41" s="4">
        <v>1.6799999999999998E-5</v>
      </c>
      <c r="HB41" s="4">
        <v>1.66E-5</v>
      </c>
      <c r="HC41" s="4">
        <v>1.63E-5</v>
      </c>
      <c r="HD41" s="4">
        <v>1.6099999999999998E-5</v>
      </c>
      <c r="HE41" s="4">
        <v>1.59E-5</v>
      </c>
      <c r="HF41" s="4">
        <v>1.5699999999999999E-5</v>
      </c>
      <c r="HG41" s="4">
        <v>1.5400000000000002E-5</v>
      </c>
      <c r="HH41" s="4">
        <v>1.52E-5</v>
      </c>
      <c r="HI41" s="4">
        <v>1.5E-5</v>
      </c>
      <c r="HJ41" s="4">
        <v>1.4800000000000001E-5</v>
      </c>
      <c r="HK41" s="4">
        <v>1.4600000000000001E-5</v>
      </c>
      <c r="HL41" s="4">
        <v>1.4399999999999999E-5</v>
      </c>
      <c r="HM41" s="4">
        <v>1.42E-5</v>
      </c>
      <c r="HN41" s="4">
        <v>1.4E-5</v>
      </c>
      <c r="HO41" s="4">
        <v>1.38E-5</v>
      </c>
      <c r="HP41" s="4">
        <v>1.36E-5</v>
      </c>
      <c r="HQ41" s="4">
        <v>1.34E-5</v>
      </c>
      <c r="HR41" s="4">
        <v>1.3200000000000001E-5</v>
      </c>
      <c r="HS41" s="4">
        <v>1.31E-5</v>
      </c>
      <c r="HT41" s="4">
        <v>1.29E-5</v>
      </c>
      <c r="HU41" s="4">
        <v>1.27E-5</v>
      </c>
      <c r="HV41" s="4">
        <v>1.2500000000000001E-5</v>
      </c>
      <c r="HW41" s="4">
        <v>1.24E-5</v>
      </c>
      <c r="HX41" s="4">
        <v>1.22E-5</v>
      </c>
      <c r="HY41" s="4">
        <v>1.2E-5</v>
      </c>
      <c r="HZ41" s="4">
        <v>1.19E-5</v>
      </c>
      <c r="IA41" s="4">
        <v>1.17E-5</v>
      </c>
      <c r="IB41" s="4">
        <v>1.15E-5</v>
      </c>
      <c r="IC41" s="4">
        <v>1.1399999999999999E-5</v>
      </c>
      <c r="ID41" s="4">
        <v>1.1199999999999999E-5</v>
      </c>
      <c r="IE41" s="4">
        <v>1.11E-5</v>
      </c>
      <c r="IF41" s="4">
        <v>1.0900000000000001E-5</v>
      </c>
      <c r="IG41" s="4">
        <v>7.6769999999999996E-4</v>
      </c>
      <c r="IH41" s="4"/>
      <c r="II41" s="4">
        <f t="shared" si="247"/>
        <v>0.11359964043517934</v>
      </c>
      <c r="IL41">
        <f t="shared" si="248"/>
        <v>0.35459531249999987</v>
      </c>
      <c r="IP41" s="4">
        <f t="shared" si="249"/>
        <v>4.1065499999999998E-2</v>
      </c>
      <c r="IQ41" s="4">
        <f t="shared" si="250"/>
        <v>3.2732600000000001E-2</v>
      </c>
      <c r="IR41" s="4">
        <f t="shared" si="251"/>
        <v>2.4602499999999999E-2</v>
      </c>
      <c r="IS41" s="4">
        <f t="shared" si="252"/>
        <v>1.9603300000000001E-2</v>
      </c>
      <c r="IT41" s="4">
        <f t="shared" si="253"/>
        <v>1.6395799999999999E-2</v>
      </c>
      <c r="IU41" s="4">
        <f t="shared" si="254"/>
        <v>5.72487E-2</v>
      </c>
      <c r="IV41" s="4">
        <f t="shared" si="255"/>
        <v>4.0462400000000009E-2</v>
      </c>
      <c r="IW41" s="4">
        <f t="shared" si="256"/>
        <v>3.05746E-2</v>
      </c>
      <c r="IX41" s="4">
        <f t="shared" si="257"/>
        <v>9.2481100000000011E-2</v>
      </c>
      <c r="JA41" s="4">
        <f t="shared" si="289"/>
        <v>8.245300000000004E-3</v>
      </c>
      <c r="JB41" s="4">
        <f t="shared" si="290"/>
        <v>7.5376000000000019E-3</v>
      </c>
      <c r="JC41" s="4">
        <f t="shared" si="260"/>
        <v>4.6862000000000015E-3</v>
      </c>
      <c r="JD41" s="4">
        <f t="shared" si="261"/>
        <v>3.0872999999999977E-3</v>
      </c>
      <c r="JE41" s="4">
        <f t="shared" si="262"/>
        <v>2.1695000000000013E-3</v>
      </c>
      <c r="JF41" s="4">
        <f t="shared" si="263"/>
        <v>5.2597000000000199E-3</v>
      </c>
      <c r="JG41" s="4">
        <f t="shared" si="264"/>
        <v>2.4793000000000037E-3</v>
      </c>
      <c r="JH41" s="4">
        <f t="shared" si="265"/>
        <v>1.6825999999999994E-3</v>
      </c>
      <c r="JI41" s="4">
        <f t="shared" si="266"/>
        <v>5.1344000000000112E-3</v>
      </c>
    </row>
    <row r="42" spans="1:269" x14ac:dyDescent="0.35">
      <c r="A42" s="1">
        <v>34</v>
      </c>
      <c r="B42" s="4">
        <v>1.05568E-2</v>
      </c>
      <c r="C42" s="4">
        <v>1.05568E-2</v>
      </c>
      <c r="D42" s="4">
        <v>1.05109E-2</v>
      </c>
      <c r="E42" s="4">
        <v>1.0207000000000001E-2</v>
      </c>
      <c r="F42" s="4">
        <v>9.7997999999999991E-3</v>
      </c>
      <c r="G42" s="4">
        <v>9.1471999999999994E-3</v>
      </c>
      <c r="H42" s="4">
        <v>8.4767000000000002E-3</v>
      </c>
      <c r="I42" s="4">
        <v>7.8600000000000007E-3</v>
      </c>
      <c r="J42" s="4">
        <v>7.3211999999999999E-3</v>
      </c>
      <c r="K42" s="4">
        <v>6.8291999999999997E-3</v>
      </c>
      <c r="L42" s="4">
        <v>6.4029000000000004E-3</v>
      </c>
      <c r="M42" s="4">
        <v>5.9334000000000001E-3</v>
      </c>
      <c r="N42" s="4">
        <v>5.5938000000000003E-3</v>
      </c>
      <c r="O42" s="4">
        <v>5.293E-3</v>
      </c>
      <c r="P42" s="4">
        <v>5.0194999999999997E-3</v>
      </c>
      <c r="Q42" s="4">
        <v>4.7736000000000002E-3</v>
      </c>
      <c r="R42" s="4">
        <v>4.5595000000000002E-3</v>
      </c>
      <c r="S42" s="4">
        <v>4.3652999999999999E-3</v>
      </c>
      <c r="T42" s="4">
        <v>4.1821000000000002E-3</v>
      </c>
      <c r="U42" s="4">
        <v>4.0144999999999998E-3</v>
      </c>
      <c r="V42" s="4">
        <v>3.8639E-3</v>
      </c>
      <c r="W42" s="4">
        <v>3.7282000000000001E-3</v>
      </c>
      <c r="X42" s="4">
        <v>3.6129000000000001E-3</v>
      </c>
      <c r="Y42" s="4">
        <v>3.5071999999999998E-3</v>
      </c>
      <c r="Z42" s="4">
        <v>3.4069E-3</v>
      </c>
      <c r="AA42" s="4">
        <v>3.3124000000000001E-3</v>
      </c>
      <c r="AB42" s="4">
        <v>3.2217999999999999E-3</v>
      </c>
      <c r="AC42" s="4">
        <v>3.1324999999999999E-3</v>
      </c>
      <c r="AD42" s="4">
        <v>3.0358E-3</v>
      </c>
      <c r="AE42" s="4">
        <v>2.9315999999999999E-3</v>
      </c>
      <c r="AF42" s="4">
        <v>2.7677999999999999E-3</v>
      </c>
      <c r="AG42" s="4">
        <v>2.6794000000000002E-3</v>
      </c>
      <c r="AH42" s="4">
        <v>2.5918E-3</v>
      </c>
      <c r="AI42" s="4">
        <v>2.4263000000000002E-3</v>
      </c>
      <c r="AJ42" s="4">
        <v>2.5228E-3</v>
      </c>
      <c r="AK42" s="4">
        <v>2.4748000000000001E-3</v>
      </c>
      <c r="AL42" s="4">
        <v>2.444E-3</v>
      </c>
      <c r="AM42" s="4">
        <v>2.4123E-3</v>
      </c>
      <c r="AN42" s="4">
        <v>2.3816000000000002E-3</v>
      </c>
      <c r="AO42" s="4">
        <v>2.3506999999999998E-3</v>
      </c>
      <c r="AP42" s="4">
        <v>2.3202000000000001E-3</v>
      </c>
      <c r="AQ42" s="4">
        <v>2.2897999999999998E-3</v>
      </c>
      <c r="AR42" s="4">
        <v>2.2594999999999998E-3</v>
      </c>
      <c r="AS42" s="4">
        <v>2.2293E-3</v>
      </c>
      <c r="AT42" s="4">
        <v>2.1993999999999998E-3</v>
      </c>
      <c r="AU42" s="4">
        <v>2.1697000000000001E-3</v>
      </c>
      <c r="AV42" s="4">
        <v>2.1404000000000002E-3</v>
      </c>
      <c r="AW42" s="4">
        <v>2.1113999999999998E-3</v>
      </c>
      <c r="AX42" s="4">
        <v>2.0826999999999998E-3</v>
      </c>
      <c r="AY42" s="4">
        <v>2.0544000000000001E-3</v>
      </c>
      <c r="AZ42" s="4">
        <v>2.0265000000000001E-3</v>
      </c>
      <c r="BA42" s="4">
        <v>1.9989000000000001E-3</v>
      </c>
      <c r="BB42" s="4">
        <v>1.9716999999999998E-3</v>
      </c>
      <c r="BC42" s="4">
        <v>1.9448E-3</v>
      </c>
      <c r="BD42" s="4">
        <v>1.9183E-3</v>
      </c>
      <c r="BE42" s="4">
        <v>1.8921999999999999E-3</v>
      </c>
      <c r="BF42" s="4">
        <v>1.8664E-3</v>
      </c>
      <c r="BG42" s="4">
        <v>1.8408999999999999E-3</v>
      </c>
      <c r="BH42" s="4">
        <v>1.8157E-3</v>
      </c>
      <c r="BI42" s="4">
        <v>1.7907999999999999E-3</v>
      </c>
      <c r="BJ42" s="4">
        <v>1.7662999999999999E-3</v>
      </c>
      <c r="BK42" s="4">
        <v>1.7420000000000001E-3</v>
      </c>
      <c r="BL42" s="4">
        <v>1.7179999999999999E-3</v>
      </c>
      <c r="BM42" s="4">
        <v>1.6942000000000001E-3</v>
      </c>
      <c r="BN42" s="4">
        <v>1.6708000000000001E-3</v>
      </c>
      <c r="BO42" s="4">
        <v>1.6475999999999999E-3</v>
      </c>
      <c r="BP42" s="4">
        <v>1.6245999999999999E-3</v>
      </c>
      <c r="BQ42" s="4">
        <v>1.6019000000000001E-3</v>
      </c>
      <c r="BR42" s="4">
        <v>1.5795E-3</v>
      </c>
      <c r="BS42" s="4">
        <v>1.5573E-3</v>
      </c>
      <c r="BT42" s="4">
        <v>1.5353000000000001E-3</v>
      </c>
      <c r="BU42" s="4">
        <v>1.5137E-3</v>
      </c>
      <c r="BV42" s="4">
        <v>1.4923E-3</v>
      </c>
      <c r="BW42" s="4">
        <v>1.4710999999999999E-3</v>
      </c>
      <c r="BX42" s="4">
        <v>1.4502E-3</v>
      </c>
      <c r="BY42" s="4">
        <v>1.4296000000000001E-3</v>
      </c>
      <c r="BZ42" s="4">
        <v>1.4092E-3</v>
      </c>
      <c r="CA42" s="4">
        <v>1.3891000000000001E-3</v>
      </c>
      <c r="CB42" s="4">
        <v>1.3692000000000001E-3</v>
      </c>
      <c r="CC42" s="4">
        <v>1.3496000000000001E-3</v>
      </c>
      <c r="CD42" s="4">
        <v>1.3303E-3</v>
      </c>
      <c r="CE42" s="4">
        <v>1.3112E-3</v>
      </c>
      <c r="CF42" s="4">
        <v>1.2924E-3</v>
      </c>
      <c r="CG42" s="4">
        <v>1.2738999999999999E-3</v>
      </c>
      <c r="CH42" s="4">
        <v>1.2555999999999999E-3</v>
      </c>
      <c r="CI42" s="4">
        <v>1.2375999999999999E-3</v>
      </c>
      <c r="CJ42" s="4">
        <v>1.2198000000000001E-3</v>
      </c>
      <c r="CK42" s="4">
        <v>1.2022999999999999E-3</v>
      </c>
      <c r="CL42" s="4">
        <v>1.1850000000000001E-3</v>
      </c>
      <c r="CM42" s="4">
        <v>1.168E-3</v>
      </c>
      <c r="CN42" s="4">
        <v>1.1512E-3</v>
      </c>
      <c r="CO42" s="4">
        <v>1.1347E-3</v>
      </c>
      <c r="CP42" s="4">
        <v>1.1184000000000001E-3</v>
      </c>
      <c r="CQ42" s="4">
        <v>1.1023000000000001E-3</v>
      </c>
      <c r="CR42" s="4">
        <v>1.0865E-3</v>
      </c>
      <c r="CS42" s="4">
        <v>1.0709000000000001E-3</v>
      </c>
      <c r="CT42" s="4">
        <v>1.0556000000000001E-3</v>
      </c>
      <c r="CU42" s="4">
        <v>1.0405E-3</v>
      </c>
      <c r="CV42" s="4">
        <v>1.0256E-3</v>
      </c>
      <c r="CW42" s="4">
        <v>1.0108999999999999E-3</v>
      </c>
      <c r="CX42" s="4">
        <v>9.9649999999999999E-4</v>
      </c>
      <c r="CY42" s="4">
        <v>9.8229999999999997E-4</v>
      </c>
      <c r="CZ42" s="4">
        <v>9.6829999999999996E-4</v>
      </c>
      <c r="DA42" s="4">
        <v>9.5450000000000005E-4</v>
      </c>
      <c r="DB42" s="4">
        <v>9.4090000000000005E-4</v>
      </c>
      <c r="DC42" s="4">
        <v>9.2750000000000005E-4</v>
      </c>
      <c r="DD42" s="4">
        <v>9.1430000000000005E-4</v>
      </c>
      <c r="DE42" s="4">
        <v>9.0129999999999995E-4</v>
      </c>
      <c r="DF42" s="4">
        <v>8.8849999999999997E-4</v>
      </c>
      <c r="DG42" s="4">
        <v>8.7589999999999999E-4</v>
      </c>
      <c r="DH42" s="4">
        <v>8.6339999999999995E-4</v>
      </c>
      <c r="DI42" s="4">
        <v>8.5119999999999998E-4</v>
      </c>
      <c r="DJ42" s="4">
        <v>8.3909999999999996E-4</v>
      </c>
      <c r="DK42" s="4">
        <v>8.273E-4</v>
      </c>
      <c r="DL42" s="4">
        <v>8.1559999999999998E-4</v>
      </c>
      <c r="DM42" s="4">
        <v>8.0400000000000003E-4</v>
      </c>
      <c r="DN42" s="4">
        <v>7.9270000000000002E-4</v>
      </c>
      <c r="DO42" s="4">
        <v>7.8149999999999997E-4</v>
      </c>
      <c r="DP42" s="4">
        <v>7.7039999999999997E-4</v>
      </c>
      <c r="DQ42" s="4">
        <v>5.3844900000000001E-2</v>
      </c>
      <c r="DR42" s="4">
        <v>0</v>
      </c>
      <c r="DS42" s="4">
        <v>4.5899999999999998E-5</v>
      </c>
      <c r="DT42" s="4">
        <v>2.8279999999999999E-4</v>
      </c>
      <c r="DU42" s="4">
        <v>4.0690000000000002E-4</v>
      </c>
      <c r="DV42" s="4">
        <v>6.6600000000000003E-4</v>
      </c>
      <c r="DW42" s="4">
        <v>6.6509999999999996E-4</v>
      </c>
      <c r="DX42" s="4">
        <v>5.9170000000000002E-4</v>
      </c>
      <c r="DY42" s="4">
        <v>5.3140000000000001E-4</v>
      </c>
      <c r="DZ42" s="4">
        <v>4.6660000000000001E-4</v>
      </c>
      <c r="EA42" s="4">
        <v>4.15E-4</v>
      </c>
      <c r="EB42" s="4">
        <v>3.6850000000000001E-4</v>
      </c>
      <c r="EC42" s="4">
        <v>3.2220000000000003E-4</v>
      </c>
      <c r="ED42" s="4">
        <v>2.877E-4</v>
      </c>
      <c r="EE42" s="4">
        <v>2.5829999999999999E-4</v>
      </c>
      <c r="EF42" s="4">
        <v>2.3250000000000001E-4</v>
      </c>
      <c r="EG42" s="4">
        <v>2.097E-4</v>
      </c>
      <c r="EH42" s="4">
        <v>1.9029999999999999E-4</v>
      </c>
      <c r="EI42" s="4">
        <v>1.7340000000000001E-4</v>
      </c>
      <c r="EJ42" s="4">
        <v>1.583E-4</v>
      </c>
      <c r="EK42" s="4">
        <v>1.45E-4</v>
      </c>
      <c r="EL42" s="4">
        <v>1.3339999999999999E-4</v>
      </c>
      <c r="EM42" s="4">
        <v>1.2320000000000001E-4</v>
      </c>
      <c r="EN42" s="4">
        <v>1.143E-4</v>
      </c>
      <c r="EO42" s="4">
        <v>1.065E-4</v>
      </c>
      <c r="EP42" s="4">
        <v>9.9400000000000004E-5</v>
      </c>
      <c r="EQ42" s="4">
        <v>9.2999999999999997E-5</v>
      </c>
      <c r="ER42" s="4">
        <v>8.7299999999999994E-5</v>
      </c>
      <c r="ES42" s="4">
        <v>8.2000000000000001E-5</v>
      </c>
      <c r="ET42" s="4">
        <v>7.7000000000000001E-5</v>
      </c>
      <c r="EU42" s="4">
        <v>7.2100000000000004E-5</v>
      </c>
      <c r="EV42" s="4">
        <v>6.6000000000000005E-5</v>
      </c>
      <c r="EW42" s="4">
        <v>6.2199999999999994E-5</v>
      </c>
      <c r="EX42" s="4">
        <v>5.8600000000000001E-5</v>
      </c>
      <c r="EY42" s="4">
        <v>5.3300000000000001E-5</v>
      </c>
      <c r="EZ42" s="4">
        <v>5.4599999999999999E-5</v>
      </c>
      <c r="FA42" s="4">
        <v>5.2099999999999999E-5</v>
      </c>
      <c r="FB42" s="4">
        <v>5.02E-5</v>
      </c>
      <c r="FC42" s="4">
        <v>4.8300000000000002E-5</v>
      </c>
      <c r="FD42" s="4">
        <v>4.6600000000000001E-5</v>
      </c>
      <c r="FE42" s="4">
        <v>4.5000000000000003E-5</v>
      </c>
      <c r="FF42" s="4">
        <v>4.3399999999999998E-5</v>
      </c>
      <c r="FG42" s="4">
        <v>4.1999999999999998E-5</v>
      </c>
      <c r="FH42" s="4">
        <v>4.0599999999999998E-5</v>
      </c>
      <c r="FI42" s="4">
        <v>3.93E-5</v>
      </c>
      <c r="FJ42" s="4">
        <v>3.8099999999999998E-5</v>
      </c>
      <c r="FK42" s="4">
        <v>3.6900000000000002E-5</v>
      </c>
      <c r="FL42" s="4">
        <v>3.5899999999999998E-5</v>
      </c>
      <c r="FM42" s="4">
        <v>3.4799999999999999E-5</v>
      </c>
      <c r="FN42" s="4">
        <v>3.3899999999999997E-5</v>
      </c>
      <c r="FO42" s="4">
        <v>3.3000000000000003E-5</v>
      </c>
      <c r="FP42" s="4">
        <v>3.2100000000000001E-5</v>
      </c>
      <c r="FQ42" s="4">
        <v>3.1300000000000002E-5</v>
      </c>
      <c r="FR42" s="4">
        <v>3.0599999999999998E-5</v>
      </c>
      <c r="FS42" s="4">
        <v>2.9899999999999998E-5</v>
      </c>
      <c r="FT42" s="4">
        <v>2.9200000000000002E-5</v>
      </c>
      <c r="FU42" s="4">
        <v>2.8600000000000001E-5</v>
      </c>
      <c r="FV42" s="4">
        <v>2.8E-5</v>
      </c>
      <c r="FW42" s="4">
        <v>2.7399999999999999E-5</v>
      </c>
      <c r="FX42" s="4">
        <v>2.6800000000000001E-5</v>
      </c>
      <c r="FY42" s="4">
        <v>2.6299999999999999E-5</v>
      </c>
      <c r="FZ42" s="4">
        <v>2.58E-5</v>
      </c>
      <c r="GA42" s="4">
        <v>2.5299999999999998E-5</v>
      </c>
      <c r="GB42" s="4">
        <v>2.4899999999999999E-5</v>
      </c>
      <c r="GC42" s="4">
        <v>2.44E-5</v>
      </c>
      <c r="GD42" s="4">
        <v>2.4000000000000001E-5</v>
      </c>
      <c r="GE42" s="4">
        <v>2.3600000000000001E-5</v>
      </c>
      <c r="GF42" s="4">
        <v>2.3200000000000001E-5</v>
      </c>
      <c r="GG42" s="4">
        <v>2.2799999999999999E-5</v>
      </c>
      <c r="GH42" s="4">
        <v>2.2500000000000001E-5</v>
      </c>
      <c r="GI42" s="4">
        <v>2.2099999999999998E-5</v>
      </c>
      <c r="GJ42" s="4">
        <v>2.1699999999999999E-5</v>
      </c>
      <c r="GK42" s="4">
        <v>2.1399999999999998E-5</v>
      </c>
      <c r="GL42" s="4">
        <v>2.1100000000000001E-5</v>
      </c>
      <c r="GM42" s="4">
        <v>2.0699999999999998E-5</v>
      </c>
      <c r="GN42" s="4">
        <v>2.0400000000000001E-5</v>
      </c>
      <c r="GO42" s="4">
        <v>2.0100000000000001E-5</v>
      </c>
      <c r="GP42" s="4">
        <v>1.98E-5</v>
      </c>
      <c r="GQ42" s="4">
        <v>1.95E-5</v>
      </c>
      <c r="GR42" s="4">
        <v>1.9199999999999999E-5</v>
      </c>
      <c r="GS42" s="4">
        <v>1.9000000000000001E-5</v>
      </c>
      <c r="GT42" s="4">
        <v>1.8700000000000001E-5</v>
      </c>
      <c r="GU42" s="4">
        <v>1.84E-5</v>
      </c>
      <c r="GV42" s="4">
        <v>1.8099999999999999E-5</v>
      </c>
      <c r="GW42" s="4">
        <v>1.7900000000000001E-5</v>
      </c>
      <c r="GX42" s="4">
        <v>1.7600000000000001E-5</v>
      </c>
      <c r="GY42" s="4">
        <v>1.7399999999999999E-5</v>
      </c>
      <c r="GZ42" s="4">
        <v>1.7099999999999999E-5</v>
      </c>
      <c r="HA42" s="4">
        <v>1.6900000000000001E-5</v>
      </c>
      <c r="HB42" s="4">
        <v>1.66E-5</v>
      </c>
      <c r="HC42" s="4">
        <v>1.6399999999999999E-5</v>
      </c>
      <c r="HD42" s="4">
        <v>1.6200000000000001E-5</v>
      </c>
      <c r="HE42" s="4">
        <v>1.59E-5</v>
      </c>
      <c r="HF42" s="4">
        <v>1.5699999999999999E-5</v>
      </c>
      <c r="HG42" s="4">
        <v>1.5500000000000001E-5</v>
      </c>
      <c r="HH42" s="4">
        <v>1.5299999999999999E-5</v>
      </c>
      <c r="HI42" s="4">
        <v>1.5099999999999999E-5</v>
      </c>
      <c r="HJ42" s="4">
        <v>1.4800000000000001E-5</v>
      </c>
      <c r="HK42" s="4">
        <v>1.4600000000000001E-5</v>
      </c>
      <c r="HL42" s="4">
        <v>1.4399999999999999E-5</v>
      </c>
      <c r="HM42" s="4">
        <v>1.42E-5</v>
      </c>
      <c r="HN42" s="4">
        <v>1.4E-5</v>
      </c>
      <c r="HO42" s="4">
        <v>1.38E-5</v>
      </c>
      <c r="HP42" s="4">
        <v>1.36E-5</v>
      </c>
      <c r="HQ42" s="4">
        <v>1.3499999999999999E-5</v>
      </c>
      <c r="HR42" s="4">
        <v>1.33E-5</v>
      </c>
      <c r="HS42" s="4">
        <v>1.31E-5</v>
      </c>
      <c r="HT42" s="4">
        <v>1.29E-5</v>
      </c>
      <c r="HU42" s="4">
        <v>1.27E-5</v>
      </c>
      <c r="HV42" s="4">
        <v>1.2500000000000001E-5</v>
      </c>
      <c r="HW42" s="4">
        <v>1.24E-5</v>
      </c>
      <c r="HX42" s="4">
        <v>1.22E-5</v>
      </c>
      <c r="HY42" s="4">
        <v>1.2E-5</v>
      </c>
      <c r="HZ42" s="4">
        <v>1.19E-5</v>
      </c>
      <c r="IA42" s="4">
        <v>1.17E-5</v>
      </c>
      <c r="IB42" s="4">
        <v>1.15E-5</v>
      </c>
      <c r="IC42" s="4">
        <v>1.1399999999999999E-5</v>
      </c>
      <c r="ID42" s="4">
        <v>1.1199999999999999E-5</v>
      </c>
      <c r="IE42" s="4">
        <v>1.11E-5</v>
      </c>
      <c r="IF42" s="4">
        <v>1.0900000000000001E-5</v>
      </c>
      <c r="IG42" s="4">
        <v>7.674E-4</v>
      </c>
      <c r="IH42" s="4"/>
      <c r="II42" s="4">
        <f t="shared" si="247"/>
        <v>0.11377210746514994</v>
      </c>
      <c r="IL42">
        <f t="shared" si="248"/>
        <v>0.35484619999999978</v>
      </c>
      <c r="IP42" s="4">
        <f t="shared" si="249"/>
        <v>4.10745E-2</v>
      </c>
      <c r="IQ42" s="4">
        <f t="shared" si="250"/>
        <v>3.2805099999999997E-2</v>
      </c>
      <c r="IR42" s="4">
        <f t="shared" si="251"/>
        <v>2.4759300000000001E-2</v>
      </c>
      <c r="IS42" s="4">
        <f t="shared" si="252"/>
        <v>1.9645599999999999E-2</v>
      </c>
      <c r="IT42" s="4">
        <f t="shared" si="253"/>
        <v>1.6425800000000001E-2</v>
      </c>
      <c r="IU42" s="4">
        <f t="shared" si="254"/>
        <v>5.7260999999999992E-2</v>
      </c>
      <c r="IV42" s="4">
        <f t="shared" si="255"/>
        <v>4.0369099999999998E-2</v>
      </c>
      <c r="IW42" s="4">
        <f t="shared" si="256"/>
        <v>3.0575499999999995E-2</v>
      </c>
      <c r="IX42" s="4">
        <f t="shared" si="257"/>
        <v>9.2482500000000009E-2</v>
      </c>
      <c r="JA42" s="4">
        <f t="shared" si="289"/>
        <v>8.2351000000000021E-3</v>
      </c>
      <c r="JB42" s="4">
        <f t="shared" si="290"/>
        <v>7.6042000000000019E-3</v>
      </c>
      <c r="JC42" s="4">
        <f t="shared" si="260"/>
        <v>4.7073000000000045E-3</v>
      </c>
      <c r="JD42" s="4">
        <f t="shared" si="261"/>
        <v>3.0974999999999961E-3</v>
      </c>
      <c r="JE42" s="4">
        <f t="shared" si="262"/>
        <v>2.167800000000001E-3</v>
      </c>
      <c r="JF42" s="4">
        <f t="shared" si="263"/>
        <v>5.2564999999999903E-3</v>
      </c>
      <c r="JG42" s="4">
        <f t="shared" si="264"/>
        <v>2.48219999999999E-3</v>
      </c>
      <c r="JH42" s="4">
        <f t="shared" si="265"/>
        <v>1.6863000000000017E-3</v>
      </c>
      <c r="JI42" s="4">
        <f t="shared" si="266"/>
        <v>5.1347000000000198E-3</v>
      </c>
    </row>
    <row r="43" spans="1:269" x14ac:dyDescent="0.35">
      <c r="A43" s="1">
        <v>35</v>
      </c>
      <c r="B43" s="4">
        <v>1.05568E-2</v>
      </c>
      <c r="C43" s="4">
        <v>1.05568E-2</v>
      </c>
      <c r="D43" s="4">
        <v>1.05109E-2</v>
      </c>
      <c r="E43" s="4">
        <v>1.02281E-2</v>
      </c>
      <c r="F43" s="4">
        <v>9.8001000000000008E-3</v>
      </c>
      <c r="G43" s="4">
        <v>9.1337999999999992E-3</v>
      </c>
      <c r="H43" s="4">
        <v>8.4820999999999994E-3</v>
      </c>
      <c r="I43" s="4">
        <v>7.8849999999999996E-3</v>
      </c>
      <c r="J43" s="4">
        <v>7.3286000000000002E-3</v>
      </c>
      <c r="K43" s="4">
        <v>6.8547E-3</v>
      </c>
      <c r="L43" s="4">
        <v>6.4142000000000001E-3</v>
      </c>
      <c r="M43" s="4">
        <v>6.0343000000000003E-3</v>
      </c>
      <c r="N43" s="4">
        <v>5.6112000000000002E-3</v>
      </c>
      <c r="O43" s="4">
        <v>5.3061000000000002E-3</v>
      </c>
      <c r="P43" s="4">
        <v>5.0346999999999996E-3</v>
      </c>
      <c r="Q43" s="4">
        <v>4.7869999999999996E-3</v>
      </c>
      <c r="R43" s="4">
        <v>4.5639000000000001E-3</v>
      </c>
      <c r="S43" s="4">
        <v>4.3692000000000002E-3</v>
      </c>
      <c r="T43" s="4">
        <v>4.1920000000000004E-3</v>
      </c>
      <c r="U43" s="4">
        <v>4.0238000000000001E-3</v>
      </c>
      <c r="V43" s="4">
        <v>3.8695000000000001E-3</v>
      </c>
      <c r="W43" s="4">
        <v>3.7304999999999999E-3</v>
      </c>
      <c r="X43" s="4">
        <v>3.6050000000000001E-3</v>
      </c>
      <c r="Y43" s="4">
        <v>3.4984999999999999E-3</v>
      </c>
      <c r="Z43" s="4">
        <v>3.4007E-3</v>
      </c>
      <c r="AA43" s="4">
        <v>3.3075999999999999E-3</v>
      </c>
      <c r="AB43" s="4">
        <v>3.2193999999999999E-3</v>
      </c>
      <c r="AC43" s="4">
        <v>3.1346E-3</v>
      </c>
      <c r="AD43" s="4">
        <v>3.0504999999999998E-3</v>
      </c>
      <c r="AE43" s="4">
        <v>2.9588000000000001E-3</v>
      </c>
      <c r="AF43" s="4">
        <v>2.8595000000000001E-3</v>
      </c>
      <c r="AG43" s="4">
        <v>2.7017E-3</v>
      </c>
      <c r="AH43" s="4">
        <v>2.6172000000000001E-3</v>
      </c>
      <c r="AI43" s="4">
        <v>2.5332000000000002E-3</v>
      </c>
      <c r="AJ43" s="4">
        <v>2.3730000000000001E-3</v>
      </c>
      <c r="AK43" s="4">
        <v>2.4681999999999998E-3</v>
      </c>
      <c r="AL43" s="4">
        <v>2.4226999999999999E-3</v>
      </c>
      <c r="AM43" s="4">
        <v>2.3938000000000002E-3</v>
      </c>
      <c r="AN43" s="4">
        <v>2.3638999999999999E-3</v>
      </c>
      <c r="AO43" s="4">
        <v>2.3349E-3</v>
      </c>
      <c r="AP43" s="4">
        <v>2.3056999999999999E-3</v>
      </c>
      <c r="AQ43" s="4">
        <v>2.2767999999999998E-3</v>
      </c>
      <c r="AR43" s="4">
        <v>2.2477999999999999E-3</v>
      </c>
      <c r="AS43" s="4">
        <v>2.2189000000000002E-3</v>
      </c>
      <c r="AT43" s="4">
        <v>2.1900000000000001E-3</v>
      </c>
      <c r="AU43" s="4">
        <v>2.1613000000000001E-3</v>
      </c>
      <c r="AV43" s="4">
        <v>2.1327999999999998E-3</v>
      </c>
      <c r="AW43" s="4">
        <v>2.1045E-3</v>
      </c>
      <c r="AX43" s="4">
        <v>2.0764999999999998E-3</v>
      </c>
      <c r="AY43" s="4">
        <v>2.0487999999999999E-3</v>
      </c>
      <c r="AZ43" s="4">
        <v>2.0214E-3</v>
      </c>
      <c r="BA43" s="4">
        <v>1.9943000000000001E-3</v>
      </c>
      <c r="BB43" s="4">
        <v>1.9675000000000001E-3</v>
      </c>
      <c r="BC43" s="4">
        <v>1.9411000000000001E-3</v>
      </c>
      <c r="BD43" s="4">
        <v>1.9149E-3</v>
      </c>
      <c r="BE43" s="4">
        <v>1.8890999999999999E-3</v>
      </c>
      <c r="BF43" s="4">
        <v>1.8636E-3</v>
      </c>
      <c r="BG43" s="4">
        <v>1.8384E-3</v>
      </c>
      <c r="BH43" s="4">
        <v>1.8135E-3</v>
      </c>
      <c r="BI43" s="4">
        <v>1.7889E-3</v>
      </c>
      <c r="BJ43" s="4">
        <v>1.7645E-3</v>
      </c>
      <c r="BK43" s="4">
        <v>1.7404E-3</v>
      </c>
      <c r="BL43" s="4">
        <v>1.7166E-3</v>
      </c>
      <c r="BM43" s="4">
        <v>1.6930999999999999E-3</v>
      </c>
      <c r="BN43" s="4">
        <v>1.6697999999999999E-3</v>
      </c>
      <c r="BO43" s="4">
        <v>1.6467000000000001E-3</v>
      </c>
      <c r="BP43" s="4">
        <v>1.6239E-3</v>
      </c>
      <c r="BQ43" s="4">
        <v>1.6014E-3</v>
      </c>
      <c r="BR43" s="4">
        <v>1.5790999999999999E-3</v>
      </c>
      <c r="BS43" s="4">
        <v>1.557E-3</v>
      </c>
      <c r="BT43" s="4">
        <v>1.5352E-3</v>
      </c>
      <c r="BU43" s="4">
        <v>1.5135999999999999E-3</v>
      </c>
      <c r="BV43" s="4">
        <v>1.4923E-3</v>
      </c>
      <c r="BW43" s="4">
        <v>1.4712E-3</v>
      </c>
      <c r="BX43" s="4">
        <v>1.4503999999999999E-3</v>
      </c>
      <c r="BY43" s="4">
        <v>1.4298E-3</v>
      </c>
      <c r="BZ43" s="4">
        <v>1.4094999999999999E-3</v>
      </c>
      <c r="CA43" s="4">
        <v>1.3894000000000001E-3</v>
      </c>
      <c r="CB43" s="4">
        <v>1.3695999999999999E-3</v>
      </c>
      <c r="CC43" s="4">
        <v>1.3500000000000001E-3</v>
      </c>
      <c r="CD43" s="4">
        <v>1.3307E-3</v>
      </c>
      <c r="CE43" s="4">
        <v>1.3116E-3</v>
      </c>
      <c r="CF43" s="4">
        <v>1.2928E-3</v>
      </c>
      <c r="CG43" s="4">
        <v>1.2742999999999999E-3</v>
      </c>
      <c r="CH43" s="4">
        <v>1.256E-3</v>
      </c>
      <c r="CI43" s="4">
        <v>1.238E-3</v>
      </c>
      <c r="CJ43" s="4">
        <v>1.2202000000000001E-3</v>
      </c>
      <c r="CK43" s="4">
        <v>1.2026999999999999E-3</v>
      </c>
      <c r="CL43" s="4">
        <v>1.1854000000000001E-3</v>
      </c>
      <c r="CM43" s="4">
        <v>1.1684E-3</v>
      </c>
      <c r="CN43" s="4">
        <v>1.1516E-3</v>
      </c>
      <c r="CO43" s="4">
        <v>1.1349999999999999E-3</v>
      </c>
      <c r="CP43" s="4">
        <v>1.1187E-3</v>
      </c>
      <c r="CQ43" s="4">
        <v>1.1027000000000001E-3</v>
      </c>
      <c r="CR43" s="4">
        <v>1.0868E-3</v>
      </c>
      <c r="CS43" s="4">
        <v>1.0712E-3</v>
      </c>
      <c r="CT43" s="4">
        <v>1.0559E-3</v>
      </c>
      <c r="CU43" s="4">
        <v>1.0407999999999999E-3</v>
      </c>
      <c r="CV43" s="4">
        <v>1.0258000000000001E-3</v>
      </c>
      <c r="CW43" s="4">
        <v>1.0112000000000001E-3</v>
      </c>
      <c r="CX43" s="4">
        <v>9.967000000000001E-4</v>
      </c>
      <c r="CY43" s="4">
        <v>9.8250000000000008E-4</v>
      </c>
      <c r="CZ43" s="4">
        <v>9.6840000000000001E-4</v>
      </c>
      <c r="DA43" s="4">
        <v>9.546E-4</v>
      </c>
      <c r="DB43" s="4">
        <v>9.41E-4</v>
      </c>
      <c r="DC43" s="4">
        <v>9.276E-4</v>
      </c>
      <c r="DD43" s="4">
        <v>9.144E-4</v>
      </c>
      <c r="DE43" s="4">
        <v>9.0140000000000001E-4</v>
      </c>
      <c r="DF43" s="4">
        <v>8.8860000000000002E-4</v>
      </c>
      <c r="DG43" s="4">
        <v>8.7589999999999999E-4</v>
      </c>
      <c r="DH43" s="4">
        <v>8.6350000000000001E-4</v>
      </c>
      <c r="DI43" s="4">
        <v>8.5119999999999998E-4</v>
      </c>
      <c r="DJ43" s="4">
        <v>8.3920000000000002E-4</v>
      </c>
      <c r="DK43" s="4">
        <v>8.273E-4</v>
      </c>
      <c r="DL43" s="4">
        <v>8.1559999999999998E-4</v>
      </c>
      <c r="DM43" s="4">
        <v>8.0400000000000003E-4</v>
      </c>
      <c r="DN43" s="4">
        <v>7.9259999999999997E-4</v>
      </c>
      <c r="DO43" s="4">
        <v>7.8140000000000002E-4</v>
      </c>
      <c r="DP43" s="4">
        <v>7.7039999999999997E-4</v>
      </c>
      <c r="DQ43" s="4">
        <v>5.3837000000000003E-2</v>
      </c>
      <c r="DR43" s="4">
        <v>0</v>
      </c>
      <c r="DS43" s="4">
        <v>4.5899999999999998E-5</v>
      </c>
      <c r="DT43" s="4">
        <v>2.8279999999999999E-4</v>
      </c>
      <c r="DU43" s="4">
        <v>3.1940000000000001E-4</v>
      </c>
      <c r="DV43" s="4">
        <v>6.5379999999999995E-4</v>
      </c>
      <c r="DW43" s="4">
        <v>6.491E-4</v>
      </c>
      <c r="DX43" s="4">
        <v>5.844E-4</v>
      </c>
      <c r="DY43" s="4">
        <v>5.3209999999999998E-4</v>
      </c>
      <c r="DZ43" s="4">
        <v>4.6299999999999998E-4</v>
      </c>
      <c r="EA43" s="4">
        <v>4.1409999999999998E-4</v>
      </c>
      <c r="EB43" s="4">
        <v>3.678E-4</v>
      </c>
      <c r="EC43" s="4">
        <v>3.2820000000000001E-4</v>
      </c>
      <c r="ED43" s="4">
        <v>2.877E-4</v>
      </c>
      <c r="EE43" s="4">
        <v>2.5829999999999999E-4</v>
      </c>
      <c r="EF43" s="4">
        <v>2.3279999999999999E-4</v>
      </c>
      <c r="EG43" s="4">
        <v>2.1039999999999999E-4</v>
      </c>
      <c r="EH43" s="4">
        <v>1.906E-4</v>
      </c>
      <c r="EI43" s="4">
        <v>1.7359999999999999E-4</v>
      </c>
      <c r="EJ43" s="4">
        <v>1.5870000000000001E-4</v>
      </c>
      <c r="EK43" s="4">
        <v>1.4540000000000001E-4</v>
      </c>
      <c r="EL43" s="4">
        <v>1.3359999999999999E-4</v>
      </c>
      <c r="EM43" s="4">
        <v>1.2320000000000001E-4</v>
      </c>
      <c r="EN43" s="4">
        <v>1.1400000000000001E-4</v>
      </c>
      <c r="EO43" s="4">
        <v>1.06E-4</v>
      </c>
      <c r="EP43" s="4">
        <v>9.8900000000000005E-5</v>
      </c>
      <c r="EQ43" s="4">
        <v>9.2499999999999999E-5</v>
      </c>
      <c r="ER43" s="4">
        <v>8.6700000000000007E-5</v>
      </c>
      <c r="ES43" s="4">
        <v>8.1500000000000002E-5</v>
      </c>
      <c r="ET43" s="4">
        <v>7.6699999999999994E-5</v>
      </c>
      <c r="EU43" s="4">
        <v>7.2100000000000004E-5</v>
      </c>
      <c r="EV43" s="4">
        <v>6.7600000000000003E-5</v>
      </c>
      <c r="EW43" s="4">
        <v>6.19E-5</v>
      </c>
      <c r="EX43" s="4">
        <v>5.8400000000000003E-5</v>
      </c>
      <c r="EY43" s="4">
        <v>5.5099999999999998E-5</v>
      </c>
      <c r="EZ43" s="4">
        <v>5.0099999999999998E-5</v>
      </c>
      <c r="FA43" s="4">
        <v>5.1400000000000003E-5</v>
      </c>
      <c r="FB43" s="4">
        <v>4.9100000000000001E-5</v>
      </c>
      <c r="FC43" s="4">
        <v>4.7299999999999998E-5</v>
      </c>
      <c r="FD43" s="4">
        <v>4.5599999999999997E-5</v>
      </c>
      <c r="FE43" s="4">
        <v>4.3999999999999999E-5</v>
      </c>
      <c r="FF43" s="4">
        <v>4.2500000000000003E-5</v>
      </c>
      <c r="FG43" s="4">
        <v>4.1100000000000003E-5</v>
      </c>
      <c r="FH43" s="4">
        <v>3.9799999999999998E-5</v>
      </c>
      <c r="FI43" s="4">
        <v>3.8500000000000001E-5</v>
      </c>
      <c r="FJ43" s="4">
        <v>3.7400000000000001E-5</v>
      </c>
      <c r="FK43" s="4">
        <v>3.6199999999999999E-5</v>
      </c>
      <c r="FL43" s="4">
        <v>3.5200000000000002E-5</v>
      </c>
      <c r="FM43" s="4">
        <v>3.4199999999999998E-5</v>
      </c>
      <c r="FN43" s="4">
        <v>3.3300000000000003E-5</v>
      </c>
      <c r="FO43" s="4">
        <v>3.2400000000000001E-5</v>
      </c>
      <c r="FP43" s="4">
        <v>3.1600000000000002E-5</v>
      </c>
      <c r="FQ43" s="4">
        <v>3.0899999999999999E-5</v>
      </c>
      <c r="FR43" s="4">
        <v>3.01E-5</v>
      </c>
      <c r="FS43" s="4">
        <v>2.9499999999999999E-5</v>
      </c>
      <c r="FT43" s="4">
        <v>2.8799999999999999E-5</v>
      </c>
      <c r="FU43" s="4">
        <v>2.8200000000000001E-5</v>
      </c>
      <c r="FV43" s="4">
        <v>2.76E-5</v>
      </c>
      <c r="FW43" s="4">
        <v>2.7100000000000001E-5</v>
      </c>
      <c r="FX43" s="4">
        <v>2.65E-5</v>
      </c>
      <c r="FY43" s="4">
        <v>2.5999999999999998E-5</v>
      </c>
      <c r="FZ43" s="4">
        <v>2.5599999999999999E-5</v>
      </c>
      <c r="GA43" s="4">
        <v>2.51E-5</v>
      </c>
      <c r="GB43" s="4">
        <v>2.4700000000000001E-5</v>
      </c>
      <c r="GC43" s="4">
        <v>2.4199999999999999E-5</v>
      </c>
      <c r="GD43" s="4">
        <v>2.3799999999999999E-5</v>
      </c>
      <c r="GE43" s="4">
        <v>2.34E-5</v>
      </c>
      <c r="GF43" s="4">
        <v>2.3E-5</v>
      </c>
      <c r="GG43" s="4">
        <v>2.27E-5</v>
      </c>
      <c r="GH43" s="4">
        <v>2.23E-5</v>
      </c>
      <c r="GI43" s="4">
        <v>2.1999999999999999E-5</v>
      </c>
      <c r="GJ43" s="4">
        <v>2.16E-5</v>
      </c>
      <c r="GK43" s="4">
        <v>2.1299999999999999E-5</v>
      </c>
      <c r="GL43" s="4">
        <v>2.0999999999999999E-5</v>
      </c>
      <c r="GM43" s="4">
        <v>2.0699999999999998E-5</v>
      </c>
      <c r="GN43" s="4">
        <v>2.0299999999999999E-5</v>
      </c>
      <c r="GO43" s="4">
        <v>2.0000000000000002E-5</v>
      </c>
      <c r="GP43" s="4">
        <v>1.98E-5</v>
      </c>
      <c r="GQ43" s="4">
        <v>1.95E-5</v>
      </c>
      <c r="GR43" s="4">
        <v>1.9199999999999999E-5</v>
      </c>
      <c r="GS43" s="4">
        <v>1.8899999999999999E-5</v>
      </c>
      <c r="GT43" s="4">
        <v>1.8600000000000001E-5</v>
      </c>
      <c r="GU43" s="4">
        <v>1.84E-5</v>
      </c>
      <c r="GV43" s="4">
        <v>1.8099999999999999E-5</v>
      </c>
      <c r="GW43" s="4">
        <v>1.7799999999999999E-5</v>
      </c>
      <c r="GX43" s="4">
        <v>1.7600000000000001E-5</v>
      </c>
      <c r="GY43" s="4">
        <v>1.73E-5</v>
      </c>
      <c r="GZ43" s="4">
        <v>1.7099999999999999E-5</v>
      </c>
      <c r="HA43" s="4">
        <v>1.6900000000000001E-5</v>
      </c>
      <c r="HB43" s="4">
        <v>1.66E-5</v>
      </c>
      <c r="HC43" s="4">
        <v>1.6399999999999999E-5</v>
      </c>
      <c r="HD43" s="4">
        <v>1.6099999999999998E-5</v>
      </c>
      <c r="HE43" s="4">
        <v>1.59E-5</v>
      </c>
      <c r="HF43" s="4">
        <v>1.5699999999999999E-5</v>
      </c>
      <c r="HG43" s="4">
        <v>1.5500000000000001E-5</v>
      </c>
      <c r="HH43" s="4">
        <v>1.5299999999999999E-5</v>
      </c>
      <c r="HI43" s="4">
        <v>1.5E-5</v>
      </c>
      <c r="HJ43" s="4">
        <v>1.4800000000000001E-5</v>
      </c>
      <c r="HK43" s="4">
        <v>1.4600000000000001E-5</v>
      </c>
      <c r="HL43" s="4">
        <v>1.4399999999999999E-5</v>
      </c>
      <c r="HM43" s="4">
        <v>1.42E-5</v>
      </c>
      <c r="HN43" s="4">
        <v>1.4E-5</v>
      </c>
      <c r="HO43" s="4">
        <v>1.38E-5</v>
      </c>
      <c r="HP43" s="4">
        <v>1.36E-5</v>
      </c>
      <c r="HQ43" s="4">
        <v>1.3499999999999999E-5</v>
      </c>
      <c r="HR43" s="4">
        <v>1.33E-5</v>
      </c>
      <c r="HS43" s="4">
        <v>1.31E-5</v>
      </c>
      <c r="HT43" s="4">
        <v>1.29E-5</v>
      </c>
      <c r="HU43" s="4">
        <v>1.27E-5</v>
      </c>
      <c r="HV43" s="4">
        <v>1.2500000000000001E-5</v>
      </c>
      <c r="HW43" s="4">
        <v>1.24E-5</v>
      </c>
      <c r="HX43" s="4">
        <v>1.22E-5</v>
      </c>
      <c r="HY43" s="4">
        <v>1.2E-5</v>
      </c>
      <c r="HZ43" s="4">
        <v>1.19E-5</v>
      </c>
      <c r="IA43" s="4">
        <v>1.17E-5</v>
      </c>
      <c r="IB43" s="4">
        <v>1.15E-5</v>
      </c>
      <c r="IC43" s="4">
        <v>1.1399999999999999E-5</v>
      </c>
      <c r="ID43" s="4">
        <v>1.1199999999999999E-5</v>
      </c>
      <c r="IE43" s="4">
        <v>1.11E-5</v>
      </c>
      <c r="IF43" s="4">
        <v>1.0900000000000001E-5</v>
      </c>
      <c r="IG43" s="4">
        <v>7.67E-4</v>
      </c>
      <c r="IH43" s="4"/>
      <c r="II43" s="4">
        <f t="shared" si="247"/>
        <v>0.11357837847884832</v>
      </c>
      <c r="IL43">
        <f t="shared" si="248"/>
        <v>0.35508694999999985</v>
      </c>
      <c r="IP43" s="4">
        <f t="shared" si="249"/>
        <v>4.1095899999999998E-2</v>
      </c>
      <c r="IQ43" s="4">
        <f t="shared" si="250"/>
        <v>3.2829499999999998E-2</v>
      </c>
      <c r="IR43" s="4">
        <f t="shared" si="251"/>
        <v>2.49144E-2</v>
      </c>
      <c r="IS43" s="4">
        <f t="shared" si="252"/>
        <v>1.9691699999999999E-2</v>
      </c>
      <c r="IT43" s="4">
        <f t="shared" si="253"/>
        <v>1.6454500000000004E-2</v>
      </c>
      <c r="IU43" s="4">
        <f t="shared" si="254"/>
        <v>5.7279400000000008E-2</v>
      </c>
      <c r="IV43" s="4">
        <f t="shared" si="255"/>
        <v>4.0254600000000008E-2</v>
      </c>
      <c r="IW43" s="4">
        <f t="shared" si="256"/>
        <v>3.0569699999999995E-2</v>
      </c>
      <c r="IX43" s="4">
        <f t="shared" si="257"/>
        <v>9.248240000000002E-2</v>
      </c>
      <c r="JA43" s="4">
        <f t="shared" si="289"/>
        <v>8.2035000000000025E-3</v>
      </c>
      <c r="JB43" s="4">
        <f t="shared" si="290"/>
        <v>7.6087999999999989E-3</v>
      </c>
      <c r="JC43" s="4">
        <f t="shared" si="260"/>
        <v>4.7012000000000026E-3</v>
      </c>
      <c r="JD43" s="4">
        <f t="shared" si="261"/>
        <v>3.0960000000000015E-3</v>
      </c>
      <c r="JE43" s="4">
        <f t="shared" si="262"/>
        <v>2.1628999999999989E-3</v>
      </c>
      <c r="JF43" s="4">
        <f t="shared" si="263"/>
        <v>5.2534999999999943E-3</v>
      </c>
      <c r="JG43" s="4">
        <f t="shared" si="264"/>
        <v>2.4811000000000069E-3</v>
      </c>
      <c r="JH43" s="4">
        <f t="shared" si="265"/>
        <v>1.6885999999999915E-3</v>
      </c>
      <c r="JI43" s="4">
        <f t="shared" si="266"/>
        <v>5.1346000000000308E-3</v>
      </c>
    </row>
    <row r="44" spans="1:269" x14ac:dyDescent="0.35">
      <c r="A44" s="1">
        <v>36</v>
      </c>
      <c r="B44" s="4">
        <v>1.05568E-2</v>
      </c>
      <c r="C44" s="4">
        <v>1.05568E-2</v>
      </c>
      <c r="D44" s="4">
        <v>1.05109E-2</v>
      </c>
      <c r="E44" s="4">
        <v>1.02281E-2</v>
      </c>
      <c r="F44" s="4">
        <v>9.9086999999999995E-3</v>
      </c>
      <c r="G44" s="4">
        <v>9.1462999999999996E-3</v>
      </c>
      <c r="H44" s="4">
        <v>8.4846000000000001E-3</v>
      </c>
      <c r="I44" s="4">
        <v>7.8977000000000006E-3</v>
      </c>
      <c r="J44" s="4">
        <v>7.3528999999999999E-3</v>
      </c>
      <c r="K44" s="4">
        <v>6.8656000000000003E-3</v>
      </c>
      <c r="L44" s="4">
        <v>6.4406000000000003E-3</v>
      </c>
      <c r="M44" s="4">
        <v>6.0464999999999998E-3</v>
      </c>
      <c r="N44" s="4">
        <v>5.7061999999999998E-3</v>
      </c>
      <c r="O44" s="4">
        <v>5.3235000000000001E-3</v>
      </c>
      <c r="P44" s="4">
        <v>5.0477999999999999E-3</v>
      </c>
      <c r="Q44" s="4">
        <v>4.8018999999999996E-3</v>
      </c>
      <c r="R44" s="4">
        <v>4.5764999999999998E-3</v>
      </c>
      <c r="S44" s="4">
        <v>4.3733000000000001E-3</v>
      </c>
      <c r="T44" s="4">
        <v>4.1954999999999996E-3</v>
      </c>
      <c r="U44" s="4">
        <v>4.0331999999999998E-3</v>
      </c>
      <c r="V44" s="4">
        <v>3.8784000000000002E-3</v>
      </c>
      <c r="W44" s="4">
        <v>3.7358999999999999E-3</v>
      </c>
      <c r="X44" s="4">
        <v>3.6074000000000002E-3</v>
      </c>
      <c r="Y44" s="4">
        <v>3.4910000000000002E-3</v>
      </c>
      <c r="Z44" s="4">
        <v>3.3925000000000001E-3</v>
      </c>
      <c r="AA44" s="4">
        <v>3.3018000000000001E-3</v>
      </c>
      <c r="AB44" s="4">
        <v>3.2150999999999998E-3</v>
      </c>
      <c r="AC44" s="4">
        <v>3.1327E-3</v>
      </c>
      <c r="AD44" s="4">
        <v>3.0531E-3</v>
      </c>
      <c r="AE44" s="4">
        <v>2.9738E-3</v>
      </c>
      <c r="AF44" s="4">
        <v>2.8868000000000001E-3</v>
      </c>
      <c r="AG44" s="4">
        <v>2.7918999999999999E-3</v>
      </c>
      <c r="AH44" s="4">
        <v>2.6397999999999999E-3</v>
      </c>
      <c r="AI44" s="4">
        <v>2.5588E-3</v>
      </c>
      <c r="AJ44" s="4">
        <v>2.4781999999999998E-3</v>
      </c>
      <c r="AK44" s="4">
        <v>2.3229000000000001E-3</v>
      </c>
      <c r="AL44" s="4">
        <v>2.4169E-3</v>
      </c>
      <c r="AM44" s="4">
        <v>2.3736E-3</v>
      </c>
      <c r="AN44" s="4">
        <v>2.3465000000000001E-3</v>
      </c>
      <c r="AO44" s="4">
        <v>2.3183000000000001E-3</v>
      </c>
      <c r="AP44" s="4">
        <v>2.2908999999999998E-3</v>
      </c>
      <c r="AQ44" s="4">
        <v>2.2631999999999999E-3</v>
      </c>
      <c r="AR44" s="4">
        <v>2.2357000000000002E-3</v>
      </c>
      <c r="AS44" s="4">
        <v>2.2081000000000002E-3</v>
      </c>
      <c r="AT44" s="4">
        <v>2.1803E-3</v>
      </c>
      <c r="AU44" s="4">
        <v>2.1527E-3</v>
      </c>
      <c r="AV44" s="4">
        <v>2.1251E-3</v>
      </c>
      <c r="AW44" s="4">
        <v>2.0975999999999998E-3</v>
      </c>
      <c r="AX44" s="4">
        <v>2.0703000000000002E-3</v>
      </c>
      <c r="AY44" s="4">
        <v>2.0431999999999998E-3</v>
      </c>
      <c r="AZ44" s="4">
        <v>2.0163999999999998E-3</v>
      </c>
      <c r="BA44" s="4">
        <v>1.9897999999999999E-3</v>
      </c>
      <c r="BB44" s="4">
        <v>1.9635E-3</v>
      </c>
      <c r="BC44" s="4">
        <v>1.9373999999999999E-3</v>
      </c>
      <c r="BD44" s="4">
        <v>1.9116000000000001E-3</v>
      </c>
      <c r="BE44" s="4">
        <v>1.8860999999999999E-3</v>
      </c>
      <c r="BF44" s="4">
        <v>1.8609E-3</v>
      </c>
      <c r="BG44" s="4">
        <v>1.836E-3</v>
      </c>
      <c r="BH44" s="4">
        <v>1.8113000000000001E-3</v>
      </c>
      <c r="BI44" s="4">
        <v>1.7868999999999999E-3</v>
      </c>
      <c r="BJ44" s="4">
        <v>1.7627999999999999E-3</v>
      </c>
      <c r="BK44" s="4">
        <v>1.7390000000000001E-3</v>
      </c>
      <c r="BL44" s="4">
        <v>1.7152999999999999E-3</v>
      </c>
      <c r="BM44" s="4">
        <v>1.6919999999999999E-3</v>
      </c>
      <c r="BN44" s="4">
        <v>1.6689000000000001E-3</v>
      </c>
      <c r="BO44" s="4">
        <v>1.6459999999999999E-3</v>
      </c>
      <c r="BP44" s="4">
        <v>1.6233E-3</v>
      </c>
      <c r="BQ44" s="4">
        <v>1.6008999999999999E-3</v>
      </c>
      <c r="BR44" s="4">
        <v>1.5786999999999999E-3</v>
      </c>
      <c r="BS44" s="4">
        <v>1.5567999999999999E-3</v>
      </c>
      <c r="BT44" s="4">
        <v>1.5349999999999999E-3</v>
      </c>
      <c r="BU44" s="4">
        <v>1.5135999999999999E-3</v>
      </c>
      <c r="BV44" s="4">
        <v>1.4923E-3</v>
      </c>
      <c r="BW44" s="4">
        <v>1.4713E-3</v>
      </c>
      <c r="BX44" s="4">
        <v>1.4505E-3</v>
      </c>
      <c r="BY44" s="4">
        <v>1.4300000000000001E-3</v>
      </c>
      <c r="BZ44" s="4">
        <v>1.4097000000000001E-3</v>
      </c>
      <c r="CA44" s="4">
        <v>1.3897E-3</v>
      </c>
      <c r="CB44" s="4">
        <v>1.3699000000000001E-3</v>
      </c>
      <c r="CC44" s="4">
        <v>1.3504000000000001E-3</v>
      </c>
      <c r="CD44" s="4">
        <v>1.3311E-3</v>
      </c>
      <c r="CE44" s="4">
        <v>1.3121000000000001E-3</v>
      </c>
      <c r="CF44" s="4">
        <v>1.2933E-3</v>
      </c>
      <c r="CG44" s="4">
        <v>1.2746999999999999E-3</v>
      </c>
      <c r="CH44" s="4">
        <v>1.2565E-3</v>
      </c>
      <c r="CI44" s="4">
        <v>1.2384E-3</v>
      </c>
      <c r="CJ44" s="4">
        <v>1.2206000000000001E-3</v>
      </c>
      <c r="CK44" s="4">
        <v>1.2030999999999999E-3</v>
      </c>
      <c r="CL44" s="4">
        <v>1.1858000000000001E-3</v>
      </c>
      <c r="CM44" s="4">
        <v>1.1688E-3</v>
      </c>
      <c r="CN44" s="4">
        <v>1.152E-3</v>
      </c>
      <c r="CO44" s="4">
        <v>1.1354E-3</v>
      </c>
      <c r="CP44" s="4">
        <v>1.1191E-3</v>
      </c>
      <c r="CQ44" s="4">
        <v>1.103E-3</v>
      </c>
      <c r="CR44" s="4">
        <v>1.0872E-3</v>
      </c>
      <c r="CS44" s="4">
        <v>1.0716E-3</v>
      </c>
      <c r="CT44" s="4">
        <v>1.0562E-3</v>
      </c>
      <c r="CU44" s="4">
        <v>1.041E-3</v>
      </c>
      <c r="CV44" s="4">
        <v>1.0261000000000001E-3</v>
      </c>
      <c r="CW44" s="4">
        <v>1.0114E-3</v>
      </c>
      <c r="CX44" s="4">
        <v>9.969E-4</v>
      </c>
      <c r="CY44" s="4">
        <v>9.8269999999999998E-4</v>
      </c>
      <c r="CZ44" s="4">
        <v>9.6860000000000002E-4</v>
      </c>
      <c r="DA44" s="4">
        <v>9.5480000000000001E-4</v>
      </c>
      <c r="DB44" s="4">
        <v>9.412E-4</v>
      </c>
      <c r="DC44" s="4">
        <v>9.2770000000000005E-4</v>
      </c>
      <c r="DD44" s="4">
        <v>9.1449999999999995E-4</v>
      </c>
      <c r="DE44" s="4">
        <v>9.0149999999999996E-4</v>
      </c>
      <c r="DF44" s="4">
        <v>8.8860000000000002E-4</v>
      </c>
      <c r="DG44" s="4">
        <v>8.7600000000000004E-4</v>
      </c>
      <c r="DH44" s="4">
        <v>8.6359999999999996E-4</v>
      </c>
      <c r="DI44" s="4">
        <v>8.5130000000000004E-4</v>
      </c>
      <c r="DJ44" s="4">
        <v>8.3920000000000002E-4</v>
      </c>
      <c r="DK44" s="4">
        <v>8.273E-4</v>
      </c>
      <c r="DL44" s="4">
        <v>8.1559999999999998E-4</v>
      </c>
      <c r="DM44" s="4">
        <v>8.0400000000000003E-4</v>
      </c>
      <c r="DN44" s="4">
        <v>7.9259999999999997E-4</v>
      </c>
      <c r="DO44" s="4">
        <v>7.8140000000000002E-4</v>
      </c>
      <c r="DP44" s="4">
        <v>7.7039999999999997E-4</v>
      </c>
      <c r="DQ44" s="4">
        <v>5.3829399999999999E-2</v>
      </c>
      <c r="DR44" s="4">
        <v>0</v>
      </c>
      <c r="DS44" s="4">
        <v>4.5899999999999998E-5</v>
      </c>
      <c r="DT44" s="4">
        <v>2.834E-4</v>
      </c>
      <c r="DU44" s="4">
        <v>3.2140000000000001E-4</v>
      </c>
      <c r="DV44" s="4">
        <v>7.6309999999999995E-4</v>
      </c>
      <c r="DW44" s="4">
        <v>6.6310000000000002E-4</v>
      </c>
      <c r="DX44" s="4">
        <v>5.9199999999999997E-4</v>
      </c>
      <c r="DY44" s="4">
        <v>5.3939999999999999E-4</v>
      </c>
      <c r="DZ44" s="4">
        <v>4.7140000000000002E-4</v>
      </c>
      <c r="EA44" s="4">
        <v>4.193E-4</v>
      </c>
      <c r="EB44" s="4">
        <v>3.7290000000000001E-4</v>
      </c>
      <c r="EC44" s="4">
        <v>3.323E-4</v>
      </c>
      <c r="ED44" s="4">
        <v>2.965E-4</v>
      </c>
      <c r="EE44" s="4">
        <v>2.611E-4</v>
      </c>
      <c r="EF44" s="4">
        <v>2.3479999999999999E-4</v>
      </c>
      <c r="EG44" s="4">
        <v>2.1220000000000001E-4</v>
      </c>
      <c r="EH44" s="4">
        <v>1.9239999999999999E-4</v>
      </c>
      <c r="EI44" s="4">
        <v>1.7479999999999999E-4</v>
      </c>
      <c r="EJ44" s="4">
        <v>1.596E-4</v>
      </c>
      <c r="EK44" s="4">
        <v>1.4640000000000001E-4</v>
      </c>
      <c r="EL44" s="4">
        <v>1.3449999999999999E-4</v>
      </c>
      <c r="EM44" s="4">
        <v>1.239E-4</v>
      </c>
      <c r="EN44" s="4">
        <v>1.147E-4</v>
      </c>
      <c r="EO44" s="4">
        <v>1.065E-4</v>
      </c>
      <c r="EP44" s="4">
        <v>9.9400000000000004E-5</v>
      </c>
      <c r="EQ44" s="4">
        <v>9.31E-5</v>
      </c>
      <c r="ER44" s="4">
        <v>8.7399999999999997E-5</v>
      </c>
      <c r="ES44" s="4">
        <v>8.2200000000000006E-5</v>
      </c>
      <c r="ET44" s="4">
        <v>7.7399999999999998E-5</v>
      </c>
      <c r="EU44" s="4">
        <v>7.3100000000000001E-5</v>
      </c>
      <c r="EV44" s="4">
        <v>6.8899999999999994E-5</v>
      </c>
      <c r="EW44" s="4">
        <v>6.4700000000000001E-5</v>
      </c>
      <c r="EX44" s="4">
        <v>5.94E-5</v>
      </c>
      <c r="EY44" s="4">
        <v>5.6100000000000002E-5</v>
      </c>
      <c r="EZ44" s="4">
        <v>5.3000000000000001E-5</v>
      </c>
      <c r="FA44" s="4">
        <v>4.8300000000000002E-5</v>
      </c>
      <c r="FB44" s="4">
        <v>4.9599999999999999E-5</v>
      </c>
      <c r="FC44" s="4">
        <v>4.74E-5</v>
      </c>
      <c r="FD44" s="4">
        <v>4.57E-5</v>
      </c>
      <c r="FE44" s="4">
        <v>4.4199999999999997E-5</v>
      </c>
      <c r="FF44" s="4">
        <v>4.2700000000000001E-5</v>
      </c>
      <c r="FG44" s="4">
        <v>4.1300000000000001E-5</v>
      </c>
      <c r="FH44" s="4">
        <v>3.9900000000000001E-5</v>
      </c>
      <c r="FI44" s="4">
        <v>3.8699999999999999E-5</v>
      </c>
      <c r="FJ44" s="4">
        <v>3.7499999999999997E-5</v>
      </c>
      <c r="FK44" s="4">
        <v>3.6399999999999997E-5</v>
      </c>
      <c r="FL44" s="4">
        <v>3.5299999999999997E-5</v>
      </c>
      <c r="FM44" s="4">
        <v>3.43E-5</v>
      </c>
      <c r="FN44" s="4">
        <v>3.3399999999999999E-5</v>
      </c>
      <c r="FO44" s="4">
        <v>3.2499999999999997E-5</v>
      </c>
      <c r="FP44" s="4">
        <v>3.1699999999999998E-5</v>
      </c>
      <c r="FQ44" s="4">
        <v>3.0899999999999999E-5</v>
      </c>
      <c r="FR44" s="4">
        <v>3.0199999999999999E-5</v>
      </c>
      <c r="FS44" s="4">
        <v>2.9499999999999999E-5</v>
      </c>
      <c r="FT44" s="4">
        <v>2.8900000000000001E-5</v>
      </c>
      <c r="FU44" s="4">
        <v>2.8200000000000001E-5</v>
      </c>
      <c r="FV44" s="4">
        <v>2.7699999999999999E-5</v>
      </c>
      <c r="FW44" s="4">
        <v>2.7100000000000001E-5</v>
      </c>
      <c r="FX44" s="4">
        <v>2.6599999999999999E-5</v>
      </c>
      <c r="FY44" s="4">
        <v>2.6100000000000001E-5</v>
      </c>
      <c r="FZ44" s="4">
        <v>2.5599999999999999E-5</v>
      </c>
      <c r="GA44" s="4">
        <v>2.51E-5</v>
      </c>
      <c r="GB44" s="4">
        <v>2.4700000000000001E-5</v>
      </c>
      <c r="GC44" s="4">
        <v>2.4199999999999999E-5</v>
      </c>
      <c r="GD44" s="4">
        <v>2.3799999999999999E-5</v>
      </c>
      <c r="GE44" s="4">
        <v>2.34E-5</v>
      </c>
      <c r="GF44" s="4">
        <v>2.3099999999999999E-5</v>
      </c>
      <c r="GG44" s="4">
        <v>2.27E-5</v>
      </c>
      <c r="GH44" s="4">
        <v>2.23E-5</v>
      </c>
      <c r="GI44" s="4">
        <v>2.1999999999999999E-5</v>
      </c>
      <c r="GJ44" s="4">
        <v>2.16E-5</v>
      </c>
      <c r="GK44" s="4">
        <v>2.1299999999999999E-5</v>
      </c>
      <c r="GL44" s="4">
        <v>2.0999999999999999E-5</v>
      </c>
      <c r="GM44" s="4">
        <v>2.0699999999999998E-5</v>
      </c>
      <c r="GN44" s="4">
        <v>2.0400000000000001E-5</v>
      </c>
      <c r="GO44" s="4">
        <v>2.0100000000000001E-5</v>
      </c>
      <c r="GP44" s="4">
        <v>1.98E-5</v>
      </c>
      <c r="GQ44" s="4">
        <v>1.95E-5</v>
      </c>
      <c r="GR44" s="4">
        <v>1.9199999999999999E-5</v>
      </c>
      <c r="GS44" s="4">
        <v>1.8899999999999999E-5</v>
      </c>
      <c r="GT44" s="4">
        <v>1.8600000000000001E-5</v>
      </c>
      <c r="GU44" s="4">
        <v>1.84E-5</v>
      </c>
      <c r="GV44" s="4">
        <v>1.8099999999999999E-5</v>
      </c>
      <c r="GW44" s="4">
        <v>1.7799999999999999E-5</v>
      </c>
      <c r="GX44" s="4">
        <v>1.7600000000000001E-5</v>
      </c>
      <c r="GY44" s="4">
        <v>1.73E-5</v>
      </c>
      <c r="GZ44" s="4">
        <v>1.7099999999999999E-5</v>
      </c>
      <c r="HA44" s="4">
        <v>1.6900000000000001E-5</v>
      </c>
      <c r="HB44" s="4">
        <v>1.66E-5</v>
      </c>
      <c r="HC44" s="4">
        <v>1.6399999999999999E-5</v>
      </c>
      <c r="HD44" s="4">
        <v>1.6200000000000001E-5</v>
      </c>
      <c r="HE44" s="4">
        <v>1.59E-5</v>
      </c>
      <c r="HF44" s="4">
        <v>1.5699999999999999E-5</v>
      </c>
      <c r="HG44" s="4">
        <v>1.5500000000000001E-5</v>
      </c>
      <c r="HH44" s="4">
        <v>1.5299999999999999E-5</v>
      </c>
      <c r="HI44" s="4">
        <v>1.5099999999999999E-5</v>
      </c>
      <c r="HJ44" s="4">
        <v>1.4800000000000001E-5</v>
      </c>
      <c r="HK44" s="4">
        <v>1.4600000000000001E-5</v>
      </c>
      <c r="HL44" s="4">
        <v>1.4399999999999999E-5</v>
      </c>
      <c r="HM44" s="4">
        <v>1.42E-5</v>
      </c>
      <c r="HN44" s="4">
        <v>1.4E-5</v>
      </c>
      <c r="HO44" s="4">
        <v>1.38E-5</v>
      </c>
      <c r="HP44" s="4">
        <v>1.36E-5</v>
      </c>
      <c r="HQ44" s="4">
        <v>1.3499999999999999E-5</v>
      </c>
      <c r="HR44" s="4">
        <v>1.33E-5</v>
      </c>
      <c r="HS44" s="4">
        <v>1.31E-5</v>
      </c>
      <c r="HT44" s="4">
        <v>1.29E-5</v>
      </c>
      <c r="HU44" s="4">
        <v>1.27E-5</v>
      </c>
      <c r="HV44" s="4">
        <v>1.2500000000000001E-5</v>
      </c>
      <c r="HW44" s="4">
        <v>1.24E-5</v>
      </c>
      <c r="HX44" s="4">
        <v>1.22E-5</v>
      </c>
      <c r="HY44" s="4">
        <v>1.2E-5</v>
      </c>
      <c r="HZ44" s="4">
        <v>1.19E-5</v>
      </c>
      <c r="IA44" s="4">
        <v>1.17E-5</v>
      </c>
      <c r="IB44" s="4">
        <v>1.15E-5</v>
      </c>
      <c r="IC44" s="4">
        <v>1.1399999999999999E-5</v>
      </c>
      <c r="ID44" s="4">
        <v>1.1199999999999999E-5</v>
      </c>
      <c r="IE44" s="4">
        <v>1.11E-5</v>
      </c>
      <c r="IF44" s="4">
        <v>1.0900000000000001E-5</v>
      </c>
      <c r="IG44" s="4">
        <v>7.6670000000000004E-4</v>
      </c>
      <c r="IH44" s="4"/>
      <c r="II44" s="4">
        <f t="shared" si="247"/>
        <v>0.11358940680656722</v>
      </c>
      <c r="IL44">
        <f t="shared" si="248"/>
        <v>0.35531306250000033</v>
      </c>
      <c r="IP44" s="4">
        <f t="shared" si="249"/>
        <v>4.1204499999999998E-2</v>
      </c>
      <c r="IQ44" s="4">
        <f t="shared" si="250"/>
        <v>3.2881500000000001E-2</v>
      </c>
      <c r="IR44" s="4">
        <f t="shared" si="251"/>
        <v>2.5058900000000002E-2</v>
      </c>
      <c r="IS44" s="4">
        <f t="shared" si="252"/>
        <v>1.9749699999999999E-2</v>
      </c>
      <c r="IT44" s="4">
        <f t="shared" si="253"/>
        <v>1.6480399999999999E-2</v>
      </c>
      <c r="IU44" s="4">
        <f t="shared" si="254"/>
        <v>5.7327899999999994E-2</v>
      </c>
      <c r="IV44" s="4">
        <f t="shared" si="255"/>
        <v>4.0138899999999998E-2</v>
      </c>
      <c r="IW44" s="4">
        <f t="shared" si="256"/>
        <v>3.0564400000000005E-2</v>
      </c>
      <c r="IX44" s="4">
        <f t="shared" si="257"/>
        <v>9.2483599999999985E-2</v>
      </c>
      <c r="JA44" s="4">
        <f t="shared" si="289"/>
        <v>8.1858E-3</v>
      </c>
      <c r="JB44" s="4">
        <f t="shared" si="290"/>
        <v>7.6230000000000013E-3</v>
      </c>
      <c r="JC44" s="4">
        <f t="shared" si="260"/>
        <v>4.7278000000000008E-3</v>
      </c>
      <c r="JD44" s="4">
        <f t="shared" si="261"/>
        <v>3.0978000000000012E-3</v>
      </c>
      <c r="JE44" s="4">
        <f t="shared" si="262"/>
        <v>2.1624999999999995E-3</v>
      </c>
      <c r="JF44" s="4">
        <f t="shared" si="263"/>
        <v>5.2605000000000013E-3</v>
      </c>
      <c r="JG44" s="4">
        <f t="shared" si="264"/>
        <v>2.4801000000000059E-3</v>
      </c>
      <c r="JH44" s="4">
        <f t="shared" si="265"/>
        <v>1.6889000000000001E-3</v>
      </c>
      <c r="JI44" s="4">
        <f t="shared" si="266"/>
        <v>5.1334000000000102E-3</v>
      </c>
    </row>
    <row r="45" spans="1:269" x14ac:dyDescent="0.35">
      <c r="A45" s="1">
        <v>37</v>
      </c>
      <c r="B45" s="4">
        <v>1.05568E-2</v>
      </c>
      <c r="C45" s="4">
        <v>1.05568E-2</v>
      </c>
      <c r="D45" s="4">
        <v>1.05109E-2</v>
      </c>
      <c r="E45" s="4">
        <v>1.02275E-2</v>
      </c>
      <c r="F45" s="4">
        <v>9.9066999999999992E-3</v>
      </c>
      <c r="G45" s="4">
        <v>9.1455000000000009E-3</v>
      </c>
      <c r="H45" s="4">
        <v>8.4831999999999998E-3</v>
      </c>
      <c r="I45" s="4">
        <v>7.8927000000000008E-3</v>
      </c>
      <c r="J45" s="4">
        <v>7.3582999999999999E-3</v>
      </c>
      <c r="K45" s="4">
        <v>6.8814999999999996E-3</v>
      </c>
      <c r="L45" s="4">
        <v>6.4463000000000003E-3</v>
      </c>
      <c r="M45" s="4">
        <v>6.0676999999999997E-3</v>
      </c>
      <c r="N45" s="4">
        <v>5.7140999999999997E-3</v>
      </c>
      <c r="O45" s="4">
        <v>5.4096999999999999E-3</v>
      </c>
      <c r="P45" s="4">
        <v>5.0623999999999999E-3</v>
      </c>
      <c r="Q45" s="4">
        <v>4.8129999999999996E-3</v>
      </c>
      <c r="R45" s="4">
        <v>4.5896000000000001E-3</v>
      </c>
      <c r="S45" s="4">
        <v>4.3842000000000004E-3</v>
      </c>
      <c r="T45" s="4">
        <v>4.1985E-3</v>
      </c>
      <c r="U45" s="4">
        <v>4.0359000000000003E-3</v>
      </c>
      <c r="V45" s="4">
        <v>3.8869E-3</v>
      </c>
      <c r="W45" s="4">
        <v>3.7439999999999999E-3</v>
      </c>
      <c r="X45" s="4">
        <v>3.6120000000000002E-3</v>
      </c>
      <c r="Y45" s="4">
        <v>3.4927000000000001E-3</v>
      </c>
      <c r="Z45" s="4">
        <v>3.3846000000000002E-3</v>
      </c>
      <c r="AA45" s="4">
        <v>3.2931000000000002E-3</v>
      </c>
      <c r="AB45" s="4">
        <v>3.2087000000000001E-3</v>
      </c>
      <c r="AC45" s="4">
        <v>3.1277000000000002E-3</v>
      </c>
      <c r="AD45" s="4">
        <v>3.0504999999999998E-3</v>
      </c>
      <c r="AE45" s="4">
        <v>2.9757E-3</v>
      </c>
      <c r="AF45" s="4">
        <v>2.9007E-3</v>
      </c>
      <c r="AG45" s="4">
        <v>2.8178999999999999E-3</v>
      </c>
      <c r="AH45" s="4">
        <v>2.7271999999999999E-3</v>
      </c>
      <c r="AI45" s="4">
        <v>2.5804000000000001E-3</v>
      </c>
      <c r="AJ45" s="4">
        <v>2.5027000000000001E-3</v>
      </c>
      <c r="AK45" s="4">
        <v>2.4250999999999999E-3</v>
      </c>
      <c r="AL45" s="4">
        <v>2.2745999999999999E-3</v>
      </c>
      <c r="AM45" s="4">
        <v>2.3673000000000001E-3</v>
      </c>
      <c r="AN45" s="4">
        <v>2.3262000000000001E-3</v>
      </c>
      <c r="AO45" s="4">
        <v>2.3008E-3</v>
      </c>
      <c r="AP45" s="4">
        <v>2.2742000000000001E-3</v>
      </c>
      <c r="AQ45" s="4">
        <v>2.2483E-3</v>
      </c>
      <c r="AR45" s="4">
        <v>2.2219000000000002E-3</v>
      </c>
      <c r="AS45" s="4">
        <v>2.1957999999999999E-3</v>
      </c>
      <c r="AT45" s="4">
        <v>2.1694000000000001E-3</v>
      </c>
      <c r="AU45" s="4">
        <v>2.1429000000000001E-3</v>
      </c>
      <c r="AV45" s="4">
        <v>2.1163000000000002E-3</v>
      </c>
      <c r="AW45" s="4">
        <v>2.0896999999999999E-3</v>
      </c>
      <c r="AX45" s="4">
        <v>2.0631999999999998E-3</v>
      </c>
      <c r="AY45" s="4">
        <v>2.0368999999999999E-3</v>
      </c>
      <c r="AZ45" s="4">
        <v>2.0106999999999998E-3</v>
      </c>
      <c r="BA45" s="4">
        <v>1.9846999999999998E-3</v>
      </c>
      <c r="BB45" s="4">
        <v>1.9588000000000001E-3</v>
      </c>
      <c r="BC45" s="4">
        <v>1.9331999999999999E-3</v>
      </c>
      <c r="BD45" s="4">
        <v>1.9078999999999999E-3</v>
      </c>
      <c r="BE45" s="4">
        <v>1.8828E-3</v>
      </c>
      <c r="BF45" s="4">
        <v>1.8579E-3</v>
      </c>
      <c r="BG45" s="4">
        <v>1.8332999999999999E-3</v>
      </c>
      <c r="BH45" s="4">
        <v>1.8089E-3</v>
      </c>
      <c r="BI45" s="4">
        <v>1.7848E-3</v>
      </c>
      <c r="BJ45" s="4">
        <v>1.7608999999999999E-3</v>
      </c>
      <c r="BK45" s="4">
        <v>1.7371999999999999E-3</v>
      </c>
      <c r="BL45" s="4">
        <v>1.7137999999999999E-3</v>
      </c>
      <c r="BM45" s="4">
        <v>1.6907000000000001E-3</v>
      </c>
      <c r="BN45" s="4">
        <v>1.6677E-3</v>
      </c>
      <c r="BO45" s="4">
        <v>1.645E-3</v>
      </c>
      <c r="BP45" s="4">
        <v>1.6225E-3</v>
      </c>
      <c r="BQ45" s="4">
        <v>1.6003E-3</v>
      </c>
      <c r="BR45" s="4">
        <v>1.5782000000000001E-3</v>
      </c>
      <c r="BS45" s="4">
        <v>1.5564000000000001E-3</v>
      </c>
      <c r="BT45" s="4">
        <v>1.5348E-3</v>
      </c>
      <c r="BU45" s="4">
        <v>1.5134E-3</v>
      </c>
      <c r="BV45" s="4">
        <v>1.4923E-3</v>
      </c>
      <c r="BW45" s="4">
        <v>1.4713E-3</v>
      </c>
      <c r="BX45" s="4">
        <v>1.4506E-3</v>
      </c>
      <c r="BY45" s="4">
        <v>1.4302E-3</v>
      </c>
      <c r="BZ45" s="4">
        <v>1.41E-3</v>
      </c>
      <c r="CA45" s="4">
        <v>1.39E-3</v>
      </c>
      <c r="CB45" s="4">
        <v>1.3702E-3</v>
      </c>
      <c r="CC45" s="4">
        <v>1.3507E-3</v>
      </c>
      <c r="CD45" s="4">
        <v>1.3315E-3</v>
      </c>
      <c r="CE45" s="4">
        <v>1.3125000000000001E-3</v>
      </c>
      <c r="CF45" s="4">
        <v>1.2937000000000001E-3</v>
      </c>
      <c r="CG45" s="4">
        <v>1.2752E-3</v>
      </c>
      <c r="CH45" s="4">
        <v>1.2569E-3</v>
      </c>
      <c r="CI45" s="4">
        <v>1.2389E-3</v>
      </c>
      <c r="CJ45" s="4">
        <v>1.2210999999999999E-3</v>
      </c>
      <c r="CK45" s="4">
        <v>1.2034999999999999E-3</v>
      </c>
      <c r="CL45" s="4">
        <v>1.1862999999999999E-3</v>
      </c>
      <c r="CM45" s="4">
        <v>1.1692E-3</v>
      </c>
      <c r="CN45" s="4">
        <v>1.1524E-3</v>
      </c>
      <c r="CO45" s="4">
        <v>1.1358E-3</v>
      </c>
      <c r="CP45" s="4">
        <v>1.1195000000000001E-3</v>
      </c>
      <c r="CQ45" s="4">
        <v>1.1034E-3</v>
      </c>
      <c r="CR45" s="4">
        <v>1.0874999999999999E-3</v>
      </c>
      <c r="CS45" s="4">
        <v>1.0719E-3</v>
      </c>
      <c r="CT45" s="4">
        <v>1.0564999999999999E-3</v>
      </c>
      <c r="CU45" s="4">
        <v>1.0414000000000001E-3</v>
      </c>
      <c r="CV45" s="4">
        <v>1.0264E-3</v>
      </c>
      <c r="CW45" s="4">
        <v>1.0116999999999999E-3</v>
      </c>
      <c r="CX45" s="4">
        <v>9.9719999999999995E-4</v>
      </c>
      <c r="CY45" s="4">
        <v>9.8290000000000009E-4</v>
      </c>
      <c r="CZ45" s="4">
        <v>9.6880000000000002E-4</v>
      </c>
      <c r="DA45" s="4">
        <v>9.5500000000000001E-4</v>
      </c>
      <c r="DB45" s="4">
        <v>9.4129999999999995E-4</v>
      </c>
      <c r="DC45" s="4">
        <v>9.2789999999999995E-4</v>
      </c>
      <c r="DD45" s="4">
        <v>9.1469999999999995E-4</v>
      </c>
      <c r="DE45" s="4">
        <v>9.0160000000000001E-4</v>
      </c>
      <c r="DF45" s="4">
        <v>8.8880000000000003E-4</v>
      </c>
      <c r="DG45" s="4">
        <v>8.7609999999999999E-4</v>
      </c>
      <c r="DH45" s="4">
        <v>8.6359999999999996E-4</v>
      </c>
      <c r="DI45" s="4">
        <v>8.5139999999999999E-4</v>
      </c>
      <c r="DJ45" s="4">
        <v>8.3929999999999996E-4</v>
      </c>
      <c r="DK45" s="4">
        <v>8.273E-4</v>
      </c>
      <c r="DL45" s="4">
        <v>8.1559999999999998E-4</v>
      </c>
      <c r="DM45" s="4">
        <v>8.0400000000000003E-4</v>
      </c>
      <c r="DN45" s="4">
        <v>7.9270000000000002E-4</v>
      </c>
      <c r="DO45" s="4">
        <v>7.8140000000000002E-4</v>
      </c>
      <c r="DP45" s="4">
        <v>7.7039999999999997E-4</v>
      </c>
      <c r="DQ45" s="4">
        <v>5.3822200000000001E-2</v>
      </c>
      <c r="DR45" s="4">
        <v>0</v>
      </c>
      <c r="DS45" s="4">
        <v>4.5899999999999998E-5</v>
      </c>
      <c r="DT45" s="4">
        <v>2.834E-4</v>
      </c>
      <c r="DU45" s="4">
        <v>3.2170000000000001E-4</v>
      </c>
      <c r="DV45" s="4">
        <v>7.5549999999999999E-4</v>
      </c>
      <c r="DW45" s="4">
        <v>6.2509999999999996E-4</v>
      </c>
      <c r="DX45" s="4">
        <v>5.8060000000000002E-4</v>
      </c>
      <c r="DY45" s="4">
        <v>5.2300000000000003E-4</v>
      </c>
      <c r="DZ45" s="4">
        <v>4.6309999999999998E-4</v>
      </c>
      <c r="EA45" s="4">
        <v>4.1429999999999999E-4</v>
      </c>
      <c r="EB45" s="4">
        <v>3.6709999999999998E-4</v>
      </c>
      <c r="EC45" s="4">
        <v>3.2840000000000001E-4</v>
      </c>
      <c r="ED45" s="4">
        <v>2.9320000000000003E-4</v>
      </c>
      <c r="EE45" s="4">
        <v>2.633E-4</v>
      </c>
      <c r="EF45" s="4">
        <v>2.331E-4</v>
      </c>
      <c r="EG45" s="4">
        <v>2.108E-4</v>
      </c>
      <c r="EH45" s="4">
        <v>1.9149999999999999E-4</v>
      </c>
      <c r="EI45" s="4">
        <v>1.7440000000000001E-4</v>
      </c>
      <c r="EJ45" s="4">
        <v>1.5919999999999999E-4</v>
      </c>
      <c r="EK45" s="4">
        <v>1.46E-4</v>
      </c>
      <c r="EL45" s="4">
        <v>1.3439999999999999E-4</v>
      </c>
      <c r="EM45" s="4">
        <v>1.239E-4</v>
      </c>
      <c r="EN45" s="4">
        <v>1.1459999999999999E-4</v>
      </c>
      <c r="EO45" s="4">
        <v>1.064E-4</v>
      </c>
      <c r="EP45" s="4">
        <v>9.9099999999999996E-5</v>
      </c>
      <c r="EQ45" s="4">
        <v>9.2800000000000006E-5</v>
      </c>
      <c r="ER45" s="4">
        <v>8.7100000000000003E-5</v>
      </c>
      <c r="ES45" s="4">
        <v>8.2000000000000001E-5</v>
      </c>
      <c r="ET45" s="4">
        <v>7.7299999999999995E-5</v>
      </c>
      <c r="EU45" s="4">
        <v>7.2999999999999999E-5</v>
      </c>
      <c r="EV45" s="4">
        <v>6.8999999999999997E-5</v>
      </c>
      <c r="EW45" s="4">
        <v>6.5099999999999997E-5</v>
      </c>
      <c r="EX45" s="4">
        <v>6.1299999999999999E-5</v>
      </c>
      <c r="EY45" s="4">
        <v>5.6400000000000002E-5</v>
      </c>
      <c r="EZ45" s="4">
        <v>5.3300000000000001E-5</v>
      </c>
      <c r="FA45" s="4">
        <v>5.0399999999999999E-5</v>
      </c>
      <c r="FB45" s="4">
        <v>4.6E-5</v>
      </c>
      <c r="FC45" s="4">
        <v>4.7200000000000002E-5</v>
      </c>
      <c r="FD45" s="4">
        <v>4.5200000000000001E-5</v>
      </c>
      <c r="FE45" s="4">
        <v>4.3699999999999998E-5</v>
      </c>
      <c r="FF45" s="4">
        <v>4.2200000000000003E-5</v>
      </c>
      <c r="FG45" s="4">
        <v>4.0899999999999998E-5</v>
      </c>
      <c r="FH45" s="4">
        <v>3.96E-5</v>
      </c>
      <c r="FI45" s="4">
        <v>3.8300000000000003E-5</v>
      </c>
      <c r="FJ45" s="4">
        <v>3.7200000000000003E-5</v>
      </c>
      <c r="FK45" s="4">
        <v>3.6100000000000003E-5</v>
      </c>
      <c r="FL45" s="4">
        <v>3.5099999999999999E-5</v>
      </c>
      <c r="FM45" s="4">
        <v>3.4100000000000002E-5</v>
      </c>
      <c r="FN45" s="4">
        <v>3.3200000000000001E-5</v>
      </c>
      <c r="FO45" s="4">
        <v>3.2299999999999999E-5</v>
      </c>
      <c r="FP45" s="4">
        <v>3.15E-5</v>
      </c>
      <c r="FQ45" s="4">
        <v>3.0700000000000001E-5</v>
      </c>
      <c r="FR45" s="4">
        <v>3.0000000000000001E-5</v>
      </c>
      <c r="FS45" s="4">
        <v>2.9300000000000001E-5</v>
      </c>
      <c r="FT45" s="4">
        <v>2.87E-5</v>
      </c>
      <c r="FU45" s="4">
        <v>2.8099999999999999E-5</v>
      </c>
      <c r="FV45" s="4">
        <v>2.7500000000000001E-5</v>
      </c>
      <c r="FW45" s="4">
        <v>2.6999999999999999E-5</v>
      </c>
      <c r="FX45" s="4">
        <v>2.6400000000000001E-5</v>
      </c>
      <c r="FY45" s="4">
        <v>2.5899999999999999E-5</v>
      </c>
      <c r="FZ45" s="4">
        <v>2.55E-5</v>
      </c>
      <c r="GA45" s="4">
        <v>2.5000000000000001E-5</v>
      </c>
      <c r="GB45" s="4">
        <v>2.4600000000000002E-5</v>
      </c>
      <c r="GC45" s="4">
        <v>2.41E-5</v>
      </c>
      <c r="GD45" s="4">
        <v>2.37E-5</v>
      </c>
      <c r="GE45" s="4">
        <v>2.34E-5</v>
      </c>
      <c r="GF45" s="4">
        <v>2.3E-5</v>
      </c>
      <c r="GG45" s="4">
        <v>2.26E-5</v>
      </c>
      <c r="GH45" s="4">
        <v>2.23E-5</v>
      </c>
      <c r="GI45" s="4">
        <v>2.19E-5</v>
      </c>
      <c r="GJ45" s="4">
        <v>2.16E-5</v>
      </c>
      <c r="GK45" s="4">
        <v>2.12E-5</v>
      </c>
      <c r="GL45" s="4">
        <v>2.09E-5</v>
      </c>
      <c r="GM45" s="4">
        <v>2.0599999999999999E-5</v>
      </c>
      <c r="GN45" s="4">
        <v>2.0299999999999999E-5</v>
      </c>
      <c r="GO45" s="4">
        <v>2.0000000000000002E-5</v>
      </c>
      <c r="GP45" s="4">
        <v>1.9700000000000001E-5</v>
      </c>
      <c r="GQ45" s="4">
        <v>1.9400000000000001E-5</v>
      </c>
      <c r="GR45" s="4">
        <v>1.9199999999999999E-5</v>
      </c>
      <c r="GS45" s="4">
        <v>1.8899999999999999E-5</v>
      </c>
      <c r="GT45" s="4">
        <v>1.8600000000000001E-5</v>
      </c>
      <c r="GU45" s="4">
        <v>1.8300000000000001E-5</v>
      </c>
      <c r="GV45" s="4">
        <v>1.8099999999999999E-5</v>
      </c>
      <c r="GW45" s="4">
        <v>1.7799999999999999E-5</v>
      </c>
      <c r="GX45" s="4">
        <v>1.7600000000000001E-5</v>
      </c>
      <c r="GY45" s="4">
        <v>1.73E-5</v>
      </c>
      <c r="GZ45" s="4">
        <v>1.7099999999999999E-5</v>
      </c>
      <c r="HA45" s="4">
        <v>1.6799999999999998E-5</v>
      </c>
      <c r="HB45" s="4">
        <v>1.66E-5</v>
      </c>
      <c r="HC45" s="4">
        <v>1.6399999999999999E-5</v>
      </c>
      <c r="HD45" s="4">
        <v>1.6099999999999998E-5</v>
      </c>
      <c r="HE45" s="4">
        <v>1.59E-5</v>
      </c>
      <c r="HF45" s="4">
        <v>1.5699999999999999E-5</v>
      </c>
      <c r="HG45" s="4">
        <v>1.5500000000000001E-5</v>
      </c>
      <c r="HH45" s="4">
        <v>1.5299999999999999E-5</v>
      </c>
      <c r="HI45" s="4">
        <v>1.5E-5</v>
      </c>
      <c r="HJ45" s="4">
        <v>1.4800000000000001E-5</v>
      </c>
      <c r="HK45" s="4">
        <v>1.4600000000000001E-5</v>
      </c>
      <c r="HL45" s="4">
        <v>1.4399999999999999E-5</v>
      </c>
      <c r="HM45" s="4">
        <v>1.42E-5</v>
      </c>
      <c r="HN45" s="4">
        <v>1.4E-5</v>
      </c>
      <c r="HO45" s="4">
        <v>1.38E-5</v>
      </c>
      <c r="HP45" s="4">
        <v>1.36E-5</v>
      </c>
      <c r="HQ45" s="4">
        <v>1.34E-5</v>
      </c>
      <c r="HR45" s="4">
        <v>1.33E-5</v>
      </c>
      <c r="HS45" s="4">
        <v>1.31E-5</v>
      </c>
      <c r="HT45" s="4">
        <v>1.29E-5</v>
      </c>
      <c r="HU45" s="4">
        <v>1.27E-5</v>
      </c>
      <c r="HV45" s="4">
        <v>1.2500000000000001E-5</v>
      </c>
      <c r="HW45" s="4">
        <v>1.24E-5</v>
      </c>
      <c r="HX45" s="4">
        <v>1.22E-5</v>
      </c>
      <c r="HY45" s="4">
        <v>1.2E-5</v>
      </c>
      <c r="HZ45" s="4">
        <v>1.19E-5</v>
      </c>
      <c r="IA45" s="4">
        <v>1.17E-5</v>
      </c>
      <c r="IB45" s="4">
        <v>1.15E-5</v>
      </c>
      <c r="IC45" s="4">
        <v>1.1399999999999999E-5</v>
      </c>
      <c r="ID45" s="4">
        <v>1.1199999999999999E-5</v>
      </c>
      <c r="IE45" s="4">
        <v>1.11E-5</v>
      </c>
      <c r="IF45" s="4">
        <v>1.0900000000000001E-5</v>
      </c>
      <c r="IG45" s="4">
        <v>7.6630000000000003E-4</v>
      </c>
      <c r="IH45" s="4"/>
      <c r="II45" s="4">
        <f t="shared" si="247"/>
        <v>0.11352986142049536</v>
      </c>
      <c r="IL45">
        <f t="shared" si="248"/>
        <v>0.35551703750000008</v>
      </c>
      <c r="IP45" s="4">
        <f t="shared" si="249"/>
        <v>4.12019E-2</v>
      </c>
      <c r="IQ45" s="4">
        <f t="shared" si="250"/>
        <v>3.2879699999999998E-2</v>
      </c>
      <c r="IR45" s="4">
        <f t="shared" si="251"/>
        <v>2.5109599999999999E-2</v>
      </c>
      <c r="IS45" s="4">
        <f t="shared" si="252"/>
        <v>1.9874699999999999E-2</v>
      </c>
      <c r="IT45" s="4">
        <f t="shared" si="253"/>
        <v>1.6505499999999999E-2</v>
      </c>
      <c r="IU45" s="4">
        <f t="shared" si="254"/>
        <v>5.7386099999999995E-2</v>
      </c>
      <c r="IV45" s="4">
        <f t="shared" si="255"/>
        <v>4.0008300000000011E-2</v>
      </c>
      <c r="IW45" s="4">
        <f t="shared" si="256"/>
        <v>3.0556800000000002E-2</v>
      </c>
      <c r="IX45" s="4">
        <f t="shared" si="257"/>
        <v>9.2485999999999999E-2</v>
      </c>
      <c r="JA45" s="4">
        <f t="shared" si="289"/>
        <v>8.1306000000000017E-3</v>
      </c>
      <c r="JB45" s="4">
        <f t="shared" si="290"/>
        <v>7.6241999999999976E-3</v>
      </c>
      <c r="JC45" s="4">
        <f t="shared" si="260"/>
        <v>4.7604000000000014E-3</v>
      </c>
      <c r="JD45" s="4">
        <f t="shared" si="261"/>
        <v>3.1083000000000013E-3</v>
      </c>
      <c r="JE45" s="4">
        <f t="shared" si="262"/>
        <v>2.1697000000000018E-3</v>
      </c>
      <c r="JF45" s="4">
        <f t="shared" si="263"/>
        <v>5.2674000000000124E-3</v>
      </c>
      <c r="JG45" s="4">
        <f t="shared" si="264"/>
        <v>2.4775999999999965E-3</v>
      </c>
      <c r="JH45" s="4">
        <f t="shared" si="265"/>
        <v>1.6903999999999982E-3</v>
      </c>
      <c r="JI45" s="4">
        <f t="shared" si="266"/>
        <v>5.1332000000000183E-3</v>
      </c>
    </row>
    <row r="46" spans="1:269" x14ac:dyDescent="0.35">
      <c r="A46" s="1">
        <v>38</v>
      </c>
      <c r="B46" s="4">
        <v>1.05568E-2</v>
      </c>
      <c r="C46" s="4">
        <v>1.05568E-2</v>
      </c>
      <c r="D46" s="4">
        <v>1.05109E-2</v>
      </c>
      <c r="E46" s="4">
        <v>1.02275E-2</v>
      </c>
      <c r="F46" s="4">
        <v>9.9057999999999993E-3</v>
      </c>
      <c r="G46" s="4">
        <v>9.1512E-3</v>
      </c>
      <c r="H46" s="4">
        <v>8.5203999999999992E-3</v>
      </c>
      <c r="I46" s="4">
        <v>7.9027000000000003E-3</v>
      </c>
      <c r="J46" s="4">
        <v>7.3695999999999996E-3</v>
      </c>
      <c r="K46" s="4">
        <v>6.8951999999999998E-3</v>
      </c>
      <c r="L46" s="4">
        <v>6.4672000000000002E-3</v>
      </c>
      <c r="M46" s="4">
        <v>6.0791999999999999E-3</v>
      </c>
      <c r="N46" s="4">
        <v>5.7393000000000001E-3</v>
      </c>
      <c r="O46" s="4">
        <v>5.4209000000000002E-3</v>
      </c>
      <c r="P46" s="4">
        <v>5.1463999999999998E-3</v>
      </c>
      <c r="Q46" s="4">
        <v>4.8294000000000002E-3</v>
      </c>
      <c r="R46" s="4">
        <v>4.6021999999999999E-3</v>
      </c>
      <c r="S46" s="4">
        <v>4.3981999999999997E-3</v>
      </c>
      <c r="T46" s="4">
        <v>4.2097999999999997E-3</v>
      </c>
      <c r="U46" s="4">
        <v>4.0394000000000003E-3</v>
      </c>
      <c r="V46" s="4">
        <v>3.8899E-3</v>
      </c>
      <c r="W46" s="4">
        <v>3.7523999999999999E-3</v>
      </c>
      <c r="X46" s="4">
        <v>3.62E-3</v>
      </c>
      <c r="Y46" s="4">
        <v>3.4973999999999999E-3</v>
      </c>
      <c r="Z46" s="4">
        <v>3.3863000000000001E-3</v>
      </c>
      <c r="AA46" s="4">
        <v>3.2854999999999998E-3</v>
      </c>
      <c r="AB46" s="4">
        <v>3.2003000000000001E-3</v>
      </c>
      <c r="AC46" s="4">
        <v>3.1216E-3</v>
      </c>
      <c r="AD46" s="4">
        <v>3.0457000000000001E-3</v>
      </c>
      <c r="AE46" s="4">
        <v>2.9732999999999999E-3</v>
      </c>
      <c r="AF46" s="4">
        <v>2.9026999999999998E-3</v>
      </c>
      <c r="AG46" s="4">
        <v>2.8316999999999999E-3</v>
      </c>
      <c r="AH46" s="4">
        <v>2.7528000000000001E-3</v>
      </c>
      <c r="AI46" s="4">
        <v>2.6659000000000001E-3</v>
      </c>
      <c r="AJ46" s="4">
        <v>2.5240000000000002E-3</v>
      </c>
      <c r="AK46" s="4">
        <v>2.4494E-3</v>
      </c>
      <c r="AL46" s="4">
        <v>2.3747E-3</v>
      </c>
      <c r="AM46" s="4">
        <v>2.2285999999999999E-3</v>
      </c>
      <c r="AN46" s="4">
        <v>2.3200999999999999E-3</v>
      </c>
      <c r="AO46" s="4">
        <v>2.281E-3</v>
      </c>
      <c r="AP46" s="4">
        <v>2.2571000000000002E-3</v>
      </c>
      <c r="AQ46" s="4">
        <v>2.232E-3</v>
      </c>
      <c r="AR46" s="4">
        <v>2.2074E-3</v>
      </c>
      <c r="AS46" s="4">
        <v>2.1824000000000001E-3</v>
      </c>
      <c r="AT46" s="4">
        <v>2.1573999999999999E-3</v>
      </c>
      <c r="AU46" s="4">
        <v>2.1321999999999999E-3</v>
      </c>
      <c r="AV46" s="4">
        <v>2.1067999999999998E-3</v>
      </c>
      <c r="AW46" s="4">
        <v>2.0812000000000001E-3</v>
      </c>
      <c r="AX46" s="4">
        <v>2.0555999999999999E-3</v>
      </c>
      <c r="AY46" s="4">
        <v>2.0301E-3</v>
      </c>
      <c r="AZ46" s="4">
        <v>2.0046E-3</v>
      </c>
      <c r="BA46" s="4">
        <v>1.9792E-3</v>
      </c>
      <c r="BB46" s="4">
        <v>1.9539000000000002E-3</v>
      </c>
      <c r="BC46" s="4">
        <v>1.9288E-3</v>
      </c>
      <c r="BD46" s="4">
        <v>1.9039E-3</v>
      </c>
      <c r="BE46" s="4">
        <v>1.8791999999999999E-3</v>
      </c>
      <c r="BF46" s="4">
        <v>1.8546999999999999E-3</v>
      </c>
      <c r="BG46" s="4">
        <v>1.8304E-3</v>
      </c>
      <c r="BH46" s="4">
        <v>1.8063E-3</v>
      </c>
      <c r="BI46" s="4">
        <v>1.7824E-3</v>
      </c>
      <c r="BJ46" s="4">
        <v>1.7588E-3</v>
      </c>
      <c r="BK46" s="4">
        <v>1.7354E-3</v>
      </c>
      <c r="BL46" s="4">
        <v>1.7122000000000001E-3</v>
      </c>
      <c r="BM46" s="4">
        <v>1.6892999999999999E-3</v>
      </c>
      <c r="BN46" s="4">
        <v>1.6665E-3</v>
      </c>
      <c r="BO46" s="4">
        <v>1.6440000000000001E-3</v>
      </c>
      <c r="BP46" s="4">
        <v>1.6217E-3</v>
      </c>
      <c r="BQ46" s="4">
        <v>1.5996000000000001E-3</v>
      </c>
      <c r="BR46" s="4">
        <v>1.5777E-3</v>
      </c>
      <c r="BS46" s="4">
        <v>1.5560000000000001E-3</v>
      </c>
      <c r="BT46" s="4">
        <v>1.5345000000000001E-3</v>
      </c>
      <c r="BU46" s="4">
        <v>1.5131999999999999E-3</v>
      </c>
      <c r="BV46" s="4">
        <v>1.4922E-3</v>
      </c>
      <c r="BW46" s="4">
        <v>1.4713E-3</v>
      </c>
      <c r="BX46" s="4">
        <v>1.4507000000000001E-3</v>
      </c>
      <c r="BY46" s="4">
        <v>1.4303E-3</v>
      </c>
      <c r="BZ46" s="4">
        <v>1.4101999999999999E-3</v>
      </c>
      <c r="CA46" s="4">
        <v>1.3902000000000001E-3</v>
      </c>
      <c r="CB46" s="4">
        <v>1.3705E-3</v>
      </c>
      <c r="CC46" s="4">
        <v>1.3511E-3</v>
      </c>
      <c r="CD46" s="4">
        <v>1.3319E-3</v>
      </c>
      <c r="CE46" s="4">
        <v>1.3129000000000001E-3</v>
      </c>
      <c r="CF46" s="4">
        <v>1.2941000000000001E-3</v>
      </c>
      <c r="CG46" s="4">
        <v>1.2756E-3</v>
      </c>
      <c r="CH46" s="4">
        <v>1.2574000000000001E-3</v>
      </c>
      <c r="CI46" s="4">
        <v>1.2393E-3</v>
      </c>
      <c r="CJ46" s="4">
        <v>1.2214999999999999E-3</v>
      </c>
      <c r="CK46" s="4">
        <v>1.204E-3</v>
      </c>
      <c r="CL46" s="4">
        <v>1.1867E-3</v>
      </c>
      <c r="CM46" s="4">
        <v>1.1697000000000001E-3</v>
      </c>
      <c r="CN46" s="4">
        <v>1.1528E-3</v>
      </c>
      <c r="CO46" s="4">
        <v>1.1363E-3</v>
      </c>
      <c r="CP46" s="4">
        <v>1.1199000000000001E-3</v>
      </c>
      <c r="CQ46" s="4">
        <v>1.1038000000000001E-3</v>
      </c>
      <c r="CR46" s="4">
        <v>1.0878999999999999E-3</v>
      </c>
      <c r="CS46" s="4">
        <v>1.0723E-3</v>
      </c>
      <c r="CT46" s="4">
        <v>1.0568999999999999E-3</v>
      </c>
      <c r="CU46" s="4">
        <v>1.0417E-3</v>
      </c>
      <c r="CV46" s="4">
        <v>1.0267E-3</v>
      </c>
      <c r="CW46" s="4">
        <v>1.0120000000000001E-3</v>
      </c>
      <c r="CX46" s="4">
        <v>9.9749999999999991E-4</v>
      </c>
      <c r="CY46" s="4">
        <v>9.8320000000000005E-4</v>
      </c>
      <c r="CZ46" s="4">
        <v>9.6909999999999997E-4</v>
      </c>
      <c r="DA46" s="4">
        <v>9.5520000000000002E-4</v>
      </c>
      <c r="DB46" s="4">
        <v>9.4149999999999995E-4</v>
      </c>
      <c r="DC46" s="4">
        <v>9.2809999999999995E-4</v>
      </c>
      <c r="DD46" s="4">
        <v>9.1480000000000001E-4</v>
      </c>
      <c r="DE46" s="4">
        <v>9.0180000000000002E-4</v>
      </c>
      <c r="DF46" s="4">
        <v>8.8889999999999998E-4</v>
      </c>
      <c r="DG46" s="4">
        <v>8.7620000000000005E-4</v>
      </c>
      <c r="DH46" s="4">
        <v>8.6370000000000001E-4</v>
      </c>
      <c r="DI46" s="4">
        <v>8.5139999999999999E-4</v>
      </c>
      <c r="DJ46" s="4">
        <v>8.3929999999999996E-4</v>
      </c>
      <c r="DK46" s="4">
        <v>8.2740000000000005E-4</v>
      </c>
      <c r="DL46" s="4">
        <v>8.1570000000000004E-4</v>
      </c>
      <c r="DM46" s="4">
        <v>8.0409999999999998E-4</v>
      </c>
      <c r="DN46" s="4">
        <v>7.9270000000000002E-4</v>
      </c>
      <c r="DO46" s="4">
        <v>7.8140000000000002E-4</v>
      </c>
      <c r="DP46" s="4">
        <v>7.7039999999999997E-4</v>
      </c>
      <c r="DQ46" s="4">
        <v>5.3815399999999999E-2</v>
      </c>
      <c r="DR46" s="4">
        <v>0</v>
      </c>
      <c r="DS46" s="4">
        <v>5.8300000000000001E-5</v>
      </c>
      <c r="DT46" s="4">
        <v>2.8279999999999999E-4</v>
      </c>
      <c r="DU46" s="4">
        <v>3.2029999999999998E-4</v>
      </c>
      <c r="DV46" s="4">
        <v>7.5759999999999998E-4</v>
      </c>
      <c r="DW46" s="4">
        <v>6.3960000000000004E-4</v>
      </c>
      <c r="DX46" s="4">
        <v>6.3650000000000002E-4</v>
      </c>
      <c r="DY46" s="4">
        <v>5.4670000000000001E-4</v>
      </c>
      <c r="DZ46" s="4">
        <v>4.8749999999999998E-4</v>
      </c>
      <c r="EA46" s="4">
        <v>4.3150000000000003E-4</v>
      </c>
      <c r="EB46" s="4">
        <v>3.8450000000000002E-4</v>
      </c>
      <c r="EC46" s="4">
        <v>3.412E-4</v>
      </c>
      <c r="ED46" s="4">
        <v>3.0469999999999998E-4</v>
      </c>
      <c r="EE46" s="4">
        <v>2.7250000000000001E-4</v>
      </c>
      <c r="EF46" s="4">
        <v>2.4469999999999998E-4</v>
      </c>
      <c r="EG46" s="4">
        <v>2.1680000000000001E-4</v>
      </c>
      <c r="EH46" s="4">
        <v>1.9599999999999999E-4</v>
      </c>
      <c r="EI46" s="4">
        <v>1.7799999999999999E-4</v>
      </c>
      <c r="EJ46" s="4">
        <v>1.6220000000000001E-4</v>
      </c>
      <c r="EK46" s="4">
        <v>1.4809999999999999E-4</v>
      </c>
      <c r="EL46" s="4">
        <v>1.359E-4</v>
      </c>
      <c r="EM46" s="4">
        <v>1.2520000000000001E-4</v>
      </c>
      <c r="EN46" s="4">
        <v>1.156E-4</v>
      </c>
      <c r="EO46" s="4">
        <v>1.07E-4</v>
      </c>
      <c r="EP46" s="4">
        <v>9.9500000000000006E-5</v>
      </c>
      <c r="EQ46" s="4">
        <v>9.2800000000000006E-5</v>
      </c>
      <c r="ER46" s="4">
        <v>8.7100000000000003E-5</v>
      </c>
      <c r="ES46" s="4">
        <v>8.1899999999999999E-5</v>
      </c>
      <c r="ET46" s="4">
        <v>7.7200000000000006E-5</v>
      </c>
      <c r="EU46" s="4">
        <v>7.2899999999999997E-5</v>
      </c>
      <c r="EV46" s="4">
        <v>6.8999999999999997E-5</v>
      </c>
      <c r="EW46" s="4">
        <v>6.5300000000000002E-5</v>
      </c>
      <c r="EX46" s="4">
        <v>6.1799999999999998E-5</v>
      </c>
      <c r="EY46" s="4">
        <v>5.8199999999999998E-5</v>
      </c>
      <c r="EZ46" s="4">
        <v>5.3600000000000002E-5</v>
      </c>
      <c r="FA46" s="4">
        <v>5.0800000000000002E-5</v>
      </c>
      <c r="FB46" s="4">
        <v>4.8099999999999997E-5</v>
      </c>
      <c r="FC46" s="4">
        <v>4.3999999999999999E-5</v>
      </c>
      <c r="FD46" s="4">
        <v>4.5200000000000001E-5</v>
      </c>
      <c r="FE46" s="4">
        <v>4.3300000000000002E-5</v>
      </c>
      <c r="FF46" s="4">
        <v>4.1900000000000002E-5</v>
      </c>
      <c r="FG46" s="4">
        <v>4.0599999999999998E-5</v>
      </c>
      <c r="FH46" s="4">
        <v>3.93E-5</v>
      </c>
      <c r="FI46" s="4">
        <v>3.8099999999999998E-5</v>
      </c>
      <c r="FJ46" s="4">
        <v>3.6999999999999998E-5</v>
      </c>
      <c r="FK46" s="4">
        <v>3.6000000000000001E-5</v>
      </c>
      <c r="FL46" s="4">
        <v>3.4999999999999997E-5</v>
      </c>
      <c r="FM46" s="4">
        <v>3.4E-5</v>
      </c>
      <c r="FN46" s="4">
        <v>3.3099999999999998E-5</v>
      </c>
      <c r="FO46" s="4">
        <v>3.2299999999999999E-5</v>
      </c>
      <c r="FP46" s="4">
        <v>3.15E-5</v>
      </c>
      <c r="FQ46" s="4">
        <v>3.0700000000000001E-5</v>
      </c>
      <c r="FR46" s="4">
        <v>3.0000000000000001E-5</v>
      </c>
      <c r="FS46" s="4">
        <v>2.9300000000000001E-5</v>
      </c>
      <c r="FT46" s="4">
        <v>2.87E-5</v>
      </c>
      <c r="FU46" s="4">
        <v>2.8099999999999999E-5</v>
      </c>
      <c r="FV46" s="4">
        <v>2.7500000000000001E-5</v>
      </c>
      <c r="FW46" s="4">
        <v>2.6999999999999999E-5</v>
      </c>
      <c r="FX46" s="4">
        <v>2.6400000000000001E-5</v>
      </c>
      <c r="FY46" s="4">
        <v>2.5999999999999998E-5</v>
      </c>
      <c r="FZ46" s="4">
        <v>2.55E-5</v>
      </c>
      <c r="GA46" s="4">
        <v>2.5000000000000001E-5</v>
      </c>
      <c r="GB46" s="4">
        <v>2.4600000000000002E-5</v>
      </c>
      <c r="GC46" s="4">
        <v>2.4199999999999999E-5</v>
      </c>
      <c r="GD46" s="4">
        <v>2.3799999999999999E-5</v>
      </c>
      <c r="GE46" s="4">
        <v>2.34E-5</v>
      </c>
      <c r="GF46" s="4">
        <v>2.3E-5</v>
      </c>
      <c r="GG46" s="4">
        <v>2.26E-5</v>
      </c>
      <c r="GH46" s="4">
        <v>2.23E-5</v>
      </c>
      <c r="GI46" s="4">
        <v>2.19E-5</v>
      </c>
      <c r="GJ46" s="4">
        <v>2.16E-5</v>
      </c>
      <c r="GK46" s="4">
        <v>2.1299999999999999E-5</v>
      </c>
      <c r="GL46" s="4">
        <v>2.0999999999999999E-5</v>
      </c>
      <c r="GM46" s="4">
        <v>2.0599999999999999E-5</v>
      </c>
      <c r="GN46" s="4">
        <v>2.0299999999999999E-5</v>
      </c>
      <c r="GO46" s="4">
        <v>2.0000000000000002E-5</v>
      </c>
      <c r="GP46" s="4">
        <v>1.9700000000000001E-5</v>
      </c>
      <c r="GQ46" s="4">
        <v>1.95E-5</v>
      </c>
      <c r="GR46" s="4">
        <v>1.9199999999999999E-5</v>
      </c>
      <c r="GS46" s="4">
        <v>1.8899999999999999E-5</v>
      </c>
      <c r="GT46" s="4">
        <v>1.8600000000000001E-5</v>
      </c>
      <c r="GU46" s="4">
        <v>1.84E-5</v>
      </c>
      <c r="GV46" s="4">
        <v>1.8099999999999999E-5</v>
      </c>
      <c r="GW46" s="4">
        <v>1.7799999999999999E-5</v>
      </c>
      <c r="GX46" s="4">
        <v>1.7600000000000001E-5</v>
      </c>
      <c r="GY46" s="4">
        <v>1.73E-5</v>
      </c>
      <c r="GZ46" s="4">
        <v>1.7099999999999999E-5</v>
      </c>
      <c r="HA46" s="4">
        <v>1.6900000000000001E-5</v>
      </c>
      <c r="HB46" s="4">
        <v>1.66E-5</v>
      </c>
      <c r="HC46" s="4">
        <v>1.6399999999999999E-5</v>
      </c>
      <c r="HD46" s="4">
        <v>1.6200000000000001E-5</v>
      </c>
      <c r="HE46" s="4">
        <v>1.59E-5</v>
      </c>
      <c r="HF46" s="4">
        <v>1.5699999999999999E-5</v>
      </c>
      <c r="HG46" s="4">
        <v>1.5500000000000001E-5</v>
      </c>
      <c r="HH46" s="4">
        <v>1.5299999999999999E-5</v>
      </c>
      <c r="HI46" s="4">
        <v>1.5099999999999999E-5</v>
      </c>
      <c r="HJ46" s="4">
        <v>1.4800000000000001E-5</v>
      </c>
      <c r="HK46" s="4">
        <v>1.4600000000000001E-5</v>
      </c>
      <c r="HL46" s="4">
        <v>1.4399999999999999E-5</v>
      </c>
      <c r="HM46" s="4">
        <v>1.42E-5</v>
      </c>
      <c r="HN46" s="4">
        <v>1.4E-5</v>
      </c>
      <c r="HO46" s="4">
        <v>1.38E-5</v>
      </c>
      <c r="HP46" s="4">
        <v>1.36E-5</v>
      </c>
      <c r="HQ46" s="4">
        <v>1.3499999999999999E-5</v>
      </c>
      <c r="HR46" s="4">
        <v>1.33E-5</v>
      </c>
      <c r="HS46" s="4">
        <v>1.31E-5</v>
      </c>
      <c r="HT46" s="4">
        <v>1.29E-5</v>
      </c>
      <c r="HU46" s="4">
        <v>1.27E-5</v>
      </c>
      <c r="HV46" s="4">
        <v>1.2500000000000001E-5</v>
      </c>
      <c r="HW46" s="4">
        <v>1.24E-5</v>
      </c>
      <c r="HX46" s="4">
        <v>1.22E-5</v>
      </c>
      <c r="HY46" s="4">
        <v>1.2E-5</v>
      </c>
      <c r="HZ46" s="4">
        <v>1.19E-5</v>
      </c>
      <c r="IA46" s="4">
        <v>1.17E-5</v>
      </c>
      <c r="IB46" s="4">
        <v>1.15E-5</v>
      </c>
      <c r="IC46" s="4">
        <v>1.1399999999999999E-5</v>
      </c>
      <c r="ID46" s="4">
        <v>1.1199999999999999E-5</v>
      </c>
      <c r="IE46" s="4">
        <v>1.11E-5</v>
      </c>
      <c r="IF46" s="4">
        <v>1.0900000000000001E-5</v>
      </c>
      <c r="IG46" s="4">
        <v>7.6610000000000003E-4</v>
      </c>
      <c r="IH46" s="4"/>
      <c r="II46" s="4">
        <f t="shared" si="247"/>
        <v>0.11395119745955806</v>
      </c>
      <c r="IL46">
        <f t="shared" si="248"/>
        <v>0.3556899874999998</v>
      </c>
      <c r="IP46" s="4">
        <f t="shared" si="249"/>
        <v>4.1201000000000002E-2</v>
      </c>
      <c r="IQ46" s="4">
        <f t="shared" si="250"/>
        <v>3.2943899999999998E-2</v>
      </c>
      <c r="IR46" s="4">
        <f t="shared" si="251"/>
        <v>2.5180899999999999E-2</v>
      </c>
      <c r="IS46" s="4">
        <f t="shared" si="252"/>
        <v>1.99989E-2</v>
      </c>
      <c r="IT46" s="4">
        <f t="shared" si="253"/>
        <v>1.6537299999999998E-2</v>
      </c>
      <c r="IU46" s="4">
        <f t="shared" si="254"/>
        <v>5.747049999999998E-2</v>
      </c>
      <c r="IV46" s="4">
        <f t="shared" si="255"/>
        <v>3.9867300000000001E-2</v>
      </c>
      <c r="IW46" s="4">
        <f t="shared" si="256"/>
        <v>3.0548499999999996E-2</v>
      </c>
      <c r="IX46" s="4">
        <f t="shared" si="257"/>
        <v>9.248930000000001E-2</v>
      </c>
      <c r="JA46" s="4">
        <f t="shared" si="289"/>
        <v>8.1960999999999978E-3</v>
      </c>
      <c r="JB46" s="4">
        <f t="shared" si="290"/>
        <v>7.6627999999999974E-3</v>
      </c>
      <c r="JC46" s="4">
        <f t="shared" si="260"/>
        <v>4.8171000000000012E-3</v>
      </c>
      <c r="JD46" s="4">
        <f t="shared" si="261"/>
        <v>3.1262999999999985E-3</v>
      </c>
      <c r="JE46" s="4">
        <f t="shared" si="262"/>
        <v>2.1784000000000039E-3</v>
      </c>
      <c r="JF46" s="4">
        <f t="shared" si="263"/>
        <v>5.2679000000000129E-3</v>
      </c>
      <c r="JG46" s="4">
        <f t="shared" si="264"/>
        <v>2.4640000000000079E-3</v>
      </c>
      <c r="JH46" s="4">
        <f t="shared" si="265"/>
        <v>1.687599999999994E-3</v>
      </c>
      <c r="JI46" s="4">
        <f t="shared" si="266"/>
        <v>5.1311000000000273E-3</v>
      </c>
    </row>
    <row r="47" spans="1:269" x14ac:dyDescent="0.35">
      <c r="A47" s="1">
        <v>39</v>
      </c>
      <c r="B47" s="4">
        <v>1.05568E-2</v>
      </c>
      <c r="C47" s="4">
        <v>1.05568E-2</v>
      </c>
      <c r="D47" s="4">
        <v>1.0498499999999999E-2</v>
      </c>
      <c r="E47" s="4">
        <v>1.02281E-2</v>
      </c>
      <c r="F47" s="4">
        <v>9.9071999999999997E-3</v>
      </c>
      <c r="G47" s="4">
        <v>9.1482000000000004E-3</v>
      </c>
      <c r="H47" s="4">
        <v>8.5115999999999994E-3</v>
      </c>
      <c r="I47" s="4">
        <v>7.8840000000000004E-3</v>
      </c>
      <c r="J47" s="4">
        <v>7.3559999999999997E-3</v>
      </c>
      <c r="K47" s="4">
        <v>6.8821999999999998E-3</v>
      </c>
      <c r="L47" s="4">
        <v>6.4637000000000002E-3</v>
      </c>
      <c r="M47" s="4">
        <v>6.0826999999999999E-3</v>
      </c>
      <c r="N47" s="4">
        <v>5.7381000000000003E-3</v>
      </c>
      <c r="O47" s="4">
        <v>5.4346000000000004E-3</v>
      </c>
      <c r="P47" s="4">
        <v>5.1484E-3</v>
      </c>
      <c r="Q47" s="4">
        <v>4.9017000000000002E-3</v>
      </c>
      <c r="R47" s="4">
        <v>4.6125999999999997E-3</v>
      </c>
      <c r="S47" s="4">
        <v>4.4061999999999999E-3</v>
      </c>
      <c r="T47" s="4">
        <v>4.2202000000000003E-3</v>
      </c>
      <c r="U47" s="4">
        <v>4.0477000000000004E-3</v>
      </c>
      <c r="V47" s="4">
        <v>3.8912999999999999E-3</v>
      </c>
      <c r="W47" s="4">
        <v>3.754E-3</v>
      </c>
      <c r="X47" s="4">
        <v>3.6272000000000001E-3</v>
      </c>
      <c r="Y47" s="4">
        <v>3.5044999999999998E-3</v>
      </c>
      <c r="Z47" s="4">
        <v>3.3904E-3</v>
      </c>
      <c r="AA47" s="4">
        <v>3.2867999999999999E-3</v>
      </c>
      <c r="AB47" s="4">
        <v>3.1927000000000001E-3</v>
      </c>
      <c r="AC47" s="4">
        <v>3.1132999999999998E-3</v>
      </c>
      <c r="AD47" s="4">
        <v>3.0397000000000002E-3</v>
      </c>
      <c r="AE47" s="4">
        <v>2.9684999999999998E-3</v>
      </c>
      <c r="AF47" s="4">
        <v>2.9003000000000002E-3</v>
      </c>
      <c r="AG47" s="4">
        <v>2.8337000000000002E-3</v>
      </c>
      <c r="AH47" s="4">
        <v>2.7664E-3</v>
      </c>
      <c r="AI47" s="4">
        <v>2.6909999999999998E-3</v>
      </c>
      <c r="AJ47" s="4">
        <v>2.6075999999999998E-3</v>
      </c>
      <c r="AK47" s="4">
        <v>2.4704000000000002E-3</v>
      </c>
      <c r="AL47" s="4">
        <v>2.3985999999999999E-3</v>
      </c>
      <c r="AM47" s="4">
        <v>2.3265999999999998E-3</v>
      </c>
      <c r="AN47" s="4">
        <v>2.1846000000000001E-3</v>
      </c>
      <c r="AO47" s="4">
        <v>2.2748999999999998E-3</v>
      </c>
      <c r="AP47" s="4">
        <v>2.2376000000000002E-3</v>
      </c>
      <c r="AQ47" s="4">
        <v>2.2150999999999998E-3</v>
      </c>
      <c r="AR47" s="4">
        <v>2.1914E-3</v>
      </c>
      <c r="AS47" s="4">
        <v>2.1681000000000001E-3</v>
      </c>
      <c r="AT47" s="4">
        <v>2.1442000000000002E-3</v>
      </c>
      <c r="AU47" s="4">
        <v>2.1204000000000001E-3</v>
      </c>
      <c r="AV47" s="4">
        <v>2.0961999999999999E-3</v>
      </c>
      <c r="AW47" s="4">
        <v>2.0717999999999999E-3</v>
      </c>
      <c r="AX47" s="4">
        <v>2.0471999999999999E-3</v>
      </c>
      <c r="AY47" s="4">
        <v>2.0225E-3</v>
      </c>
      <c r="AZ47" s="4">
        <v>1.9978000000000001E-3</v>
      </c>
      <c r="BA47" s="4">
        <v>1.9731000000000002E-3</v>
      </c>
      <c r="BB47" s="4">
        <v>1.9484999999999999E-3</v>
      </c>
      <c r="BC47" s="4">
        <v>1.9239000000000001E-3</v>
      </c>
      <c r="BD47" s="4">
        <v>1.8994999999999999E-3</v>
      </c>
      <c r="BE47" s="4">
        <v>1.8752E-3</v>
      </c>
      <c r="BF47" s="4">
        <v>1.8511000000000001E-3</v>
      </c>
      <c r="BG47" s="4">
        <v>1.8272E-3</v>
      </c>
      <c r="BH47" s="4">
        <v>1.8033999999999999E-3</v>
      </c>
      <c r="BI47" s="4">
        <v>1.7799000000000001E-3</v>
      </c>
      <c r="BJ47" s="4">
        <v>1.7565E-3</v>
      </c>
      <c r="BK47" s="4">
        <v>1.7332999999999999E-3</v>
      </c>
      <c r="BL47" s="4">
        <v>1.7103999999999999E-3</v>
      </c>
      <c r="BM47" s="4">
        <v>1.6876E-3</v>
      </c>
      <c r="BN47" s="4">
        <v>1.6651000000000001E-3</v>
      </c>
      <c r="BO47" s="4">
        <v>1.6428E-3</v>
      </c>
      <c r="BP47" s="4">
        <v>1.6206E-3</v>
      </c>
      <c r="BQ47" s="4">
        <v>1.5987E-3</v>
      </c>
      <c r="BR47" s="4">
        <v>1.5769E-3</v>
      </c>
      <c r="BS47" s="4">
        <v>1.5554E-3</v>
      </c>
      <c r="BT47" s="4">
        <v>1.534E-3</v>
      </c>
      <c r="BU47" s="4">
        <v>1.5129E-3</v>
      </c>
      <c r="BV47" s="4">
        <v>1.4919E-3</v>
      </c>
      <c r="BW47" s="4">
        <v>1.4712E-3</v>
      </c>
      <c r="BX47" s="4">
        <v>1.4507000000000001E-3</v>
      </c>
      <c r="BY47" s="4">
        <v>1.4304000000000001E-3</v>
      </c>
      <c r="BZ47" s="4">
        <v>1.4103E-3</v>
      </c>
      <c r="CA47" s="4">
        <v>1.3904E-3</v>
      </c>
      <c r="CB47" s="4">
        <v>1.3707999999999999E-3</v>
      </c>
      <c r="CC47" s="4">
        <v>1.3514E-3</v>
      </c>
      <c r="CD47" s="4">
        <v>1.3322E-3</v>
      </c>
      <c r="CE47" s="4">
        <v>1.3132E-3</v>
      </c>
      <c r="CF47" s="4">
        <v>1.2945000000000001E-3</v>
      </c>
      <c r="CG47" s="4">
        <v>1.276E-3</v>
      </c>
      <c r="CH47" s="4">
        <v>1.2578000000000001E-3</v>
      </c>
      <c r="CI47" s="4">
        <v>1.2398000000000001E-3</v>
      </c>
      <c r="CJ47" s="4">
        <v>1.222E-3</v>
      </c>
      <c r="CK47" s="4">
        <v>1.2044E-3</v>
      </c>
      <c r="CL47" s="4">
        <v>1.1872E-3</v>
      </c>
      <c r="CM47" s="4">
        <v>1.1701000000000001E-3</v>
      </c>
      <c r="CN47" s="4">
        <v>1.1532999999999999E-3</v>
      </c>
      <c r="CO47" s="4">
        <v>1.1367E-3</v>
      </c>
      <c r="CP47" s="4">
        <v>1.1203000000000001E-3</v>
      </c>
      <c r="CQ47" s="4">
        <v>1.1042000000000001E-3</v>
      </c>
      <c r="CR47" s="4">
        <v>1.0882999999999999E-3</v>
      </c>
      <c r="CS47" s="4">
        <v>1.0727E-3</v>
      </c>
      <c r="CT47" s="4">
        <v>1.0571999999999999E-3</v>
      </c>
      <c r="CU47" s="4">
        <v>1.042E-3</v>
      </c>
      <c r="CV47" s="4">
        <v>1.0269999999999999E-3</v>
      </c>
      <c r="CW47" s="4">
        <v>1.0123E-3</v>
      </c>
      <c r="CX47" s="4">
        <v>9.9780000000000008E-4</v>
      </c>
      <c r="CY47" s="4">
        <v>9.8339999999999994E-4</v>
      </c>
      <c r="CZ47" s="4">
        <v>9.6929999999999998E-4</v>
      </c>
      <c r="DA47" s="4">
        <v>9.5540000000000002E-4</v>
      </c>
      <c r="DB47" s="4">
        <v>9.4180000000000002E-4</v>
      </c>
      <c r="DC47" s="4">
        <v>9.2829999999999996E-4</v>
      </c>
      <c r="DD47" s="4">
        <v>9.1500000000000001E-4</v>
      </c>
      <c r="DE47" s="4">
        <v>9.0189999999999997E-4</v>
      </c>
      <c r="DF47" s="4">
        <v>8.8900000000000003E-4</v>
      </c>
      <c r="DG47" s="4">
        <v>8.7640000000000005E-4</v>
      </c>
      <c r="DH47" s="4">
        <v>8.6390000000000002E-4</v>
      </c>
      <c r="DI47" s="4">
        <v>8.5150000000000004E-4</v>
      </c>
      <c r="DJ47" s="4">
        <v>8.3940000000000002E-4</v>
      </c>
      <c r="DK47" s="4">
        <v>8.275E-4</v>
      </c>
      <c r="DL47" s="4">
        <v>8.1570000000000004E-4</v>
      </c>
      <c r="DM47" s="4">
        <v>8.0409999999999998E-4</v>
      </c>
      <c r="DN47" s="4">
        <v>7.9270000000000002E-4</v>
      </c>
      <c r="DO47" s="4">
        <v>7.8149999999999997E-4</v>
      </c>
      <c r="DP47" s="4">
        <v>7.7039999999999997E-4</v>
      </c>
      <c r="DQ47" s="4">
        <v>5.3808799999999997E-2</v>
      </c>
      <c r="DR47" s="4">
        <v>0</v>
      </c>
      <c r="DS47" s="4">
        <v>4.5899999999999998E-5</v>
      </c>
      <c r="DT47" s="4">
        <v>2.7940000000000002E-4</v>
      </c>
      <c r="DU47" s="4">
        <v>3.191E-4</v>
      </c>
      <c r="DV47" s="4">
        <v>7.5449999999999996E-4</v>
      </c>
      <c r="DW47" s="4">
        <v>6.2270000000000001E-4</v>
      </c>
      <c r="DX47" s="4">
        <v>6.2920000000000001E-4</v>
      </c>
      <c r="DY47" s="4">
        <v>5.3209999999999998E-4</v>
      </c>
      <c r="DZ47" s="4">
        <v>4.8359999999999999E-4</v>
      </c>
      <c r="EA47" s="4">
        <v>4.2719999999999998E-4</v>
      </c>
      <c r="EB47" s="4">
        <v>3.815E-4</v>
      </c>
      <c r="EC47" s="4">
        <v>3.3970000000000002E-4</v>
      </c>
      <c r="ED47" s="4">
        <v>3.0249999999999998E-4</v>
      </c>
      <c r="EE47" s="4">
        <v>2.7149999999999999E-4</v>
      </c>
      <c r="EF47" s="4">
        <v>2.4399999999999999E-4</v>
      </c>
      <c r="EG47" s="4">
        <v>2.2020000000000001E-4</v>
      </c>
      <c r="EH47" s="4">
        <v>1.961E-4</v>
      </c>
      <c r="EI47" s="4">
        <v>1.7819999999999999E-4</v>
      </c>
      <c r="EJ47" s="4">
        <v>1.627E-4</v>
      </c>
      <c r="EK47" s="4">
        <v>1.4880000000000001E-4</v>
      </c>
      <c r="EL47" s="4">
        <v>1.3650000000000001E-4</v>
      </c>
      <c r="EM47" s="4">
        <v>1.2579999999999999E-4</v>
      </c>
      <c r="EN47" s="4">
        <v>1.1629999999999999E-4</v>
      </c>
      <c r="EO47" s="4">
        <v>1.078E-4</v>
      </c>
      <c r="EP47" s="4">
        <v>1.0009999999999999E-4</v>
      </c>
      <c r="EQ47" s="4">
        <v>9.3399999999999993E-5</v>
      </c>
      <c r="ER47" s="4">
        <v>8.7399999999999997E-5</v>
      </c>
      <c r="ES47" s="4">
        <v>8.2200000000000006E-5</v>
      </c>
      <c r="ET47" s="4">
        <v>7.75E-5</v>
      </c>
      <c r="EU47" s="4">
        <v>7.3200000000000004E-5</v>
      </c>
      <c r="EV47" s="4">
        <v>6.9300000000000004E-5</v>
      </c>
      <c r="EW47" s="4">
        <v>6.5699999999999998E-5</v>
      </c>
      <c r="EX47" s="4">
        <v>6.2299999999999996E-5</v>
      </c>
      <c r="EY47" s="4">
        <v>5.8900000000000002E-5</v>
      </c>
      <c r="EZ47" s="4">
        <v>5.5600000000000003E-5</v>
      </c>
      <c r="FA47" s="4">
        <v>5.13E-5</v>
      </c>
      <c r="FB47" s="4">
        <v>4.8600000000000002E-5</v>
      </c>
      <c r="FC47" s="4">
        <v>4.6100000000000002E-5</v>
      </c>
      <c r="FD47" s="4">
        <v>4.2200000000000003E-5</v>
      </c>
      <c r="FE47" s="4">
        <v>4.3300000000000002E-5</v>
      </c>
      <c r="FF47" s="4">
        <v>4.1600000000000002E-5</v>
      </c>
      <c r="FG47" s="4">
        <v>4.0299999999999997E-5</v>
      </c>
      <c r="FH47" s="4">
        <v>3.8999999999999999E-5</v>
      </c>
      <c r="FI47" s="4">
        <v>3.79E-5</v>
      </c>
      <c r="FJ47" s="4">
        <v>3.6699999999999998E-5</v>
      </c>
      <c r="FK47" s="4">
        <v>3.57E-5</v>
      </c>
      <c r="FL47" s="4">
        <v>3.4700000000000003E-5</v>
      </c>
      <c r="FM47" s="4">
        <v>3.3800000000000002E-5</v>
      </c>
      <c r="FN47" s="4">
        <v>3.29E-5</v>
      </c>
      <c r="FO47" s="4">
        <v>3.2100000000000001E-5</v>
      </c>
      <c r="FP47" s="4">
        <v>3.1300000000000002E-5</v>
      </c>
      <c r="FQ47" s="4">
        <v>3.0499999999999999E-5</v>
      </c>
      <c r="FR47" s="4">
        <v>2.9799999999999999E-5</v>
      </c>
      <c r="FS47" s="4">
        <v>2.9099999999999999E-5</v>
      </c>
      <c r="FT47" s="4">
        <v>2.8500000000000002E-5</v>
      </c>
      <c r="FU47" s="4">
        <v>2.7900000000000001E-5</v>
      </c>
      <c r="FV47" s="4">
        <v>2.7399999999999999E-5</v>
      </c>
      <c r="FW47" s="4">
        <v>2.6800000000000001E-5</v>
      </c>
      <c r="FX47" s="4">
        <v>2.6299999999999999E-5</v>
      </c>
      <c r="FY47" s="4">
        <v>2.58E-5</v>
      </c>
      <c r="FZ47" s="4">
        <v>2.5299999999999998E-5</v>
      </c>
      <c r="GA47" s="4">
        <v>2.4899999999999999E-5</v>
      </c>
      <c r="GB47" s="4">
        <v>2.4499999999999999E-5</v>
      </c>
      <c r="GC47" s="4">
        <v>2.41E-5</v>
      </c>
      <c r="GD47" s="4">
        <v>2.37E-5</v>
      </c>
      <c r="GE47" s="4">
        <v>2.3300000000000001E-5</v>
      </c>
      <c r="GF47" s="4">
        <v>2.2900000000000001E-5</v>
      </c>
      <c r="GG47" s="4">
        <v>2.2500000000000001E-5</v>
      </c>
      <c r="GH47" s="4">
        <v>2.2200000000000001E-5</v>
      </c>
      <c r="GI47" s="4">
        <v>2.19E-5</v>
      </c>
      <c r="GJ47" s="4">
        <v>2.1500000000000001E-5</v>
      </c>
      <c r="GK47" s="4">
        <v>2.12E-5</v>
      </c>
      <c r="GL47" s="4">
        <v>2.09E-5</v>
      </c>
      <c r="GM47" s="4">
        <v>2.0599999999999999E-5</v>
      </c>
      <c r="GN47" s="4">
        <v>2.0299999999999999E-5</v>
      </c>
      <c r="GO47" s="4">
        <v>2.0000000000000002E-5</v>
      </c>
      <c r="GP47" s="4">
        <v>1.9700000000000001E-5</v>
      </c>
      <c r="GQ47" s="4">
        <v>1.9400000000000001E-5</v>
      </c>
      <c r="GR47" s="4">
        <v>1.91E-5</v>
      </c>
      <c r="GS47" s="4">
        <v>1.8899999999999999E-5</v>
      </c>
      <c r="GT47" s="4">
        <v>1.8600000000000001E-5</v>
      </c>
      <c r="GU47" s="4">
        <v>1.8300000000000001E-5</v>
      </c>
      <c r="GV47" s="4">
        <v>1.8099999999999999E-5</v>
      </c>
      <c r="GW47" s="4">
        <v>1.7799999999999999E-5</v>
      </c>
      <c r="GX47" s="4">
        <v>1.7600000000000001E-5</v>
      </c>
      <c r="GY47" s="4">
        <v>1.73E-5</v>
      </c>
      <c r="GZ47" s="4">
        <v>1.7099999999999999E-5</v>
      </c>
      <c r="HA47" s="4">
        <v>1.6799999999999998E-5</v>
      </c>
      <c r="HB47" s="4">
        <v>1.66E-5</v>
      </c>
      <c r="HC47" s="4">
        <v>1.6399999999999999E-5</v>
      </c>
      <c r="HD47" s="4">
        <v>1.6099999999999998E-5</v>
      </c>
      <c r="HE47" s="4">
        <v>1.59E-5</v>
      </c>
      <c r="HF47" s="4">
        <v>1.5699999999999999E-5</v>
      </c>
      <c r="HG47" s="4">
        <v>1.5500000000000001E-5</v>
      </c>
      <c r="HH47" s="4">
        <v>1.5299999999999999E-5</v>
      </c>
      <c r="HI47" s="4">
        <v>1.5E-5</v>
      </c>
      <c r="HJ47" s="4">
        <v>1.4800000000000001E-5</v>
      </c>
      <c r="HK47" s="4">
        <v>1.4600000000000001E-5</v>
      </c>
      <c r="HL47" s="4">
        <v>1.4399999999999999E-5</v>
      </c>
      <c r="HM47" s="4">
        <v>1.42E-5</v>
      </c>
      <c r="HN47" s="4">
        <v>1.4E-5</v>
      </c>
      <c r="HO47" s="4">
        <v>1.38E-5</v>
      </c>
      <c r="HP47" s="4">
        <v>1.36E-5</v>
      </c>
      <c r="HQ47" s="4">
        <v>1.34E-5</v>
      </c>
      <c r="HR47" s="4">
        <v>1.33E-5</v>
      </c>
      <c r="HS47" s="4">
        <v>1.31E-5</v>
      </c>
      <c r="HT47" s="4">
        <v>1.29E-5</v>
      </c>
      <c r="HU47" s="4">
        <v>1.27E-5</v>
      </c>
      <c r="HV47" s="4">
        <v>1.2500000000000001E-5</v>
      </c>
      <c r="HW47" s="4">
        <v>1.24E-5</v>
      </c>
      <c r="HX47" s="4">
        <v>1.22E-5</v>
      </c>
      <c r="HY47" s="4">
        <v>1.2E-5</v>
      </c>
      <c r="HZ47" s="4">
        <v>1.19E-5</v>
      </c>
      <c r="IA47" s="4">
        <v>1.17E-5</v>
      </c>
      <c r="IB47" s="4">
        <v>1.15E-5</v>
      </c>
      <c r="IC47" s="4">
        <v>1.1399999999999999E-5</v>
      </c>
      <c r="ID47" s="4">
        <v>1.1199999999999999E-5</v>
      </c>
      <c r="IE47" s="4">
        <v>1.11E-5</v>
      </c>
      <c r="IF47" s="4">
        <v>1.0900000000000001E-5</v>
      </c>
      <c r="IG47" s="4">
        <v>7.6579999999999997E-4</v>
      </c>
      <c r="IH47" s="4"/>
      <c r="II47" s="4">
        <f t="shared" si="247"/>
        <v>0.11463493079169816</v>
      </c>
      <c r="IL47">
        <f t="shared" si="248"/>
        <v>0.35584964999999957</v>
      </c>
      <c r="IP47" s="4">
        <f t="shared" si="249"/>
        <v>4.1190600000000001E-2</v>
      </c>
      <c r="IQ47" s="4">
        <f t="shared" si="250"/>
        <v>3.28998E-2</v>
      </c>
      <c r="IR47" s="4">
        <f t="shared" si="251"/>
        <v>2.51667E-2</v>
      </c>
      <c r="IS47" s="4">
        <f t="shared" si="252"/>
        <v>2.0097299999999998E-2</v>
      </c>
      <c r="IT47" s="4">
        <f t="shared" si="253"/>
        <v>1.6565400000000001E-2</v>
      </c>
      <c r="IU47" s="4">
        <f t="shared" si="254"/>
        <v>5.7568799999999996E-2</v>
      </c>
      <c r="IV47" s="4">
        <f t="shared" si="255"/>
        <v>3.9712999999999998E-2</v>
      </c>
      <c r="IW47" s="4">
        <f t="shared" si="256"/>
        <v>3.0536999999999995E-2</v>
      </c>
      <c r="IX47" s="4">
        <f t="shared" si="257"/>
        <v>9.2492799999999986E-2</v>
      </c>
      <c r="JA47" s="4">
        <f t="shared" si="289"/>
        <v>8.2918999999999979E-3</v>
      </c>
      <c r="JB47" s="4">
        <f t="shared" si="290"/>
        <v>7.7289999999999998E-3</v>
      </c>
      <c r="JC47" s="4">
        <f t="shared" si="260"/>
        <v>4.8745000000000038E-3</v>
      </c>
      <c r="JD47" s="4">
        <f t="shared" si="261"/>
        <v>3.1488999999999996E-3</v>
      </c>
      <c r="JE47" s="4">
        <f t="shared" si="262"/>
        <v>2.1897999999999987E-3</v>
      </c>
      <c r="JF47" s="4">
        <f t="shared" si="263"/>
        <v>5.2859999999999921E-3</v>
      </c>
      <c r="JG47" s="4">
        <f t="shared" si="264"/>
        <v>2.4573000000000025E-3</v>
      </c>
      <c r="JH47" s="4">
        <f t="shared" si="265"/>
        <v>1.686E-3</v>
      </c>
      <c r="JI47" s="4">
        <f t="shared" si="266"/>
        <v>5.1293999999999923E-3</v>
      </c>
    </row>
    <row r="48" spans="1:269" x14ac:dyDescent="0.35">
      <c r="A48" s="1">
        <v>40</v>
      </c>
      <c r="B48" s="4">
        <v>1.05568E-2</v>
      </c>
      <c r="C48" s="4">
        <v>1.05568E-2</v>
      </c>
      <c r="D48" s="4">
        <v>1.05109E-2</v>
      </c>
      <c r="E48" s="4">
        <v>1.02191E-2</v>
      </c>
      <c r="F48" s="4">
        <v>9.9089999999999994E-3</v>
      </c>
      <c r="G48" s="4">
        <v>9.1528000000000009E-3</v>
      </c>
      <c r="H48" s="4">
        <v>8.5255999999999995E-3</v>
      </c>
      <c r="I48" s="4">
        <v>7.8823999999999995E-3</v>
      </c>
      <c r="J48" s="4">
        <v>7.3518000000000003E-3</v>
      </c>
      <c r="K48" s="4">
        <v>6.8722999999999996E-3</v>
      </c>
      <c r="L48" s="4">
        <v>6.4549999999999998E-3</v>
      </c>
      <c r="M48" s="4">
        <v>6.0822000000000003E-3</v>
      </c>
      <c r="N48" s="4">
        <v>5.7429999999999998E-3</v>
      </c>
      <c r="O48" s="4">
        <v>5.4355000000000002E-3</v>
      </c>
      <c r="P48" s="4">
        <v>5.1630000000000001E-3</v>
      </c>
      <c r="Q48" s="4">
        <v>4.9043999999999997E-3</v>
      </c>
      <c r="R48" s="4">
        <v>4.6814999999999999E-3</v>
      </c>
      <c r="S48" s="4">
        <v>4.4165000000000003E-3</v>
      </c>
      <c r="T48" s="4">
        <v>4.228E-3</v>
      </c>
      <c r="U48" s="4">
        <v>4.0575000000000003E-3</v>
      </c>
      <c r="V48" s="4">
        <v>3.8988E-3</v>
      </c>
      <c r="W48" s="4">
        <v>3.7548E-3</v>
      </c>
      <c r="X48" s="4">
        <v>3.6281999999999998E-3</v>
      </c>
      <c r="Y48" s="4">
        <v>3.5109E-3</v>
      </c>
      <c r="Z48" s="4">
        <v>3.3966999999999999E-3</v>
      </c>
      <c r="AA48" s="4">
        <v>3.2902000000000001E-3</v>
      </c>
      <c r="AB48" s="4">
        <v>3.1935000000000002E-3</v>
      </c>
      <c r="AC48" s="4">
        <v>3.1053000000000001E-3</v>
      </c>
      <c r="AD48" s="4">
        <v>3.0311000000000001E-3</v>
      </c>
      <c r="AE48" s="4">
        <v>2.9621999999999999E-3</v>
      </c>
      <c r="AF48" s="4">
        <v>2.8953E-3</v>
      </c>
      <c r="AG48" s="4">
        <v>2.8310000000000002E-3</v>
      </c>
      <c r="AH48" s="4">
        <v>2.7680000000000001E-3</v>
      </c>
      <c r="AI48" s="4">
        <v>2.7041000000000001E-3</v>
      </c>
      <c r="AJ48" s="4">
        <v>2.6321000000000001E-3</v>
      </c>
      <c r="AK48" s="4">
        <v>2.552E-3</v>
      </c>
      <c r="AL48" s="4">
        <v>2.4191E-3</v>
      </c>
      <c r="AM48" s="4">
        <v>2.3500000000000001E-3</v>
      </c>
      <c r="AN48" s="4">
        <v>2.2805999999999998E-3</v>
      </c>
      <c r="AO48" s="4">
        <v>2.1424999999999999E-3</v>
      </c>
      <c r="AP48" s="4">
        <v>2.2315999999999998E-3</v>
      </c>
      <c r="AQ48" s="4">
        <v>2.196E-3</v>
      </c>
      <c r="AR48" s="4">
        <v>2.1748000000000002E-3</v>
      </c>
      <c r="AS48" s="4">
        <v>2.1522999999999998E-3</v>
      </c>
      <c r="AT48" s="4">
        <v>2.1302000000000001E-3</v>
      </c>
      <c r="AU48" s="4">
        <v>2.1075E-3</v>
      </c>
      <c r="AV48" s="4">
        <v>2.0847000000000001E-3</v>
      </c>
      <c r="AW48" s="4">
        <v>2.0615E-3</v>
      </c>
      <c r="AX48" s="4">
        <v>2.0379999999999999E-3</v>
      </c>
      <c r="AY48" s="4">
        <v>2.0143000000000001E-3</v>
      </c>
      <c r="AZ48" s="4">
        <v>1.9905000000000001E-3</v>
      </c>
      <c r="BA48" s="4">
        <v>1.9664999999999999E-3</v>
      </c>
      <c r="BB48" s="4">
        <v>1.9426000000000001E-3</v>
      </c>
      <c r="BC48" s="4">
        <v>1.9185999999999999E-3</v>
      </c>
      <c r="BD48" s="4">
        <v>1.8948000000000001E-3</v>
      </c>
      <c r="BE48" s="4">
        <v>1.8710000000000001E-3</v>
      </c>
      <c r="BF48" s="4">
        <v>1.8473000000000001E-3</v>
      </c>
      <c r="BG48" s="4">
        <v>1.8236999999999999E-3</v>
      </c>
      <c r="BH48" s="4">
        <v>1.8004E-3</v>
      </c>
      <c r="BI48" s="4">
        <v>1.7771E-3</v>
      </c>
      <c r="BJ48" s="4">
        <v>1.7539999999999999E-3</v>
      </c>
      <c r="BK48" s="4">
        <v>1.7312E-3</v>
      </c>
      <c r="BL48" s="4">
        <v>1.7083999999999999E-3</v>
      </c>
      <c r="BM48" s="4">
        <v>1.6858999999999999E-3</v>
      </c>
      <c r="BN48" s="4">
        <v>1.6636000000000001E-3</v>
      </c>
      <c r="BO48" s="4">
        <v>1.6414000000000001E-3</v>
      </c>
      <c r="BP48" s="4">
        <v>1.6195000000000001E-3</v>
      </c>
      <c r="BQ48" s="4">
        <v>1.5977000000000001E-3</v>
      </c>
      <c r="BR48" s="4">
        <v>1.5761E-3</v>
      </c>
      <c r="BS48" s="4">
        <v>1.5547E-3</v>
      </c>
      <c r="BT48" s="4">
        <v>1.5334999999999999E-3</v>
      </c>
      <c r="BU48" s="4">
        <v>1.5125E-3</v>
      </c>
      <c r="BV48" s="4">
        <v>1.4917000000000001E-3</v>
      </c>
      <c r="BW48" s="4">
        <v>1.4710999999999999E-3</v>
      </c>
      <c r="BX48" s="4">
        <v>1.4506E-3</v>
      </c>
      <c r="BY48" s="4">
        <v>1.4304000000000001E-3</v>
      </c>
      <c r="BZ48" s="4">
        <v>1.4104E-3</v>
      </c>
      <c r="CA48" s="4">
        <v>1.3906000000000001E-3</v>
      </c>
      <c r="CB48" s="4">
        <v>1.371E-3</v>
      </c>
      <c r="CC48" s="4">
        <v>1.3515999999999999E-3</v>
      </c>
      <c r="CD48" s="4">
        <v>1.3324999999999999E-3</v>
      </c>
      <c r="CE48" s="4">
        <v>1.3136000000000001E-3</v>
      </c>
      <c r="CF48" s="4">
        <v>1.2949000000000001E-3</v>
      </c>
      <c r="CG48" s="4">
        <v>1.2764E-3</v>
      </c>
      <c r="CH48" s="4">
        <v>1.2581999999999999E-3</v>
      </c>
      <c r="CI48" s="4">
        <v>1.2401999999999999E-3</v>
      </c>
      <c r="CJ48" s="4">
        <v>1.2224E-3</v>
      </c>
      <c r="CK48" s="4">
        <v>1.2049000000000001E-3</v>
      </c>
      <c r="CL48" s="4">
        <v>1.1876E-3</v>
      </c>
      <c r="CM48" s="4">
        <v>1.1705000000000001E-3</v>
      </c>
      <c r="CN48" s="4">
        <v>1.1536999999999999E-3</v>
      </c>
      <c r="CO48" s="4">
        <v>1.1371E-3</v>
      </c>
      <c r="CP48" s="4">
        <v>1.1207999999999999E-3</v>
      </c>
      <c r="CQ48" s="4">
        <v>1.1046000000000001E-3</v>
      </c>
      <c r="CR48" s="4">
        <v>1.0887E-3</v>
      </c>
      <c r="CS48" s="4">
        <v>1.0731E-3</v>
      </c>
      <c r="CT48" s="4">
        <v>1.0575999999999999E-3</v>
      </c>
      <c r="CU48" s="4">
        <v>1.0424E-3</v>
      </c>
      <c r="CV48" s="4">
        <v>1.0273999999999999E-3</v>
      </c>
      <c r="CW48" s="4">
        <v>1.0126E-3</v>
      </c>
      <c r="CX48" s="4">
        <v>9.9810000000000003E-4</v>
      </c>
      <c r="CY48" s="4">
        <v>9.836999999999999E-4</v>
      </c>
      <c r="CZ48" s="4">
        <v>9.6960000000000004E-4</v>
      </c>
      <c r="DA48" s="4">
        <v>9.5569999999999997E-4</v>
      </c>
      <c r="DB48" s="4">
        <v>9.4200000000000002E-4</v>
      </c>
      <c r="DC48" s="4">
        <v>9.2849999999999996E-4</v>
      </c>
      <c r="DD48" s="4">
        <v>9.1520000000000002E-4</v>
      </c>
      <c r="DE48" s="4">
        <v>9.0209999999999997E-4</v>
      </c>
      <c r="DF48" s="4">
        <v>8.8920000000000004E-4</v>
      </c>
      <c r="DG48" s="4">
        <v>8.765E-4</v>
      </c>
      <c r="DH48" s="4">
        <v>8.6399999999999997E-4</v>
      </c>
      <c r="DI48" s="4">
        <v>8.5170000000000005E-4</v>
      </c>
      <c r="DJ48" s="4">
        <v>8.3949999999999997E-4</v>
      </c>
      <c r="DK48" s="4">
        <v>8.2759999999999995E-4</v>
      </c>
      <c r="DL48" s="4">
        <v>8.1579999999999999E-4</v>
      </c>
      <c r="DM48" s="4">
        <v>8.0420000000000003E-4</v>
      </c>
      <c r="DN48" s="4">
        <v>7.9279999999999997E-4</v>
      </c>
      <c r="DO48" s="4">
        <v>7.8149999999999997E-4</v>
      </c>
      <c r="DP48" s="4">
        <v>7.7039999999999997E-4</v>
      </c>
      <c r="DQ48" s="4">
        <v>5.3802500000000003E-2</v>
      </c>
      <c r="DR48" s="4">
        <v>0</v>
      </c>
      <c r="DS48" s="4">
        <v>7.8100000000000001E-5</v>
      </c>
      <c r="DT48" s="4">
        <v>2.7409999999999999E-4</v>
      </c>
      <c r="DU48" s="4">
        <v>3.2309999999999999E-4</v>
      </c>
      <c r="DV48" s="4">
        <v>7.492E-4</v>
      </c>
      <c r="DW48" s="4">
        <v>6.2500000000000001E-4</v>
      </c>
      <c r="DX48" s="4">
        <v>6.3279999999999999E-4</v>
      </c>
      <c r="DY48" s="4">
        <v>5.2959999999999997E-4</v>
      </c>
      <c r="DZ48" s="4">
        <v>4.8010000000000001E-4</v>
      </c>
      <c r="EA48" s="4">
        <v>4.2339999999999999E-4</v>
      </c>
      <c r="EB48" s="4">
        <v>3.7740000000000001E-4</v>
      </c>
      <c r="EC48" s="4">
        <v>3.3639999999999999E-4</v>
      </c>
      <c r="ED48" s="4">
        <v>3.0079999999999999E-4</v>
      </c>
      <c r="EE48" s="4">
        <v>2.6919999999999998E-4</v>
      </c>
      <c r="EF48" s="4">
        <v>2.4259999999999999E-4</v>
      </c>
      <c r="EG48" s="4">
        <v>2.1880000000000001E-4</v>
      </c>
      <c r="EH48" s="4">
        <v>1.9819999999999999E-4</v>
      </c>
      <c r="EI48" s="4">
        <v>1.772E-4</v>
      </c>
      <c r="EJ48" s="4">
        <v>1.616E-4</v>
      </c>
      <c r="EK48" s="4">
        <v>1.4789999999999999E-4</v>
      </c>
      <c r="EL48" s="4">
        <v>1.3579999999999999E-4</v>
      </c>
      <c r="EM48" s="4">
        <v>1.25E-4</v>
      </c>
      <c r="EN48" s="4">
        <v>1.156E-4</v>
      </c>
      <c r="EO48" s="4">
        <v>1.072E-4</v>
      </c>
      <c r="EP48" s="4">
        <v>9.9699999999999998E-5</v>
      </c>
      <c r="EQ48" s="4">
        <v>9.2899999999999995E-5</v>
      </c>
      <c r="ER48" s="4">
        <v>8.7000000000000001E-5</v>
      </c>
      <c r="ES48" s="4">
        <v>8.1699999999999994E-5</v>
      </c>
      <c r="ET48" s="4">
        <v>7.7000000000000001E-5</v>
      </c>
      <c r="EU48" s="4">
        <v>7.2899999999999997E-5</v>
      </c>
      <c r="EV48" s="4">
        <v>6.8999999999999997E-5</v>
      </c>
      <c r="EW48" s="4">
        <v>6.5500000000000006E-5</v>
      </c>
      <c r="EX48" s="4">
        <v>6.2199999999999994E-5</v>
      </c>
      <c r="EY48" s="4">
        <v>5.9200000000000002E-5</v>
      </c>
      <c r="EZ48" s="4">
        <v>5.6100000000000002E-5</v>
      </c>
      <c r="FA48" s="4">
        <v>5.3100000000000003E-5</v>
      </c>
      <c r="FB48" s="4">
        <v>4.8999999999999998E-5</v>
      </c>
      <c r="FC48" s="4">
        <v>4.6600000000000001E-5</v>
      </c>
      <c r="FD48" s="4">
        <v>4.4199999999999997E-5</v>
      </c>
      <c r="FE48" s="4">
        <v>4.0500000000000002E-5</v>
      </c>
      <c r="FF48" s="4">
        <v>4.1699999999999997E-5</v>
      </c>
      <c r="FG48" s="4">
        <v>4.0099999999999999E-5</v>
      </c>
      <c r="FH48" s="4">
        <v>3.8899999999999997E-5</v>
      </c>
      <c r="FI48" s="4">
        <v>3.7799999999999997E-5</v>
      </c>
      <c r="FJ48" s="4">
        <v>3.6699999999999998E-5</v>
      </c>
      <c r="FK48" s="4">
        <v>3.57E-5</v>
      </c>
      <c r="FL48" s="4">
        <v>3.4700000000000003E-5</v>
      </c>
      <c r="FM48" s="4">
        <v>3.3800000000000002E-5</v>
      </c>
      <c r="FN48" s="4">
        <v>3.29E-5</v>
      </c>
      <c r="FO48" s="4">
        <v>3.2100000000000001E-5</v>
      </c>
      <c r="FP48" s="4">
        <v>3.1300000000000002E-5</v>
      </c>
      <c r="FQ48" s="4">
        <v>3.0599999999999998E-5</v>
      </c>
      <c r="FR48" s="4">
        <v>2.9899999999999998E-5</v>
      </c>
      <c r="FS48" s="4">
        <v>2.9200000000000002E-5</v>
      </c>
      <c r="FT48" s="4">
        <v>2.8600000000000001E-5</v>
      </c>
      <c r="FU48" s="4">
        <v>2.8E-5</v>
      </c>
      <c r="FV48" s="4">
        <v>2.7399999999999999E-5</v>
      </c>
      <c r="FW48" s="4">
        <v>2.69E-5</v>
      </c>
      <c r="FX48" s="4">
        <v>2.6400000000000001E-5</v>
      </c>
      <c r="FY48" s="4">
        <v>2.5899999999999999E-5</v>
      </c>
      <c r="FZ48" s="4">
        <v>2.5400000000000001E-5</v>
      </c>
      <c r="GA48" s="4">
        <v>2.5000000000000001E-5</v>
      </c>
      <c r="GB48" s="4">
        <v>2.4499999999999999E-5</v>
      </c>
      <c r="GC48" s="4">
        <v>2.41E-5</v>
      </c>
      <c r="GD48" s="4">
        <v>2.37E-5</v>
      </c>
      <c r="GE48" s="4">
        <v>2.3300000000000001E-5</v>
      </c>
      <c r="GF48" s="4">
        <v>2.3E-5</v>
      </c>
      <c r="GG48" s="4">
        <v>2.26E-5</v>
      </c>
      <c r="GH48" s="4">
        <v>2.2200000000000001E-5</v>
      </c>
      <c r="GI48" s="4">
        <v>2.19E-5</v>
      </c>
      <c r="GJ48" s="4">
        <v>2.16E-5</v>
      </c>
      <c r="GK48" s="4">
        <v>2.1299999999999999E-5</v>
      </c>
      <c r="GL48" s="4">
        <v>2.09E-5</v>
      </c>
      <c r="GM48" s="4">
        <v>2.0599999999999999E-5</v>
      </c>
      <c r="GN48" s="4">
        <v>2.0299999999999999E-5</v>
      </c>
      <c r="GO48" s="4">
        <v>2.0000000000000002E-5</v>
      </c>
      <c r="GP48" s="4">
        <v>1.9700000000000001E-5</v>
      </c>
      <c r="GQ48" s="4">
        <v>1.95E-5</v>
      </c>
      <c r="GR48" s="4">
        <v>1.9199999999999999E-5</v>
      </c>
      <c r="GS48" s="4">
        <v>1.8899999999999999E-5</v>
      </c>
      <c r="GT48" s="4">
        <v>1.8600000000000001E-5</v>
      </c>
      <c r="GU48" s="4">
        <v>1.84E-5</v>
      </c>
      <c r="GV48" s="4">
        <v>1.8099999999999999E-5</v>
      </c>
      <c r="GW48" s="4">
        <v>1.7900000000000001E-5</v>
      </c>
      <c r="GX48" s="4">
        <v>1.7600000000000001E-5</v>
      </c>
      <c r="GY48" s="4">
        <v>1.7399999999999999E-5</v>
      </c>
      <c r="GZ48" s="4">
        <v>1.7099999999999999E-5</v>
      </c>
      <c r="HA48" s="4">
        <v>1.6900000000000001E-5</v>
      </c>
      <c r="HB48" s="4">
        <v>1.66E-5</v>
      </c>
      <c r="HC48" s="4">
        <v>1.6399999999999999E-5</v>
      </c>
      <c r="HD48" s="4">
        <v>1.6200000000000001E-5</v>
      </c>
      <c r="HE48" s="4">
        <v>1.59E-5</v>
      </c>
      <c r="HF48" s="4">
        <v>1.5699999999999999E-5</v>
      </c>
      <c r="HG48" s="4">
        <v>1.5500000000000001E-5</v>
      </c>
      <c r="HH48" s="4">
        <v>1.5299999999999999E-5</v>
      </c>
      <c r="HI48" s="4">
        <v>1.5099999999999999E-5</v>
      </c>
      <c r="HJ48" s="4">
        <v>1.49E-5</v>
      </c>
      <c r="HK48" s="4">
        <v>1.4600000000000001E-5</v>
      </c>
      <c r="HL48" s="4">
        <v>1.4399999999999999E-5</v>
      </c>
      <c r="HM48" s="4">
        <v>1.42E-5</v>
      </c>
      <c r="HN48" s="4">
        <v>1.4E-5</v>
      </c>
      <c r="HO48" s="4">
        <v>1.38E-5</v>
      </c>
      <c r="HP48" s="4">
        <v>1.36E-5</v>
      </c>
      <c r="HQ48" s="4">
        <v>1.3499999999999999E-5</v>
      </c>
      <c r="HR48" s="4">
        <v>1.33E-5</v>
      </c>
      <c r="HS48" s="4">
        <v>1.31E-5</v>
      </c>
      <c r="HT48" s="4">
        <v>1.29E-5</v>
      </c>
      <c r="HU48" s="4">
        <v>1.27E-5</v>
      </c>
      <c r="HV48" s="4">
        <v>1.2500000000000001E-5</v>
      </c>
      <c r="HW48" s="4">
        <v>1.24E-5</v>
      </c>
      <c r="HX48" s="4">
        <v>1.22E-5</v>
      </c>
      <c r="HY48" s="4">
        <v>1.2E-5</v>
      </c>
      <c r="HZ48" s="4">
        <v>1.19E-5</v>
      </c>
      <c r="IA48" s="4">
        <v>1.17E-5</v>
      </c>
      <c r="IB48" s="4">
        <v>1.15E-5</v>
      </c>
      <c r="IC48" s="4">
        <v>1.1399999999999999E-5</v>
      </c>
      <c r="ID48" s="4">
        <v>1.1199999999999999E-5</v>
      </c>
      <c r="IE48" s="4">
        <v>1.11E-5</v>
      </c>
      <c r="IF48" s="4">
        <v>1.0900000000000001E-5</v>
      </c>
      <c r="IG48" s="4">
        <v>7.6559999999999996E-4</v>
      </c>
      <c r="IH48" s="4"/>
      <c r="II48" s="4">
        <f t="shared" si="247"/>
        <v>0.11468365442402641</v>
      </c>
      <c r="IL48">
        <f t="shared" si="248"/>
        <v>0.35599755</v>
      </c>
      <c r="IP48" s="4">
        <f t="shared" si="249"/>
        <v>4.1195800000000005E-2</v>
      </c>
      <c r="IQ48" s="4">
        <f t="shared" si="250"/>
        <v>3.29126E-2</v>
      </c>
      <c r="IR48" s="4">
        <f t="shared" si="251"/>
        <v>2.5152500000000001E-2</v>
      </c>
      <c r="IS48" s="4">
        <f t="shared" si="252"/>
        <v>2.0184399999999998E-2</v>
      </c>
      <c r="IT48" s="4">
        <f t="shared" si="253"/>
        <v>1.6600799999999999E-2</v>
      </c>
      <c r="IU48" s="4">
        <f t="shared" si="254"/>
        <v>5.7679199999999993E-2</v>
      </c>
      <c r="IV48" s="4">
        <f t="shared" si="255"/>
        <v>3.9545799999999992E-2</v>
      </c>
      <c r="IW48" s="4">
        <f t="shared" si="256"/>
        <v>3.0524399999999997E-2</v>
      </c>
      <c r="IX48" s="4">
        <f t="shared" si="257"/>
        <v>9.2497299999999991E-2</v>
      </c>
    </row>
    <row r="49" spans="1:258" x14ac:dyDescent="0.35">
      <c r="A49" s="1">
        <v>41</v>
      </c>
      <c r="B49" s="4">
        <v>1.0654E-2</v>
      </c>
      <c r="C49" s="4">
        <v>1.05568E-2</v>
      </c>
      <c r="D49" s="4">
        <v>1.0478700000000001E-2</v>
      </c>
      <c r="E49" s="4">
        <v>1.02367E-2</v>
      </c>
      <c r="F49" s="4">
        <v>9.8960000000000003E-3</v>
      </c>
      <c r="G49" s="4">
        <v>9.1597999999999992E-3</v>
      </c>
      <c r="H49" s="4">
        <v>8.5276999999999992E-3</v>
      </c>
      <c r="I49" s="4">
        <v>7.8928000000000002E-3</v>
      </c>
      <c r="J49" s="4">
        <v>7.3527999999999996E-3</v>
      </c>
      <c r="K49" s="4">
        <v>6.8716999999999997E-3</v>
      </c>
      <c r="L49" s="4">
        <v>6.4488999999999996E-3</v>
      </c>
      <c r="M49" s="4">
        <v>6.0775999999999998E-3</v>
      </c>
      <c r="N49" s="4">
        <v>5.7457000000000003E-3</v>
      </c>
      <c r="O49" s="4">
        <v>5.4422000000000003E-3</v>
      </c>
      <c r="P49" s="4">
        <v>5.1663000000000004E-3</v>
      </c>
      <c r="Q49" s="4">
        <v>4.9204000000000001E-3</v>
      </c>
      <c r="R49" s="4">
        <v>4.6855999999999998E-3</v>
      </c>
      <c r="S49" s="4">
        <v>4.4833E-3</v>
      </c>
      <c r="T49" s="4">
        <v>4.2392999999999997E-3</v>
      </c>
      <c r="U49" s="4">
        <v>4.0664000000000004E-3</v>
      </c>
      <c r="V49" s="4">
        <v>3.9096000000000001E-3</v>
      </c>
      <c r="W49" s="4">
        <v>3.7629999999999999E-3</v>
      </c>
      <c r="X49" s="4">
        <v>3.6297999999999999E-3</v>
      </c>
      <c r="Y49" s="4">
        <v>3.5125999999999998E-3</v>
      </c>
      <c r="Z49" s="4">
        <v>3.4037E-3</v>
      </c>
      <c r="AA49" s="4">
        <v>3.297E-3</v>
      </c>
      <c r="AB49" s="4">
        <v>3.1973000000000001E-3</v>
      </c>
      <c r="AC49" s="4">
        <v>3.1064999999999999E-3</v>
      </c>
      <c r="AD49" s="4">
        <v>3.0236E-3</v>
      </c>
      <c r="AE49" s="4">
        <v>2.954E-3</v>
      </c>
      <c r="AF49" s="4">
        <v>2.8893E-3</v>
      </c>
      <c r="AG49" s="4">
        <v>2.8262999999999999E-3</v>
      </c>
      <c r="AH49" s="4">
        <v>2.7655000000000002E-3</v>
      </c>
      <c r="AI49" s="4">
        <v>2.7058E-3</v>
      </c>
      <c r="AJ49" s="4">
        <v>2.6448999999999999E-3</v>
      </c>
      <c r="AK49" s="4">
        <v>2.5760000000000002E-3</v>
      </c>
      <c r="AL49" s="4">
        <v>2.4989000000000001E-3</v>
      </c>
      <c r="AM49" s="4">
        <v>2.3701E-3</v>
      </c>
      <c r="AN49" s="4">
        <v>2.3034000000000002E-3</v>
      </c>
      <c r="AO49" s="4">
        <v>2.2363999999999999E-3</v>
      </c>
      <c r="AP49" s="4">
        <v>2.1018999999999999E-3</v>
      </c>
      <c r="AQ49" s="4">
        <v>2.1898999999999998E-3</v>
      </c>
      <c r="AR49" s="4">
        <v>2.1559999999999999E-3</v>
      </c>
      <c r="AS49" s="4">
        <v>2.1359E-3</v>
      </c>
      <c r="AT49" s="4">
        <v>2.1145000000000001E-3</v>
      </c>
      <c r="AU49" s="4">
        <v>2.0934999999999999E-3</v>
      </c>
      <c r="AV49" s="4">
        <v>2.0717999999999999E-3</v>
      </c>
      <c r="AW49" s="4">
        <v>2.0500000000000002E-3</v>
      </c>
      <c r="AX49" s="4">
        <v>2.0278000000000002E-3</v>
      </c>
      <c r="AY49" s="4">
        <v>2.0051000000000001E-3</v>
      </c>
      <c r="AZ49" s="4">
        <v>1.9821999999999999E-3</v>
      </c>
      <c r="BA49" s="4">
        <v>1.9591999999999999E-3</v>
      </c>
      <c r="BB49" s="4">
        <v>1.936E-3</v>
      </c>
      <c r="BC49" s="4">
        <v>1.9127E-3</v>
      </c>
      <c r="BD49" s="4">
        <v>1.8894000000000001E-3</v>
      </c>
      <c r="BE49" s="4">
        <v>1.8661999999999999E-3</v>
      </c>
      <c r="BF49" s="4">
        <v>1.843E-3</v>
      </c>
      <c r="BG49" s="4">
        <v>1.8198999999999999E-3</v>
      </c>
      <c r="BH49" s="4">
        <v>1.7968999999999999E-3</v>
      </c>
      <c r="BI49" s="4">
        <v>1.774E-3</v>
      </c>
      <c r="BJ49" s="4">
        <v>1.7512000000000001E-3</v>
      </c>
      <c r="BK49" s="4">
        <v>1.7286000000000001E-3</v>
      </c>
      <c r="BL49" s="4">
        <v>1.7061999999999999E-3</v>
      </c>
      <c r="BM49" s="4">
        <v>1.6838999999999999E-3</v>
      </c>
      <c r="BN49" s="4">
        <v>1.6618E-3</v>
      </c>
      <c r="BO49" s="4">
        <v>1.6398999999999999E-3</v>
      </c>
      <c r="BP49" s="4">
        <v>1.6180999999999999E-3</v>
      </c>
      <c r="BQ49" s="4">
        <v>1.5965E-3</v>
      </c>
      <c r="BR49" s="4">
        <v>1.5751000000000001E-3</v>
      </c>
      <c r="BS49" s="4">
        <v>1.5539E-3</v>
      </c>
      <c r="BT49" s="4">
        <v>1.5328E-3</v>
      </c>
      <c r="BU49" s="4">
        <v>1.5120000000000001E-3</v>
      </c>
      <c r="BV49" s="4">
        <v>1.4913000000000001E-3</v>
      </c>
      <c r="BW49" s="4">
        <v>1.4706999999999999E-3</v>
      </c>
      <c r="BX49" s="4">
        <v>1.4503999999999999E-3</v>
      </c>
      <c r="BY49" s="4">
        <v>1.4303E-3</v>
      </c>
      <c r="BZ49" s="4">
        <v>1.4104E-3</v>
      </c>
      <c r="CA49" s="4">
        <v>1.3906999999999999E-3</v>
      </c>
      <c r="CB49" s="4">
        <v>1.3711000000000001E-3</v>
      </c>
      <c r="CC49" s="4">
        <v>1.3518E-3</v>
      </c>
      <c r="CD49" s="4">
        <v>1.3327E-3</v>
      </c>
      <c r="CE49" s="4">
        <v>1.3139E-3</v>
      </c>
      <c r="CF49" s="4">
        <v>1.2952E-3</v>
      </c>
      <c r="CG49" s="4">
        <v>1.2768E-3</v>
      </c>
      <c r="CH49" s="4">
        <v>1.2585999999999999E-3</v>
      </c>
      <c r="CI49" s="4">
        <v>1.2405999999999999E-3</v>
      </c>
      <c r="CJ49" s="4">
        <v>1.2229000000000001E-3</v>
      </c>
      <c r="CK49" s="4">
        <v>1.2053000000000001E-3</v>
      </c>
      <c r="CL49" s="4">
        <v>1.188E-3</v>
      </c>
      <c r="CM49" s="4">
        <v>1.1709999999999999E-3</v>
      </c>
      <c r="CN49" s="4">
        <v>1.1542E-3</v>
      </c>
      <c r="CO49" s="4">
        <v>1.1375999999999999E-3</v>
      </c>
      <c r="CP49" s="4">
        <v>1.1211999999999999E-3</v>
      </c>
      <c r="CQ49" s="4">
        <v>1.1050000000000001E-3</v>
      </c>
      <c r="CR49" s="4">
        <v>1.0891E-3</v>
      </c>
      <c r="CS49" s="4">
        <v>1.0735E-3</v>
      </c>
      <c r="CT49" s="4">
        <v>1.0579999999999999E-3</v>
      </c>
      <c r="CU49" s="4">
        <v>1.0428E-3</v>
      </c>
      <c r="CV49" s="4">
        <v>1.0277000000000001E-3</v>
      </c>
      <c r="CW49" s="4">
        <v>1.013E-3</v>
      </c>
      <c r="CX49" s="4">
        <v>9.9839999999999998E-4</v>
      </c>
      <c r="CY49" s="4">
        <v>9.8400000000000007E-4</v>
      </c>
      <c r="CZ49" s="4">
        <v>9.6989999999999999E-4</v>
      </c>
      <c r="DA49" s="4">
        <v>9.5600000000000004E-4</v>
      </c>
      <c r="DB49" s="4">
        <v>9.4220000000000003E-4</v>
      </c>
      <c r="DC49" s="4">
        <v>9.2869999999999997E-4</v>
      </c>
      <c r="DD49" s="4">
        <v>9.1540000000000002E-4</v>
      </c>
      <c r="DE49" s="4">
        <v>9.0229999999999998E-4</v>
      </c>
      <c r="DF49" s="4">
        <v>8.8940000000000004E-4</v>
      </c>
      <c r="DG49" s="4">
        <v>8.7670000000000001E-4</v>
      </c>
      <c r="DH49" s="4">
        <v>8.6410000000000002E-4</v>
      </c>
      <c r="DI49" s="4">
        <v>8.518E-4</v>
      </c>
      <c r="DJ49" s="4">
        <v>8.3960000000000003E-4</v>
      </c>
      <c r="DK49" s="4">
        <v>8.2770000000000001E-4</v>
      </c>
      <c r="DL49" s="4">
        <v>8.1590000000000005E-4</v>
      </c>
      <c r="DM49" s="4">
        <v>8.0429999999999998E-4</v>
      </c>
      <c r="DN49" s="4">
        <v>7.9279999999999997E-4</v>
      </c>
      <c r="DO49" s="4">
        <v>7.8149999999999997E-4</v>
      </c>
      <c r="DP49" s="4">
        <v>7.7039999999999997E-4</v>
      </c>
      <c r="DQ49" s="4">
        <v>5.3796499999999997E-2</v>
      </c>
      <c r="DR49" s="4">
        <v>0</v>
      </c>
      <c r="DS49" s="4">
        <v>5.8300000000000001E-5</v>
      </c>
      <c r="DT49" s="4">
        <v>2.6469999999999998E-4</v>
      </c>
      <c r="DU49" s="4">
        <v>2.6400000000000002E-4</v>
      </c>
      <c r="DV49" s="4">
        <v>7.4049999999999995E-4</v>
      </c>
      <c r="DW49" s="4">
        <v>6.2969999999999996E-4</v>
      </c>
      <c r="DX49" s="4">
        <v>6.3009999999999997E-4</v>
      </c>
      <c r="DY49" s="4">
        <v>5.3439999999999998E-4</v>
      </c>
      <c r="DZ49" s="4">
        <v>4.817E-4</v>
      </c>
      <c r="EA49" s="4">
        <v>4.2509999999999998E-4</v>
      </c>
      <c r="EB49" s="4">
        <v>3.7829999999999998E-4</v>
      </c>
      <c r="EC49" s="4">
        <v>3.3649999999999999E-4</v>
      </c>
      <c r="ED49" s="4">
        <v>3.0059999999999999E-4</v>
      </c>
      <c r="EE49" s="4">
        <v>2.6959999999999999E-4</v>
      </c>
      <c r="EF49" s="4">
        <v>2.42E-4</v>
      </c>
      <c r="EG49" s="4">
        <v>2.187E-4</v>
      </c>
      <c r="EH49" s="4">
        <v>1.9790000000000001E-4</v>
      </c>
      <c r="EI49" s="4">
        <v>1.8000000000000001E-4</v>
      </c>
      <c r="EJ49" s="4">
        <v>1.616E-4</v>
      </c>
      <c r="EK49" s="4">
        <v>1.4779999999999999E-4</v>
      </c>
      <c r="EL49" s="4">
        <v>1.3579999999999999E-4</v>
      </c>
      <c r="EM49" s="4">
        <v>1.25E-4</v>
      </c>
      <c r="EN49" s="4">
        <v>1.154E-4</v>
      </c>
      <c r="EO49" s="4">
        <v>1.071E-4</v>
      </c>
      <c r="EP49" s="4">
        <v>9.9599999999999995E-5</v>
      </c>
      <c r="EQ49" s="4">
        <v>9.2899999999999995E-5</v>
      </c>
      <c r="ER49" s="4">
        <v>8.6799999999999996E-5</v>
      </c>
      <c r="ES49" s="4">
        <v>8.14E-5</v>
      </c>
      <c r="ET49" s="4">
        <v>7.6699999999999994E-5</v>
      </c>
      <c r="EU49" s="4">
        <v>7.25E-5</v>
      </c>
      <c r="EV49" s="4">
        <v>6.8700000000000003E-5</v>
      </c>
      <c r="EW49" s="4">
        <v>6.5199999999999999E-5</v>
      </c>
      <c r="EX49" s="4">
        <v>6.2000000000000003E-5</v>
      </c>
      <c r="EY49" s="4">
        <v>5.8999999999999998E-5</v>
      </c>
      <c r="EZ49" s="4">
        <v>5.6100000000000002E-5</v>
      </c>
      <c r="FA49" s="4">
        <v>5.3300000000000001E-5</v>
      </c>
      <c r="FB49" s="4">
        <v>5.0500000000000001E-5</v>
      </c>
      <c r="FC49" s="4">
        <v>4.6699999999999997E-5</v>
      </c>
      <c r="FD49" s="4">
        <v>4.4400000000000002E-5</v>
      </c>
      <c r="FE49" s="4">
        <v>4.2200000000000003E-5</v>
      </c>
      <c r="FF49" s="4">
        <v>3.8699999999999999E-5</v>
      </c>
      <c r="FG49" s="4">
        <v>3.9900000000000001E-5</v>
      </c>
      <c r="FH49" s="4">
        <v>3.8399999999999998E-5</v>
      </c>
      <c r="FI49" s="4">
        <v>3.7299999999999999E-5</v>
      </c>
      <c r="FJ49" s="4">
        <v>3.6300000000000001E-5</v>
      </c>
      <c r="FK49" s="4">
        <v>3.5299999999999997E-5</v>
      </c>
      <c r="FL49" s="4">
        <v>3.4400000000000003E-5</v>
      </c>
      <c r="FM49" s="4">
        <v>3.3500000000000001E-5</v>
      </c>
      <c r="FN49" s="4">
        <v>3.26E-5</v>
      </c>
      <c r="FO49" s="4">
        <v>3.18E-5</v>
      </c>
      <c r="FP49" s="4">
        <v>3.1099999999999997E-5</v>
      </c>
      <c r="FQ49" s="4">
        <v>3.04E-5</v>
      </c>
      <c r="FR49" s="4">
        <v>2.97E-5</v>
      </c>
      <c r="FS49" s="4">
        <v>2.9E-5</v>
      </c>
      <c r="FT49" s="4">
        <v>2.8399999999999999E-5</v>
      </c>
      <c r="FU49" s="4">
        <v>2.7800000000000001E-5</v>
      </c>
      <c r="FV49" s="4">
        <v>2.73E-5</v>
      </c>
      <c r="FW49" s="4">
        <v>2.6800000000000001E-5</v>
      </c>
      <c r="FX49" s="4">
        <v>2.6299999999999999E-5</v>
      </c>
      <c r="FY49" s="4">
        <v>2.58E-5</v>
      </c>
      <c r="FZ49" s="4">
        <v>2.5299999999999998E-5</v>
      </c>
      <c r="GA49" s="4">
        <v>2.4899999999999999E-5</v>
      </c>
      <c r="GB49" s="4">
        <v>2.4499999999999999E-5</v>
      </c>
      <c r="GC49" s="4">
        <v>2.41E-5</v>
      </c>
      <c r="GD49" s="4">
        <v>2.37E-5</v>
      </c>
      <c r="GE49" s="4">
        <v>2.3300000000000001E-5</v>
      </c>
      <c r="GF49" s="4">
        <v>2.2900000000000001E-5</v>
      </c>
      <c r="GG49" s="4">
        <v>2.26E-5</v>
      </c>
      <c r="GH49" s="4">
        <v>2.2200000000000001E-5</v>
      </c>
      <c r="GI49" s="4">
        <v>2.19E-5</v>
      </c>
      <c r="GJ49" s="4">
        <v>2.1500000000000001E-5</v>
      </c>
      <c r="GK49" s="4">
        <v>2.12E-5</v>
      </c>
      <c r="GL49" s="4">
        <v>2.09E-5</v>
      </c>
      <c r="GM49" s="4">
        <v>2.0599999999999999E-5</v>
      </c>
      <c r="GN49" s="4">
        <v>2.0299999999999999E-5</v>
      </c>
      <c r="GO49" s="4">
        <v>2.0000000000000002E-5</v>
      </c>
      <c r="GP49" s="4">
        <v>1.9700000000000001E-5</v>
      </c>
      <c r="GQ49" s="4">
        <v>1.9400000000000001E-5</v>
      </c>
      <c r="GR49" s="4">
        <v>1.9199999999999999E-5</v>
      </c>
      <c r="GS49" s="4">
        <v>1.8899999999999999E-5</v>
      </c>
      <c r="GT49" s="4">
        <v>1.8600000000000001E-5</v>
      </c>
      <c r="GU49" s="4">
        <v>1.84E-5</v>
      </c>
      <c r="GV49" s="4">
        <v>1.8099999999999999E-5</v>
      </c>
      <c r="GW49" s="4">
        <v>1.7900000000000001E-5</v>
      </c>
      <c r="GX49" s="4">
        <v>1.7600000000000001E-5</v>
      </c>
      <c r="GY49" s="4">
        <v>1.7399999999999999E-5</v>
      </c>
      <c r="GZ49" s="4">
        <v>1.7099999999999999E-5</v>
      </c>
      <c r="HA49" s="4">
        <v>1.6900000000000001E-5</v>
      </c>
      <c r="HB49" s="4">
        <v>1.66E-5</v>
      </c>
      <c r="HC49" s="4">
        <v>1.6399999999999999E-5</v>
      </c>
      <c r="HD49" s="4">
        <v>1.6200000000000001E-5</v>
      </c>
      <c r="HE49" s="4">
        <v>1.59E-5</v>
      </c>
      <c r="HF49" s="4">
        <v>1.5699999999999999E-5</v>
      </c>
      <c r="HG49" s="4">
        <v>1.5500000000000001E-5</v>
      </c>
      <c r="HH49" s="4">
        <v>1.5299999999999999E-5</v>
      </c>
      <c r="HI49" s="4">
        <v>1.5099999999999999E-5</v>
      </c>
      <c r="HJ49" s="4">
        <v>1.49E-5</v>
      </c>
      <c r="HK49" s="4">
        <v>1.4600000000000001E-5</v>
      </c>
      <c r="HL49" s="4">
        <v>1.4399999999999999E-5</v>
      </c>
      <c r="HM49" s="4">
        <v>1.42E-5</v>
      </c>
      <c r="HN49" s="4">
        <v>1.4E-5</v>
      </c>
      <c r="HO49" s="4">
        <v>1.38E-5</v>
      </c>
      <c r="HP49" s="4">
        <v>1.3699999999999999E-5</v>
      </c>
      <c r="HQ49" s="4">
        <v>1.3499999999999999E-5</v>
      </c>
      <c r="HR49" s="4">
        <v>1.33E-5</v>
      </c>
      <c r="HS49" s="4">
        <v>1.31E-5</v>
      </c>
      <c r="HT49" s="4">
        <v>1.29E-5</v>
      </c>
      <c r="HU49" s="4">
        <v>1.27E-5</v>
      </c>
      <c r="HV49" s="4">
        <v>1.2500000000000001E-5</v>
      </c>
      <c r="HW49" s="4">
        <v>1.24E-5</v>
      </c>
      <c r="HX49" s="4">
        <v>1.22E-5</v>
      </c>
      <c r="HY49" s="4">
        <v>1.2E-5</v>
      </c>
      <c r="HZ49" s="4">
        <v>1.19E-5</v>
      </c>
      <c r="IA49" s="4">
        <v>1.17E-5</v>
      </c>
      <c r="IB49" s="4">
        <v>1.15E-5</v>
      </c>
      <c r="IC49" s="4">
        <v>1.1399999999999999E-5</v>
      </c>
      <c r="ID49" s="4">
        <v>1.1199999999999999E-5</v>
      </c>
      <c r="IE49" s="4">
        <v>1.11E-5</v>
      </c>
      <c r="IF49" s="4">
        <v>1.0900000000000001E-5</v>
      </c>
      <c r="IG49" s="4">
        <v>7.6530000000000001E-4</v>
      </c>
      <c r="IH49" s="4"/>
      <c r="II49" s="4">
        <f t="shared" si="247"/>
        <v>0.11506929492027708</v>
      </c>
      <c r="IL49">
        <f t="shared" si="248"/>
        <v>0.35614713749999982</v>
      </c>
      <c r="IP49" s="4">
        <f t="shared" si="249"/>
        <v>4.1168200000000002E-2</v>
      </c>
      <c r="IQ49" s="4">
        <f t="shared" si="250"/>
        <v>3.29331E-2</v>
      </c>
      <c r="IR49" s="4">
        <f t="shared" si="251"/>
        <v>2.5143899999999997E-2</v>
      </c>
      <c r="IS49" s="4">
        <f t="shared" si="252"/>
        <v>2.02145E-2</v>
      </c>
      <c r="IT49" s="4">
        <f t="shared" si="253"/>
        <v>1.6698600000000001E-2</v>
      </c>
      <c r="IU49" s="4">
        <f t="shared" si="254"/>
        <v>5.7805999999999982E-2</v>
      </c>
      <c r="IV49" s="4">
        <f t="shared" si="255"/>
        <v>3.9375199999999992E-2</v>
      </c>
      <c r="IW49" s="4">
        <f t="shared" si="256"/>
        <v>3.0508199999999999E-2</v>
      </c>
      <c r="IX49" s="4">
        <f t="shared" si="257"/>
        <v>9.2502000000000001E-2</v>
      </c>
    </row>
    <row r="50" spans="1:258" x14ac:dyDescent="0.35">
      <c r="A50" s="1">
        <v>42</v>
      </c>
      <c r="B50" s="4">
        <v>1.0654E-2</v>
      </c>
      <c r="C50" s="4">
        <v>1.0654E-2</v>
      </c>
      <c r="D50" s="4">
        <v>1.0498499999999999E-2</v>
      </c>
      <c r="E50" s="4">
        <v>1.02139E-2</v>
      </c>
      <c r="F50" s="4">
        <v>9.9726999999999993E-3</v>
      </c>
      <c r="G50" s="4">
        <v>9.1555000000000004E-3</v>
      </c>
      <c r="H50" s="4">
        <v>8.5301000000000005E-3</v>
      </c>
      <c r="I50" s="4">
        <v>7.8975999999999994E-3</v>
      </c>
      <c r="J50" s="4">
        <v>7.3584000000000002E-3</v>
      </c>
      <c r="K50" s="4">
        <v>6.8710999999999998E-3</v>
      </c>
      <c r="L50" s="4">
        <v>6.4466000000000002E-3</v>
      </c>
      <c r="M50" s="4">
        <v>6.0707000000000001E-3</v>
      </c>
      <c r="N50" s="4">
        <v>5.7410999999999998E-3</v>
      </c>
      <c r="O50" s="4">
        <v>5.4450999999999996E-3</v>
      </c>
      <c r="P50" s="4">
        <v>5.1726000000000003E-3</v>
      </c>
      <c r="Q50" s="4">
        <v>4.9243000000000004E-3</v>
      </c>
      <c r="R50" s="4">
        <v>4.7016999999999996E-3</v>
      </c>
      <c r="S50" s="4">
        <v>4.4876999999999998E-3</v>
      </c>
      <c r="T50" s="4">
        <v>4.3033000000000004E-3</v>
      </c>
      <c r="U50" s="4">
        <v>4.0777000000000001E-3</v>
      </c>
      <c r="V50" s="4">
        <v>3.9186000000000004E-3</v>
      </c>
      <c r="W50" s="4">
        <v>3.7737999999999999E-3</v>
      </c>
      <c r="X50" s="4">
        <v>3.6380000000000002E-3</v>
      </c>
      <c r="Y50" s="4">
        <v>3.5144E-3</v>
      </c>
      <c r="Z50" s="4">
        <v>3.4055000000000001E-3</v>
      </c>
      <c r="AA50" s="4">
        <v>3.3040000000000001E-3</v>
      </c>
      <c r="AB50" s="4">
        <v>3.2041000000000001E-3</v>
      </c>
      <c r="AC50" s="4">
        <v>3.1105E-3</v>
      </c>
      <c r="AD50" s="4">
        <v>3.0251000000000002E-3</v>
      </c>
      <c r="AE50" s="4">
        <v>2.947E-3</v>
      </c>
      <c r="AF50" s="4">
        <v>2.8815999999999998E-3</v>
      </c>
      <c r="AG50" s="4">
        <v>2.8205999999999999E-3</v>
      </c>
      <c r="AH50" s="4">
        <v>2.761E-3</v>
      </c>
      <c r="AI50" s="4">
        <v>2.7036E-3</v>
      </c>
      <c r="AJ50" s="4">
        <v>2.6467999999999999E-3</v>
      </c>
      <c r="AK50" s="4">
        <v>2.5888E-3</v>
      </c>
      <c r="AL50" s="4">
        <v>2.5227000000000001E-3</v>
      </c>
      <c r="AM50" s="4">
        <v>2.4485000000000002E-3</v>
      </c>
      <c r="AN50" s="4">
        <v>2.3234000000000002E-3</v>
      </c>
      <c r="AO50" s="4">
        <v>2.2590000000000002E-3</v>
      </c>
      <c r="AP50" s="4">
        <v>2.1941999999999999E-3</v>
      </c>
      <c r="AQ50" s="4">
        <v>2.0631999999999998E-3</v>
      </c>
      <c r="AR50" s="4">
        <v>2.1500999999999998E-3</v>
      </c>
      <c r="AS50" s="4">
        <v>2.1175E-3</v>
      </c>
      <c r="AT50" s="4">
        <v>2.0985999999999999E-3</v>
      </c>
      <c r="AU50" s="4">
        <v>2.0782999999999999E-3</v>
      </c>
      <c r="AV50" s="4">
        <v>2.0582E-3</v>
      </c>
      <c r="AW50" s="4">
        <v>2.0374999999999998E-3</v>
      </c>
      <c r="AX50" s="4">
        <v>2.0165000000000001E-3</v>
      </c>
      <c r="AY50" s="4">
        <v>1.9951000000000001E-3</v>
      </c>
      <c r="AZ50" s="4">
        <v>1.9732999999999999E-3</v>
      </c>
      <c r="BA50" s="4">
        <v>1.9511999999999999E-3</v>
      </c>
      <c r="BB50" s="4">
        <v>1.9288E-3</v>
      </c>
      <c r="BC50" s="4">
        <v>1.9063000000000001E-3</v>
      </c>
      <c r="BD50" s="4">
        <v>1.8837000000000001E-3</v>
      </c>
      <c r="BE50" s="4">
        <v>1.861E-3</v>
      </c>
      <c r="BF50" s="4">
        <v>1.8383E-3</v>
      </c>
      <c r="BG50" s="4">
        <v>1.8157E-3</v>
      </c>
      <c r="BH50" s="4">
        <v>1.7930999999999999E-3</v>
      </c>
      <c r="BI50" s="4">
        <v>1.7706E-3</v>
      </c>
      <c r="BJ50" s="4">
        <v>1.7482000000000001E-3</v>
      </c>
      <c r="BK50" s="4">
        <v>1.7259E-3</v>
      </c>
      <c r="BL50" s="4">
        <v>1.7037E-3</v>
      </c>
      <c r="BM50" s="4">
        <v>1.6816999999999999E-3</v>
      </c>
      <c r="BN50" s="4">
        <v>1.6599E-3</v>
      </c>
      <c r="BO50" s="4">
        <v>1.6381E-3</v>
      </c>
      <c r="BP50" s="4">
        <v>1.6165999999999999E-3</v>
      </c>
      <c r="BQ50" s="4">
        <v>1.5952E-3</v>
      </c>
      <c r="BR50" s="4">
        <v>1.5740000000000001E-3</v>
      </c>
      <c r="BS50" s="4">
        <v>1.5529000000000001E-3</v>
      </c>
      <c r="BT50" s="4">
        <v>1.5319999999999999E-3</v>
      </c>
      <c r="BU50" s="4">
        <v>1.5112999999999999E-3</v>
      </c>
      <c r="BV50" s="4">
        <v>1.4907E-3</v>
      </c>
      <c r="BW50" s="4">
        <v>1.4702999999999999E-3</v>
      </c>
      <c r="BX50" s="4">
        <v>1.4501E-3</v>
      </c>
      <c r="BY50" s="4">
        <v>1.4300999999999999E-3</v>
      </c>
      <c r="BZ50" s="4">
        <v>1.4103E-3</v>
      </c>
      <c r="CA50" s="4">
        <v>1.3906000000000001E-3</v>
      </c>
      <c r="CB50" s="4">
        <v>1.3711999999999999E-3</v>
      </c>
      <c r="CC50" s="4">
        <v>1.3519999999999999E-3</v>
      </c>
      <c r="CD50" s="4">
        <v>1.3328999999999999E-3</v>
      </c>
      <c r="CE50" s="4">
        <v>1.3140999999999999E-3</v>
      </c>
      <c r="CF50" s="4">
        <v>1.2955E-3</v>
      </c>
      <c r="CG50" s="4">
        <v>1.2771E-3</v>
      </c>
      <c r="CH50" s="4">
        <v>1.2589000000000001E-3</v>
      </c>
      <c r="CI50" s="4">
        <v>1.2409999999999999E-3</v>
      </c>
      <c r="CJ50" s="4">
        <v>1.2232E-3</v>
      </c>
      <c r="CK50" s="4">
        <v>1.2057000000000001E-3</v>
      </c>
      <c r="CL50" s="4">
        <v>1.1885000000000001E-3</v>
      </c>
      <c r="CM50" s="4">
        <v>1.1714E-3</v>
      </c>
      <c r="CN50" s="4">
        <v>1.1546E-3</v>
      </c>
      <c r="CO50" s="4">
        <v>1.1379999999999999E-3</v>
      </c>
      <c r="CP50" s="4">
        <v>1.1215999999999999E-3</v>
      </c>
      <c r="CQ50" s="4">
        <v>1.1054999999999999E-3</v>
      </c>
      <c r="CR50" s="4">
        <v>1.0895E-3</v>
      </c>
      <c r="CS50" s="4">
        <v>1.0739E-3</v>
      </c>
      <c r="CT50" s="4">
        <v>1.0583999999999999E-3</v>
      </c>
      <c r="CU50" s="4">
        <v>1.0430999999999999E-3</v>
      </c>
      <c r="CV50" s="4">
        <v>1.0281000000000001E-3</v>
      </c>
      <c r="CW50" s="4">
        <v>1.0133E-3</v>
      </c>
      <c r="CX50" s="4">
        <v>9.9869999999999994E-4</v>
      </c>
      <c r="CY50" s="4">
        <v>9.8430000000000002E-4</v>
      </c>
      <c r="CZ50" s="4">
        <v>9.7019999999999995E-4</v>
      </c>
      <c r="DA50" s="4">
        <v>9.5620000000000004E-4</v>
      </c>
      <c r="DB50" s="4">
        <v>9.4249999999999998E-4</v>
      </c>
      <c r="DC50" s="4">
        <v>9.2900000000000003E-4</v>
      </c>
      <c r="DD50" s="4">
        <v>9.1560000000000003E-4</v>
      </c>
      <c r="DE50" s="4">
        <v>9.0249999999999998E-4</v>
      </c>
      <c r="DF50" s="4">
        <v>8.8960000000000005E-4</v>
      </c>
      <c r="DG50" s="4">
        <v>8.7679999999999995E-4</v>
      </c>
      <c r="DH50" s="4">
        <v>8.6430000000000003E-4</v>
      </c>
      <c r="DI50" s="4">
        <v>8.5190000000000005E-4</v>
      </c>
      <c r="DJ50" s="4">
        <v>8.3980000000000003E-4</v>
      </c>
      <c r="DK50" s="4">
        <v>8.2779999999999996E-4</v>
      </c>
      <c r="DL50" s="4">
        <v>8.1599999999999999E-4</v>
      </c>
      <c r="DM50" s="4">
        <v>8.0429999999999998E-4</v>
      </c>
      <c r="DN50" s="4">
        <v>7.9290000000000003E-4</v>
      </c>
      <c r="DO50" s="4">
        <v>7.8160000000000002E-4</v>
      </c>
      <c r="DP50" s="4">
        <v>7.7050000000000003E-4</v>
      </c>
      <c r="DQ50" s="4">
        <v>5.3790699999999997E-2</v>
      </c>
      <c r="DR50" s="4">
        <v>0</v>
      </c>
      <c r="DS50" s="4">
        <v>8.5500000000000005E-5</v>
      </c>
      <c r="DT50" s="4">
        <v>2.7020000000000001E-4</v>
      </c>
      <c r="DU50" s="4">
        <v>2.8620000000000002E-4</v>
      </c>
      <c r="DV50" s="4">
        <v>7.8299999999999995E-4</v>
      </c>
      <c r="DW50" s="4">
        <v>6.3150000000000001E-4</v>
      </c>
      <c r="DX50" s="4">
        <v>6.2870000000000005E-4</v>
      </c>
      <c r="DY50" s="4">
        <v>5.3560000000000001E-4</v>
      </c>
      <c r="DZ50" s="4">
        <v>4.8260000000000002E-4</v>
      </c>
      <c r="EA50" s="4">
        <v>4.2549999999999999E-4</v>
      </c>
      <c r="EB50" s="4">
        <v>3.7980000000000002E-4</v>
      </c>
      <c r="EC50" s="4">
        <v>3.3770000000000002E-4</v>
      </c>
      <c r="ED50" s="4">
        <v>3.0170000000000002E-4</v>
      </c>
      <c r="EE50" s="4">
        <v>2.7080000000000002E-4</v>
      </c>
      <c r="EF50" s="4">
        <v>2.4360000000000001E-4</v>
      </c>
      <c r="EG50" s="4">
        <v>2.196E-4</v>
      </c>
      <c r="EH50" s="4">
        <v>1.9909999999999999E-4</v>
      </c>
      <c r="EI50" s="4">
        <v>1.807E-4</v>
      </c>
      <c r="EJ50" s="4">
        <v>1.6469999999999999E-4</v>
      </c>
      <c r="EK50" s="4">
        <v>1.482E-4</v>
      </c>
      <c r="EL50" s="4">
        <v>1.359E-4</v>
      </c>
      <c r="EM50" s="4">
        <v>1.25E-4</v>
      </c>
      <c r="EN50" s="4">
        <v>1.153E-4</v>
      </c>
      <c r="EO50" s="4">
        <v>1.066E-4</v>
      </c>
      <c r="EP50" s="4">
        <v>9.9099999999999996E-5</v>
      </c>
      <c r="EQ50" s="4">
        <v>9.2399999999999996E-5</v>
      </c>
      <c r="ER50" s="4">
        <v>8.6299999999999997E-5</v>
      </c>
      <c r="ES50" s="4">
        <v>8.0799999999999999E-5</v>
      </c>
      <c r="ET50" s="4">
        <v>7.5900000000000002E-5</v>
      </c>
      <c r="EU50" s="4">
        <v>7.1500000000000003E-5</v>
      </c>
      <c r="EV50" s="4">
        <v>6.7799999999999995E-5</v>
      </c>
      <c r="EW50" s="4">
        <v>6.4300000000000004E-5</v>
      </c>
      <c r="EX50" s="4">
        <v>6.1099999999999994E-5</v>
      </c>
      <c r="EY50" s="4">
        <v>5.8199999999999998E-5</v>
      </c>
      <c r="EZ50" s="4">
        <v>5.5399999999999998E-5</v>
      </c>
      <c r="FA50" s="4">
        <v>5.2899999999999998E-5</v>
      </c>
      <c r="FB50" s="4">
        <v>5.0300000000000003E-5</v>
      </c>
      <c r="FC50" s="4">
        <v>4.7700000000000001E-5</v>
      </c>
      <c r="FD50" s="4">
        <v>4.4199999999999997E-5</v>
      </c>
      <c r="FE50" s="4">
        <v>4.21E-5</v>
      </c>
      <c r="FF50" s="4">
        <v>4.0000000000000003E-5</v>
      </c>
      <c r="FG50" s="4">
        <v>3.68E-5</v>
      </c>
      <c r="FH50" s="4">
        <v>3.8000000000000002E-5</v>
      </c>
      <c r="FI50" s="4">
        <v>3.6600000000000002E-5</v>
      </c>
      <c r="FJ50" s="4">
        <v>3.57E-5</v>
      </c>
      <c r="FK50" s="4">
        <v>3.4700000000000003E-5</v>
      </c>
      <c r="FL50" s="4">
        <v>3.3800000000000002E-5</v>
      </c>
      <c r="FM50" s="4">
        <v>3.3000000000000003E-5</v>
      </c>
      <c r="FN50" s="4">
        <v>3.2199999999999997E-5</v>
      </c>
      <c r="FO50" s="4">
        <v>3.15E-5</v>
      </c>
      <c r="FP50" s="4">
        <v>3.0700000000000001E-5</v>
      </c>
      <c r="FQ50" s="4">
        <v>3.0000000000000001E-5</v>
      </c>
      <c r="FR50" s="4">
        <v>2.94E-5</v>
      </c>
      <c r="FS50" s="4">
        <v>2.8799999999999999E-5</v>
      </c>
      <c r="FT50" s="4">
        <v>2.8200000000000001E-5</v>
      </c>
      <c r="FU50" s="4">
        <v>2.76E-5</v>
      </c>
      <c r="FV50" s="4">
        <v>2.7100000000000001E-5</v>
      </c>
      <c r="FW50" s="4">
        <v>2.6599999999999999E-5</v>
      </c>
      <c r="FX50" s="4">
        <v>2.6100000000000001E-5</v>
      </c>
      <c r="FY50" s="4">
        <v>2.5599999999999999E-5</v>
      </c>
      <c r="FZ50" s="4">
        <v>2.5199999999999999E-5</v>
      </c>
      <c r="GA50" s="4">
        <v>2.48E-5</v>
      </c>
      <c r="GB50" s="4">
        <v>2.44E-5</v>
      </c>
      <c r="GC50" s="4">
        <v>2.4000000000000001E-5</v>
      </c>
      <c r="GD50" s="4">
        <v>2.3600000000000001E-5</v>
      </c>
      <c r="GE50" s="4">
        <v>2.3200000000000001E-5</v>
      </c>
      <c r="GF50" s="4">
        <v>2.2799999999999999E-5</v>
      </c>
      <c r="GG50" s="4">
        <v>2.2500000000000001E-5</v>
      </c>
      <c r="GH50" s="4">
        <v>2.2200000000000001E-5</v>
      </c>
      <c r="GI50" s="4">
        <v>2.1800000000000001E-5</v>
      </c>
      <c r="GJ50" s="4">
        <v>2.1500000000000001E-5</v>
      </c>
      <c r="GK50" s="4">
        <v>2.12E-5</v>
      </c>
      <c r="GL50" s="4">
        <v>2.09E-5</v>
      </c>
      <c r="GM50" s="4">
        <v>2.0599999999999999E-5</v>
      </c>
      <c r="GN50" s="4">
        <v>2.0299999999999999E-5</v>
      </c>
      <c r="GO50" s="4">
        <v>2.0000000000000002E-5</v>
      </c>
      <c r="GP50" s="4">
        <v>1.9700000000000001E-5</v>
      </c>
      <c r="GQ50" s="4">
        <v>1.9400000000000001E-5</v>
      </c>
      <c r="GR50" s="4">
        <v>1.9199999999999999E-5</v>
      </c>
      <c r="GS50" s="4">
        <v>1.8899999999999999E-5</v>
      </c>
      <c r="GT50" s="4">
        <v>1.8600000000000001E-5</v>
      </c>
      <c r="GU50" s="4">
        <v>1.84E-5</v>
      </c>
      <c r="GV50" s="4">
        <v>1.8099999999999999E-5</v>
      </c>
      <c r="GW50" s="4">
        <v>1.7799999999999999E-5</v>
      </c>
      <c r="GX50" s="4">
        <v>1.7600000000000001E-5</v>
      </c>
      <c r="GY50" s="4">
        <v>1.7399999999999999E-5</v>
      </c>
      <c r="GZ50" s="4">
        <v>1.7099999999999999E-5</v>
      </c>
      <c r="HA50" s="4">
        <v>1.6900000000000001E-5</v>
      </c>
      <c r="HB50" s="4">
        <v>1.66E-5</v>
      </c>
      <c r="HC50" s="4">
        <v>1.6399999999999999E-5</v>
      </c>
      <c r="HD50" s="4">
        <v>1.6200000000000001E-5</v>
      </c>
      <c r="HE50" s="4">
        <v>1.59E-5</v>
      </c>
      <c r="HF50" s="4">
        <v>1.5699999999999999E-5</v>
      </c>
      <c r="HG50" s="4">
        <v>1.5500000000000001E-5</v>
      </c>
      <c r="HH50" s="4">
        <v>1.5299999999999999E-5</v>
      </c>
      <c r="HI50" s="4">
        <v>1.5099999999999999E-5</v>
      </c>
      <c r="HJ50" s="4">
        <v>1.49E-5</v>
      </c>
      <c r="HK50" s="4">
        <v>1.47E-5</v>
      </c>
      <c r="HL50" s="4">
        <v>1.4399999999999999E-5</v>
      </c>
      <c r="HM50" s="4">
        <v>1.42E-5</v>
      </c>
      <c r="HN50" s="4">
        <v>1.4E-5</v>
      </c>
      <c r="HO50" s="4">
        <v>1.3900000000000001E-5</v>
      </c>
      <c r="HP50" s="4">
        <v>1.3699999999999999E-5</v>
      </c>
      <c r="HQ50" s="4">
        <v>1.3499999999999999E-5</v>
      </c>
      <c r="HR50" s="4">
        <v>1.33E-5</v>
      </c>
      <c r="HS50" s="4">
        <v>1.31E-5</v>
      </c>
      <c r="HT50" s="4">
        <v>1.29E-5</v>
      </c>
      <c r="HU50" s="4">
        <v>1.27E-5</v>
      </c>
      <c r="HV50" s="4">
        <v>1.2500000000000001E-5</v>
      </c>
      <c r="HW50" s="4">
        <v>1.24E-5</v>
      </c>
      <c r="HX50" s="4">
        <v>1.22E-5</v>
      </c>
      <c r="HY50" s="4">
        <v>1.2E-5</v>
      </c>
      <c r="HZ50" s="4">
        <v>1.19E-5</v>
      </c>
      <c r="IA50" s="4">
        <v>1.17E-5</v>
      </c>
      <c r="IB50" s="4">
        <v>1.15E-5</v>
      </c>
      <c r="IC50" s="4">
        <v>1.1399999999999999E-5</v>
      </c>
      <c r="ID50" s="4">
        <v>1.1199999999999999E-5</v>
      </c>
      <c r="IE50" s="4">
        <v>1.11E-5</v>
      </c>
      <c r="IF50" s="4">
        <v>1.0900000000000001E-5</v>
      </c>
      <c r="IG50" s="4">
        <v>7.651E-4</v>
      </c>
      <c r="IH50" s="4"/>
      <c r="II50" s="4">
        <f t="shared" si="247"/>
        <v>0.11469240908873339</v>
      </c>
      <c r="IL50">
        <f t="shared" si="248"/>
        <v>0.35629384999999986</v>
      </c>
      <c r="IP50" s="4">
        <f t="shared" si="249"/>
        <v>4.1339099999999997E-2</v>
      </c>
      <c r="IQ50" s="4">
        <f t="shared" si="250"/>
        <v>3.2941600000000001E-2</v>
      </c>
      <c r="IR50" s="4">
        <f t="shared" si="251"/>
        <v>2.5129499999999999E-2</v>
      </c>
      <c r="IS50" s="4">
        <f t="shared" si="252"/>
        <v>2.02437E-2</v>
      </c>
      <c r="IT50" s="4">
        <f t="shared" si="253"/>
        <v>1.6787300000000002E-2</v>
      </c>
      <c r="IU50" s="4">
        <f t="shared" si="254"/>
        <v>5.8072600000000002E-2</v>
      </c>
      <c r="IV50" s="4">
        <f t="shared" si="255"/>
        <v>3.90852E-2</v>
      </c>
      <c r="IW50" s="4">
        <f t="shared" si="256"/>
        <v>3.0489499999999999E-2</v>
      </c>
      <c r="IX50" s="4">
        <f t="shared" si="257"/>
        <v>9.2506599999999994E-2</v>
      </c>
    </row>
    <row r="51" spans="1:258" x14ac:dyDescent="0.35">
      <c r="A51" s="1">
        <v>43</v>
      </c>
      <c r="B51" s="4">
        <v>1.0654E-2</v>
      </c>
      <c r="C51" s="4">
        <v>1.0654E-2</v>
      </c>
      <c r="D51" s="4">
        <v>1.05685E-2</v>
      </c>
      <c r="E51" s="4">
        <v>1.0228299999999999E-2</v>
      </c>
      <c r="F51" s="4">
        <v>9.9278000000000005E-3</v>
      </c>
      <c r="G51" s="4">
        <v>9.1897000000000003E-3</v>
      </c>
      <c r="H51" s="4">
        <v>8.5240000000000003E-3</v>
      </c>
      <c r="I51" s="4">
        <v>7.9013999999999994E-3</v>
      </c>
      <c r="J51" s="4">
        <v>7.3619999999999996E-3</v>
      </c>
      <c r="K51" s="4">
        <v>6.8757999999999996E-3</v>
      </c>
      <c r="L51" s="4">
        <v>6.4456000000000001E-3</v>
      </c>
      <c r="M51" s="4">
        <v>6.0667999999999998E-3</v>
      </c>
      <c r="N51" s="4">
        <v>5.7329E-3</v>
      </c>
      <c r="O51" s="4">
        <v>5.4393999999999996E-3</v>
      </c>
      <c r="P51" s="4">
        <v>5.1744E-3</v>
      </c>
      <c r="Q51" s="4">
        <v>4.9288999999999999E-3</v>
      </c>
      <c r="R51" s="4">
        <v>4.7047E-3</v>
      </c>
      <c r="S51" s="4">
        <v>4.5025999999999998E-3</v>
      </c>
      <c r="T51" s="4">
        <v>4.3070000000000001E-3</v>
      </c>
      <c r="U51" s="4">
        <v>4.1386000000000001E-3</v>
      </c>
      <c r="V51" s="4">
        <v>3.9294999999999998E-3</v>
      </c>
      <c r="W51" s="4">
        <v>3.7827999999999998E-3</v>
      </c>
      <c r="X51" s="4">
        <v>3.6486999999999999E-3</v>
      </c>
      <c r="Y51" s="4">
        <v>3.5227000000000001E-3</v>
      </c>
      <c r="Z51" s="4">
        <v>3.4077999999999999E-3</v>
      </c>
      <c r="AA51" s="4">
        <v>3.3065E-3</v>
      </c>
      <c r="AB51" s="4">
        <v>3.2115999999999998E-3</v>
      </c>
      <c r="AC51" s="4">
        <v>3.1178999999999998E-3</v>
      </c>
      <c r="AD51" s="4">
        <v>3.0297000000000002E-3</v>
      </c>
      <c r="AE51" s="4">
        <v>2.9491999999999999E-3</v>
      </c>
      <c r="AF51" s="4">
        <v>2.8754000000000002E-3</v>
      </c>
      <c r="AG51" s="4">
        <v>2.8138E-3</v>
      </c>
      <c r="AH51" s="4">
        <v>2.7563000000000002E-3</v>
      </c>
      <c r="AI51" s="4">
        <v>2.6998999999999999E-3</v>
      </c>
      <c r="AJ51" s="4">
        <v>2.6454E-3</v>
      </c>
      <c r="AK51" s="4">
        <v>2.5914000000000002E-3</v>
      </c>
      <c r="AL51" s="4">
        <v>2.5360000000000001E-3</v>
      </c>
      <c r="AM51" s="4">
        <v>2.4724E-3</v>
      </c>
      <c r="AN51" s="4">
        <v>2.4007999999999998E-3</v>
      </c>
      <c r="AO51" s="4">
        <v>2.2791999999999999E-3</v>
      </c>
      <c r="AP51" s="4">
        <v>2.2168999999999999E-3</v>
      </c>
      <c r="AQ51" s="4">
        <v>2.1540999999999999E-3</v>
      </c>
      <c r="AR51" s="4">
        <v>2.0263E-3</v>
      </c>
      <c r="AS51" s="4">
        <v>2.1121E-3</v>
      </c>
      <c r="AT51" s="4">
        <v>2.0809000000000001E-3</v>
      </c>
      <c r="AU51" s="4">
        <v>2.0628999999999999E-3</v>
      </c>
      <c r="AV51" s="4">
        <v>2.0435000000000002E-3</v>
      </c>
      <c r="AW51" s="4">
        <v>2.0244E-3</v>
      </c>
      <c r="AX51" s="4">
        <v>2.0045000000000002E-3</v>
      </c>
      <c r="AY51" s="4">
        <v>1.9843E-3</v>
      </c>
      <c r="AZ51" s="4">
        <v>1.9637000000000001E-3</v>
      </c>
      <c r="BA51" s="4">
        <v>1.9426000000000001E-3</v>
      </c>
      <c r="BB51" s="4">
        <v>1.9211E-3</v>
      </c>
      <c r="BC51" s="4">
        <v>1.8994000000000001E-3</v>
      </c>
      <c r="BD51" s="4">
        <v>1.8775E-3</v>
      </c>
      <c r="BE51" s="4">
        <v>1.8554999999999999E-3</v>
      </c>
      <c r="BF51" s="4">
        <v>1.8334E-3</v>
      </c>
      <c r="BG51" s="4">
        <v>1.8112E-3</v>
      </c>
      <c r="BH51" s="4">
        <v>1.7891000000000001E-3</v>
      </c>
      <c r="BI51" s="4">
        <v>1.7669999999999999E-3</v>
      </c>
      <c r="BJ51" s="4">
        <v>1.745E-3</v>
      </c>
      <c r="BK51" s="4">
        <v>1.7229999999999999E-3</v>
      </c>
      <c r="BL51" s="4">
        <v>1.7011000000000001E-3</v>
      </c>
      <c r="BM51" s="4">
        <v>1.6793999999999999E-3</v>
      </c>
      <c r="BN51" s="4">
        <v>1.6578000000000001E-3</v>
      </c>
      <c r="BO51" s="4">
        <v>1.6363E-3</v>
      </c>
      <c r="BP51" s="4">
        <v>1.6149000000000001E-3</v>
      </c>
      <c r="BQ51" s="4">
        <v>1.5937E-3</v>
      </c>
      <c r="BR51" s="4">
        <v>1.5727E-3</v>
      </c>
      <c r="BS51" s="4">
        <v>1.5518000000000001E-3</v>
      </c>
      <c r="BT51" s="4">
        <v>1.5311000000000001E-3</v>
      </c>
      <c r="BU51" s="4">
        <v>1.5104999999999999E-3</v>
      </c>
      <c r="BV51" s="4">
        <v>1.4901000000000001E-3</v>
      </c>
      <c r="BW51" s="4">
        <v>1.4698000000000001E-3</v>
      </c>
      <c r="BX51" s="4">
        <v>1.4498E-3</v>
      </c>
      <c r="BY51" s="4">
        <v>1.4299E-3</v>
      </c>
      <c r="BZ51" s="4">
        <v>1.4101000000000001E-3</v>
      </c>
      <c r="CA51" s="4">
        <v>1.3906000000000001E-3</v>
      </c>
      <c r="CB51" s="4">
        <v>1.3711999999999999E-3</v>
      </c>
      <c r="CC51" s="4">
        <v>1.3521E-3</v>
      </c>
      <c r="CD51" s="4">
        <v>1.3331E-3</v>
      </c>
      <c r="CE51" s="4">
        <v>1.3143E-3</v>
      </c>
      <c r="CF51" s="4">
        <v>1.2957999999999999E-3</v>
      </c>
      <c r="CG51" s="4">
        <v>1.2773999999999999E-3</v>
      </c>
      <c r="CH51" s="4">
        <v>1.2593000000000001E-3</v>
      </c>
      <c r="CI51" s="4">
        <v>1.2413000000000001E-3</v>
      </c>
      <c r="CJ51" s="4">
        <v>1.2236E-3</v>
      </c>
      <c r="CK51" s="4">
        <v>1.2061000000000001E-3</v>
      </c>
      <c r="CL51" s="4">
        <v>1.1888999999999999E-3</v>
      </c>
      <c r="CM51" s="4">
        <v>1.1718E-3</v>
      </c>
      <c r="CN51" s="4">
        <v>1.155E-3</v>
      </c>
      <c r="CO51" s="4">
        <v>1.1383999999999999E-3</v>
      </c>
      <c r="CP51" s="4">
        <v>1.122E-3</v>
      </c>
      <c r="CQ51" s="4">
        <v>1.1058999999999999E-3</v>
      </c>
      <c r="CR51" s="4">
        <v>1.09E-3</v>
      </c>
      <c r="CS51" s="4">
        <v>1.0743E-3</v>
      </c>
      <c r="CT51" s="4">
        <v>1.0587999999999999E-3</v>
      </c>
      <c r="CU51" s="4">
        <v>1.0434999999999999E-3</v>
      </c>
      <c r="CV51" s="4">
        <v>1.0284999999999999E-3</v>
      </c>
      <c r="CW51" s="4">
        <v>1.0137E-3</v>
      </c>
      <c r="CX51" s="4">
        <v>9.9909999999999994E-4</v>
      </c>
      <c r="CY51" s="4">
        <v>9.8470000000000003E-4</v>
      </c>
      <c r="CZ51" s="4">
        <v>9.7050000000000001E-4</v>
      </c>
      <c r="DA51" s="4">
        <v>9.5649999999999999E-4</v>
      </c>
      <c r="DB51" s="4">
        <v>9.4280000000000004E-4</v>
      </c>
      <c r="DC51" s="4">
        <v>9.2920000000000003E-4</v>
      </c>
      <c r="DD51" s="4">
        <v>9.1589999999999998E-4</v>
      </c>
      <c r="DE51" s="4">
        <v>9.0269999999999999E-4</v>
      </c>
      <c r="DF51" s="4">
        <v>8.8980000000000005E-4</v>
      </c>
      <c r="DG51" s="4">
        <v>8.7699999999999996E-4</v>
      </c>
      <c r="DH51" s="4">
        <v>8.6450000000000003E-4</v>
      </c>
      <c r="DI51" s="4">
        <v>8.5209999999999995E-4</v>
      </c>
      <c r="DJ51" s="4">
        <v>8.3989999999999998E-4</v>
      </c>
      <c r="DK51" s="4">
        <v>8.2790000000000001E-4</v>
      </c>
      <c r="DL51" s="4">
        <v>8.1610000000000005E-4</v>
      </c>
      <c r="DM51" s="4">
        <v>8.0440000000000004E-4</v>
      </c>
      <c r="DN51" s="4">
        <v>7.9299999999999998E-4</v>
      </c>
      <c r="DO51" s="4">
        <v>7.8169999999999997E-4</v>
      </c>
      <c r="DP51" s="4">
        <v>7.7050000000000003E-4</v>
      </c>
      <c r="DQ51" s="4">
        <v>5.3785100000000002E-2</v>
      </c>
      <c r="DR51" s="4">
        <v>0</v>
      </c>
      <c r="DS51" s="4">
        <v>8.5500000000000005E-5</v>
      </c>
      <c r="DT51" s="4">
        <v>2.7149999999999999E-4</v>
      </c>
      <c r="DU51" s="4">
        <v>2.7300000000000002E-4</v>
      </c>
      <c r="DV51" s="4">
        <v>7.5140000000000005E-4</v>
      </c>
      <c r="DW51" s="4">
        <v>6.1600000000000001E-4</v>
      </c>
      <c r="DX51" s="4">
        <v>6.179E-4</v>
      </c>
      <c r="DY51" s="4">
        <v>5.2689999999999996E-4</v>
      </c>
      <c r="DZ51" s="4">
        <v>4.7810000000000002E-4</v>
      </c>
      <c r="EA51" s="4">
        <v>4.2309999999999998E-4</v>
      </c>
      <c r="EB51" s="4">
        <v>3.77E-4</v>
      </c>
      <c r="EC51" s="4">
        <v>3.3589999999999998E-4</v>
      </c>
      <c r="ED51" s="4">
        <v>3.0009999999999998E-4</v>
      </c>
      <c r="EE51" s="4">
        <v>2.6939999999999999E-4</v>
      </c>
      <c r="EF51" s="4">
        <v>2.4279999999999999E-4</v>
      </c>
      <c r="EG51" s="4">
        <v>2.196E-4</v>
      </c>
      <c r="EH51" s="4">
        <v>1.9890000000000001E-4</v>
      </c>
      <c r="EI51" s="4">
        <v>1.8120000000000001E-4</v>
      </c>
      <c r="EJ51" s="4">
        <v>1.6530000000000001E-4</v>
      </c>
      <c r="EK51" s="4">
        <v>1.5139999999999999E-4</v>
      </c>
      <c r="EL51" s="4">
        <v>1.37E-4</v>
      </c>
      <c r="EM51" s="4">
        <v>1.262E-4</v>
      </c>
      <c r="EN51" s="4">
        <v>1.167E-4</v>
      </c>
      <c r="EO51" s="4">
        <v>1.081E-4</v>
      </c>
      <c r="EP51" s="4">
        <v>1.004E-4</v>
      </c>
      <c r="EQ51" s="4">
        <v>9.3700000000000001E-5</v>
      </c>
      <c r="ER51" s="4">
        <v>8.7700000000000004E-5</v>
      </c>
      <c r="ES51" s="4">
        <v>8.2200000000000006E-5</v>
      </c>
      <c r="ET51" s="4">
        <v>7.7299999999999995E-5</v>
      </c>
      <c r="EU51" s="4">
        <v>7.2799999999999994E-5</v>
      </c>
      <c r="EV51" s="4">
        <v>6.8800000000000005E-5</v>
      </c>
      <c r="EW51" s="4">
        <v>6.5300000000000002E-5</v>
      </c>
      <c r="EX51" s="4">
        <v>6.2100000000000005E-5</v>
      </c>
      <c r="EY51" s="4">
        <v>5.91E-5</v>
      </c>
      <c r="EZ51" s="4">
        <v>5.6400000000000002E-5</v>
      </c>
      <c r="FA51" s="4">
        <v>5.38E-5</v>
      </c>
      <c r="FB51" s="4">
        <v>5.13E-5</v>
      </c>
      <c r="FC51" s="4">
        <v>4.8900000000000003E-5</v>
      </c>
      <c r="FD51" s="4">
        <v>4.6400000000000003E-5</v>
      </c>
      <c r="FE51" s="4">
        <v>4.3000000000000002E-5</v>
      </c>
      <c r="FF51" s="4">
        <v>4.1E-5</v>
      </c>
      <c r="FG51" s="4">
        <v>3.8999999999999999E-5</v>
      </c>
      <c r="FH51" s="4">
        <v>3.5899999999999998E-5</v>
      </c>
      <c r="FI51" s="4">
        <v>3.7100000000000001E-5</v>
      </c>
      <c r="FJ51" s="4">
        <v>3.5800000000000003E-5</v>
      </c>
      <c r="FK51" s="4">
        <v>3.4900000000000001E-5</v>
      </c>
      <c r="FL51" s="4">
        <v>3.4E-5</v>
      </c>
      <c r="FM51" s="4">
        <v>3.3099999999999998E-5</v>
      </c>
      <c r="FN51" s="4">
        <v>3.2299999999999999E-5</v>
      </c>
      <c r="FO51" s="4">
        <v>3.1600000000000002E-5</v>
      </c>
      <c r="FP51" s="4">
        <v>3.0800000000000003E-5</v>
      </c>
      <c r="FQ51" s="4">
        <v>3.01E-5</v>
      </c>
      <c r="FR51" s="4">
        <v>2.9499999999999999E-5</v>
      </c>
      <c r="FS51" s="4">
        <v>2.8900000000000001E-5</v>
      </c>
      <c r="FT51" s="4">
        <v>2.83E-5</v>
      </c>
      <c r="FU51" s="4">
        <v>2.7699999999999999E-5</v>
      </c>
      <c r="FV51" s="4">
        <v>2.72E-5</v>
      </c>
      <c r="FW51" s="4">
        <v>2.6599999999999999E-5</v>
      </c>
      <c r="FX51" s="4">
        <v>2.62E-5</v>
      </c>
      <c r="FY51" s="4">
        <v>2.5700000000000001E-5</v>
      </c>
      <c r="FZ51" s="4">
        <v>2.5199999999999999E-5</v>
      </c>
      <c r="GA51" s="4">
        <v>2.48E-5</v>
      </c>
      <c r="GB51" s="4">
        <v>2.44E-5</v>
      </c>
      <c r="GC51" s="4">
        <v>2.4000000000000001E-5</v>
      </c>
      <c r="GD51" s="4">
        <v>2.3600000000000001E-5</v>
      </c>
      <c r="GE51" s="4">
        <v>2.3200000000000001E-5</v>
      </c>
      <c r="GF51" s="4">
        <v>2.2900000000000001E-5</v>
      </c>
      <c r="GG51" s="4">
        <v>2.2500000000000001E-5</v>
      </c>
      <c r="GH51" s="4">
        <v>2.2200000000000001E-5</v>
      </c>
      <c r="GI51" s="4">
        <v>2.1800000000000001E-5</v>
      </c>
      <c r="GJ51" s="4">
        <v>2.1500000000000001E-5</v>
      </c>
      <c r="GK51" s="4">
        <v>2.12E-5</v>
      </c>
      <c r="GL51" s="4">
        <v>2.09E-5</v>
      </c>
      <c r="GM51" s="4">
        <v>2.0599999999999999E-5</v>
      </c>
      <c r="GN51" s="4">
        <v>2.0299999999999999E-5</v>
      </c>
      <c r="GO51" s="4">
        <v>2.0000000000000002E-5</v>
      </c>
      <c r="GP51" s="4">
        <v>1.9700000000000001E-5</v>
      </c>
      <c r="GQ51" s="4">
        <v>1.9400000000000001E-5</v>
      </c>
      <c r="GR51" s="4">
        <v>1.9199999999999999E-5</v>
      </c>
      <c r="GS51" s="4">
        <v>1.8899999999999999E-5</v>
      </c>
      <c r="GT51" s="4">
        <v>1.8600000000000001E-5</v>
      </c>
      <c r="GU51" s="4">
        <v>1.84E-5</v>
      </c>
      <c r="GV51" s="4">
        <v>1.8099999999999999E-5</v>
      </c>
      <c r="GW51" s="4">
        <v>1.7900000000000001E-5</v>
      </c>
      <c r="GX51" s="4">
        <v>1.7600000000000001E-5</v>
      </c>
      <c r="GY51" s="4">
        <v>1.7399999999999999E-5</v>
      </c>
      <c r="GZ51" s="4">
        <v>1.7099999999999999E-5</v>
      </c>
      <c r="HA51" s="4">
        <v>1.6900000000000001E-5</v>
      </c>
      <c r="HB51" s="4">
        <v>1.66E-5</v>
      </c>
      <c r="HC51" s="4">
        <v>1.6399999999999999E-5</v>
      </c>
      <c r="HD51" s="4">
        <v>1.6200000000000001E-5</v>
      </c>
      <c r="HE51" s="4">
        <v>1.5999999999999999E-5</v>
      </c>
      <c r="HF51" s="4">
        <v>1.5699999999999999E-5</v>
      </c>
      <c r="HG51" s="4">
        <v>1.5500000000000001E-5</v>
      </c>
      <c r="HH51" s="4">
        <v>1.5299999999999999E-5</v>
      </c>
      <c r="HI51" s="4">
        <v>1.5099999999999999E-5</v>
      </c>
      <c r="HJ51" s="4">
        <v>1.49E-5</v>
      </c>
      <c r="HK51" s="4">
        <v>1.47E-5</v>
      </c>
      <c r="HL51" s="4">
        <v>1.45E-5</v>
      </c>
      <c r="HM51" s="4">
        <v>1.43E-5</v>
      </c>
      <c r="HN51" s="4">
        <v>1.4100000000000001E-5</v>
      </c>
      <c r="HO51" s="4">
        <v>1.3900000000000001E-5</v>
      </c>
      <c r="HP51" s="4">
        <v>1.3699999999999999E-5</v>
      </c>
      <c r="HQ51" s="4">
        <v>1.3499999999999999E-5</v>
      </c>
      <c r="HR51" s="4">
        <v>1.33E-5</v>
      </c>
      <c r="HS51" s="4">
        <v>1.31E-5</v>
      </c>
      <c r="HT51" s="4">
        <v>1.29E-5</v>
      </c>
      <c r="HU51" s="4">
        <v>1.27E-5</v>
      </c>
      <c r="HV51" s="4">
        <v>1.26E-5</v>
      </c>
      <c r="HW51" s="4">
        <v>1.24E-5</v>
      </c>
      <c r="HX51" s="4">
        <v>1.22E-5</v>
      </c>
      <c r="HY51" s="4">
        <v>1.2E-5</v>
      </c>
      <c r="HZ51" s="4">
        <v>1.19E-5</v>
      </c>
      <c r="IA51" s="4">
        <v>1.17E-5</v>
      </c>
      <c r="IB51" s="4">
        <v>1.15E-5</v>
      </c>
      <c r="IC51" s="4">
        <v>1.1399999999999999E-5</v>
      </c>
      <c r="ID51" s="4">
        <v>1.1199999999999999E-5</v>
      </c>
      <c r="IE51" s="4">
        <v>1.11E-5</v>
      </c>
      <c r="IF51" s="4">
        <v>1.0900000000000001E-5</v>
      </c>
      <c r="IG51" s="4">
        <v>7.649E-4</v>
      </c>
      <c r="IH51" s="4"/>
      <c r="II51" s="4">
        <f t="shared" si="247"/>
        <v>0.11449767896224239</v>
      </c>
      <c r="IL51">
        <f t="shared" si="248"/>
        <v>0.35642731250000054</v>
      </c>
      <c r="IP51" s="4">
        <f t="shared" si="249"/>
        <v>4.1378600000000001E-2</v>
      </c>
      <c r="IQ51" s="4">
        <f t="shared" si="250"/>
        <v>3.2977099999999995E-2</v>
      </c>
      <c r="IR51" s="4">
        <f t="shared" si="251"/>
        <v>2.51211E-2</v>
      </c>
      <c r="IS51" s="4">
        <f t="shared" si="252"/>
        <v>2.0247399999999999E-2</v>
      </c>
      <c r="IT51" s="4">
        <f t="shared" si="253"/>
        <v>1.6877699999999999E-2</v>
      </c>
      <c r="IU51" s="4">
        <f t="shared" si="254"/>
        <v>5.8264400000000001E-2</v>
      </c>
      <c r="IV51" s="4">
        <f t="shared" si="255"/>
        <v>3.8898499999999989E-2</v>
      </c>
      <c r="IW51" s="4">
        <f t="shared" si="256"/>
        <v>3.0469000000000003E-2</v>
      </c>
      <c r="IX51" s="4">
        <f t="shared" si="257"/>
        <v>9.2511999999999997E-2</v>
      </c>
    </row>
    <row r="52" spans="1:258" x14ac:dyDescent="0.35">
      <c r="A52" s="1">
        <v>44</v>
      </c>
      <c r="B52" s="4">
        <v>1.0654E-2</v>
      </c>
      <c r="C52" s="4">
        <v>1.0654E-2</v>
      </c>
      <c r="D52" s="4">
        <v>1.05685E-2</v>
      </c>
      <c r="E52" s="4">
        <v>1.0297000000000001E-2</v>
      </c>
      <c r="F52" s="4">
        <v>9.9553000000000003E-3</v>
      </c>
      <c r="G52" s="4">
        <v>9.1763999999999995E-3</v>
      </c>
      <c r="H52" s="4">
        <v>8.5737000000000001E-3</v>
      </c>
      <c r="I52" s="4">
        <v>7.9060999999999992E-3</v>
      </c>
      <c r="J52" s="4">
        <v>7.3745E-3</v>
      </c>
      <c r="K52" s="4">
        <v>6.8839000000000001E-3</v>
      </c>
      <c r="L52" s="4">
        <v>6.4527999999999999E-3</v>
      </c>
      <c r="M52" s="4">
        <v>6.0686000000000004E-3</v>
      </c>
      <c r="N52" s="4">
        <v>5.7308000000000003E-3</v>
      </c>
      <c r="O52" s="4">
        <v>5.4329000000000001E-3</v>
      </c>
      <c r="P52" s="4">
        <v>5.1701000000000004E-3</v>
      </c>
      <c r="Q52" s="4">
        <v>4.9315000000000001E-3</v>
      </c>
      <c r="R52" s="4">
        <v>4.7092999999999996E-3</v>
      </c>
      <c r="S52" s="4">
        <v>4.5057999999999999E-3</v>
      </c>
      <c r="T52" s="4">
        <v>4.3214000000000004E-3</v>
      </c>
      <c r="U52" s="4">
        <v>4.1416999999999999E-3</v>
      </c>
      <c r="V52" s="4">
        <v>3.9871000000000004E-3</v>
      </c>
      <c r="W52" s="4">
        <v>3.7924999999999999E-3</v>
      </c>
      <c r="X52" s="4">
        <v>3.6565999999999999E-3</v>
      </c>
      <c r="Y52" s="4">
        <v>3.5320999999999998E-3</v>
      </c>
      <c r="Z52" s="4">
        <v>3.4145999999999998E-3</v>
      </c>
      <c r="AA52" s="4">
        <v>3.3073999999999998E-3</v>
      </c>
      <c r="AB52" s="4">
        <v>3.2127000000000002E-3</v>
      </c>
      <c r="AC52" s="4">
        <v>3.1239000000000002E-3</v>
      </c>
      <c r="AD52" s="4">
        <v>3.0357000000000001E-3</v>
      </c>
      <c r="AE52" s="4">
        <v>2.9524999999999998E-3</v>
      </c>
      <c r="AF52" s="4">
        <v>2.8763E-3</v>
      </c>
      <c r="AG52" s="4">
        <v>2.8065999999999998E-3</v>
      </c>
      <c r="AH52" s="4">
        <v>2.7485000000000001E-3</v>
      </c>
      <c r="AI52" s="4">
        <v>2.6941999999999999E-3</v>
      </c>
      <c r="AJ52" s="4">
        <v>2.6408E-3</v>
      </c>
      <c r="AK52" s="4">
        <v>2.5890000000000002E-3</v>
      </c>
      <c r="AL52" s="4">
        <v>2.5376000000000001E-3</v>
      </c>
      <c r="AM52" s="4">
        <v>2.4846999999999998E-3</v>
      </c>
      <c r="AN52" s="4">
        <v>2.4236000000000001E-3</v>
      </c>
      <c r="AO52" s="4">
        <v>2.3544E-3</v>
      </c>
      <c r="AP52" s="4">
        <v>2.2361999999999998E-3</v>
      </c>
      <c r="AQ52" s="4">
        <v>2.176E-3</v>
      </c>
      <c r="AR52" s="4">
        <v>2.1151E-3</v>
      </c>
      <c r="AS52" s="4">
        <v>1.9903999999999998E-3</v>
      </c>
      <c r="AT52" s="4">
        <v>2.075E-3</v>
      </c>
      <c r="AU52" s="4">
        <v>2.0451000000000002E-3</v>
      </c>
      <c r="AV52" s="4">
        <v>2.0279999999999999E-3</v>
      </c>
      <c r="AW52" s="4">
        <v>2.0095999999999998E-3</v>
      </c>
      <c r="AX52" s="4">
        <v>1.9913000000000001E-3</v>
      </c>
      <c r="AY52" s="4">
        <v>1.9721999999999999E-3</v>
      </c>
      <c r="AZ52" s="4">
        <v>1.9528E-3</v>
      </c>
      <c r="BA52" s="4">
        <v>1.9327999999999999E-3</v>
      </c>
      <c r="BB52" s="4">
        <v>1.9124000000000001E-3</v>
      </c>
      <c r="BC52" s="4">
        <v>1.8916E-3</v>
      </c>
      <c r="BD52" s="4">
        <v>1.8705E-3</v>
      </c>
      <c r="BE52" s="4">
        <v>1.8492000000000001E-3</v>
      </c>
      <c r="BF52" s="4">
        <v>1.8278000000000001E-3</v>
      </c>
      <c r="BG52" s="4">
        <v>1.8062E-3</v>
      </c>
      <c r="BH52" s="4">
        <v>1.7845999999999999E-3</v>
      </c>
      <c r="BI52" s="4">
        <v>1.7629E-3</v>
      </c>
      <c r="BJ52" s="4">
        <v>1.7413000000000001E-3</v>
      </c>
      <c r="BK52" s="4">
        <v>1.7197E-3</v>
      </c>
      <c r="BL52" s="4">
        <v>1.6982E-3</v>
      </c>
      <c r="BM52" s="4">
        <v>1.6766999999999999E-3</v>
      </c>
      <c r="BN52" s="4">
        <v>1.6554E-3</v>
      </c>
      <c r="BO52" s="4">
        <v>1.6341999999999999E-3</v>
      </c>
      <c r="BP52" s="4">
        <v>1.6130999999999999E-3</v>
      </c>
      <c r="BQ52" s="4">
        <v>1.5920999999999999E-3</v>
      </c>
      <c r="BR52" s="4">
        <v>1.5712E-3</v>
      </c>
      <c r="BS52" s="4">
        <v>1.5505E-3</v>
      </c>
      <c r="BT52" s="4">
        <v>1.5299999999999999E-3</v>
      </c>
      <c r="BU52" s="4">
        <v>1.5096E-3</v>
      </c>
      <c r="BV52" s="4">
        <v>1.4893E-3</v>
      </c>
      <c r="BW52" s="4">
        <v>1.4691999999999999E-3</v>
      </c>
      <c r="BX52" s="4">
        <v>1.4492000000000001E-3</v>
      </c>
      <c r="BY52" s="4">
        <v>1.4295E-3</v>
      </c>
      <c r="BZ52" s="4">
        <v>1.4097999999999999E-3</v>
      </c>
      <c r="CA52" s="4">
        <v>1.3904E-3</v>
      </c>
      <c r="CB52" s="4">
        <v>1.3711000000000001E-3</v>
      </c>
      <c r="CC52" s="4">
        <v>1.3519999999999999E-3</v>
      </c>
      <c r="CD52" s="4">
        <v>1.3332000000000001E-3</v>
      </c>
      <c r="CE52" s="4">
        <v>1.3144000000000001E-3</v>
      </c>
      <c r="CF52" s="4">
        <v>1.2959E-3</v>
      </c>
      <c r="CG52" s="4">
        <v>1.2776E-3</v>
      </c>
      <c r="CH52" s="4">
        <v>1.2595E-3</v>
      </c>
      <c r="CI52" s="4">
        <v>1.2416E-3</v>
      </c>
      <c r="CJ52" s="4">
        <v>1.224E-3</v>
      </c>
      <c r="CK52" s="4">
        <v>1.2065000000000001E-3</v>
      </c>
      <c r="CL52" s="4">
        <v>1.1892999999999999E-3</v>
      </c>
      <c r="CM52" s="4">
        <v>1.1722E-3</v>
      </c>
      <c r="CN52" s="4">
        <v>1.1554E-3</v>
      </c>
      <c r="CO52" s="4">
        <v>1.1387999999999999E-3</v>
      </c>
      <c r="CP52" s="4">
        <v>1.1225E-3</v>
      </c>
      <c r="CQ52" s="4">
        <v>1.1062999999999999E-3</v>
      </c>
      <c r="CR52" s="4">
        <v>1.0904E-3</v>
      </c>
      <c r="CS52" s="4">
        <v>1.0747E-3</v>
      </c>
      <c r="CT52" s="4">
        <v>1.0591999999999999E-3</v>
      </c>
      <c r="CU52" s="4">
        <v>1.0438999999999999E-3</v>
      </c>
      <c r="CV52" s="4">
        <v>1.0288999999999999E-3</v>
      </c>
      <c r="CW52" s="4">
        <v>1.0139999999999999E-3</v>
      </c>
      <c r="CX52" s="4">
        <v>9.993999999999999E-4</v>
      </c>
      <c r="CY52" s="4">
        <v>9.8499999999999998E-4</v>
      </c>
      <c r="CZ52" s="4">
        <v>9.7079999999999996E-4</v>
      </c>
      <c r="DA52" s="4">
        <v>9.5679999999999995E-4</v>
      </c>
      <c r="DB52" s="4">
        <v>9.4309999999999999E-4</v>
      </c>
      <c r="DC52" s="4">
        <v>9.2949999999999999E-4</v>
      </c>
      <c r="DD52" s="4">
        <v>9.1609999999999999E-4</v>
      </c>
      <c r="DE52" s="4">
        <v>9.0300000000000005E-4</v>
      </c>
      <c r="DF52" s="4">
        <v>8.8999999999999995E-4</v>
      </c>
      <c r="DG52" s="4">
        <v>8.7719999999999996E-4</v>
      </c>
      <c r="DH52" s="4">
        <v>8.6459999999999998E-4</v>
      </c>
      <c r="DI52" s="4">
        <v>8.5229999999999995E-4</v>
      </c>
      <c r="DJ52" s="4">
        <v>8.4009999999999998E-4</v>
      </c>
      <c r="DK52" s="4">
        <v>8.2799999999999996E-4</v>
      </c>
      <c r="DL52" s="4">
        <v>8.162E-4</v>
      </c>
      <c r="DM52" s="4">
        <v>8.0449999999999999E-4</v>
      </c>
      <c r="DN52" s="4">
        <v>7.9310000000000003E-4</v>
      </c>
      <c r="DO52" s="4">
        <v>7.8180000000000003E-4</v>
      </c>
      <c r="DP52" s="4">
        <v>7.7059999999999997E-4</v>
      </c>
      <c r="DQ52" s="4">
        <v>5.3779800000000003E-2</v>
      </c>
      <c r="DR52" s="4">
        <v>0</v>
      </c>
      <c r="DS52" s="4">
        <v>1.105E-4</v>
      </c>
      <c r="DT52" s="4">
        <v>2.7149999999999999E-4</v>
      </c>
      <c r="DU52" s="4">
        <v>2.9500000000000001E-4</v>
      </c>
      <c r="DV52" s="4">
        <v>7.6999999999999996E-4</v>
      </c>
      <c r="DW52" s="4">
        <v>6.1970000000000005E-4</v>
      </c>
      <c r="DX52" s="4">
        <v>6.4039999999999995E-4</v>
      </c>
      <c r="DY52" s="4">
        <v>5.3249999999999999E-4</v>
      </c>
      <c r="DZ52" s="4">
        <v>4.84E-4</v>
      </c>
      <c r="EA52" s="4">
        <v>4.259E-4</v>
      </c>
      <c r="EB52" s="4">
        <v>3.792E-4</v>
      </c>
      <c r="EC52" s="4">
        <v>3.3700000000000001E-4</v>
      </c>
      <c r="ED52" s="4">
        <v>3.011E-4</v>
      </c>
      <c r="EE52" s="4">
        <v>2.697E-4</v>
      </c>
      <c r="EF52" s="4">
        <v>2.4279999999999999E-4</v>
      </c>
      <c r="EG52" s="4">
        <v>2.195E-4</v>
      </c>
      <c r="EH52" s="4">
        <v>1.9890000000000001E-4</v>
      </c>
      <c r="EI52" s="4">
        <v>1.807E-4</v>
      </c>
      <c r="EJ52" s="4">
        <v>1.649E-4</v>
      </c>
      <c r="EK52" s="4">
        <v>1.507E-4</v>
      </c>
      <c r="EL52" s="4">
        <v>1.384E-4</v>
      </c>
      <c r="EM52" s="4">
        <v>1.2540000000000001E-4</v>
      </c>
      <c r="EN52" s="4">
        <v>1.158E-4</v>
      </c>
      <c r="EO52" s="4">
        <v>1.0730000000000001E-4</v>
      </c>
      <c r="EP52" s="4">
        <v>9.9599999999999995E-5</v>
      </c>
      <c r="EQ52" s="4">
        <v>9.2800000000000006E-5</v>
      </c>
      <c r="ER52" s="4">
        <v>8.6799999999999996E-5</v>
      </c>
      <c r="ES52" s="4">
        <v>8.1500000000000002E-5</v>
      </c>
      <c r="ET52" s="4">
        <v>7.6600000000000005E-5</v>
      </c>
      <c r="EU52" s="4">
        <v>7.2100000000000004E-5</v>
      </c>
      <c r="EV52" s="4">
        <v>6.8100000000000002E-5</v>
      </c>
      <c r="EW52" s="4">
        <v>6.4499999999999996E-5</v>
      </c>
      <c r="EX52" s="4">
        <v>6.1400000000000002E-5</v>
      </c>
      <c r="EY52" s="4">
        <v>5.8499999999999999E-5</v>
      </c>
      <c r="EZ52" s="4">
        <v>5.5800000000000001E-5</v>
      </c>
      <c r="FA52" s="4">
        <v>5.3300000000000001E-5</v>
      </c>
      <c r="FB52" s="4">
        <v>5.0899999999999997E-5</v>
      </c>
      <c r="FC52" s="4">
        <v>4.8699999999999998E-5</v>
      </c>
      <c r="FD52" s="4">
        <v>4.6400000000000003E-5</v>
      </c>
      <c r="FE52" s="4">
        <v>4.4199999999999997E-5</v>
      </c>
      <c r="FF52" s="4">
        <v>4.1E-5</v>
      </c>
      <c r="FG52" s="4">
        <v>3.9199999999999997E-5</v>
      </c>
      <c r="FH52" s="4">
        <v>3.7400000000000001E-5</v>
      </c>
      <c r="FI52" s="4">
        <v>3.4499999999999998E-5</v>
      </c>
      <c r="FJ52" s="4">
        <v>3.5599999999999998E-5</v>
      </c>
      <c r="FK52" s="4">
        <v>3.4400000000000003E-5</v>
      </c>
      <c r="FL52" s="4">
        <v>3.3599999999999997E-5</v>
      </c>
      <c r="FM52" s="4">
        <v>3.2799999999999998E-5</v>
      </c>
      <c r="FN52" s="4">
        <v>3.1999999999999999E-5</v>
      </c>
      <c r="FO52" s="4">
        <v>3.1300000000000002E-5</v>
      </c>
      <c r="FP52" s="4">
        <v>3.0599999999999998E-5</v>
      </c>
      <c r="FQ52" s="4">
        <v>2.9899999999999998E-5</v>
      </c>
      <c r="FR52" s="4">
        <v>2.9300000000000001E-5</v>
      </c>
      <c r="FS52" s="4">
        <v>2.87E-5</v>
      </c>
      <c r="FT52" s="4">
        <v>2.8099999999999999E-5</v>
      </c>
      <c r="FU52" s="4">
        <v>2.76E-5</v>
      </c>
      <c r="FV52" s="4">
        <v>2.6999999999999999E-5</v>
      </c>
      <c r="FW52" s="4">
        <v>2.65E-5</v>
      </c>
      <c r="FX52" s="4">
        <v>2.5999999999999998E-5</v>
      </c>
      <c r="FY52" s="4">
        <v>2.5599999999999999E-5</v>
      </c>
      <c r="FZ52" s="4">
        <v>2.51E-5</v>
      </c>
      <c r="GA52" s="4">
        <v>2.4700000000000001E-5</v>
      </c>
      <c r="GB52" s="4">
        <v>2.4300000000000001E-5</v>
      </c>
      <c r="GC52" s="4">
        <v>2.3900000000000002E-5</v>
      </c>
      <c r="GD52" s="4">
        <v>2.3499999999999999E-5</v>
      </c>
      <c r="GE52" s="4">
        <v>2.3200000000000001E-5</v>
      </c>
      <c r="GF52" s="4">
        <v>2.2799999999999999E-5</v>
      </c>
      <c r="GG52" s="4">
        <v>2.2500000000000001E-5</v>
      </c>
      <c r="GH52" s="4">
        <v>2.2099999999999998E-5</v>
      </c>
      <c r="GI52" s="4">
        <v>2.1800000000000001E-5</v>
      </c>
      <c r="GJ52" s="4">
        <v>2.1500000000000001E-5</v>
      </c>
      <c r="GK52" s="4">
        <v>2.12E-5</v>
      </c>
      <c r="GL52" s="4">
        <v>2.09E-5</v>
      </c>
      <c r="GM52" s="4">
        <v>2.0599999999999999E-5</v>
      </c>
      <c r="GN52" s="4">
        <v>2.0299999999999999E-5</v>
      </c>
      <c r="GO52" s="4">
        <v>2.0000000000000002E-5</v>
      </c>
      <c r="GP52" s="4">
        <v>1.9700000000000001E-5</v>
      </c>
      <c r="GQ52" s="4">
        <v>1.9400000000000001E-5</v>
      </c>
      <c r="GR52" s="4">
        <v>1.9199999999999999E-5</v>
      </c>
      <c r="GS52" s="4">
        <v>1.8899999999999999E-5</v>
      </c>
      <c r="GT52" s="4">
        <v>1.8600000000000001E-5</v>
      </c>
      <c r="GU52" s="4">
        <v>1.84E-5</v>
      </c>
      <c r="GV52" s="4">
        <v>1.8099999999999999E-5</v>
      </c>
      <c r="GW52" s="4">
        <v>1.7900000000000001E-5</v>
      </c>
      <c r="GX52" s="4">
        <v>1.7600000000000001E-5</v>
      </c>
      <c r="GY52" s="4">
        <v>1.7399999999999999E-5</v>
      </c>
      <c r="GZ52" s="4">
        <v>1.7099999999999999E-5</v>
      </c>
      <c r="HA52" s="4">
        <v>1.6900000000000001E-5</v>
      </c>
      <c r="HB52" s="4">
        <v>1.66E-5</v>
      </c>
      <c r="HC52" s="4">
        <v>1.6399999999999999E-5</v>
      </c>
      <c r="HD52" s="4">
        <v>1.6200000000000001E-5</v>
      </c>
      <c r="HE52" s="4">
        <v>1.5999999999999999E-5</v>
      </c>
      <c r="HF52" s="4">
        <v>1.5699999999999999E-5</v>
      </c>
      <c r="HG52" s="4">
        <v>1.5500000000000001E-5</v>
      </c>
      <c r="HH52" s="4">
        <v>1.5299999999999999E-5</v>
      </c>
      <c r="HI52" s="4">
        <v>1.5099999999999999E-5</v>
      </c>
      <c r="HJ52" s="4">
        <v>1.49E-5</v>
      </c>
      <c r="HK52" s="4">
        <v>1.47E-5</v>
      </c>
      <c r="HL52" s="4">
        <v>1.45E-5</v>
      </c>
      <c r="HM52" s="4">
        <v>1.43E-5</v>
      </c>
      <c r="HN52" s="4">
        <v>1.4100000000000001E-5</v>
      </c>
      <c r="HO52" s="4">
        <v>1.3900000000000001E-5</v>
      </c>
      <c r="HP52" s="4">
        <v>1.3699999999999999E-5</v>
      </c>
      <c r="HQ52" s="4">
        <v>1.3499999999999999E-5</v>
      </c>
      <c r="HR52" s="4">
        <v>1.33E-5</v>
      </c>
      <c r="HS52" s="4">
        <v>1.31E-5</v>
      </c>
      <c r="HT52" s="4">
        <v>1.29E-5</v>
      </c>
      <c r="HU52" s="4">
        <v>1.27E-5</v>
      </c>
      <c r="HV52" s="4">
        <v>1.26E-5</v>
      </c>
      <c r="HW52" s="4">
        <v>1.24E-5</v>
      </c>
      <c r="HX52" s="4">
        <v>1.22E-5</v>
      </c>
      <c r="HY52" s="4">
        <v>1.2E-5</v>
      </c>
      <c r="HZ52" s="4">
        <v>1.19E-5</v>
      </c>
      <c r="IA52" s="4">
        <v>1.17E-5</v>
      </c>
      <c r="IB52" s="4">
        <v>1.15E-5</v>
      </c>
      <c r="IC52" s="4">
        <v>1.1399999999999999E-5</v>
      </c>
      <c r="ID52" s="4">
        <v>1.1199999999999999E-5</v>
      </c>
      <c r="IE52" s="4">
        <v>1.11E-5</v>
      </c>
      <c r="IF52" s="4">
        <v>1.0900000000000001E-5</v>
      </c>
      <c r="IG52" s="4">
        <v>7.6469999999999999E-4</v>
      </c>
      <c r="IH52" s="4"/>
      <c r="IL52">
        <f t="shared" si="248"/>
        <v>0.35656057500000032</v>
      </c>
      <c r="IP52" s="4">
        <f t="shared" si="249"/>
        <v>4.1474799999999999E-2</v>
      </c>
      <c r="IQ52" s="4">
        <f t="shared" si="250"/>
        <v>3.3030699999999996E-2</v>
      </c>
      <c r="IR52" s="4">
        <f t="shared" si="251"/>
        <v>2.5136100000000001E-2</v>
      </c>
      <c r="IS52" s="4">
        <f t="shared" si="252"/>
        <v>2.0243799999999999E-2</v>
      </c>
      <c r="IT52" s="4">
        <f t="shared" si="253"/>
        <v>1.6955999999999999E-2</v>
      </c>
      <c r="IU52" s="4">
        <f t="shared" si="254"/>
        <v>5.8419899999999997E-2</v>
      </c>
      <c r="IV52" s="4">
        <f t="shared" si="255"/>
        <v>3.87348E-2</v>
      </c>
      <c r="IW52" s="4">
        <f t="shared" si="256"/>
        <v>3.0444399999999996E-2</v>
      </c>
      <c r="IX52" s="4">
        <f t="shared" si="257"/>
        <v>9.2517000000000016E-2</v>
      </c>
    </row>
    <row r="53" spans="1:258" x14ac:dyDescent="0.35">
      <c r="A53" s="1">
        <v>45</v>
      </c>
      <c r="B53" s="4">
        <v>1.0654E-2</v>
      </c>
      <c r="C53" s="4">
        <v>1.0654E-2</v>
      </c>
      <c r="D53" s="4">
        <v>1.0543500000000001E-2</v>
      </c>
      <c r="E53" s="4">
        <v>1.0297000000000001E-2</v>
      </c>
      <c r="F53" s="4">
        <v>1.0002E-2</v>
      </c>
      <c r="G53" s="4">
        <v>9.1853000000000004E-3</v>
      </c>
      <c r="H53" s="4">
        <v>8.5565999999999993E-3</v>
      </c>
      <c r="I53" s="4">
        <v>7.9333000000000008E-3</v>
      </c>
      <c r="J53" s="4">
        <v>7.3736000000000001E-3</v>
      </c>
      <c r="K53" s="4">
        <v>6.8904999999999999E-3</v>
      </c>
      <c r="L53" s="4">
        <v>6.4580000000000002E-3</v>
      </c>
      <c r="M53" s="4">
        <v>6.0734999999999999E-3</v>
      </c>
      <c r="N53" s="4">
        <v>5.7315999999999999E-3</v>
      </c>
      <c r="O53" s="4">
        <v>5.4298000000000003E-3</v>
      </c>
      <c r="P53" s="4">
        <v>5.1631000000000003E-3</v>
      </c>
      <c r="Q53" s="4">
        <v>4.9272999999999999E-3</v>
      </c>
      <c r="R53" s="4">
        <v>4.712E-3</v>
      </c>
      <c r="S53" s="4">
        <v>4.5104000000000003E-3</v>
      </c>
      <c r="T53" s="4">
        <v>4.3251000000000001E-3</v>
      </c>
      <c r="U53" s="4">
        <v>4.1564000000000002E-3</v>
      </c>
      <c r="V53" s="4">
        <v>3.9909999999999998E-3</v>
      </c>
      <c r="W53" s="4">
        <v>3.8487999999999999E-3</v>
      </c>
      <c r="X53" s="4">
        <v>3.6671E-3</v>
      </c>
      <c r="Y53" s="4">
        <v>3.5408000000000002E-3</v>
      </c>
      <c r="Z53" s="4">
        <v>3.4248E-3</v>
      </c>
      <c r="AA53" s="4">
        <v>3.3149999999999998E-3</v>
      </c>
      <c r="AB53" s="4">
        <v>3.2146000000000002E-3</v>
      </c>
      <c r="AC53" s="4">
        <v>3.1259E-3</v>
      </c>
      <c r="AD53" s="4">
        <v>3.0423999999999998E-3</v>
      </c>
      <c r="AE53" s="4">
        <v>2.9591000000000001E-3</v>
      </c>
      <c r="AF53" s="4">
        <v>2.8803000000000001E-3</v>
      </c>
      <c r="AG53" s="4">
        <v>2.8081999999999998E-3</v>
      </c>
      <c r="AH53" s="4">
        <v>2.7420999999999999E-3</v>
      </c>
      <c r="AI53" s="4">
        <v>2.6871E-3</v>
      </c>
      <c r="AJ53" s="4">
        <v>2.6356999999999999E-3</v>
      </c>
      <c r="AK53" s="4">
        <v>2.5850000000000001E-3</v>
      </c>
      <c r="AL53" s="4">
        <v>2.5357000000000001E-3</v>
      </c>
      <c r="AM53" s="4">
        <v>2.4865999999999998E-3</v>
      </c>
      <c r="AN53" s="4">
        <v>2.4359999999999998E-3</v>
      </c>
      <c r="AO53" s="4">
        <v>2.3771E-3</v>
      </c>
      <c r="AP53" s="4">
        <v>2.3102000000000001E-3</v>
      </c>
      <c r="AQ53" s="4">
        <v>2.1952E-3</v>
      </c>
      <c r="AR53" s="4">
        <v>2.1367999999999999E-3</v>
      </c>
      <c r="AS53" s="4">
        <v>2.0777E-3</v>
      </c>
      <c r="AT53" s="4">
        <v>1.9559E-3</v>
      </c>
      <c r="AU53" s="4">
        <v>2.0395000000000001E-3</v>
      </c>
      <c r="AV53" s="4">
        <v>2.0106999999999998E-3</v>
      </c>
      <c r="AW53" s="4">
        <v>1.9945000000000002E-3</v>
      </c>
      <c r="AX53" s="4">
        <v>1.9767999999999999E-3</v>
      </c>
      <c r="AY53" s="4">
        <v>1.9593000000000002E-3</v>
      </c>
      <c r="AZ53" s="4">
        <v>1.9409E-3</v>
      </c>
      <c r="BA53" s="4">
        <v>1.9222E-3</v>
      </c>
      <c r="BB53" s="4">
        <v>1.9028999999999999E-3</v>
      </c>
      <c r="BC53" s="4">
        <v>1.8831E-3</v>
      </c>
      <c r="BD53" s="4">
        <v>1.8629E-3</v>
      </c>
      <c r="BE53" s="4">
        <v>1.8423999999999999E-3</v>
      </c>
      <c r="BF53" s="4">
        <v>1.8217000000000001E-3</v>
      </c>
      <c r="BG53" s="4">
        <v>1.8006999999999999E-3</v>
      </c>
      <c r="BH53" s="4">
        <v>1.7796999999999999E-3</v>
      </c>
      <c r="BI53" s="4">
        <v>1.7585000000000001E-3</v>
      </c>
      <c r="BJ53" s="4">
        <v>1.7373E-3</v>
      </c>
      <c r="BK53" s="4">
        <v>1.7162E-3</v>
      </c>
      <c r="BL53" s="4">
        <v>1.6949999999999999E-3</v>
      </c>
      <c r="BM53" s="4">
        <v>1.6739000000000001E-3</v>
      </c>
      <c r="BN53" s="4">
        <v>1.6528000000000001E-3</v>
      </c>
      <c r="BO53" s="4">
        <v>1.6318999999999999E-3</v>
      </c>
      <c r="BP53" s="4">
        <v>1.611E-3</v>
      </c>
      <c r="BQ53" s="4">
        <v>1.5901999999999999E-3</v>
      </c>
      <c r="BR53" s="4">
        <v>1.5696E-3</v>
      </c>
      <c r="BS53" s="4">
        <v>1.5491000000000001E-3</v>
      </c>
      <c r="BT53" s="4">
        <v>1.5287E-3</v>
      </c>
      <c r="BU53" s="4">
        <v>1.5085000000000001E-3</v>
      </c>
      <c r="BV53" s="4">
        <v>1.4884E-3</v>
      </c>
      <c r="BW53" s="4">
        <v>1.4683999999999999E-3</v>
      </c>
      <c r="BX53" s="4">
        <v>1.4486E-3</v>
      </c>
      <c r="BY53" s="4">
        <v>1.4289999999999999E-3</v>
      </c>
      <c r="BZ53" s="4">
        <v>1.4094999999999999E-3</v>
      </c>
      <c r="CA53" s="4">
        <v>1.3901E-3</v>
      </c>
      <c r="CB53" s="4">
        <v>1.371E-3</v>
      </c>
      <c r="CC53" s="4">
        <v>1.3519999999999999E-3</v>
      </c>
      <c r="CD53" s="4">
        <v>1.3332000000000001E-3</v>
      </c>
      <c r="CE53" s="4">
        <v>1.3144999999999999E-3</v>
      </c>
      <c r="CF53" s="4">
        <v>1.2960999999999999E-3</v>
      </c>
      <c r="CG53" s="4">
        <v>1.2777999999999999E-3</v>
      </c>
      <c r="CH53" s="4">
        <v>1.2597999999999999E-3</v>
      </c>
      <c r="CI53" s="4">
        <v>1.2419E-3</v>
      </c>
      <c r="CJ53" s="4">
        <v>1.2243E-3</v>
      </c>
      <c r="CK53" s="4">
        <v>1.2068999999999999E-3</v>
      </c>
      <c r="CL53" s="4">
        <v>1.1896000000000001E-3</v>
      </c>
      <c r="CM53" s="4">
        <v>1.1726E-3</v>
      </c>
      <c r="CN53" s="4">
        <v>1.1558E-3</v>
      </c>
      <c r="CO53" s="4">
        <v>1.1391999999999999E-3</v>
      </c>
      <c r="CP53" s="4">
        <v>1.1229E-3</v>
      </c>
      <c r="CQ53" s="4">
        <v>1.1067E-3</v>
      </c>
      <c r="CR53" s="4">
        <v>1.0908000000000001E-3</v>
      </c>
      <c r="CS53" s="4">
        <v>1.0751000000000001E-3</v>
      </c>
      <c r="CT53" s="4">
        <v>1.0596E-3</v>
      </c>
      <c r="CU53" s="4">
        <v>1.0443E-3</v>
      </c>
      <c r="CV53" s="4">
        <v>1.0292000000000001E-3</v>
      </c>
      <c r="CW53" s="4">
        <v>1.0143999999999999E-3</v>
      </c>
      <c r="CX53" s="4">
        <v>9.9979999999999991E-4</v>
      </c>
      <c r="CY53" s="4">
        <v>9.8539999999999999E-4</v>
      </c>
      <c r="CZ53" s="4">
        <v>9.7110000000000002E-4</v>
      </c>
      <c r="DA53" s="4">
        <v>9.5710000000000001E-4</v>
      </c>
      <c r="DB53" s="4">
        <v>9.4339999999999995E-4</v>
      </c>
      <c r="DC53" s="4">
        <v>9.2980000000000005E-4</v>
      </c>
      <c r="DD53" s="4">
        <v>9.1640000000000005E-4</v>
      </c>
      <c r="DE53" s="4">
        <v>9.0320000000000005E-4</v>
      </c>
      <c r="DF53" s="4">
        <v>8.9019999999999995E-4</v>
      </c>
      <c r="DG53" s="4">
        <v>8.7739999999999997E-4</v>
      </c>
      <c r="DH53" s="4">
        <v>8.6479999999999999E-4</v>
      </c>
      <c r="DI53" s="4">
        <v>8.5240000000000001E-4</v>
      </c>
      <c r="DJ53" s="4">
        <v>8.4020000000000004E-4</v>
      </c>
      <c r="DK53" s="4">
        <v>8.2819999999999996E-4</v>
      </c>
      <c r="DL53" s="4">
        <v>8.1629999999999995E-4</v>
      </c>
      <c r="DM53" s="4">
        <v>8.0469999999999999E-4</v>
      </c>
      <c r="DN53" s="4">
        <v>7.9319999999999998E-4</v>
      </c>
      <c r="DO53" s="4">
        <v>7.8180000000000003E-4</v>
      </c>
      <c r="DP53" s="4">
        <v>7.7070000000000003E-4</v>
      </c>
      <c r="DQ53" s="4">
        <v>5.3774799999999998E-2</v>
      </c>
      <c r="DR53" s="4">
        <v>0</v>
      </c>
      <c r="DS53" s="4">
        <v>1.105E-4</v>
      </c>
      <c r="DT53" s="4">
        <v>2.5040000000000001E-4</v>
      </c>
      <c r="DU53" s="4">
        <v>2.9589999999999998E-4</v>
      </c>
      <c r="DV53" s="4">
        <v>7.5750000000000004E-4</v>
      </c>
      <c r="DW53" s="4">
        <v>6.2220000000000005E-4</v>
      </c>
      <c r="DX53" s="4">
        <v>6.378E-4</v>
      </c>
      <c r="DY53" s="4">
        <v>5.4540000000000003E-4</v>
      </c>
      <c r="DZ53" s="4">
        <v>4.9189999999999998E-4</v>
      </c>
      <c r="EA53" s="4">
        <v>4.3419999999999998E-4</v>
      </c>
      <c r="EB53" s="4">
        <v>3.858E-4</v>
      </c>
      <c r="EC53" s="4">
        <v>3.4299999999999999E-4</v>
      </c>
      <c r="ED53" s="4">
        <v>3.056E-4</v>
      </c>
      <c r="EE53" s="4">
        <v>2.7379999999999999E-4</v>
      </c>
      <c r="EF53" s="4">
        <v>2.4590000000000001E-4</v>
      </c>
      <c r="EG53" s="4">
        <v>2.221E-4</v>
      </c>
      <c r="EH53" s="4">
        <v>2.0139999999999999E-4</v>
      </c>
      <c r="EI53" s="4">
        <v>1.8320000000000001E-4</v>
      </c>
      <c r="EJ53" s="4">
        <v>1.6689999999999999E-4</v>
      </c>
      <c r="EK53" s="4">
        <v>1.529E-4</v>
      </c>
      <c r="EL53" s="4">
        <v>1.4019999999999999E-4</v>
      </c>
      <c r="EM53" s="4">
        <v>1.2909999999999999E-4</v>
      </c>
      <c r="EN53" s="4">
        <v>1.175E-4</v>
      </c>
      <c r="EO53" s="4">
        <v>1.088E-4</v>
      </c>
      <c r="EP53" s="4">
        <v>1.011E-4</v>
      </c>
      <c r="EQ53" s="4">
        <v>9.4199999999999999E-5</v>
      </c>
      <c r="ER53" s="4">
        <v>8.7999999999999998E-5</v>
      </c>
      <c r="ES53" s="4">
        <v>8.25E-5</v>
      </c>
      <c r="ET53" s="4">
        <v>7.7600000000000002E-5</v>
      </c>
      <c r="EU53" s="4">
        <v>7.3100000000000001E-5</v>
      </c>
      <c r="EV53" s="4">
        <v>6.8999999999999997E-5</v>
      </c>
      <c r="EW53" s="4">
        <v>6.5300000000000002E-5</v>
      </c>
      <c r="EX53" s="4">
        <v>6.19E-5</v>
      </c>
      <c r="EY53" s="4">
        <v>5.8999999999999998E-5</v>
      </c>
      <c r="EZ53" s="4">
        <v>5.63E-5</v>
      </c>
      <c r="FA53" s="4">
        <v>5.38E-5</v>
      </c>
      <c r="FB53" s="4">
        <v>5.1400000000000003E-5</v>
      </c>
      <c r="FC53" s="4">
        <v>4.9200000000000003E-5</v>
      </c>
      <c r="FD53" s="4">
        <v>4.71E-5</v>
      </c>
      <c r="FE53" s="4">
        <v>4.5000000000000003E-5</v>
      </c>
      <c r="FF53" s="4">
        <v>4.2799999999999997E-5</v>
      </c>
      <c r="FG53" s="4">
        <v>3.9799999999999998E-5</v>
      </c>
      <c r="FH53" s="4">
        <v>3.8000000000000002E-5</v>
      </c>
      <c r="FI53" s="4">
        <v>3.6300000000000001E-5</v>
      </c>
      <c r="FJ53" s="4">
        <v>3.3500000000000001E-5</v>
      </c>
      <c r="FK53" s="4">
        <v>3.4600000000000001E-5</v>
      </c>
      <c r="FL53" s="4">
        <v>3.3500000000000001E-5</v>
      </c>
      <c r="FM53" s="4">
        <v>3.2700000000000002E-5</v>
      </c>
      <c r="FN53" s="4">
        <v>3.1999999999999999E-5</v>
      </c>
      <c r="FO53" s="4">
        <v>3.1300000000000002E-5</v>
      </c>
      <c r="FP53" s="4">
        <v>3.0599999999999998E-5</v>
      </c>
      <c r="FQ53" s="4">
        <v>2.9899999999999998E-5</v>
      </c>
      <c r="FR53" s="4">
        <v>2.9300000000000001E-5</v>
      </c>
      <c r="FS53" s="4">
        <v>2.87E-5</v>
      </c>
      <c r="FT53" s="4">
        <v>2.8099999999999999E-5</v>
      </c>
      <c r="FU53" s="4">
        <v>2.76E-5</v>
      </c>
      <c r="FV53" s="4">
        <v>2.6999999999999999E-5</v>
      </c>
      <c r="FW53" s="4">
        <v>2.65E-5</v>
      </c>
      <c r="FX53" s="4">
        <v>2.6100000000000001E-5</v>
      </c>
      <c r="FY53" s="4">
        <v>2.5599999999999999E-5</v>
      </c>
      <c r="FZ53" s="4">
        <v>2.5199999999999999E-5</v>
      </c>
      <c r="GA53" s="4">
        <v>2.4700000000000001E-5</v>
      </c>
      <c r="GB53" s="4">
        <v>2.4300000000000001E-5</v>
      </c>
      <c r="GC53" s="4">
        <v>2.3900000000000002E-5</v>
      </c>
      <c r="GD53" s="4">
        <v>2.3499999999999999E-5</v>
      </c>
      <c r="GE53" s="4">
        <v>2.3200000000000001E-5</v>
      </c>
      <c r="GF53" s="4">
        <v>2.2799999999999999E-5</v>
      </c>
      <c r="GG53" s="4">
        <v>2.2500000000000001E-5</v>
      </c>
      <c r="GH53" s="4">
        <v>2.2099999999999998E-5</v>
      </c>
      <c r="GI53" s="4">
        <v>2.1800000000000001E-5</v>
      </c>
      <c r="GJ53" s="4">
        <v>2.1500000000000001E-5</v>
      </c>
      <c r="GK53" s="4">
        <v>2.12E-5</v>
      </c>
      <c r="GL53" s="4">
        <v>2.09E-5</v>
      </c>
      <c r="GM53" s="4">
        <v>2.0599999999999999E-5</v>
      </c>
      <c r="GN53" s="4">
        <v>2.0299999999999999E-5</v>
      </c>
      <c r="GO53" s="4">
        <v>2.0000000000000002E-5</v>
      </c>
      <c r="GP53" s="4">
        <v>1.9700000000000001E-5</v>
      </c>
      <c r="GQ53" s="4">
        <v>1.9400000000000001E-5</v>
      </c>
      <c r="GR53" s="4">
        <v>1.9199999999999999E-5</v>
      </c>
      <c r="GS53" s="4">
        <v>1.8899999999999999E-5</v>
      </c>
      <c r="GT53" s="4">
        <v>1.8600000000000001E-5</v>
      </c>
      <c r="GU53" s="4">
        <v>1.84E-5</v>
      </c>
      <c r="GV53" s="4">
        <v>1.8099999999999999E-5</v>
      </c>
      <c r="GW53" s="4">
        <v>1.7900000000000001E-5</v>
      </c>
      <c r="GX53" s="4">
        <v>1.7600000000000001E-5</v>
      </c>
      <c r="GY53" s="4">
        <v>1.7399999999999999E-5</v>
      </c>
      <c r="GZ53" s="4">
        <v>1.7099999999999999E-5</v>
      </c>
      <c r="HA53" s="4">
        <v>1.6900000000000001E-5</v>
      </c>
      <c r="HB53" s="4">
        <v>1.6699999999999999E-5</v>
      </c>
      <c r="HC53" s="4">
        <v>1.6399999999999999E-5</v>
      </c>
      <c r="HD53" s="4">
        <v>1.6200000000000001E-5</v>
      </c>
      <c r="HE53" s="4">
        <v>1.5999999999999999E-5</v>
      </c>
      <c r="HF53" s="4">
        <v>1.5699999999999999E-5</v>
      </c>
      <c r="HG53" s="4">
        <v>1.5500000000000001E-5</v>
      </c>
      <c r="HH53" s="4">
        <v>1.5299999999999999E-5</v>
      </c>
      <c r="HI53" s="4">
        <v>1.5099999999999999E-5</v>
      </c>
      <c r="HJ53" s="4">
        <v>1.49E-5</v>
      </c>
      <c r="HK53" s="4">
        <v>1.47E-5</v>
      </c>
      <c r="HL53" s="4">
        <v>1.45E-5</v>
      </c>
      <c r="HM53" s="4">
        <v>1.43E-5</v>
      </c>
      <c r="HN53" s="4">
        <v>1.4100000000000001E-5</v>
      </c>
      <c r="HO53" s="4">
        <v>1.3900000000000001E-5</v>
      </c>
      <c r="HP53" s="4">
        <v>1.3699999999999999E-5</v>
      </c>
      <c r="HQ53" s="4">
        <v>1.3499999999999999E-5</v>
      </c>
      <c r="HR53" s="4">
        <v>1.33E-5</v>
      </c>
      <c r="HS53" s="4">
        <v>1.31E-5</v>
      </c>
      <c r="HT53" s="4">
        <v>1.29E-5</v>
      </c>
      <c r="HU53" s="4">
        <v>1.27E-5</v>
      </c>
      <c r="HV53" s="4">
        <v>1.26E-5</v>
      </c>
      <c r="HW53" s="4">
        <v>1.24E-5</v>
      </c>
      <c r="HX53" s="4">
        <v>1.22E-5</v>
      </c>
      <c r="HY53" s="4">
        <v>1.2E-5</v>
      </c>
      <c r="HZ53" s="4">
        <v>1.19E-5</v>
      </c>
      <c r="IA53" s="4">
        <v>1.17E-5</v>
      </c>
      <c r="IB53" s="4">
        <v>1.15E-5</v>
      </c>
      <c r="IC53" s="4">
        <v>1.1399999999999999E-5</v>
      </c>
      <c r="ID53" s="4">
        <v>1.1199999999999999E-5</v>
      </c>
      <c r="IE53" s="4">
        <v>1.11E-5</v>
      </c>
      <c r="IF53" s="4">
        <v>1.0900000000000001E-5</v>
      </c>
      <c r="IG53" s="4">
        <v>7.6460000000000005E-4</v>
      </c>
      <c r="IH53" s="4"/>
      <c r="IL53">
        <f t="shared" si="248"/>
        <v>0.35667287500000028</v>
      </c>
      <c r="IP53" s="4">
        <f t="shared" si="249"/>
        <v>4.1496500000000006E-2</v>
      </c>
      <c r="IQ53" s="4">
        <f t="shared" si="250"/>
        <v>3.3048799999999996E-2</v>
      </c>
      <c r="IR53" s="4">
        <f t="shared" si="251"/>
        <v>2.5153599999999998E-2</v>
      </c>
      <c r="IS53" s="4">
        <f t="shared" si="252"/>
        <v>2.0232200000000002E-2</v>
      </c>
      <c r="IT53" s="4">
        <f t="shared" si="253"/>
        <v>1.6982900000000002E-2</v>
      </c>
      <c r="IU53" s="4">
        <f t="shared" si="254"/>
        <v>5.8622499999999987E-2</v>
      </c>
      <c r="IV53" s="4">
        <f t="shared" si="255"/>
        <v>3.8598700000000007E-2</v>
      </c>
      <c r="IW53" s="4">
        <f t="shared" si="256"/>
        <v>3.0417099999999999E-2</v>
      </c>
      <c r="IX53" s="4">
        <f t="shared" si="257"/>
        <v>9.2522400000000005E-2</v>
      </c>
    </row>
    <row r="54" spans="1:258" x14ac:dyDescent="0.35">
      <c r="A54" s="1">
        <v>46</v>
      </c>
      <c r="B54" s="4">
        <v>1.0654E-2</v>
      </c>
      <c r="C54" s="4">
        <v>1.0654E-2</v>
      </c>
      <c r="D54" s="4">
        <v>1.0543500000000001E-2</v>
      </c>
      <c r="E54" s="4">
        <v>1.0293099999999999E-2</v>
      </c>
      <c r="F54" s="4">
        <v>1.0001100000000001E-2</v>
      </c>
      <c r="G54" s="4">
        <v>9.2444999999999992E-3</v>
      </c>
      <c r="H54" s="4">
        <v>8.5632E-3</v>
      </c>
      <c r="I54" s="4">
        <v>7.9188999999999996E-3</v>
      </c>
      <c r="J54" s="4">
        <v>7.3879000000000002E-3</v>
      </c>
      <c r="K54" s="4">
        <v>6.8817000000000001E-3</v>
      </c>
      <c r="L54" s="4">
        <v>6.4562999999999999E-3</v>
      </c>
      <c r="M54" s="4">
        <v>6.0721999999999998E-3</v>
      </c>
      <c r="N54" s="4">
        <v>5.7305000000000004E-3</v>
      </c>
      <c r="O54" s="4">
        <v>5.4260000000000003E-3</v>
      </c>
      <c r="P54" s="4">
        <v>5.156E-3</v>
      </c>
      <c r="Q54" s="4">
        <v>4.9172E-3</v>
      </c>
      <c r="R54" s="4">
        <v>4.7051999999999997E-3</v>
      </c>
      <c r="S54" s="4">
        <v>4.5106E-3</v>
      </c>
      <c r="T54" s="4">
        <v>4.3271999999999998E-3</v>
      </c>
      <c r="U54" s="4">
        <v>4.1581999999999999E-3</v>
      </c>
      <c r="V54" s="4">
        <v>4.0035000000000001E-3</v>
      </c>
      <c r="W54" s="4">
        <v>3.8508000000000001E-3</v>
      </c>
      <c r="X54" s="4">
        <v>3.7196999999999998E-3</v>
      </c>
      <c r="Y54" s="4">
        <v>3.5496E-3</v>
      </c>
      <c r="Z54" s="4">
        <v>3.4321E-3</v>
      </c>
      <c r="AA54" s="4">
        <v>3.3237000000000002E-3</v>
      </c>
      <c r="AB54" s="4">
        <v>3.2207999999999998E-3</v>
      </c>
      <c r="AC54" s="4">
        <v>3.1266000000000002E-3</v>
      </c>
      <c r="AD54" s="4">
        <v>3.0433999999999999E-3</v>
      </c>
      <c r="AE54" s="4">
        <v>2.9648000000000001E-3</v>
      </c>
      <c r="AF54" s="4">
        <v>2.8860000000000001E-3</v>
      </c>
      <c r="AG54" s="4">
        <v>2.8113000000000001E-3</v>
      </c>
      <c r="AH54" s="4">
        <v>2.7428999999999999E-3</v>
      </c>
      <c r="AI54" s="4">
        <v>2.6802000000000002E-3</v>
      </c>
      <c r="AJ54" s="4">
        <v>2.6281E-3</v>
      </c>
      <c r="AK54" s="4">
        <v>2.5793000000000001E-3</v>
      </c>
      <c r="AL54" s="4">
        <v>2.5311999999999999E-3</v>
      </c>
      <c r="AM54" s="4">
        <v>2.4843E-3</v>
      </c>
      <c r="AN54" s="4">
        <v>2.4374000000000002E-3</v>
      </c>
      <c r="AO54" s="4">
        <v>2.3888999999999998E-3</v>
      </c>
      <c r="AP54" s="4">
        <v>2.3322E-3</v>
      </c>
      <c r="AQ54" s="4">
        <v>2.2675E-3</v>
      </c>
      <c r="AR54" s="4">
        <v>2.1554E-3</v>
      </c>
      <c r="AS54" s="4">
        <v>2.0988000000000001E-3</v>
      </c>
      <c r="AT54" s="4">
        <v>2.0414000000000001E-3</v>
      </c>
      <c r="AU54" s="4">
        <v>1.9224000000000001E-3</v>
      </c>
      <c r="AV54" s="4">
        <v>2.0049E-3</v>
      </c>
      <c r="AW54" s="4">
        <v>1.9770999999999999E-3</v>
      </c>
      <c r="AX54" s="4">
        <v>1.9616999999999998E-3</v>
      </c>
      <c r="AY54" s="4">
        <v>1.9448E-3</v>
      </c>
      <c r="AZ54" s="4">
        <v>1.928E-3</v>
      </c>
      <c r="BA54" s="4">
        <v>1.9103E-3</v>
      </c>
      <c r="BB54" s="4">
        <v>1.8923E-3</v>
      </c>
      <c r="BC54" s="4">
        <v>1.8737000000000001E-3</v>
      </c>
      <c r="BD54" s="4">
        <v>1.8545E-3</v>
      </c>
      <c r="BE54" s="4">
        <v>1.8347999999999999E-3</v>
      </c>
      <c r="BF54" s="4">
        <v>1.8148999999999999E-3</v>
      </c>
      <c r="BG54" s="4">
        <v>1.7945999999999999E-3</v>
      </c>
      <c r="BH54" s="4">
        <v>1.7742000000000001E-3</v>
      </c>
      <c r="BI54" s="4">
        <v>1.7535999999999999E-3</v>
      </c>
      <c r="BJ54" s="4">
        <v>1.7328999999999999E-3</v>
      </c>
      <c r="BK54" s="4">
        <v>1.7122000000000001E-3</v>
      </c>
      <c r="BL54" s="4">
        <v>1.6914E-3</v>
      </c>
      <c r="BM54" s="4">
        <v>1.6707E-3</v>
      </c>
      <c r="BN54" s="4">
        <v>1.65E-3</v>
      </c>
      <c r="BO54" s="4">
        <v>1.6293E-3</v>
      </c>
      <c r="BP54" s="4">
        <v>1.6087E-3</v>
      </c>
      <c r="BQ54" s="4">
        <v>1.5881999999999999E-3</v>
      </c>
      <c r="BR54" s="4">
        <v>1.5678000000000001E-3</v>
      </c>
      <c r="BS54" s="4">
        <v>1.5475E-3</v>
      </c>
      <c r="BT54" s="4">
        <v>1.5273000000000001E-3</v>
      </c>
      <c r="BU54" s="4">
        <v>1.5072E-3</v>
      </c>
      <c r="BV54" s="4">
        <v>1.4873E-3</v>
      </c>
      <c r="BW54" s="4">
        <v>1.4675000000000001E-3</v>
      </c>
      <c r="BX54" s="4">
        <v>1.4478E-3</v>
      </c>
      <c r="BY54" s="4">
        <v>1.4283E-3</v>
      </c>
      <c r="BZ54" s="4">
        <v>1.4090000000000001E-3</v>
      </c>
      <c r="CA54" s="4">
        <v>1.3898000000000001E-3</v>
      </c>
      <c r="CB54" s="4">
        <v>1.3707000000000001E-3</v>
      </c>
      <c r="CC54" s="4">
        <v>1.3518E-3</v>
      </c>
      <c r="CD54" s="4">
        <v>1.3331E-3</v>
      </c>
      <c r="CE54" s="4">
        <v>1.3144999999999999E-3</v>
      </c>
      <c r="CF54" s="4">
        <v>1.2960999999999999E-3</v>
      </c>
      <c r="CG54" s="4">
        <v>1.2780000000000001E-3</v>
      </c>
      <c r="CH54" s="4">
        <v>1.2600000000000001E-3</v>
      </c>
      <c r="CI54" s="4">
        <v>1.2421999999999999E-3</v>
      </c>
      <c r="CJ54" s="4">
        <v>1.2246E-3</v>
      </c>
      <c r="CK54" s="4">
        <v>1.2072000000000001E-3</v>
      </c>
      <c r="CL54" s="4">
        <v>1.1900000000000001E-3</v>
      </c>
      <c r="CM54" s="4">
        <v>1.173E-3</v>
      </c>
      <c r="CN54" s="4">
        <v>1.1562E-3</v>
      </c>
      <c r="CO54" s="4">
        <v>1.1395999999999999E-3</v>
      </c>
      <c r="CP54" s="4">
        <v>1.1233E-3</v>
      </c>
      <c r="CQ54" s="4">
        <v>1.1071E-3</v>
      </c>
      <c r="CR54" s="4">
        <v>1.0912000000000001E-3</v>
      </c>
      <c r="CS54" s="4">
        <v>1.0755000000000001E-3</v>
      </c>
      <c r="CT54" s="4">
        <v>1.06E-3</v>
      </c>
      <c r="CU54" s="4">
        <v>1.0447E-3</v>
      </c>
      <c r="CV54" s="4">
        <v>1.0296000000000001E-3</v>
      </c>
      <c r="CW54" s="4">
        <v>1.0147999999999999E-3</v>
      </c>
      <c r="CX54" s="4">
        <v>1.0001000000000001E-3</v>
      </c>
      <c r="CY54" s="4">
        <v>9.8569999999999994E-4</v>
      </c>
      <c r="CZ54" s="4">
        <v>9.7150000000000003E-4</v>
      </c>
      <c r="DA54" s="4">
        <v>9.5750000000000002E-4</v>
      </c>
      <c r="DB54" s="4">
        <v>9.4370000000000001E-4</v>
      </c>
      <c r="DC54" s="4">
        <v>9.301E-4</v>
      </c>
      <c r="DD54" s="4">
        <v>9.167E-4</v>
      </c>
      <c r="DE54" s="4">
        <v>9.0350000000000001E-4</v>
      </c>
      <c r="DF54" s="4">
        <v>8.9050000000000002E-4</v>
      </c>
      <c r="DG54" s="4">
        <v>8.7770000000000003E-4</v>
      </c>
      <c r="DH54" s="4">
        <v>8.6510000000000005E-4</v>
      </c>
      <c r="DI54" s="4">
        <v>8.5260000000000002E-4</v>
      </c>
      <c r="DJ54" s="4">
        <v>8.4040000000000004E-4</v>
      </c>
      <c r="DK54" s="4">
        <v>8.2839999999999997E-4</v>
      </c>
      <c r="DL54" s="4">
        <v>8.1649999999999995E-4</v>
      </c>
      <c r="DM54" s="4">
        <v>8.0480000000000005E-4</v>
      </c>
      <c r="DN54" s="4">
        <v>7.9330000000000004E-4</v>
      </c>
      <c r="DO54" s="4">
        <v>7.8200000000000003E-4</v>
      </c>
      <c r="DP54" s="4">
        <v>7.7079999999999998E-4</v>
      </c>
      <c r="DQ54" s="4">
        <v>5.3769999999999998E-2</v>
      </c>
      <c r="DR54" s="4">
        <v>0</v>
      </c>
      <c r="DS54" s="4">
        <v>1.105E-4</v>
      </c>
      <c r="DT54" s="4">
        <v>2.353E-4</v>
      </c>
      <c r="DU54" s="4">
        <v>3.255E-4</v>
      </c>
      <c r="DV54" s="4">
        <v>7.5730000000000003E-4</v>
      </c>
      <c r="DW54" s="4">
        <v>6.3579999999999995E-4</v>
      </c>
      <c r="DX54" s="4">
        <v>6.3909999999999998E-4</v>
      </c>
      <c r="DY54" s="4">
        <v>5.421E-4</v>
      </c>
      <c r="DZ54" s="4">
        <v>4.9450000000000004E-4</v>
      </c>
      <c r="EA54" s="4">
        <v>4.327E-4</v>
      </c>
      <c r="EB54" s="4">
        <v>3.8519999999999998E-4</v>
      </c>
      <c r="EC54" s="4">
        <v>3.4230000000000003E-4</v>
      </c>
      <c r="ED54" s="4">
        <v>3.0499999999999999E-4</v>
      </c>
      <c r="EE54" s="4">
        <v>2.7280000000000002E-4</v>
      </c>
      <c r="EF54" s="4">
        <v>2.4509999999999999E-4</v>
      </c>
      <c r="EG54" s="4">
        <v>2.208E-4</v>
      </c>
      <c r="EH54" s="4">
        <v>2.0000000000000001E-4</v>
      </c>
      <c r="EI54" s="4">
        <v>1.819E-4</v>
      </c>
      <c r="EJ54" s="4">
        <v>1.6589999999999999E-4</v>
      </c>
      <c r="EK54" s="4">
        <v>1.516E-4</v>
      </c>
      <c r="EL54" s="4">
        <v>1.392E-4</v>
      </c>
      <c r="EM54" s="4">
        <v>1.2789999999999999E-4</v>
      </c>
      <c r="EN54" s="4">
        <v>1.182E-4</v>
      </c>
      <c r="EO54" s="4">
        <v>1.078E-4</v>
      </c>
      <c r="EP54" s="4">
        <v>1.0009999999999999E-4</v>
      </c>
      <c r="EQ54" s="4">
        <v>9.3399999999999993E-5</v>
      </c>
      <c r="ER54" s="4">
        <v>8.7200000000000005E-5</v>
      </c>
      <c r="ES54" s="4">
        <v>8.1699999999999994E-5</v>
      </c>
      <c r="ET54" s="4">
        <v>7.6899999999999999E-5</v>
      </c>
      <c r="EU54" s="4">
        <v>7.2600000000000003E-5</v>
      </c>
      <c r="EV54" s="4">
        <v>6.8499999999999998E-5</v>
      </c>
      <c r="EW54" s="4">
        <v>6.4900000000000005E-5</v>
      </c>
      <c r="EX54" s="4">
        <v>6.1600000000000007E-5</v>
      </c>
      <c r="EY54" s="4">
        <v>5.8499999999999999E-5</v>
      </c>
      <c r="EZ54" s="4">
        <v>5.5899999999999997E-5</v>
      </c>
      <c r="FA54" s="4">
        <v>5.3499999999999999E-5</v>
      </c>
      <c r="FB54" s="4">
        <v>5.1199999999999998E-5</v>
      </c>
      <c r="FC54" s="4">
        <v>4.9100000000000001E-5</v>
      </c>
      <c r="FD54" s="4">
        <v>4.71E-5</v>
      </c>
      <c r="FE54" s="4">
        <v>4.5200000000000001E-5</v>
      </c>
      <c r="FF54" s="4">
        <v>4.32E-5</v>
      </c>
      <c r="FG54" s="4">
        <v>4.1199999999999999E-5</v>
      </c>
      <c r="FH54" s="4">
        <v>3.8399999999999998E-5</v>
      </c>
      <c r="FI54" s="4">
        <v>3.68E-5</v>
      </c>
      <c r="FJ54" s="4">
        <v>3.5200000000000002E-5</v>
      </c>
      <c r="FK54" s="4">
        <v>3.2499999999999997E-5</v>
      </c>
      <c r="FL54" s="4">
        <v>3.3599999999999997E-5</v>
      </c>
      <c r="FM54" s="4">
        <v>3.26E-5</v>
      </c>
      <c r="FN54" s="4">
        <v>3.1900000000000003E-5</v>
      </c>
      <c r="FO54" s="4">
        <v>3.1199999999999999E-5</v>
      </c>
      <c r="FP54" s="4">
        <v>3.0599999999999998E-5</v>
      </c>
      <c r="FQ54" s="4">
        <v>2.9899999999999998E-5</v>
      </c>
      <c r="FR54" s="4">
        <v>2.9300000000000001E-5</v>
      </c>
      <c r="FS54" s="4">
        <v>2.87E-5</v>
      </c>
      <c r="FT54" s="4">
        <v>2.8200000000000001E-5</v>
      </c>
      <c r="FU54" s="4">
        <v>2.76E-5</v>
      </c>
      <c r="FV54" s="4">
        <v>2.7100000000000001E-5</v>
      </c>
      <c r="FW54" s="4">
        <v>2.6599999999999999E-5</v>
      </c>
      <c r="FX54" s="4">
        <v>2.62E-5</v>
      </c>
      <c r="FY54" s="4">
        <v>2.5700000000000001E-5</v>
      </c>
      <c r="FZ54" s="4">
        <v>2.5299999999999998E-5</v>
      </c>
      <c r="GA54" s="4">
        <v>2.48E-5</v>
      </c>
      <c r="GB54" s="4">
        <v>2.44E-5</v>
      </c>
      <c r="GC54" s="4">
        <v>2.4000000000000001E-5</v>
      </c>
      <c r="GD54" s="4">
        <v>2.37E-5</v>
      </c>
      <c r="GE54" s="4">
        <v>2.3300000000000001E-5</v>
      </c>
      <c r="GF54" s="4">
        <v>2.2900000000000001E-5</v>
      </c>
      <c r="GG54" s="4">
        <v>2.26E-5</v>
      </c>
      <c r="GH54" s="4">
        <v>2.2200000000000001E-5</v>
      </c>
      <c r="GI54" s="4">
        <v>2.19E-5</v>
      </c>
      <c r="GJ54" s="4">
        <v>2.16E-5</v>
      </c>
      <c r="GK54" s="4">
        <v>2.1299999999999999E-5</v>
      </c>
      <c r="GL54" s="4">
        <v>2.0999999999999999E-5</v>
      </c>
      <c r="GM54" s="4">
        <v>2.0699999999999998E-5</v>
      </c>
      <c r="GN54" s="4">
        <v>2.0400000000000001E-5</v>
      </c>
      <c r="GO54" s="4">
        <v>2.0100000000000001E-5</v>
      </c>
      <c r="GP54" s="4">
        <v>1.98E-5</v>
      </c>
      <c r="GQ54" s="4">
        <v>1.95E-5</v>
      </c>
      <c r="GR54" s="4">
        <v>1.9199999999999999E-5</v>
      </c>
      <c r="GS54" s="4">
        <v>1.9000000000000001E-5</v>
      </c>
      <c r="GT54" s="4">
        <v>1.8700000000000001E-5</v>
      </c>
      <c r="GU54" s="4">
        <v>1.84E-5</v>
      </c>
      <c r="GV54" s="4">
        <v>1.8199999999999999E-5</v>
      </c>
      <c r="GW54" s="4">
        <v>1.7900000000000001E-5</v>
      </c>
      <c r="GX54" s="4">
        <v>1.77E-5</v>
      </c>
      <c r="GY54" s="4">
        <v>1.7399999999999999E-5</v>
      </c>
      <c r="GZ54" s="4">
        <v>1.7200000000000001E-5</v>
      </c>
      <c r="HA54" s="4">
        <v>1.6900000000000001E-5</v>
      </c>
      <c r="HB54" s="4">
        <v>1.6699999999999999E-5</v>
      </c>
      <c r="HC54" s="4">
        <v>1.6500000000000001E-5</v>
      </c>
      <c r="HD54" s="4">
        <v>1.6200000000000001E-5</v>
      </c>
      <c r="HE54" s="4">
        <v>1.5999999999999999E-5</v>
      </c>
      <c r="HF54" s="4">
        <v>1.5800000000000001E-5</v>
      </c>
      <c r="HG54" s="4">
        <v>1.56E-5</v>
      </c>
      <c r="HH54" s="4">
        <v>1.5299999999999999E-5</v>
      </c>
      <c r="HI54" s="4">
        <v>1.5099999999999999E-5</v>
      </c>
      <c r="HJ54" s="4">
        <v>1.49E-5</v>
      </c>
      <c r="HK54" s="4">
        <v>1.47E-5</v>
      </c>
      <c r="HL54" s="4">
        <v>1.45E-5</v>
      </c>
      <c r="HM54" s="4">
        <v>1.43E-5</v>
      </c>
      <c r="HN54" s="4">
        <v>1.4100000000000001E-5</v>
      </c>
      <c r="HO54" s="4">
        <v>1.3900000000000001E-5</v>
      </c>
      <c r="HP54" s="4">
        <v>1.3699999999999999E-5</v>
      </c>
      <c r="HQ54" s="4">
        <v>1.3499999999999999E-5</v>
      </c>
      <c r="HR54" s="4">
        <v>1.33E-5</v>
      </c>
      <c r="HS54" s="4">
        <v>1.31E-5</v>
      </c>
      <c r="HT54" s="4">
        <v>1.29E-5</v>
      </c>
      <c r="HU54" s="4">
        <v>1.2799999999999999E-5</v>
      </c>
      <c r="HV54" s="4">
        <v>1.26E-5</v>
      </c>
      <c r="HW54" s="4">
        <v>1.24E-5</v>
      </c>
      <c r="HX54" s="4">
        <v>1.22E-5</v>
      </c>
      <c r="HY54" s="4">
        <v>1.2E-5</v>
      </c>
      <c r="HZ54" s="4">
        <v>1.19E-5</v>
      </c>
      <c r="IA54" s="4">
        <v>1.17E-5</v>
      </c>
      <c r="IB54" s="4">
        <v>1.15E-5</v>
      </c>
      <c r="IC54" s="4">
        <v>1.1399999999999999E-5</v>
      </c>
      <c r="ID54" s="4">
        <v>1.1199999999999999E-5</v>
      </c>
      <c r="IE54" s="4">
        <v>1.11E-5</v>
      </c>
      <c r="IF54" s="4">
        <v>1.0900000000000001E-5</v>
      </c>
      <c r="IG54" s="4">
        <v>7.6449999999999999E-4</v>
      </c>
      <c r="IH54" s="4"/>
      <c r="IL54">
        <f t="shared" si="248"/>
        <v>0.3567918000000001</v>
      </c>
      <c r="IP54" s="4">
        <f t="shared" si="249"/>
        <v>4.1491699999999999E-2</v>
      </c>
      <c r="IQ54" s="4">
        <f t="shared" si="250"/>
        <v>3.3114499999999998E-2</v>
      </c>
      <c r="IR54" s="4">
        <f t="shared" si="251"/>
        <v>2.5140699999999998E-2</v>
      </c>
      <c r="IS54" s="4">
        <f t="shared" si="252"/>
        <v>2.0204400000000001E-2</v>
      </c>
      <c r="IT54" s="4">
        <f t="shared" si="253"/>
        <v>1.6999500000000001E-2</v>
      </c>
      <c r="IU54" s="4">
        <f t="shared" si="254"/>
        <v>5.8733300000000002E-2</v>
      </c>
      <c r="IV54" s="4">
        <f t="shared" si="255"/>
        <v>3.8537799999999997E-2</v>
      </c>
      <c r="IW54" s="4">
        <f t="shared" si="256"/>
        <v>3.0385599999999999E-2</v>
      </c>
      <c r="IX54" s="4">
        <f t="shared" si="257"/>
        <v>9.2528499999999986E-2</v>
      </c>
    </row>
    <row r="55" spans="1:258" x14ac:dyDescent="0.35">
      <c r="A55" s="1">
        <v>47</v>
      </c>
      <c r="B55" s="4">
        <v>1.0654E-2</v>
      </c>
      <c r="C55" s="4">
        <v>1.0654E-2</v>
      </c>
      <c r="D55" s="4">
        <v>1.0543500000000001E-2</v>
      </c>
      <c r="E55" s="4">
        <v>1.0308299999999999E-2</v>
      </c>
      <c r="F55" s="4">
        <v>9.9676000000000001E-3</v>
      </c>
      <c r="G55" s="4">
        <v>9.2437999999999999E-3</v>
      </c>
      <c r="H55" s="4">
        <v>8.6087000000000004E-3</v>
      </c>
      <c r="I55" s="4">
        <v>7.9240999999999999E-3</v>
      </c>
      <c r="J55" s="4">
        <v>7.3768000000000002E-3</v>
      </c>
      <c r="K55" s="4">
        <v>6.8934E-3</v>
      </c>
      <c r="L55" s="4">
        <v>6.4489999999999999E-3</v>
      </c>
      <c r="M55" s="4">
        <v>6.0711000000000003E-3</v>
      </c>
      <c r="N55" s="4">
        <v>5.7298999999999996E-3</v>
      </c>
      <c r="O55" s="4">
        <v>5.4254999999999998E-3</v>
      </c>
      <c r="P55" s="4">
        <v>5.1532000000000001E-3</v>
      </c>
      <c r="Q55" s="4">
        <v>4.9109000000000002E-3</v>
      </c>
      <c r="R55" s="4">
        <v>4.6963999999999999E-3</v>
      </c>
      <c r="S55" s="4">
        <v>4.5052E-3</v>
      </c>
      <c r="T55" s="4">
        <v>4.3287999999999998E-3</v>
      </c>
      <c r="U55" s="4">
        <v>4.1614E-3</v>
      </c>
      <c r="V55" s="4">
        <v>4.0067000000000002E-3</v>
      </c>
      <c r="W55" s="4">
        <v>3.8643000000000002E-3</v>
      </c>
      <c r="X55" s="4">
        <v>3.7228999999999999E-3</v>
      </c>
      <c r="Y55" s="4">
        <v>3.6015000000000001E-3</v>
      </c>
      <c r="Z55" s="4">
        <v>3.4418000000000001E-3</v>
      </c>
      <c r="AA55" s="4">
        <v>3.3319000000000001E-3</v>
      </c>
      <c r="AB55" s="4">
        <v>3.2304E-3</v>
      </c>
      <c r="AC55" s="4">
        <v>3.1335999999999998E-3</v>
      </c>
      <c r="AD55" s="4">
        <v>3.0449000000000001E-3</v>
      </c>
      <c r="AE55" s="4">
        <v>2.9665E-3</v>
      </c>
      <c r="AF55" s="4">
        <v>2.8922000000000002E-3</v>
      </c>
      <c r="AG55" s="4">
        <v>2.8173999999999999E-3</v>
      </c>
      <c r="AH55" s="4">
        <v>2.7464999999999998E-3</v>
      </c>
      <c r="AI55" s="4">
        <v>2.6814E-3</v>
      </c>
      <c r="AJ55" s="4">
        <v>2.6216E-3</v>
      </c>
      <c r="AK55" s="4">
        <v>2.5722000000000002E-3</v>
      </c>
      <c r="AL55" s="4">
        <v>2.5259000000000002E-3</v>
      </c>
      <c r="AM55" s="4">
        <v>2.4799000000000002E-3</v>
      </c>
      <c r="AN55" s="4">
        <v>2.4352000000000002E-3</v>
      </c>
      <c r="AO55" s="4">
        <v>2.3904E-3</v>
      </c>
      <c r="AP55" s="4">
        <v>2.3437000000000002E-3</v>
      </c>
      <c r="AQ55" s="4">
        <v>2.2889999999999998E-3</v>
      </c>
      <c r="AR55" s="4">
        <v>2.2263000000000001E-3</v>
      </c>
      <c r="AS55" s="4">
        <v>2.117E-3</v>
      </c>
      <c r="AT55" s="4">
        <v>2.062E-3</v>
      </c>
      <c r="AU55" s="4">
        <v>2.0062000000000001E-3</v>
      </c>
      <c r="AV55" s="4">
        <v>1.8898999999999999E-3</v>
      </c>
      <c r="AW55" s="4">
        <v>1.9712000000000002E-3</v>
      </c>
      <c r="AX55" s="4">
        <v>1.9445E-3</v>
      </c>
      <c r="AY55" s="4">
        <v>1.9298E-3</v>
      </c>
      <c r="AZ55" s="4">
        <v>1.9135999999999999E-3</v>
      </c>
      <c r="BA55" s="4">
        <v>1.8974E-3</v>
      </c>
      <c r="BB55" s="4">
        <v>1.8804E-3</v>
      </c>
      <c r="BC55" s="4">
        <v>1.8630000000000001E-3</v>
      </c>
      <c r="BD55" s="4">
        <v>1.8449E-3</v>
      </c>
      <c r="BE55" s="4">
        <v>1.8263000000000001E-3</v>
      </c>
      <c r="BF55" s="4">
        <v>1.8071999999999999E-3</v>
      </c>
      <c r="BG55" s="4">
        <v>1.7876999999999999E-3</v>
      </c>
      <c r="BH55" s="4">
        <v>1.768E-3</v>
      </c>
      <c r="BI55" s="4">
        <v>1.748E-3</v>
      </c>
      <c r="BJ55" s="4">
        <v>1.7279000000000001E-3</v>
      </c>
      <c r="BK55" s="4">
        <v>1.7076999999999999E-3</v>
      </c>
      <c r="BL55" s="4">
        <v>1.6873000000000001E-3</v>
      </c>
      <c r="BM55" s="4">
        <v>1.6670000000000001E-3</v>
      </c>
      <c r="BN55" s="4">
        <v>1.6466E-3</v>
      </c>
      <c r="BO55" s="4">
        <v>1.6263E-3</v>
      </c>
      <c r="BP55" s="4">
        <v>1.606E-3</v>
      </c>
      <c r="BQ55" s="4">
        <v>1.5858000000000001E-3</v>
      </c>
      <c r="BR55" s="4">
        <v>1.5656000000000001E-3</v>
      </c>
      <c r="BS55" s="4">
        <v>1.5455E-3</v>
      </c>
      <c r="BT55" s="4">
        <v>1.5254999999999999E-3</v>
      </c>
      <c r="BU55" s="4">
        <v>1.5057E-3</v>
      </c>
      <c r="BV55" s="4">
        <v>1.4859999999999999E-3</v>
      </c>
      <c r="BW55" s="4">
        <v>1.4663E-3</v>
      </c>
      <c r="BX55" s="4">
        <v>1.4468E-3</v>
      </c>
      <c r="BY55" s="4">
        <v>1.4274999999999999E-3</v>
      </c>
      <c r="BZ55" s="4">
        <v>1.4082999999999999E-3</v>
      </c>
      <c r="CA55" s="4">
        <v>1.3891999999999999E-3</v>
      </c>
      <c r="CB55" s="4">
        <v>1.3702E-3</v>
      </c>
      <c r="CC55" s="4">
        <v>1.3515000000000001E-3</v>
      </c>
      <c r="CD55" s="4">
        <v>1.3328000000000001E-3</v>
      </c>
      <c r="CE55" s="4">
        <v>1.3144000000000001E-3</v>
      </c>
      <c r="CF55" s="4">
        <v>1.2960999999999999E-3</v>
      </c>
      <c r="CG55" s="4">
        <v>1.2780000000000001E-3</v>
      </c>
      <c r="CH55" s="4">
        <v>1.2600000000000001E-3</v>
      </c>
      <c r="CI55" s="4">
        <v>1.2423E-3</v>
      </c>
      <c r="CJ55" s="4">
        <v>1.2247E-3</v>
      </c>
      <c r="CK55" s="4">
        <v>1.2074E-3</v>
      </c>
      <c r="CL55" s="4">
        <v>1.1902E-3</v>
      </c>
      <c r="CM55" s="4">
        <v>1.1733E-3</v>
      </c>
      <c r="CN55" s="4">
        <v>1.1565E-3</v>
      </c>
      <c r="CO55" s="4">
        <v>1.14E-3</v>
      </c>
      <c r="CP55" s="4">
        <v>1.1236E-3</v>
      </c>
      <c r="CQ55" s="4">
        <v>1.1075E-3</v>
      </c>
      <c r="CR55" s="4">
        <v>1.0916000000000001E-3</v>
      </c>
      <c r="CS55" s="4">
        <v>1.0759000000000001E-3</v>
      </c>
      <c r="CT55" s="4">
        <v>1.0604E-3</v>
      </c>
      <c r="CU55" s="4">
        <v>1.0451E-3</v>
      </c>
      <c r="CV55" s="4">
        <v>1.0300000000000001E-3</v>
      </c>
      <c r="CW55" s="4">
        <v>1.0150999999999999E-3</v>
      </c>
      <c r="CX55" s="4">
        <v>1.0005000000000001E-3</v>
      </c>
      <c r="CY55" s="4">
        <v>9.8609999999999995E-4</v>
      </c>
      <c r="CZ55" s="4">
        <v>9.7179999999999999E-4</v>
      </c>
      <c r="DA55" s="4">
        <v>9.5779999999999997E-4</v>
      </c>
      <c r="DB55" s="4">
        <v>9.4399999999999996E-4</v>
      </c>
      <c r="DC55" s="4">
        <v>9.3039999999999996E-4</v>
      </c>
      <c r="DD55" s="4">
        <v>9.1690000000000001E-4</v>
      </c>
      <c r="DE55" s="4">
        <v>9.0370000000000001E-4</v>
      </c>
      <c r="DF55" s="4">
        <v>8.9070000000000002E-4</v>
      </c>
      <c r="DG55" s="4">
        <v>8.7790000000000003E-4</v>
      </c>
      <c r="DH55" s="4">
        <v>8.6530000000000005E-4</v>
      </c>
      <c r="DI55" s="4">
        <v>8.5280000000000002E-4</v>
      </c>
      <c r="DJ55" s="4">
        <v>8.4060000000000005E-4</v>
      </c>
      <c r="DK55" s="4">
        <v>8.2850000000000003E-4</v>
      </c>
      <c r="DL55" s="4">
        <v>8.1660000000000001E-4</v>
      </c>
      <c r="DM55" s="4">
        <v>8.0489999999999999E-4</v>
      </c>
      <c r="DN55" s="4">
        <v>7.9339999999999999E-4</v>
      </c>
      <c r="DO55" s="4">
        <v>7.8209999999999998E-4</v>
      </c>
      <c r="DP55" s="4">
        <v>7.7090000000000004E-4</v>
      </c>
      <c r="DQ55" s="4">
        <v>5.3765399999999998E-2</v>
      </c>
      <c r="DR55" s="4">
        <v>0</v>
      </c>
      <c r="DS55" s="4">
        <v>1.105E-4</v>
      </c>
      <c r="DT55" s="4">
        <v>2.353E-4</v>
      </c>
      <c r="DU55" s="4">
        <v>3.681E-4</v>
      </c>
      <c r="DV55" s="4">
        <v>7.337E-4</v>
      </c>
      <c r="DW55" s="4">
        <v>6.3449999999999997E-4</v>
      </c>
      <c r="DX55" s="4">
        <v>6.3639999999999996E-4</v>
      </c>
      <c r="DY55" s="4">
        <v>5.4250000000000001E-4</v>
      </c>
      <c r="DZ55" s="4">
        <v>4.8840000000000005E-4</v>
      </c>
      <c r="EA55" s="4">
        <v>4.305E-4</v>
      </c>
      <c r="EB55" s="4">
        <v>3.813E-4</v>
      </c>
      <c r="EC55" s="4">
        <v>3.3970000000000002E-4</v>
      </c>
      <c r="ED55" s="4">
        <v>3.032E-4</v>
      </c>
      <c r="EE55" s="4">
        <v>2.721E-4</v>
      </c>
      <c r="EF55" s="4">
        <v>2.4469999999999998E-4</v>
      </c>
      <c r="EG55" s="4">
        <v>2.2120000000000001E-4</v>
      </c>
      <c r="EH55" s="4">
        <v>2.0049999999999999E-4</v>
      </c>
      <c r="EI55" s="4">
        <v>1.8259999999999999E-4</v>
      </c>
      <c r="EJ55" s="4">
        <v>1.6689999999999999E-4</v>
      </c>
      <c r="EK55" s="4">
        <v>1.529E-4</v>
      </c>
      <c r="EL55" s="4">
        <v>1.403E-4</v>
      </c>
      <c r="EM55" s="4">
        <v>1.294E-4</v>
      </c>
      <c r="EN55" s="4">
        <v>1.193E-4</v>
      </c>
      <c r="EO55" s="4">
        <v>1.106E-4</v>
      </c>
      <c r="EP55" s="4">
        <v>1.0119999999999999E-4</v>
      </c>
      <c r="EQ55" s="4">
        <v>9.4300000000000002E-5</v>
      </c>
      <c r="ER55" s="4">
        <v>8.8200000000000003E-5</v>
      </c>
      <c r="ES55" s="4">
        <v>8.2600000000000002E-5</v>
      </c>
      <c r="ET55" s="4">
        <v>7.7600000000000002E-5</v>
      </c>
      <c r="EU55" s="4">
        <v>7.3100000000000001E-5</v>
      </c>
      <c r="EV55" s="4">
        <v>6.9099999999999999E-5</v>
      </c>
      <c r="EW55" s="4">
        <v>6.5400000000000004E-5</v>
      </c>
      <c r="EX55" s="4">
        <v>6.2000000000000003E-5</v>
      </c>
      <c r="EY55" s="4">
        <v>5.8799999999999999E-5</v>
      </c>
      <c r="EZ55" s="4">
        <v>5.5999999999999999E-5</v>
      </c>
      <c r="FA55" s="4">
        <v>5.3600000000000002E-5</v>
      </c>
      <c r="FB55" s="4">
        <v>5.13E-5</v>
      </c>
      <c r="FC55" s="4">
        <v>4.9100000000000001E-5</v>
      </c>
      <c r="FD55" s="4">
        <v>4.71E-5</v>
      </c>
      <c r="FE55" s="4">
        <v>4.5200000000000001E-5</v>
      </c>
      <c r="FF55" s="4">
        <v>4.3399999999999998E-5</v>
      </c>
      <c r="FG55" s="4">
        <v>4.1600000000000002E-5</v>
      </c>
      <c r="FH55" s="4">
        <v>3.9700000000000003E-5</v>
      </c>
      <c r="FI55" s="4">
        <v>3.6999999999999998E-5</v>
      </c>
      <c r="FJ55" s="4">
        <v>3.54E-5</v>
      </c>
      <c r="FK55" s="4">
        <v>3.3899999999999997E-5</v>
      </c>
      <c r="FL55" s="4">
        <v>3.1399999999999998E-5</v>
      </c>
      <c r="FM55" s="4">
        <v>3.2499999999999997E-5</v>
      </c>
      <c r="FN55" s="4">
        <v>3.1600000000000002E-5</v>
      </c>
      <c r="FO55" s="4">
        <v>3.0899999999999999E-5</v>
      </c>
      <c r="FP55" s="4">
        <v>3.0300000000000001E-5</v>
      </c>
      <c r="FQ55" s="4">
        <v>2.9600000000000001E-5</v>
      </c>
      <c r="FR55" s="4">
        <v>2.9E-5</v>
      </c>
      <c r="FS55" s="4">
        <v>2.8500000000000002E-5</v>
      </c>
      <c r="FT55" s="4">
        <v>2.7900000000000001E-5</v>
      </c>
      <c r="FU55" s="4">
        <v>2.7399999999999999E-5</v>
      </c>
      <c r="FV55" s="4">
        <v>2.69E-5</v>
      </c>
      <c r="FW55" s="4">
        <v>2.6400000000000001E-5</v>
      </c>
      <c r="FX55" s="4">
        <v>2.5999999999999998E-5</v>
      </c>
      <c r="FY55" s="4">
        <v>2.55E-5</v>
      </c>
      <c r="FZ55" s="4">
        <v>2.51E-5</v>
      </c>
      <c r="GA55" s="4">
        <v>2.4700000000000001E-5</v>
      </c>
      <c r="GB55" s="4">
        <v>2.4300000000000001E-5</v>
      </c>
      <c r="GC55" s="4">
        <v>2.3900000000000002E-5</v>
      </c>
      <c r="GD55" s="4">
        <v>2.3499999999999999E-5</v>
      </c>
      <c r="GE55" s="4">
        <v>2.3200000000000001E-5</v>
      </c>
      <c r="GF55" s="4">
        <v>2.2799999999999999E-5</v>
      </c>
      <c r="GG55" s="4">
        <v>2.2500000000000001E-5</v>
      </c>
      <c r="GH55" s="4">
        <v>2.2099999999999998E-5</v>
      </c>
      <c r="GI55" s="4">
        <v>2.1800000000000001E-5</v>
      </c>
      <c r="GJ55" s="4">
        <v>2.1500000000000001E-5</v>
      </c>
      <c r="GK55" s="4">
        <v>2.12E-5</v>
      </c>
      <c r="GL55" s="4">
        <v>2.09E-5</v>
      </c>
      <c r="GM55" s="4">
        <v>2.0599999999999999E-5</v>
      </c>
      <c r="GN55" s="4">
        <v>2.0299999999999999E-5</v>
      </c>
      <c r="GO55" s="4">
        <v>2.0000000000000002E-5</v>
      </c>
      <c r="GP55" s="4">
        <v>1.9700000000000001E-5</v>
      </c>
      <c r="GQ55" s="4">
        <v>1.95E-5</v>
      </c>
      <c r="GR55" s="4">
        <v>1.9199999999999999E-5</v>
      </c>
      <c r="GS55" s="4">
        <v>1.8899999999999999E-5</v>
      </c>
      <c r="GT55" s="4">
        <v>1.8700000000000001E-5</v>
      </c>
      <c r="GU55" s="4">
        <v>1.84E-5</v>
      </c>
      <c r="GV55" s="4">
        <v>1.8099999999999999E-5</v>
      </c>
      <c r="GW55" s="4">
        <v>1.7900000000000001E-5</v>
      </c>
      <c r="GX55" s="4">
        <v>1.7600000000000001E-5</v>
      </c>
      <c r="GY55" s="4">
        <v>1.7399999999999999E-5</v>
      </c>
      <c r="GZ55" s="4">
        <v>1.7200000000000001E-5</v>
      </c>
      <c r="HA55" s="4">
        <v>1.6900000000000001E-5</v>
      </c>
      <c r="HB55" s="4">
        <v>1.6699999999999999E-5</v>
      </c>
      <c r="HC55" s="4">
        <v>1.6399999999999999E-5</v>
      </c>
      <c r="HD55" s="4">
        <v>1.6200000000000001E-5</v>
      </c>
      <c r="HE55" s="4">
        <v>1.5999999999999999E-5</v>
      </c>
      <c r="HF55" s="4">
        <v>1.5800000000000001E-5</v>
      </c>
      <c r="HG55" s="4">
        <v>1.5500000000000001E-5</v>
      </c>
      <c r="HH55" s="4">
        <v>1.5299999999999999E-5</v>
      </c>
      <c r="HI55" s="4">
        <v>1.5099999999999999E-5</v>
      </c>
      <c r="HJ55" s="4">
        <v>1.49E-5</v>
      </c>
      <c r="HK55" s="4">
        <v>1.47E-5</v>
      </c>
      <c r="HL55" s="4">
        <v>1.45E-5</v>
      </c>
      <c r="HM55" s="4">
        <v>1.43E-5</v>
      </c>
      <c r="HN55" s="4">
        <v>1.4100000000000001E-5</v>
      </c>
      <c r="HO55" s="4">
        <v>1.3900000000000001E-5</v>
      </c>
      <c r="HP55" s="4">
        <v>1.3699999999999999E-5</v>
      </c>
      <c r="HQ55" s="4">
        <v>1.3499999999999999E-5</v>
      </c>
      <c r="HR55" s="4">
        <v>1.33E-5</v>
      </c>
      <c r="HS55" s="4">
        <v>1.31E-5</v>
      </c>
      <c r="HT55" s="4">
        <v>1.29E-5</v>
      </c>
      <c r="HU55" s="4">
        <v>1.2799999999999999E-5</v>
      </c>
      <c r="HV55" s="4">
        <v>1.26E-5</v>
      </c>
      <c r="HW55" s="4">
        <v>1.24E-5</v>
      </c>
      <c r="HX55" s="4">
        <v>1.22E-5</v>
      </c>
      <c r="HY55" s="4">
        <v>1.2E-5</v>
      </c>
      <c r="HZ55" s="4">
        <v>1.19E-5</v>
      </c>
      <c r="IA55" s="4">
        <v>1.17E-5</v>
      </c>
      <c r="IB55" s="4">
        <v>1.15E-5</v>
      </c>
      <c r="IC55" s="4">
        <v>1.1399999999999999E-5</v>
      </c>
      <c r="ID55" s="4">
        <v>1.1199999999999999E-5</v>
      </c>
      <c r="IE55" s="4">
        <v>1.11E-5</v>
      </c>
      <c r="IF55" s="4">
        <v>1.0900000000000001E-5</v>
      </c>
      <c r="IG55" s="4">
        <v>7.6429999999999998E-4</v>
      </c>
      <c r="IH55" s="4"/>
      <c r="IL55">
        <f t="shared" si="248"/>
        <v>0.35690743750000042</v>
      </c>
      <c r="IP55" s="4">
        <f t="shared" si="249"/>
        <v>4.1473400000000001E-2</v>
      </c>
      <c r="IQ55" s="4">
        <f t="shared" si="250"/>
        <v>3.31534E-2</v>
      </c>
      <c r="IR55" s="4">
        <f t="shared" si="251"/>
        <v>2.51434E-2</v>
      </c>
      <c r="IS55" s="4">
        <f t="shared" si="252"/>
        <v>2.0185999999999999E-2</v>
      </c>
      <c r="IT55" s="4">
        <f t="shared" si="253"/>
        <v>1.7002099999999999E-2</v>
      </c>
      <c r="IU55" s="4">
        <f t="shared" si="254"/>
        <v>5.8844199999999999E-2</v>
      </c>
      <c r="IV55" s="4">
        <f t="shared" si="255"/>
        <v>3.8500300000000001E-2</v>
      </c>
      <c r="IW55" s="4">
        <f t="shared" si="256"/>
        <v>3.0347600000000002E-2</v>
      </c>
      <c r="IX55" s="4">
        <f t="shared" si="257"/>
        <v>9.2532400000000015E-2</v>
      </c>
    </row>
    <row r="56" spans="1:258" x14ac:dyDescent="0.35">
      <c r="A56" s="1">
        <v>48</v>
      </c>
      <c r="B56" s="4">
        <v>1.0654E-2</v>
      </c>
      <c r="C56" s="4">
        <v>1.0654E-2</v>
      </c>
      <c r="D56" s="4">
        <v>1.0543500000000001E-2</v>
      </c>
      <c r="E56" s="4">
        <v>1.03082E-2</v>
      </c>
      <c r="F56" s="4">
        <v>9.9401000000000003E-3</v>
      </c>
      <c r="G56" s="4">
        <v>9.2338999999999997E-3</v>
      </c>
      <c r="H56" s="4">
        <v>8.6093000000000003E-3</v>
      </c>
      <c r="I56" s="4">
        <v>7.9722999999999999E-3</v>
      </c>
      <c r="J56" s="4">
        <v>7.3816000000000003E-3</v>
      </c>
      <c r="K56" s="4">
        <v>6.8884000000000003E-3</v>
      </c>
      <c r="L56" s="4">
        <v>6.463E-3</v>
      </c>
      <c r="M56" s="4">
        <v>6.0676999999999997E-3</v>
      </c>
      <c r="N56" s="4">
        <v>5.7312999999999999E-3</v>
      </c>
      <c r="O56" s="4">
        <v>5.4266999999999996E-3</v>
      </c>
      <c r="P56" s="4">
        <v>5.1533999999999998E-3</v>
      </c>
      <c r="Q56" s="4">
        <v>4.9084999999999997E-3</v>
      </c>
      <c r="R56" s="4">
        <v>4.6896999999999998E-3</v>
      </c>
      <c r="S56" s="4">
        <v>4.4958999999999997E-3</v>
      </c>
      <c r="T56" s="4">
        <v>4.3226000000000002E-3</v>
      </c>
      <c r="U56" s="4">
        <v>4.1618000000000002E-3</v>
      </c>
      <c r="V56" s="4">
        <v>4.0083999999999996E-3</v>
      </c>
      <c r="W56" s="4">
        <v>3.8663E-3</v>
      </c>
      <c r="X56" s="4">
        <v>3.735E-3</v>
      </c>
      <c r="Y56" s="4">
        <v>3.6034999999999999E-3</v>
      </c>
      <c r="Z56" s="4">
        <v>3.4908999999999999E-3</v>
      </c>
      <c r="AA56" s="4">
        <v>3.3405000000000002E-3</v>
      </c>
      <c r="AB56" s="4">
        <v>3.2376000000000002E-3</v>
      </c>
      <c r="AC56" s="4">
        <v>3.1421999999999999E-3</v>
      </c>
      <c r="AD56" s="4">
        <v>3.0509999999999999E-3</v>
      </c>
      <c r="AE56" s="4">
        <v>2.9673E-3</v>
      </c>
      <c r="AF56" s="4">
        <v>2.8933000000000001E-3</v>
      </c>
      <c r="AG56" s="4">
        <v>2.8230999999999998E-3</v>
      </c>
      <c r="AH56" s="4">
        <v>2.7520999999999999E-3</v>
      </c>
      <c r="AI56" s="4">
        <v>2.6844999999999998E-3</v>
      </c>
      <c r="AJ56" s="4">
        <v>2.6224999999999998E-3</v>
      </c>
      <c r="AK56" s="4">
        <v>2.5655999999999999E-3</v>
      </c>
      <c r="AL56" s="4">
        <v>2.5186000000000002E-3</v>
      </c>
      <c r="AM56" s="4">
        <v>2.4746E-3</v>
      </c>
      <c r="AN56" s="4">
        <v>2.4307999999999999E-3</v>
      </c>
      <c r="AO56" s="4">
        <v>2.3881000000000002E-3</v>
      </c>
      <c r="AP56" s="4">
        <v>2.3451000000000001E-3</v>
      </c>
      <c r="AQ56" s="4">
        <v>2.3002999999999999E-3</v>
      </c>
      <c r="AR56" s="4">
        <v>2.2474000000000001E-3</v>
      </c>
      <c r="AS56" s="4">
        <v>2.1865999999999999E-3</v>
      </c>
      <c r="AT56" s="4">
        <v>2.0799999999999998E-3</v>
      </c>
      <c r="AU56" s="4">
        <v>2.0265999999999999E-3</v>
      </c>
      <c r="AV56" s="4">
        <v>1.9723000000000002E-3</v>
      </c>
      <c r="AW56" s="4">
        <v>1.8584000000000001E-3</v>
      </c>
      <c r="AX56" s="4">
        <v>1.9387E-3</v>
      </c>
      <c r="AY56" s="4">
        <v>1.9128999999999999E-3</v>
      </c>
      <c r="AZ56" s="4">
        <v>1.8989E-3</v>
      </c>
      <c r="BA56" s="4">
        <v>1.8833999999999999E-3</v>
      </c>
      <c r="BB56" s="4">
        <v>1.8678E-3</v>
      </c>
      <c r="BC56" s="4">
        <v>1.8514E-3</v>
      </c>
      <c r="BD56" s="4">
        <v>1.8345E-3</v>
      </c>
      <c r="BE56" s="4">
        <v>1.817E-3</v>
      </c>
      <c r="BF56" s="4">
        <v>1.7987999999999999E-3</v>
      </c>
      <c r="BG56" s="4">
        <v>1.7803000000000001E-3</v>
      </c>
      <c r="BH56" s="4">
        <v>1.7612999999999999E-3</v>
      </c>
      <c r="BI56" s="4">
        <v>1.7420000000000001E-3</v>
      </c>
      <c r="BJ56" s="4">
        <v>1.7225000000000001E-3</v>
      </c>
      <c r="BK56" s="4">
        <v>1.7028E-3</v>
      </c>
      <c r="BL56" s="4">
        <v>1.683E-3</v>
      </c>
      <c r="BM56" s="4">
        <v>1.6631E-3</v>
      </c>
      <c r="BN56" s="4">
        <v>1.6431E-3</v>
      </c>
      <c r="BO56" s="4">
        <v>1.6230999999999999E-3</v>
      </c>
      <c r="BP56" s="4">
        <v>1.6031000000000001E-3</v>
      </c>
      <c r="BQ56" s="4">
        <v>1.5832000000000001E-3</v>
      </c>
      <c r="BR56" s="4">
        <v>1.5633000000000001E-3</v>
      </c>
      <c r="BS56" s="4">
        <v>1.5433999999999999E-3</v>
      </c>
      <c r="BT56" s="4">
        <v>1.5237E-3</v>
      </c>
      <c r="BU56" s="4">
        <v>1.5039999999999999E-3</v>
      </c>
      <c r="BV56" s="4">
        <v>1.4844999999999999E-3</v>
      </c>
      <c r="BW56" s="4">
        <v>1.4651E-3</v>
      </c>
      <c r="BX56" s="4">
        <v>1.4457000000000001E-3</v>
      </c>
      <c r="BY56" s="4">
        <v>1.4265E-3</v>
      </c>
      <c r="BZ56" s="4">
        <v>1.4074999999999999E-3</v>
      </c>
      <c r="CA56" s="4">
        <v>1.3885E-3</v>
      </c>
      <c r="CB56" s="4">
        <v>1.3697E-3</v>
      </c>
      <c r="CC56" s="4">
        <v>1.351E-3</v>
      </c>
      <c r="CD56" s="4">
        <v>1.3324999999999999E-3</v>
      </c>
      <c r="CE56" s="4">
        <v>1.3142E-3</v>
      </c>
      <c r="CF56" s="4">
        <v>1.2960000000000001E-3</v>
      </c>
      <c r="CG56" s="4">
        <v>1.2779E-3</v>
      </c>
      <c r="CH56" s="4">
        <v>1.2600999999999999E-3</v>
      </c>
      <c r="CI56" s="4">
        <v>1.2424000000000001E-3</v>
      </c>
      <c r="CJ56" s="4">
        <v>1.2248999999999999E-3</v>
      </c>
      <c r="CK56" s="4">
        <v>1.2076000000000001E-3</v>
      </c>
      <c r="CL56" s="4">
        <v>1.1904999999999999E-3</v>
      </c>
      <c r="CM56" s="4">
        <v>1.1735000000000001E-3</v>
      </c>
      <c r="CN56" s="4">
        <v>1.1567999999999999E-3</v>
      </c>
      <c r="CO56" s="4">
        <v>1.1402999999999999E-3</v>
      </c>
      <c r="CP56" s="4">
        <v>1.124E-3</v>
      </c>
      <c r="CQ56" s="4">
        <v>1.1079E-3</v>
      </c>
      <c r="CR56" s="4">
        <v>1.0919E-3</v>
      </c>
      <c r="CS56" s="4">
        <v>1.0762E-3</v>
      </c>
      <c r="CT56" s="4">
        <v>1.0606999999999999E-3</v>
      </c>
      <c r="CU56" s="4">
        <v>1.0455E-3</v>
      </c>
      <c r="CV56" s="4">
        <v>1.0303999999999999E-3</v>
      </c>
      <c r="CW56" s="4">
        <v>1.0154999999999999E-3</v>
      </c>
      <c r="CX56" s="4">
        <v>1.0009000000000001E-3</v>
      </c>
      <c r="CY56" s="4">
        <v>9.8639999999999991E-4</v>
      </c>
      <c r="CZ56" s="4">
        <v>9.722E-4</v>
      </c>
      <c r="DA56" s="4">
        <v>9.5810000000000003E-4</v>
      </c>
      <c r="DB56" s="4">
        <v>9.4430000000000002E-4</v>
      </c>
      <c r="DC56" s="4">
        <v>9.3070000000000002E-4</v>
      </c>
      <c r="DD56" s="4">
        <v>9.1719999999999996E-4</v>
      </c>
      <c r="DE56" s="4">
        <v>9.0399999999999996E-4</v>
      </c>
      <c r="DF56" s="4">
        <v>8.9099999999999997E-4</v>
      </c>
      <c r="DG56" s="4">
        <v>8.7810000000000004E-4</v>
      </c>
      <c r="DH56" s="4">
        <v>8.6549999999999995E-4</v>
      </c>
      <c r="DI56" s="4">
        <v>8.5309999999999997E-4</v>
      </c>
      <c r="DJ56" s="4">
        <v>8.4079999999999995E-4</v>
      </c>
      <c r="DK56" s="4">
        <v>8.2870000000000003E-4</v>
      </c>
      <c r="DL56" s="4">
        <v>8.1680000000000001E-4</v>
      </c>
      <c r="DM56" s="4">
        <v>8.051E-4</v>
      </c>
      <c r="DN56" s="4">
        <v>7.9359999999999999E-4</v>
      </c>
      <c r="DO56" s="4">
        <v>7.8220000000000004E-4</v>
      </c>
      <c r="DP56" s="4">
        <v>7.7099999999999998E-4</v>
      </c>
      <c r="DQ56" s="4">
        <v>5.3761099999999999E-2</v>
      </c>
      <c r="DR56" s="4">
        <v>0</v>
      </c>
      <c r="DS56" s="4">
        <v>1.105E-4</v>
      </c>
      <c r="DT56" s="4">
        <v>2.353E-4</v>
      </c>
      <c r="DU56" s="4">
        <v>3.6820000000000001E-4</v>
      </c>
      <c r="DV56" s="4">
        <v>7.0450000000000005E-4</v>
      </c>
      <c r="DW56" s="4">
        <v>6.4280000000000001E-4</v>
      </c>
      <c r="DX56" s="4">
        <v>6.3759999999999999E-4</v>
      </c>
      <c r="DY56" s="4">
        <v>5.5110000000000001E-4</v>
      </c>
      <c r="DZ56" s="4">
        <v>4.8939999999999997E-4</v>
      </c>
      <c r="EA56" s="4">
        <v>4.3120000000000002E-4</v>
      </c>
      <c r="EB56" s="4">
        <v>3.8470000000000003E-4</v>
      </c>
      <c r="EC56" s="4">
        <v>3.4099999999999999E-4</v>
      </c>
      <c r="ED56" s="4">
        <v>3.0459999999999998E-4</v>
      </c>
      <c r="EE56" s="4">
        <v>2.7320000000000003E-4</v>
      </c>
      <c r="EF56" s="4">
        <v>2.4600000000000002E-4</v>
      </c>
      <c r="EG56" s="4">
        <v>2.2220000000000001E-4</v>
      </c>
      <c r="EH56" s="4">
        <v>2.0159999999999999E-4</v>
      </c>
      <c r="EI56" s="4">
        <v>1.8349999999999999E-4</v>
      </c>
      <c r="EJ56" s="4">
        <v>1.6770000000000001E-4</v>
      </c>
      <c r="EK56" s="4">
        <v>1.538E-4</v>
      </c>
      <c r="EL56" s="4">
        <v>1.4139999999999999E-4</v>
      </c>
      <c r="EM56" s="4">
        <v>1.3019999999999999E-4</v>
      </c>
      <c r="EN56" s="4">
        <v>1.203E-4</v>
      </c>
      <c r="EO56" s="4">
        <v>1.1129999999999999E-4</v>
      </c>
      <c r="EP56" s="4">
        <v>1.0349999999999999E-4</v>
      </c>
      <c r="EQ56" s="4">
        <v>9.5000000000000005E-5</v>
      </c>
      <c r="ER56" s="4">
        <v>8.8800000000000004E-5</v>
      </c>
      <c r="ES56" s="4">
        <v>8.3200000000000003E-5</v>
      </c>
      <c r="ET56" s="4">
        <v>7.8100000000000001E-5</v>
      </c>
      <c r="EU56" s="4">
        <v>7.3499999999999998E-5</v>
      </c>
      <c r="EV56" s="4">
        <v>6.9499999999999995E-5</v>
      </c>
      <c r="EW56" s="4">
        <v>6.58E-5</v>
      </c>
      <c r="EX56" s="4">
        <v>6.2299999999999996E-5</v>
      </c>
      <c r="EY56" s="4">
        <v>5.9200000000000002E-5</v>
      </c>
      <c r="EZ56" s="4">
        <v>5.63E-5</v>
      </c>
      <c r="FA56" s="4">
        <v>5.3600000000000002E-5</v>
      </c>
      <c r="FB56" s="4">
        <v>5.1400000000000003E-5</v>
      </c>
      <c r="FC56" s="4">
        <v>4.9200000000000003E-5</v>
      </c>
      <c r="FD56" s="4">
        <v>4.7200000000000002E-5</v>
      </c>
      <c r="FE56" s="4">
        <v>4.5399999999999999E-5</v>
      </c>
      <c r="FF56" s="4">
        <v>4.3600000000000003E-5</v>
      </c>
      <c r="FG56" s="4">
        <v>4.1900000000000002E-5</v>
      </c>
      <c r="FH56" s="4">
        <v>4.0200000000000001E-5</v>
      </c>
      <c r="FI56" s="4">
        <v>3.8399999999999998E-5</v>
      </c>
      <c r="FJ56" s="4">
        <v>3.5800000000000003E-5</v>
      </c>
      <c r="FK56" s="4">
        <v>3.4400000000000003E-5</v>
      </c>
      <c r="FL56" s="4">
        <v>3.3000000000000003E-5</v>
      </c>
      <c r="FM56" s="4">
        <v>3.0599999999999998E-5</v>
      </c>
      <c r="FN56" s="4">
        <v>3.1600000000000002E-5</v>
      </c>
      <c r="FO56" s="4">
        <v>3.0700000000000001E-5</v>
      </c>
      <c r="FP56" s="4">
        <v>3.01E-5</v>
      </c>
      <c r="FQ56" s="4">
        <v>2.9499999999999999E-5</v>
      </c>
      <c r="FR56" s="4">
        <v>2.9E-5</v>
      </c>
      <c r="FS56" s="4">
        <v>2.8399999999999999E-5</v>
      </c>
      <c r="FT56" s="4">
        <v>2.7900000000000001E-5</v>
      </c>
      <c r="FU56" s="4">
        <v>2.7399999999999999E-5</v>
      </c>
      <c r="FV56" s="4">
        <v>2.69E-5</v>
      </c>
      <c r="FW56" s="4">
        <v>2.6400000000000001E-5</v>
      </c>
      <c r="FX56" s="4">
        <v>2.5999999999999998E-5</v>
      </c>
      <c r="FY56" s="4">
        <v>2.55E-5</v>
      </c>
      <c r="FZ56" s="4">
        <v>2.51E-5</v>
      </c>
      <c r="GA56" s="4">
        <v>2.4700000000000001E-5</v>
      </c>
      <c r="GB56" s="4">
        <v>2.4300000000000001E-5</v>
      </c>
      <c r="GC56" s="4">
        <v>2.3900000000000002E-5</v>
      </c>
      <c r="GD56" s="4">
        <v>2.3499999999999999E-5</v>
      </c>
      <c r="GE56" s="4">
        <v>2.3200000000000001E-5</v>
      </c>
      <c r="GF56" s="4">
        <v>2.2799999999999999E-5</v>
      </c>
      <c r="GG56" s="4">
        <v>2.2500000000000001E-5</v>
      </c>
      <c r="GH56" s="4">
        <v>2.2200000000000001E-5</v>
      </c>
      <c r="GI56" s="4">
        <v>2.1800000000000001E-5</v>
      </c>
      <c r="GJ56" s="4">
        <v>2.1500000000000001E-5</v>
      </c>
      <c r="GK56" s="4">
        <v>2.12E-5</v>
      </c>
      <c r="GL56" s="4">
        <v>2.09E-5</v>
      </c>
      <c r="GM56" s="4">
        <v>2.0599999999999999E-5</v>
      </c>
      <c r="GN56" s="4">
        <v>2.0299999999999999E-5</v>
      </c>
      <c r="GO56" s="4">
        <v>2.0000000000000002E-5</v>
      </c>
      <c r="GP56" s="4">
        <v>1.98E-5</v>
      </c>
      <c r="GQ56" s="4">
        <v>1.95E-5</v>
      </c>
      <c r="GR56" s="4">
        <v>1.9199999999999999E-5</v>
      </c>
      <c r="GS56" s="4">
        <v>1.8899999999999999E-5</v>
      </c>
      <c r="GT56" s="4">
        <v>1.8700000000000001E-5</v>
      </c>
      <c r="GU56" s="4">
        <v>1.84E-5</v>
      </c>
      <c r="GV56" s="4">
        <v>1.8199999999999999E-5</v>
      </c>
      <c r="GW56" s="4">
        <v>1.7900000000000001E-5</v>
      </c>
      <c r="GX56" s="4">
        <v>1.77E-5</v>
      </c>
      <c r="GY56" s="4">
        <v>1.7399999999999999E-5</v>
      </c>
      <c r="GZ56" s="4">
        <v>1.7200000000000001E-5</v>
      </c>
      <c r="HA56" s="4">
        <v>1.6900000000000001E-5</v>
      </c>
      <c r="HB56" s="4">
        <v>1.6699999999999999E-5</v>
      </c>
      <c r="HC56" s="4">
        <v>1.6500000000000001E-5</v>
      </c>
      <c r="HD56" s="4">
        <v>1.6200000000000001E-5</v>
      </c>
      <c r="HE56" s="4">
        <v>1.5999999999999999E-5</v>
      </c>
      <c r="HF56" s="4">
        <v>1.5800000000000001E-5</v>
      </c>
      <c r="HG56" s="4">
        <v>1.56E-5</v>
      </c>
      <c r="HH56" s="4">
        <v>1.5299999999999999E-5</v>
      </c>
      <c r="HI56" s="4">
        <v>1.5099999999999999E-5</v>
      </c>
      <c r="HJ56" s="4">
        <v>1.49E-5</v>
      </c>
      <c r="HK56" s="4">
        <v>1.47E-5</v>
      </c>
      <c r="HL56" s="4">
        <v>1.45E-5</v>
      </c>
      <c r="HM56" s="4">
        <v>1.43E-5</v>
      </c>
      <c r="HN56" s="4">
        <v>1.4100000000000001E-5</v>
      </c>
      <c r="HO56" s="4">
        <v>1.3900000000000001E-5</v>
      </c>
      <c r="HP56" s="4">
        <v>1.3699999999999999E-5</v>
      </c>
      <c r="HQ56" s="4">
        <v>1.3499999999999999E-5</v>
      </c>
      <c r="HR56" s="4">
        <v>1.33E-5</v>
      </c>
      <c r="HS56" s="4">
        <v>1.31E-5</v>
      </c>
      <c r="HT56" s="4">
        <v>1.29E-5</v>
      </c>
      <c r="HU56" s="4">
        <v>1.2799999999999999E-5</v>
      </c>
      <c r="HV56" s="4">
        <v>1.26E-5</v>
      </c>
      <c r="HW56" s="4">
        <v>1.24E-5</v>
      </c>
      <c r="HX56" s="4">
        <v>1.22E-5</v>
      </c>
      <c r="HY56" s="4">
        <v>1.2099999999999999E-5</v>
      </c>
      <c r="HZ56" s="4">
        <v>1.19E-5</v>
      </c>
      <c r="IA56" s="4">
        <v>1.17E-5</v>
      </c>
      <c r="IB56" s="4">
        <v>1.1600000000000001E-5</v>
      </c>
      <c r="IC56" s="4">
        <v>1.1399999999999999E-5</v>
      </c>
      <c r="ID56" s="4">
        <v>1.1199999999999999E-5</v>
      </c>
      <c r="IE56" s="4">
        <v>1.11E-5</v>
      </c>
      <c r="IF56" s="4">
        <v>1.0900000000000001E-5</v>
      </c>
      <c r="IG56" s="4">
        <v>7.6420000000000004E-4</v>
      </c>
      <c r="IH56" s="4"/>
      <c r="IL56">
        <f t="shared" si="248"/>
        <v>0.35701820000000012</v>
      </c>
      <c r="IP56" s="4">
        <f t="shared" si="249"/>
        <v>4.1445799999999998E-2</v>
      </c>
      <c r="IQ56" s="4">
        <f t="shared" si="250"/>
        <v>3.31971E-2</v>
      </c>
      <c r="IR56" s="4">
        <f t="shared" si="251"/>
        <v>2.5150399999999996E-2</v>
      </c>
      <c r="IS56" s="4">
        <f t="shared" si="252"/>
        <v>2.0178299999999996E-2</v>
      </c>
      <c r="IT56" s="4">
        <f t="shared" si="253"/>
        <v>1.6988699999999999E-2</v>
      </c>
      <c r="IU56" s="4">
        <f t="shared" si="254"/>
        <v>5.8932600000000009E-2</v>
      </c>
      <c r="IV56" s="4">
        <f t="shared" si="255"/>
        <v>3.8481099999999997E-2</v>
      </c>
      <c r="IW56" s="4">
        <f t="shared" si="256"/>
        <v>3.0306800000000005E-2</v>
      </c>
      <c r="IX56" s="4">
        <f t="shared" si="257"/>
        <v>9.2537099999999997E-2</v>
      </c>
    </row>
    <row r="57" spans="1:258" x14ac:dyDescent="0.35">
      <c r="A57" s="1">
        <v>49</v>
      </c>
      <c r="B57" s="4">
        <v>1.0654E-2</v>
      </c>
      <c r="C57" s="4">
        <v>1.0654E-2</v>
      </c>
      <c r="D57" s="4">
        <v>1.0543500000000001E-2</v>
      </c>
      <c r="E57" s="4">
        <v>1.03082E-2</v>
      </c>
      <c r="F57" s="4">
        <v>9.9399999999999992E-3</v>
      </c>
      <c r="G57" s="4">
        <v>9.2356000000000001E-3</v>
      </c>
      <c r="H57" s="4">
        <v>8.5911000000000008E-3</v>
      </c>
      <c r="I57" s="4">
        <v>7.9717E-3</v>
      </c>
      <c r="J57" s="4">
        <v>7.4210999999999999E-3</v>
      </c>
      <c r="K57" s="4">
        <v>6.8922000000000002E-3</v>
      </c>
      <c r="L57" s="4">
        <v>6.4571999999999997E-3</v>
      </c>
      <c r="M57" s="4">
        <v>6.0783E-3</v>
      </c>
      <c r="N57" s="4">
        <v>5.7267999999999998E-3</v>
      </c>
      <c r="O57" s="4">
        <v>5.4266999999999996E-3</v>
      </c>
      <c r="P57" s="4">
        <v>5.1535000000000001E-3</v>
      </c>
      <c r="Q57" s="4">
        <v>4.9074000000000001E-3</v>
      </c>
      <c r="R57" s="4">
        <v>4.6863E-3</v>
      </c>
      <c r="S57" s="4">
        <v>4.4881000000000001E-3</v>
      </c>
      <c r="T57" s="4">
        <v>4.3124000000000001E-3</v>
      </c>
      <c r="U57" s="4">
        <v>4.1549000000000004E-3</v>
      </c>
      <c r="V57" s="4">
        <v>4.0080000000000003E-3</v>
      </c>
      <c r="W57" s="4">
        <v>3.8671000000000001E-3</v>
      </c>
      <c r="X57" s="4">
        <v>3.7361999999999999E-3</v>
      </c>
      <c r="Y57" s="4">
        <v>3.6145999999999999E-3</v>
      </c>
      <c r="Z57" s="4">
        <v>3.4922E-3</v>
      </c>
      <c r="AA57" s="4">
        <v>3.3874E-3</v>
      </c>
      <c r="AB57" s="4">
        <v>3.2455000000000001E-3</v>
      </c>
      <c r="AC57" s="4">
        <v>3.1489E-3</v>
      </c>
      <c r="AD57" s="4">
        <v>3.0590000000000001E-3</v>
      </c>
      <c r="AE57" s="4">
        <v>2.9729000000000001E-3</v>
      </c>
      <c r="AF57" s="4">
        <v>2.8938000000000002E-3</v>
      </c>
      <c r="AG57" s="4">
        <v>2.8238E-3</v>
      </c>
      <c r="AH57" s="4">
        <v>2.7572999999999999E-3</v>
      </c>
      <c r="AI57" s="4">
        <v>2.6897000000000002E-3</v>
      </c>
      <c r="AJ57" s="4">
        <v>2.6254E-3</v>
      </c>
      <c r="AK57" s="4">
        <v>2.5663000000000001E-3</v>
      </c>
      <c r="AL57" s="4">
        <v>2.5119000000000001E-3</v>
      </c>
      <c r="AM57" s="4">
        <v>2.4673E-3</v>
      </c>
      <c r="AN57" s="4">
        <v>2.4253E-3</v>
      </c>
      <c r="AO57" s="4">
        <v>2.3836E-3</v>
      </c>
      <c r="AP57" s="4">
        <v>2.3427000000000001E-3</v>
      </c>
      <c r="AQ57" s="4">
        <v>2.3015000000000002E-3</v>
      </c>
      <c r="AR57" s="4">
        <v>2.2583999999999998E-3</v>
      </c>
      <c r="AS57" s="4">
        <v>2.2073000000000001E-3</v>
      </c>
      <c r="AT57" s="4">
        <v>2.1481999999999998E-3</v>
      </c>
      <c r="AU57" s="4">
        <v>2.0441999999999999E-3</v>
      </c>
      <c r="AV57" s="4">
        <v>1.9922E-3</v>
      </c>
      <c r="AW57" s="4">
        <v>1.9392999999999999E-3</v>
      </c>
      <c r="AX57" s="4">
        <v>1.8278999999999999E-3</v>
      </c>
      <c r="AY57" s="4">
        <v>1.9070999999999999E-3</v>
      </c>
      <c r="AZ57" s="4">
        <v>1.8822000000000001E-3</v>
      </c>
      <c r="BA57" s="4">
        <v>1.8688000000000001E-3</v>
      </c>
      <c r="BB57" s="4">
        <v>1.8538000000000001E-3</v>
      </c>
      <c r="BC57" s="4">
        <v>1.8388E-3</v>
      </c>
      <c r="BD57" s="4">
        <v>1.823E-3</v>
      </c>
      <c r="BE57" s="4">
        <v>1.8066E-3</v>
      </c>
      <c r="BF57" s="4">
        <v>1.7895999999999999E-3</v>
      </c>
      <c r="BG57" s="4">
        <v>1.7719999999999999E-3</v>
      </c>
      <c r="BH57" s="4">
        <v>1.7538E-3</v>
      </c>
      <c r="BI57" s="4">
        <v>1.7353E-3</v>
      </c>
      <c r="BJ57" s="4">
        <v>1.7164999999999999E-3</v>
      </c>
      <c r="BK57" s="4">
        <v>1.6974E-3</v>
      </c>
      <c r="BL57" s="4">
        <v>1.6781000000000001E-3</v>
      </c>
      <c r="BM57" s="4">
        <v>1.6586999999999999E-3</v>
      </c>
      <c r="BN57" s="4">
        <v>1.6391000000000001E-3</v>
      </c>
      <c r="BO57" s="4">
        <v>1.6195000000000001E-3</v>
      </c>
      <c r="BP57" s="4">
        <v>1.5999E-3</v>
      </c>
      <c r="BQ57" s="4">
        <v>1.5803E-3</v>
      </c>
      <c r="BR57" s="4">
        <v>1.5606999999999999E-3</v>
      </c>
      <c r="BS57" s="4">
        <v>1.5410999999999999E-3</v>
      </c>
      <c r="BT57" s="4">
        <v>1.5215999999999999E-3</v>
      </c>
      <c r="BU57" s="4">
        <v>1.5022E-3</v>
      </c>
      <c r="BV57" s="4">
        <v>1.4828E-3</v>
      </c>
      <c r="BW57" s="4">
        <v>1.4636E-3</v>
      </c>
      <c r="BX57" s="4">
        <v>1.4444E-3</v>
      </c>
      <c r="BY57" s="4">
        <v>1.4254000000000001E-3</v>
      </c>
      <c r="BZ57" s="4">
        <v>1.4065E-3</v>
      </c>
      <c r="CA57" s="4">
        <v>1.3877E-3</v>
      </c>
      <c r="CB57" s="4">
        <v>1.369E-3</v>
      </c>
      <c r="CC57" s="4">
        <v>1.3504999999999999E-3</v>
      </c>
      <c r="CD57" s="4">
        <v>1.3320999999999999E-3</v>
      </c>
      <c r="CE57" s="4">
        <v>1.3138E-3</v>
      </c>
      <c r="CF57" s="4">
        <v>1.2957000000000001E-3</v>
      </c>
      <c r="CG57" s="4">
        <v>1.2777999999999999E-3</v>
      </c>
      <c r="CH57" s="4">
        <v>1.2600000000000001E-3</v>
      </c>
      <c r="CI57" s="4">
        <v>1.2424000000000001E-3</v>
      </c>
      <c r="CJ57" s="4">
        <v>1.225E-3</v>
      </c>
      <c r="CK57" s="4">
        <v>1.2076999999999999E-3</v>
      </c>
      <c r="CL57" s="4">
        <v>1.1906E-3</v>
      </c>
      <c r="CM57" s="4">
        <v>1.1738E-3</v>
      </c>
      <c r="CN57" s="4">
        <v>1.1571000000000001E-3</v>
      </c>
      <c r="CO57" s="4">
        <v>1.1406000000000001E-3</v>
      </c>
      <c r="CP57" s="4">
        <v>1.1243E-3</v>
      </c>
      <c r="CQ57" s="4">
        <v>1.1081999999999999E-3</v>
      </c>
      <c r="CR57" s="4">
        <v>1.0923E-3</v>
      </c>
      <c r="CS57" s="4">
        <v>1.0766E-3</v>
      </c>
      <c r="CT57" s="4">
        <v>1.0610999999999999E-3</v>
      </c>
      <c r="CU57" s="4">
        <v>1.0457999999999999E-3</v>
      </c>
      <c r="CV57" s="4">
        <v>1.0307999999999999E-3</v>
      </c>
      <c r="CW57" s="4">
        <v>1.0158999999999999E-3</v>
      </c>
      <c r="CX57" s="4">
        <v>1.0012E-3</v>
      </c>
      <c r="CY57" s="4">
        <v>9.8679999999999992E-4</v>
      </c>
      <c r="CZ57" s="4">
        <v>9.7249999999999995E-4</v>
      </c>
      <c r="DA57" s="4">
        <v>9.5850000000000004E-4</v>
      </c>
      <c r="DB57" s="4">
        <v>9.4459999999999998E-4</v>
      </c>
      <c r="DC57" s="4">
        <v>9.3099999999999997E-4</v>
      </c>
      <c r="DD57" s="4">
        <v>9.1750000000000002E-4</v>
      </c>
      <c r="DE57" s="4">
        <v>9.0430000000000003E-4</v>
      </c>
      <c r="DF57" s="4">
        <v>8.9130000000000003E-4</v>
      </c>
      <c r="DG57" s="4">
        <v>8.7839999999999999E-4</v>
      </c>
      <c r="DH57" s="4">
        <v>8.6569999999999995E-4</v>
      </c>
      <c r="DI57" s="4">
        <v>8.5329999999999998E-4</v>
      </c>
      <c r="DJ57" s="4">
        <v>8.4099999999999995E-4</v>
      </c>
      <c r="DK57" s="4">
        <v>8.2890000000000004E-4</v>
      </c>
      <c r="DL57" s="4">
        <v>8.1700000000000002E-4</v>
      </c>
      <c r="DM57" s="4">
        <v>8.053E-4</v>
      </c>
      <c r="DN57" s="4">
        <v>7.9370000000000005E-4</v>
      </c>
      <c r="DO57" s="4">
        <v>7.8229999999999999E-4</v>
      </c>
      <c r="DP57" s="4">
        <v>7.7110000000000004E-4</v>
      </c>
      <c r="DQ57" s="4">
        <v>5.3756900000000003E-2</v>
      </c>
      <c r="DR57" s="4">
        <v>0</v>
      </c>
      <c r="DS57" s="4">
        <v>1.105E-4</v>
      </c>
      <c r="DT57" s="4">
        <v>2.353E-4</v>
      </c>
      <c r="DU57" s="4">
        <v>3.6949999999999998E-4</v>
      </c>
      <c r="DV57" s="4">
        <v>7.0330000000000002E-4</v>
      </c>
      <c r="DW57" s="4">
        <v>6.5550000000000005E-4</v>
      </c>
      <c r="DX57" s="4">
        <v>6.3009999999999997E-4</v>
      </c>
      <c r="DY57" s="4">
        <v>5.5080000000000005E-4</v>
      </c>
      <c r="DZ57" s="4">
        <v>4.9180000000000003E-4</v>
      </c>
      <c r="EA57" s="4">
        <v>4.306E-4</v>
      </c>
      <c r="EB57" s="4">
        <v>3.8160000000000001E-4</v>
      </c>
      <c r="EC57" s="4">
        <v>3.4010000000000003E-4</v>
      </c>
      <c r="ED57" s="4">
        <v>3.0239999999999998E-4</v>
      </c>
      <c r="EE57" s="4">
        <v>2.7139999999999998E-4</v>
      </c>
      <c r="EF57" s="4">
        <v>2.4420000000000003E-4</v>
      </c>
      <c r="EG57" s="4">
        <v>2.208E-4</v>
      </c>
      <c r="EH57" s="4">
        <v>2.0019999999999999E-4</v>
      </c>
      <c r="EI57" s="4">
        <v>1.8239999999999999E-4</v>
      </c>
      <c r="EJ57" s="4">
        <v>1.6670000000000001E-4</v>
      </c>
      <c r="EK57" s="4">
        <v>1.5300000000000001E-4</v>
      </c>
      <c r="EL57" s="4">
        <v>1.4080000000000001E-4</v>
      </c>
      <c r="EM57" s="4">
        <v>1.2980000000000001E-4</v>
      </c>
      <c r="EN57" s="4">
        <v>1.199E-4</v>
      </c>
      <c r="EO57" s="4">
        <v>1.1129999999999999E-4</v>
      </c>
      <c r="EP57" s="4">
        <v>1.033E-4</v>
      </c>
      <c r="EQ57" s="4">
        <v>9.6299999999999996E-5</v>
      </c>
      <c r="ER57" s="4">
        <v>8.8700000000000001E-5</v>
      </c>
      <c r="ES57" s="4">
        <v>8.3100000000000001E-5</v>
      </c>
      <c r="ET57" s="4">
        <v>7.8100000000000001E-5</v>
      </c>
      <c r="EU57" s="4">
        <v>7.3499999999999998E-5</v>
      </c>
      <c r="EV57" s="4">
        <v>6.9300000000000004E-5</v>
      </c>
      <c r="EW57" s="4">
        <v>6.5599999999999995E-5</v>
      </c>
      <c r="EX57" s="4">
        <v>6.2199999999999994E-5</v>
      </c>
      <c r="EY57" s="4">
        <v>5.91E-5</v>
      </c>
      <c r="EZ57" s="4">
        <v>5.6100000000000002E-5</v>
      </c>
      <c r="FA57" s="4">
        <v>5.3499999999999999E-5</v>
      </c>
      <c r="FB57" s="4">
        <v>5.1E-5</v>
      </c>
      <c r="FC57" s="4">
        <v>4.8900000000000003E-5</v>
      </c>
      <c r="FD57" s="4">
        <v>4.6999999999999997E-5</v>
      </c>
      <c r="FE57" s="4">
        <v>4.5099999999999998E-5</v>
      </c>
      <c r="FF57" s="4">
        <v>4.3399999999999998E-5</v>
      </c>
      <c r="FG57" s="4">
        <v>4.1699999999999997E-5</v>
      </c>
      <c r="FH57" s="4">
        <v>4.0099999999999999E-5</v>
      </c>
      <c r="FI57" s="4">
        <v>3.8500000000000001E-5</v>
      </c>
      <c r="FJ57" s="4">
        <v>3.6900000000000002E-5</v>
      </c>
      <c r="FK57" s="4">
        <v>3.4499999999999998E-5</v>
      </c>
      <c r="FL57" s="4">
        <v>3.3099999999999998E-5</v>
      </c>
      <c r="FM57" s="4">
        <v>3.18E-5</v>
      </c>
      <c r="FN57" s="4">
        <v>2.9499999999999999E-5</v>
      </c>
      <c r="FO57" s="4">
        <v>3.0499999999999999E-5</v>
      </c>
      <c r="FP57" s="4">
        <v>2.97E-5</v>
      </c>
      <c r="FQ57" s="4">
        <v>2.9099999999999999E-5</v>
      </c>
      <c r="FR57" s="4">
        <v>2.8600000000000001E-5</v>
      </c>
      <c r="FS57" s="4">
        <v>2.8099999999999999E-5</v>
      </c>
      <c r="FT57" s="4">
        <v>2.76E-5</v>
      </c>
      <c r="FU57" s="4">
        <v>2.7100000000000001E-5</v>
      </c>
      <c r="FV57" s="4">
        <v>2.6599999999999999E-5</v>
      </c>
      <c r="FW57" s="4">
        <v>2.62E-5</v>
      </c>
      <c r="FX57" s="4">
        <v>2.5700000000000001E-5</v>
      </c>
      <c r="FY57" s="4">
        <v>2.5299999999999998E-5</v>
      </c>
      <c r="FZ57" s="4">
        <v>2.4899999999999999E-5</v>
      </c>
      <c r="GA57" s="4">
        <v>2.4499999999999999E-5</v>
      </c>
      <c r="GB57" s="4">
        <v>2.41E-5</v>
      </c>
      <c r="GC57" s="4">
        <v>2.37E-5</v>
      </c>
      <c r="GD57" s="4">
        <v>2.34E-5</v>
      </c>
      <c r="GE57" s="4">
        <v>2.3E-5</v>
      </c>
      <c r="GF57" s="4">
        <v>2.27E-5</v>
      </c>
      <c r="GG57" s="4">
        <v>2.2399999999999999E-5</v>
      </c>
      <c r="GH57" s="4">
        <v>2.1999999999999999E-5</v>
      </c>
      <c r="GI57" s="4">
        <v>2.1699999999999999E-5</v>
      </c>
      <c r="GJ57" s="4">
        <v>2.1399999999999998E-5</v>
      </c>
      <c r="GK57" s="4">
        <v>2.1100000000000001E-5</v>
      </c>
      <c r="GL57" s="4">
        <v>2.0800000000000001E-5</v>
      </c>
      <c r="GM57" s="4">
        <v>2.05E-5</v>
      </c>
      <c r="GN57" s="4">
        <v>2.02E-5</v>
      </c>
      <c r="GO57" s="4">
        <v>2.0000000000000002E-5</v>
      </c>
      <c r="GP57" s="4">
        <v>1.9700000000000001E-5</v>
      </c>
      <c r="GQ57" s="4">
        <v>1.9400000000000001E-5</v>
      </c>
      <c r="GR57" s="4">
        <v>1.9199999999999999E-5</v>
      </c>
      <c r="GS57" s="4">
        <v>1.8899999999999999E-5</v>
      </c>
      <c r="GT57" s="4">
        <v>1.8600000000000001E-5</v>
      </c>
      <c r="GU57" s="4">
        <v>1.84E-5</v>
      </c>
      <c r="GV57" s="4">
        <v>1.8099999999999999E-5</v>
      </c>
      <c r="GW57" s="4">
        <v>1.7900000000000001E-5</v>
      </c>
      <c r="GX57" s="4">
        <v>1.7600000000000001E-5</v>
      </c>
      <c r="GY57" s="4">
        <v>1.7399999999999999E-5</v>
      </c>
      <c r="GZ57" s="4">
        <v>1.7099999999999999E-5</v>
      </c>
      <c r="HA57" s="4">
        <v>1.6900000000000001E-5</v>
      </c>
      <c r="HB57" s="4">
        <v>1.6699999999999999E-5</v>
      </c>
      <c r="HC57" s="4">
        <v>1.6399999999999999E-5</v>
      </c>
      <c r="HD57" s="4">
        <v>1.6200000000000001E-5</v>
      </c>
      <c r="HE57" s="4">
        <v>1.5999999999999999E-5</v>
      </c>
      <c r="HF57" s="4">
        <v>1.5800000000000001E-5</v>
      </c>
      <c r="HG57" s="4">
        <v>1.5500000000000001E-5</v>
      </c>
      <c r="HH57" s="4">
        <v>1.5299999999999999E-5</v>
      </c>
      <c r="HI57" s="4">
        <v>1.5099999999999999E-5</v>
      </c>
      <c r="HJ57" s="4">
        <v>1.49E-5</v>
      </c>
      <c r="HK57" s="4">
        <v>1.47E-5</v>
      </c>
      <c r="HL57" s="4">
        <v>1.45E-5</v>
      </c>
      <c r="HM57" s="4">
        <v>1.43E-5</v>
      </c>
      <c r="HN57" s="4">
        <v>1.4100000000000001E-5</v>
      </c>
      <c r="HO57" s="4">
        <v>1.3900000000000001E-5</v>
      </c>
      <c r="HP57" s="4">
        <v>1.3699999999999999E-5</v>
      </c>
      <c r="HQ57" s="4">
        <v>1.3499999999999999E-5</v>
      </c>
      <c r="HR57" s="4">
        <v>1.33E-5</v>
      </c>
      <c r="HS57" s="4">
        <v>1.31E-5</v>
      </c>
      <c r="HT57" s="4">
        <v>1.29E-5</v>
      </c>
      <c r="HU57" s="4">
        <v>1.2799999999999999E-5</v>
      </c>
      <c r="HV57" s="4">
        <v>1.26E-5</v>
      </c>
      <c r="HW57" s="4">
        <v>1.24E-5</v>
      </c>
      <c r="HX57" s="4">
        <v>1.22E-5</v>
      </c>
      <c r="HY57" s="4">
        <v>1.2099999999999999E-5</v>
      </c>
      <c r="HZ57" s="4">
        <v>1.19E-5</v>
      </c>
      <c r="IA57" s="4">
        <v>1.17E-5</v>
      </c>
      <c r="IB57" s="4">
        <v>1.15E-5</v>
      </c>
      <c r="IC57" s="4">
        <v>1.1399999999999999E-5</v>
      </c>
      <c r="ID57" s="4">
        <v>1.1199999999999999E-5</v>
      </c>
      <c r="IE57" s="4">
        <v>1.11E-5</v>
      </c>
      <c r="IF57" s="4">
        <v>1.0900000000000001E-5</v>
      </c>
      <c r="IG57" s="4">
        <v>7.6400000000000003E-4</v>
      </c>
      <c r="IH57" s="4"/>
      <c r="IL57">
        <f t="shared" si="248"/>
        <v>0.35710271249999992</v>
      </c>
      <c r="IP57" s="4">
        <f t="shared" si="249"/>
        <v>4.1445699999999995E-2</v>
      </c>
      <c r="IQ57" s="4">
        <f t="shared" si="250"/>
        <v>3.3219499999999999E-2</v>
      </c>
      <c r="IR57" s="4">
        <f t="shared" si="251"/>
        <v>2.51545E-2</v>
      </c>
      <c r="IS57" s="4">
        <f t="shared" si="252"/>
        <v>2.0173900000000002E-2</v>
      </c>
      <c r="IT57" s="4">
        <f t="shared" si="253"/>
        <v>1.69634E-2</v>
      </c>
      <c r="IU57" s="4">
        <f t="shared" si="254"/>
        <v>5.9010899999999998E-2</v>
      </c>
      <c r="IV57" s="4">
        <f t="shared" si="255"/>
        <v>3.8466500000000008E-2</v>
      </c>
      <c r="IW57" s="4">
        <f t="shared" si="256"/>
        <v>3.0260599999999995E-2</v>
      </c>
      <c r="IX57" s="4">
        <f t="shared" si="257"/>
        <v>9.2540800000000006E-2</v>
      </c>
    </row>
    <row r="58" spans="1:258" x14ac:dyDescent="0.35">
      <c r="A58" s="1">
        <v>50</v>
      </c>
      <c r="B58" s="4">
        <v>1.0734799999999999E-2</v>
      </c>
      <c r="C58" s="4">
        <v>1.0654E-2</v>
      </c>
      <c r="D58" s="4">
        <v>1.0543500000000001E-2</v>
      </c>
      <c r="E58" s="4">
        <v>1.0308100000000001E-2</v>
      </c>
      <c r="F58" s="4">
        <v>9.9387E-3</v>
      </c>
      <c r="G58" s="4">
        <v>9.2367000000000005E-3</v>
      </c>
      <c r="H58" s="4">
        <v>8.5801000000000002E-3</v>
      </c>
      <c r="I58" s="4">
        <v>7.9609999999999993E-3</v>
      </c>
      <c r="J58" s="4">
        <v>7.4209000000000002E-3</v>
      </c>
      <c r="K58" s="4">
        <v>6.9293000000000002E-3</v>
      </c>
      <c r="L58" s="4">
        <v>6.4615999999999996E-3</v>
      </c>
      <c r="M58" s="4">
        <v>6.0755999999999996E-3</v>
      </c>
      <c r="N58" s="4">
        <v>5.7381999999999997E-3</v>
      </c>
      <c r="O58" s="4">
        <v>5.4244000000000002E-3</v>
      </c>
      <c r="P58" s="4">
        <v>5.1552999999999998E-3</v>
      </c>
      <c r="Q58" s="4">
        <v>4.9093000000000001E-3</v>
      </c>
      <c r="R58" s="4">
        <v>4.6866E-3</v>
      </c>
      <c r="S58" s="4">
        <v>4.4860000000000004E-3</v>
      </c>
      <c r="T58" s="4">
        <v>4.3057E-3</v>
      </c>
      <c r="U58" s="4">
        <v>4.1457000000000004E-3</v>
      </c>
      <c r="V58" s="4">
        <v>4.0019000000000001E-3</v>
      </c>
      <c r="W58" s="4">
        <v>3.8671999999999999E-3</v>
      </c>
      <c r="X58" s="4">
        <v>3.7372E-3</v>
      </c>
      <c r="Y58" s="4">
        <v>3.6162E-3</v>
      </c>
      <c r="Z58" s="4">
        <v>3.5033999999999998E-3</v>
      </c>
      <c r="AA58" s="4">
        <v>3.3890000000000001E-3</v>
      </c>
      <c r="AB58" s="4">
        <v>3.2910999999999999E-3</v>
      </c>
      <c r="AC58" s="4">
        <v>3.1567000000000001E-3</v>
      </c>
      <c r="AD58" s="4">
        <v>3.0658E-3</v>
      </c>
      <c r="AE58" s="4">
        <v>2.9808999999999999E-3</v>
      </c>
      <c r="AF58" s="4">
        <v>2.8993999999999999E-3</v>
      </c>
      <c r="AG58" s="4">
        <v>2.8245000000000002E-3</v>
      </c>
      <c r="AH58" s="4">
        <v>2.7582000000000001E-3</v>
      </c>
      <c r="AI58" s="4">
        <v>2.6949999999999999E-3</v>
      </c>
      <c r="AJ58" s="4">
        <v>2.6307000000000001E-3</v>
      </c>
      <c r="AK58" s="4">
        <v>2.5692000000000002E-3</v>
      </c>
      <c r="AL58" s="4">
        <v>2.5127999999999999E-3</v>
      </c>
      <c r="AM58" s="4">
        <v>2.4608999999999998E-3</v>
      </c>
      <c r="AN58" s="4">
        <v>2.4183999999999998E-3</v>
      </c>
      <c r="AO58" s="4">
        <v>2.3784000000000001E-3</v>
      </c>
      <c r="AP58" s="4">
        <v>2.3384999999999999E-3</v>
      </c>
      <c r="AQ58" s="4">
        <v>2.2993000000000002E-3</v>
      </c>
      <c r="AR58" s="4">
        <v>2.2598000000000002E-3</v>
      </c>
      <c r="AS58" s="4">
        <v>2.2182E-3</v>
      </c>
      <c r="AT58" s="4">
        <v>2.1687E-3</v>
      </c>
      <c r="AU58" s="4">
        <v>2.1113E-3</v>
      </c>
      <c r="AV58" s="4">
        <v>2.0097000000000001E-3</v>
      </c>
      <c r="AW58" s="4">
        <v>1.9591000000000001E-3</v>
      </c>
      <c r="AX58" s="4">
        <v>1.9076E-3</v>
      </c>
      <c r="AY58" s="4">
        <v>1.7983999999999999E-3</v>
      </c>
      <c r="AZ58" s="4">
        <v>1.8766E-3</v>
      </c>
      <c r="BA58" s="4">
        <v>1.8525E-3</v>
      </c>
      <c r="BB58" s="4">
        <v>1.8396E-3</v>
      </c>
      <c r="BC58" s="4">
        <v>1.8251999999999999E-3</v>
      </c>
      <c r="BD58" s="4">
        <v>1.8108E-3</v>
      </c>
      <c r="BE58" s="4">
        <v>1.7953999999999999E-3</v>
      </c>
      <c r="BF58" s="4">
        <v>1.7795E-3</v>
      </c>
      <c r="BG58" s="4">
        <v>1.763E-3</v>
      </c>
      <c r="BH58" s="4">
        <v>1.7458E-3</v>
      </c>
      <c r="BI58" s="4">
        <v>1.7281E-3</v>
      </c>
      <c r="BJ58" s="4">
        <v>1.7099999999999999E-3</v>
      </c>
      <c r="BK58" s="4">
        <v>1.6915999999999999E-3</v>
      </c>
      <c r="BL58" s="4">
        <v>1.6729E-3</v>
      </c>
      <c r="BM58" s="4">
        <v>1.6540000000000001E-3</v>
      </c>
      <c r="BN58" s="4">
        <v>1.6348999999999999E-3</v>
      </c>
      <c r="BO58" s="4">
        <v>1.6157999999999999E-3</v>
      </c>
      <c r="BP58" s="4">
        <v>1.5965E-3</v>
      </c>
      <c r="BQ58" s="4">
        <v>1.5772E-3</v>
      </c>
      <c r="BR58" s="4">
        <v>1.5579000000000001E-3</v>
      </c>
      <c r="BS58" s="4">
        <v>1.5386E-3</v>
      </c>
      <c r="BT58" s="4">
        <v>1.5194E-3</v>
      </c>
      <c r="BU58" s="4">
        <v>1.5001999999999999E-3</v>
      </c>
      <c r="BV58" s="4">
        <v>1.4811E-3</v>
      </c>
      <c r="BW58" s="4">
        <v>1.462E-3</v>
      </c>
      <c r="BX58" s="4">
        <v>1.4430999999999999E-3</v>
      </c>
      <c r="BY58" s="4">
        <v>1.4242E-3</v>
      </c>
      <c r="BZ58" s="4">
        <v>1.4054E-3</v>
      </c>
      <c r="CA58" s="4">
        <v>1.3868000000000001E-3</v>
      </c>
      <c r="CB58" s="4">
        <v>1.3683E-3</v>
      </c>
      <c r="CC58" s="4">
        <v>1.3499E-3</v>
      </c>
      <c r="CD58" s="4">
        <v>1.3316000000000001E-3</v>
      </c>
      <c r="CE58" s="4">
        <v>1.3135E-3</v>
      </c>
      <c r="CF58" s="4">
        <v>1.2955E-3</v>
      </c>
      <c r="CG58" s="4">
        <v>1.2776E-3</v>
      </c>
      <c r="CH58" s="4">
        <v>1.2599E-3</v>
      </c>
      <c r="CI58" s="4">
        <v>1.2424000000000001E-3</v>
      </c>
      <c r="CJ58" s="4">
        <v>1.225E-3</v>
      </c>
      <c r="CK58" s="4">
        <v>1.2078E-3</v>
      </c>
      <c r="CL58" s="4">
        <v>1.1908000000000001E-3</v>
      </c>
      <c r="CM58" s="4">
        <v>1.1739999999999999E-3</v>
      </c>
      <c r="CN58" s="4">
        <v>1.1573E-3</v>
      </c>
      <c r="CO58" s="4">
        <v>1.1409E-3</v>
      </c>
      <c r="CP58" s="4">
        <v>1.1245999999999999E-3</v>
      </c>
      <c r="CQ58" s="4">
        <v>1.1084999999999999E-3</v>
      </c>
      <c r="CR58" s="4">
        <v>1.0926E-3</v>
      </c>
      <c r="CS58" s="4">
        <v>1.077E-3</v>
      </c>
      <c r="CT58" s="4">
        <v>1.0614999999999999E-3</v>
      </c>
      <c r="CU58" s="4">
        <v>1.0462E-3</v>
      </c>
      <c r="CV58" s="4">
        <v>1.0311000000000001E-3</v>
      </c>
      <c r="CW58" s="4">
        <v>1.0162999999999999E-3</v>
      </c>
      <c r="CX58" s="4">
        <v>1.0016000000000001E-3</v>
      </c>
      <c r="CY58" s="4">
        <v>9.8710000000000009E-4</v>
      </c>
      <c r="CZ58" s="4">
        <v>9.7289999999999996E-4</v>
      </c>
      <c r="DA58" s="4">
        <v>9.588E-4</v>
      </c>
      <c r="DB58" s="4">
        <v>9.4499999999999998E-4</v>
      </c>
      <c r="DC58" s="4">
        <v>9.3130000000000003E-4</v>
      </c>
      <c r="DD58" s="4">
        <v>9.1790000000000003E-4</v>
      </c>
      <c r="DE58" s="4">
        <v>9.0459999999999998E-4</v>
      </c>
      <c r="DF58" s="4">
        <v>8.9150000000000004E-4</v>
      </c>
      <c r="DG58" s="4">
        <v>8.7870000000000005E-4</v>
      </c>
      <c r="DH58" s="4">
        <v>8.6600000000000002E-4</v>
      </c>
      <c r="DI58" s="4">
        <v>8.5349999999999998E-4</v>
      </c>
      <c r="DJ58" s="4">
        <v>8.4119999999999996E-4</v>
      </c>
      <c r="DK58" s="4">
        <v>8.2910000000000004E-4</v>
      </c>
      <c r="DL58" s="4">
        <v>8.1720000000000002E-4</v>
      </c>
      <c r="DM58" s="4">
        <v>8.0539999999999995E-4</v>
      </c>
      <c r="DN58" s="4">
        <v>7.9390000000000005E-4</v>
      </c>
      <c r="DO58" s="4">
        <v>7.8249999999999999E-4</v>
      </c>
      <c r="DP58" s="4">
        <v>7.7130000000000005E-4</v>
      </c>
      <c r="DQ58" s="4">
        <v>5.3753099999999998E-2</v>
      </c>
      <c r="DR58" s="4">
        <v>0</v>
      </c>
      <c r="DS58" s="4">
        <v>1.106E-4</v>
      </c>
      <c r="DT58" s="4">
        <v>2.354E-4</v>
      </c>
      <c r="DU58" s="4">
        <v>3.6709999999999998E-4</v>
      </c>
      <c r="DV58" s="4">
        <v>6.9939999999999998E-4</v>
      </c>
      <c r="DW58" s="4">
        <v>6.5609999999999996E-4</v>
      </c>
      <c r="DX58" s="4">
        <v>6.2330000000000003E-4</v>
      </c>
      <c r="DY58" s="4">
        <v>5.5290000000000005E-4</v>
      </c>
      <c r="DZ58" s="4">
        <v>4.9479999999999999E-4</v>
      </c>
      <c r="EA58" s="4">
        <v>4.3760000000000001E-4</v>
      </c>
      <c r="EB58" s="4">
        <v>3.8539999999999999E-4</v>
      </c>
      <c r="EC58" s="4">
        <v>3.4249999999999998E-4</v>
      </c>
      <c r="ED58" s="4">
        <v>3.0669999999999997E-4</v>
      </c>
      <c r="EE58" s="4">
        <v>2.744E-4</v>
      </c>
      <c r="EF58" s="4">
        <v>2.4719999999999999E-4</v>
      </c>
      <c r="EG58" s="4">
        <v>2.2359999999999999E-4</v>
      </c>
      <c r="EH58" s="4">
        <v>2.029E-4</v>
      </c>
      <c r="EI58" s="4">
        <v>1.8479999999999999E-4</v>
      </c>
      <c r="EJ58" s="4">
        <v>1.6899999999999999E-4</v>
      </c>
      <c r="EK58" s="4">
        <v>1.55E-4</v>
      </c>
      <c r="EL58" s="4">
        <v>1.427E-4</v>
      </c>
      <c r="EM58" s="4">
        <v>1.3180000000000001E-4</v>
      </c>
      <c r="EN58" s="4">
        <v>1.22E-4</v>
      </c>
      <c r="EO58" s="4">
        <v>1.131E-4</v>
      </c>
      <c r="EP58" s="4">
        <v>1.052E-4</v>
      </c>
      <c r="EQ58" s="4">
        <v>9.7999999999999997E-5</v>
      </c>
      <c r="ER58" s="4">
        <v>9.1700000000000006E-5</v>
      </c>
      <c r="ES58" s="4">
        <v>8.4699999999999999E-5</v>
      </c>
      <c r="ET58" s="4">
        <v>7.9599999999999997E-5</v>
      </c>
      <c r="EU58" s="4">
        <v>7.4999999999999993E-5</v>
      </c>
      <c r="EV58" s="4">
        <v>7.0699999999999997E-5</v>
      </c>
      <c r="EW58" s="4">
        <v>6.69E-5</v>
      </c>
      <c r="EX58" s="4">
        <v>6.3399999999999996E-5</v>
      </c>
      <c r="EY58" s="4">
        <v>6.0300000000000002E-5</v>
      </c>
      <c r="EZ58" s="4">
        <v>5.7299999999999997E-5</v>
      </c>
      <c r="FA58" s="4">
        <v>5.4500000000000003E-5</v>
      </c>
      <c r="FB58" s="4">
        <v>5.1999999999999997E-5</v>
      </c>
      <c r="FC58" s="4">
        <v>4.9700000000000002E-5</v>
      </c>
      <c r="FD58" s="4">
        <v>4.7700000000000001E-5</v>
      </c>
      <c r="FE58" s="4">
        <v>4.5800000000000002E-5</v>
      </c>
      <c r="FF58" s="4">
        <v>4.4100000000000001E-5</v>
      </c>
      <c r="FG58" s="4">
        <v>4.2400000000000001E-5</v>
      </c>
      <c r="FH58" s="4">
        <v>4.0800000000000002E-5</v>
      </c>
      <c r="FI58" s="4">
        <v>3.93E-5</v>
      </c>
      <c r="FJ58" s="4">
        <v>3.7799999999999997E-5</v>
      </c>
      <c r="FK58" s="4">
        <v>3.6199999999999999E-5</v>
      </c>
      <c r="FL58" s="4">
        <v>3.3800000000000002E-5</v>
      </c>
      <c r="FM58" s="4">
        <v>3.2499999999999997E-5</v>
      </c>
      <c r="FN58" s="4">
        <v>3.1199999999999999E-5</v>
      </c>
      <c r="FO58" s="4">
        <v>2.9E-5</v>
      </c>
      <c r="FP58" s="4">
        <v>3.0000000000000001E-5</v>
      </c>
      <c r="FQ58" s="4">
        <v>2.9200000000000002E-5</v>
      </c>
      <c r="FR58" s="4">
        <v>2.87E-5</v>
      </c>
      <c r="FS58" s="4">
        <v>2.8200000000000001E-5</v>
      </c>
      <c r="FT58" s="4">
        <v>2.7699999999999999E-5</v>
      </c>
      <c r="FU58" s="4">
        <v>2.72E-5</v>
      </c>
      <c r="FV58" s="4">
        <v>2.6699999999999998E-5</v>
      </c>
      <c r="FW58" s="4">
        <v>2.62E-5</v>
      </c>
      <c r="FX58" s="4">
        <v>2.58E-5</v>
      </c>
      <c r="FY58" s="4">
        <v>2.5400000000000001E-5</v>
      </c>
      <c r="FZ58" s="4">
        <v>2.5000000000000001E-5</v>
      </c>
      <c r="GA58" s="4">
        <v>2.4600000000000002E-5</v>
      </c>
      <c r="GB58" s="4">
        <v>2.4199999999999999E-5</v>
      </c>
      <c r="GC58" s="4">
        <v>2.3799999999999999E-5</v>
      </c>
      <c r="GD58" s="4">
        <v>2.34E-5</v>
      </c>
      <c r="GE58" s="4">
        <v>2.3099999999999999E-5</v>
      </c>
      <c r="GF58" s="4">
        <v>2.27E-5</v>
      </c>
      <c r="GG58" s="4">
        <v>2.2399999999999999E-5</v>
      </c>
      <c r="GH58" s="4">
        <v>2.2099999999999998E-5</v>
      </c>
      <c r="GI58" s="4">
        <v>2.1800000000000001E-5</v>
      </c>
      <c r="GJ58" s="4">
        <v>2.1399999999999998E-5</v>
      </c>
      <c r="GK58" s="4">
        <v>2.1100000000000001E-5</v>
      </c>
      <c r="GL58" s="4">
        <v>2.0800000000000001E-5</v>
      </c>
      <c r="GM58" s="4">
        <v>2.0599999999999999E-5</v>
      </c>
      <c r="GN58" s="4">
        <v>2.0299999999999999E-5</v>
      </c>
      <c r="GO58" s="4">
        <v>2.0000000000000002E-5</v>
      </c>
      <c r="GP58" s="4">
        <v>1.9700000000000001E-5</v>
      </c>
      <c r="GQ58" s="4">
        <v>1.9400000000000001E-5</v>
      </c>
      <c r="GR58" s="4">
        <v>1.9199999999999999E-5</v>
      </c>
      <c r="GS58" s="4">
        <v>1.8899999999999999E-5</v>
      </c>
      <c r="GT58" s="4">
        <v>1.8600000000000001E-5</v>
      </c>
      <c r="GU58" s="4">
        <v>1.84E-5</v>
      </c>
      <c r="GV58" s="4">
        <v>1.8099999999999999E-5</v>
      </c>
      <c r="GW58" s="4">
        <v>1.7900000000000001E-5</v>
      </c>
      <c r="GX58" s="4">
        <v>1.7600000000000001E-5</v>
      </c>
      <c r="GY58" s="4">
        <v>1.7399999999999999E-5</v>
      </c>
      <c r="GZ58" s="4">
        <v>1.7200000000000001E-5</v>
      </c>
      <c r="HA58" s="4">
        <v>1.6900000000000001E-5</v>
      </c>
      <c r="HB58" s="4">
        <v>1.6699999999999999E-5</v>
      </c>
      <c r="HC58" s="4">
        <v>1.6500000000000001E-5</v>
      </c>
      <c r="HD58" s="4">
        <v>1.6200000000000001E-5</v>
      </c>
      <c r="HE58" s="4">
        <v>1.5999999999999999E-5</v>
      </c>
      <c r="HF58" s="4">
        <v>1.5800000000000001E-5</v>
      </c>
      <c r="HG58" s="4">
        <v>1.56E-5</v>
      </c>
      <c r="HH58" s="4">
        <v>1.5299999999999999E-5</v>
      </c>
      <c r="HI58" s="4">
        <v>1.5099999999999999E-5</v>
      </c>
      <c r="HJ58" s="4">
        <v>1.49E-5</v>
      </c>
      <c r="HK58" s="4">
        <v>1.47E-5</v>
      </c>
      <c r="HL58" s="4">
        <v>1.45E-5</v>
      </c>
      <c r="HM58" s="4">
        <v>1.43E-5</v>
      </c>
      <c r="HN58" s="4">
        <v>1.4100000000000001E-5</v>
      </c>
      <c r="HO58" s="4">
        <v>1.3900000000000001E-5</v>
      </c>
      <c r="HP58" s="4">
        <v>1.3699999999999999E-5</v>
      </c>
      <c r="HQ58" s="4">
        <v>1.3499999999999999E-5</v>
      </c>
      <c r="HR58" s="4">
        <v>1.33E-5</v>
      </c>
      <c r="HS58" s="4">
        <v>1.31E-5</v>
      </c>
      <c r="HT58" s="4">
        <v>1.29E-5</v>
      </c>
      <c r="HU58" s="4">
        <v>1.2799999999999999E-5</v>
      </c>
      <c r="HV58" s="4">
        <v>1.26E-5</v>
      </c>
      <c r="HW58" s="4">
        <v>1.24E-5</v>
      </c>
      <c r="HX58" s="4">
        <v>1.22E-5</v>
      </c>
      <c r="HY58" s="4">
        <v>1.2099999999999999E-5</v>
      </c>
      <c r="HZ58" s="4">
        <v>1.19E-5</v>
      </c>
      <c r="IA58" s="4">
        <v>1.17E-5</v>
      </c>
      <c r="IB58" s="4">
        <v>1.1600000000000001E-5</v>
      </c>
      <c r="IC58" s="4">
        <v>1.1399999999999999E-5</v>
      </c>
      <c r="ID58" s="4">
        <v>1.1199999999999999E-5</v>
      </c>
      <c r="IE58" s="4">
        <v>1.11E-5</v>
      </c>
      <c r="IF58" s="4">
        <v>1.0900000000000001E-5</v>
      </c>
      <c r="IG58" s="4">
        <v>7.6389999999999997E-4</v>
      </c>
      <c r="IH58" s="4"/>
      <c r="IL58">
        <f t="shared" si="248"/>
        <v>0.35717460000000034</v>
      </c>
      <c r="IP58" s="4">
        <f t="shared" si="249"/>
        <v>4.1444300000000003E-2</v>
      </c>
      <c r="IQ58" s="4">
        <f t="shared" si="250"/>
        <v>3.3198699999999998E-2</v>
      </c>
      <c r="IR58" s="4">
        <f t="shared" si="251"/>
        <v>2.52047E-2</v>
      </c>
      <c r="IS58" s="4">
        <f t="shared" si="252"/>
        <v>2.0175600000000002E-2</v>
      </c>
      <c r="IT58" s="4">
        <f t="shared" si="253"/>
        <v>1.6939300000000001E-2</v>
      </c>
      <c r="IU58" s="4">
        <f t="shared" si="254"/>
        <v>5.9093500000000021E-2</v>
      </c>
      <c r="IV58" s="4">
        <f t="shared" si="255"/>
        <v>3.8458600000000003E-2</v>
      </c>
      <c r="IW58" s="4">
        <f t="shared" si="256"/>
        <v>3.0211400000000003E-2</v>
      </c>
      <c r="IX58" s="4">
        <f t="shared" si="257"/>
        <v>9.2545099999999991E-2</v>
      </c>
    </row>
    <row r="59" spans="1:258" x14ac:dyDescent="0.35">
      <c r="A59" s="1">
        <v>51</v>
      </c>
      <c r="B59" s="4">
        <v>1.0654E-2</v>
      </c>
      <c r="C59" s="4">
        <v>1.0734799999999999E-2</v>
      </c>
      <c r="D59" s="4">
        <v>1.05434E-2</v>
      </c>
      <c r="E59" s="4">
        <v>1.0308100000000001E-2</v>
      </c>
      <c r="F59" s="4">
        <v>9.9410000000000002E-3</v>
      </c>
      <c r="G59" s="4">
        <v>9.2393000000000006E-3</v>
      </c>
      <c r="H59" s="4">
        <v>8.5806000000000007E-3</v>
      </c>
      <c r="I59" s="4">
        <v>7.9568E-3</v>
      </c>
      <c r="J59" s="4">
        <v>7.4080999999999999E-3</v>
      </c>
      <c r="K59" s="4">
        <v>6.9261000000000001E-3</v>
      </c>
      <c r="L59" s="4">
        <v>6.4917000000000004E-3</v>
      </c>
      <c r="M59" s="4">
        <v>6.0761000000000001E-3</v>
      </c>
      <c r="N59" s="4">
        <v>5.7330999999999997E-3</v>
      </c>
      <c r="O59" s="4">
        <v>5.4314999999999997E-3</v>
      </c>
      <c r="P59" s="4">
        <v>5.1501000000000003E-3</v>
      </c>
      <c r="Q59" s="4">
        <v>4.9081000000000003E-3</v>
      </c>
      <c r="R59" s="4">
        <v>4.6857000000000001E-3</v>
      </c>
      <c r="S59" s="4">
        <v>4.4837000000000002E-3</v>
      </c>
      <c r="T59" s="4">
        <v>4.3011999999999998E-3</v>
      </c>
      <c r="U59" s="4">
        <v>4.1367000000000001E-3</v>
      </c>
      <c r="V59" s="4">
        <v>3.9906999999999998E-3</v>
      </c>
      <c r="W59" s="4">
        <v>3.8592000000000001E-3</v>
      </c>
      <c r="X59" s="4">
        <v>3.7353999999999998E-3</v>
      </c>
      <c r="Y59" s="4">
        <v>3.6153000000000001E-3</v>
      </c>
      <c r="Z59" s="4">
        <v>3.5032000000000002E-3</v>
      </c>
      <c r="AA59" s="4">
        <v>3.3980999999999998E-3</v>
      </c>
      <c r="AB59" s="4">
        <v>3.2910000000000001E-3</v>
      </c>
      <c r="AC59" s="4">
        <v>3.1993999999999998E-3</v>
      </c>
      <c r="AD59" s="4">
        <v>3.0720000000000001E-3</v>
      </c>
      <c r="AE59" s="4">
        <v>2.9862000000000001E-3</v>
      </c>
      <c r="AF59" s="4">
        <v>2.9060000000000002E-3</v>
      </c>
      <c r="AG59" s="4">
        <v>2.8287E-3</v>
      </c>
      <c r="AH59" s="4">
        <v>2.7575999999999998E-3</v>
      </c>
      <c r="AI59" s="4">
        <v>2.6947999999999998E-3</v>
      </c>
      <c r="AJ59" s="4">
        <v>2.6346999999999998E-3</v>
      </c>
      <c r="AK59" s="4">
        <v>2.5734E-3</v>
      </c>
      <c r="AL59" s="4">
        <v>2.5146999999999999E-3</v>
      </c>
      <c r="AM59" s="4">
        <v>2.4608E-3</v>
      </c>
      <c r="AN59" s="4">
        <v>2.4112000000000001E-3</v>
      </c>
      <c r="AO59" s="4">
        <v>2.3706999999999999E-3</v>
      </c>
      <c r="AP59" s="4">
        <v>2.3326000000000002E-3</v>
      </c>
      <c r="AQ59" s="4">
        <v>2.2943999999999998E-3</v>
      </c>
      <c r="AR59" s="4">
        <v>2.2569000000000001E-3</v>
      </c>
      <c r="AS59" s="4">
        <v>2.2190000000000001E-3</v>
      </c>
      <c r="AT59" s="4">
        <v>2.1789000000000001E-3</v>
      </c>
      <c r="AU59" s="4">
        <v>2.1310000000000001E-3</v>
      </c>
      <c r="AV59" s="4">
        <v>2.0752000000000001E-3</v>
      </c>
      <c r="AW59" s="4">
        <v>1.9759000000000001E-3</v>
      </c>
      <c r="AX59" s="4">
        <v>1.9266000000000001E-3</v>
      </c>
      <c r="AY59" s="4">
        <v>1.8764000000000001E-3</v>
      </c>
      <c r="AZ59" s="4">
        <v>1.7694E-3</v>
      </c>
      <c r="BA59" s="4">
        <v>1.8466000000000001E-3</v>
      </c>
      <c r="BB59" s="4">
        <v>1.8232999999999999E-3</v>
      </c>
      <c r="BC59" s="4">
        <v>1.8109000000000001E-3</v>
      </c>
      <c r="BD59" s="4">
        <v>1.7971E-3</v>
      </c>
      <c r="BE59" s="4">
        <v>1.7830999999999999E-3</v>
      </c>
      <c r="BF59" s="4">
        <v>1.7681999999999999E-3</v>
      </c>
      <c r="BG59" s="4">
        <v>1.7528000000000001E-3</v>
      </c>
      <c r="BH59" s="4">
        <v>1.7367000000000001E-3</v>
      </c>
      <c r="BI59" s="4">
        <v>1.72E-3</v>
      </c>
      <c r="BJ59" s="4">
        <v>1.7026999999999999E-3</v>
      </c>
      <c r="BK59" s="4">
        <v>1.6850999999999999E-3</v>
      </c>
      <c r="BL59" s="4">
        <v>1.6670000000000001E-3</v>
      </c>
      <c r="BM59" s="4">
        <v>1.6486999999999999E-3</v>
      </c>
      <c r="BN59" s="4">
        <v>1.6302000000000001E-3</v>
      </c>
      <c r="BO59" s="4">
        <v>1.6115000000000001E-3</v>
      </c>
      <c r="BP59" s="4">
        <v>1.5927000000000001E-3</v>
      </c>
      <c r="BQ59" s="4">
        <v>1.5738E-3</v>
      </c>
      <c r="BR59" s="4">
        <v>1.5548000000000001E-3</v>
      </c>
      <c r="BS59" s="4">
        <v>1.5359E-3</v>
      </c>
      <c r="BT59" s="4">
        <v>1.5169000000000001E-3</v>
      </c>
      <c r="BU59" s="4">
        <v>1.4978999999999999E-3</v>
      </c>
      <c r="BV59" s="4">
        <v>1.4790999999999999E-3</v>
      </c>
      <c r="BW59" s="4">
        <v>1.4602E-3</v>
      </c>
      <c r="BX59" s="4">
        <v>1.4415000000000001E-3</v>
      </c>
      <c r="BY59" s="4">
        <v>1.4228000000000001E-3</v>
      </c>
      <c r="BZ59" s="4">
        <v>1.4042E-3</v>
      </c>
      <c r="CA59" s="4">
        <v>1.3856999999999999E-3</v>
      </c>
      <c r="CB59" s="4">
        <v>1.3674E-3</v>
      </c>
      <c r="CC59" s="4">
        <v>1.3491E-3</v>
      </c>
      <c r="CD59" s="4">
        <v>1.3309999999999999E-3</v>
      </c>
      <c r="CE59" s="4">
        <v>1.3129999999999999E-3</v>
      </c>
      <c r="CF59" s="4">
        <v>1.2951E-3</v>
      </c>
      <c r="CG59" s="4">
        <v>1.2773000000000001E-3</v>
      </c>
      <c r="CH59" s="4">
        <v>1.2597000000000001E-3</v>
      </c>
      <c r="CI59" s="4">
        <v>1.2423E-3</v>
      </c>
      <c r="CJ59" s="4">
        <v>1.225E-3</v>
      </c>
      <c r="CK59" s="4">
        <v>1.2079E-3</v>
      </c>
      <c r="CL59" s="4">
        <v>1.1908999999999999E-3</v>
      </c>
      <c r="CM59" s="4">
        <v>1.1741E-3</v>
      </c>
      <c r="CN59" s="4">
        <v>1.1574999999999999E-3</v>
      </c>
      <c r="CO59" s="4">
        <v>1.1410999999999999E-3</v>
      </c>
      <c r="CP59" s="4">
        <v>1.1248E-3</v>
      </c>
      <c r="CQ59" s="4">
        <v>1.1088000000000001E-3</v>
      </c>
      <c r="CR59" s="4">
        <v>1.0928999999999999E-3</v>
      </c>
      <c r="CS59" s="4">
        <v>1.0773E-3</v>
      </c>
      <c r="CT59" s="4">
        <v>1.0617999999999999E-3</v>
      </c>
      <c r="CU59" s="4">
        <v>1.0466E-3</v>
      </c>
      <c r="CV59" s="4">
        <v>1.0315000000000001E-3</v>
      </c>
      <c r="CW59" s="4">
        <v>1.0166000000000001E-3</v>
      </c>
      <c r="CX59" s="4">
        <v>1.0020000000000001E-3</v>
      </c>
      <c r="CY59" s="4">
        <v>9.875000000000001E-4</v>
      </c>
      <c r="CZ59" s="4">
        <v>9.7320000000000002E-4</v>
      </c>
      <c r="DA59" s="4">
        <v>9.592E-4</v>
      </c>
      <c r="DB59" s="4">
        <v>9.4530000000000005E-4</v>
      </c>
      <c r="DC59" s="4">
        <v>9.3170000000000004E-4</v>
      </c>
      <c r="DD59" s="4">
        <v>9.1819999999999998E-4</v>
      </c>
      <c r="DE59" s="4">
        <v>9.0490000000000004E-4</v>
      </c>
      <c r="DF59" s="4">
        <v>8.9179999999999999E-4</v>
      </c>
      <c r="DG59" s="4">
        <v>8.7900000000000001E-4</v>
      </c>
      <c r="DH59" s="4">
        <v>8.6629999999999997E-4</v>
      </c>
      <c r="DI59" s="4">
        <v>8.5380000000000005E-4</v>
      </c>
      <c r="DJ59" s="4">
        <v>8.4150000000000002E-4</v>
      </c>
      <c r="DK59" s="4">
        <v>8.2930000000000005E-4</v>
      </c>
      <c r="DL59" s="4">
        <v>8.1740000000000003E-4</v>
      </c>
      <c r="DM59" s="4">
        <v>8.0559999999999996E-4</v>
      </c>
      <c r="DN59" s="4">
        <v>7.9409999999999995E-4</v>
      </c>
      <c r="DO59" s="4">
        <v>7.8260000000000005E-4</v>
      </c>
      <c r="DP59" s="4">
        <v>7.7139999999999999E-4</v>
      </c>
      <c r="DQ59" s="4">
        <v>5.3749499999999999E-2</v>
      </c>
      <c r="DR59" s="4">
        <v>0</v>
      </c>
      <c r="DS59" s="4">
        <v>1.1680000000000001E-4</v>
      </c>
      <c r="DT59" s="4">
        <v>2.354E-4</v>
      </c>
      <c r="DU59" s="4">
        <v>3.6660000000000002E-4</v>
      </c>
      <c r="DV59" s="4">
        <v>6.9439999999999997E-4</v>
      </c>
      <c r="DW59" s="4">
        <v>6.2839999999999999E-4</v>
      </c>
      <c r="DX59" s="4">
        <v>6.0139999999999998E-4</v>
      </c>
      <c r="DY59" s="4">
        <v>5.3759999999999995E-4</v>
      </c>
      <c r="DZ59" s="4">
        <v>4.8069999999999997E-4</v>
      </c>
      <c r="EA59" s="4">
        <v>4.2789999999999999E-4</v>
      </c>
      <c r="EB59" s="4">
        <v>3.8010000000000002E-4</v>
      </c>
      <c r="EC59" s="4">
        <v>3.3609999999999998E-4</v>
      </c>
      <c r="ED59" s="4">
        <v>3.0019999999999998E-4</v>
      </c>
      <c r="EE59" s="4">
        <v>2.697E-4</v>
      </c>
      <c r="EF59" s="4">
        <v>2.42E-4</v>
      </c>
      <c r="EG59" s="4">
        <v>2.1880000000000001E-4</v>
      </c>
      <c r="EH59" s="4">
        <v>1.984E-4</v>
      </c>
      <c r="EI59" s="4">
        <v>1.806E-4</v>
      </c>
      <c r="EJ59" s="4">
        <v>1.649E-4</v>
      </c>
      <c r="EK59" s="4">
        <v>1.5119999999999999E-4</v>
      </c>
      <c r="EL59" s="4">
        <v>1.3909999999999999E-4</v>
      </c>
      <c r="EM59" s="4">
        <v>1.2850000000000001E-4</v>
      </c>
      <c r="EN59" s="4">
        <v>1.1909999999999999E-4</v>
      </c>
      <c r="EO59" s="4">
        <v>1.105E-4</v>
      </c>
      <c r="EP59" s="4">
        <v>1.0280000000000001E-4</v>
      </c>
      <c r="EQ59" s="4">
        <v>9.6000000000000002E-5</v>
      </c>
      <c r="ER59" s="4">
        <v>8.9599999999999996E-5</v>
      </c>
      <c r="ES59" s="4">
        <v>8.4099999999999998E-5</v>
      </c>
      <c r="ET59" s="4">
        <v>7.7999999999999999E-5</v>
      </c>
      <c r="EU59" s="4">
        <v>7.3399999999999995E-5</v>
      </c>
      <c r="EV59" s="4">
        <v>6.9400000000000006E-5</v>
      </c>
      <c r="EW59" s="4">
        <v>6.5599999999999995E-5</v>
      </c>
      <c r="EX59" s="4">
        <v>6.2199999999999994E-5</v>
      </c>
      <c r="EY59" s="4">
        <v>5.91E-5</v>
      </c>
      <c r="EZ59" s="4">
        <v>5.63E-5</v>
      </c>
      <c r="FA59" s="4">
        <v>5.3600000000000002E-5</v>
      </c>
      <c r="FB59" s="4">
        <v>5.1100000000000002E-5</v>
      </c>
      <c r="FC59" s="4">
        <v>4.88E-5</v>
      </c>
      <c r="FD59" s="4">
        <v>4.6799999999999999E-5</v>
      </c>
      <c r="FE59" s="4">
        <v>4.5000000000000003E-5</v>
      </c>
      <c r="FF59" s="4">
        <v>4.3300000000000002E-5</v>
      </c>
      <c r="FG59" s="4">
        <v>4.1699999999999997E-5</v>
      </c>
      <c r="FH59" s="4">
        <v>4.0200000000000001E-5</v>
      </c>
      <c r="FI59" s="4">
        <v>3.8800000000000001E-5</v>
      </c>
      <c r="FJ59" s="4">
        <v>3.7400000000000001E-5</v>
      </c>
      <c r="FK59" s="4">
        <v>3.6000000000000001E-5</v>
      </c>
      <c r="FL59" s="4">
        <v>3.4499999999999998E-5</v>
      </c>
      <c r="FM59" s="4">
        <v>3.2400000000000001E-5</v>
      </c>
      <c r="FN59" s="4">
        <v>3.1199999999999999E-5</v>
      </c>
      <c r="FO59" s="4">
        <v>3.0000000000000001E-5</v>
      </c>
      <c r="FP59" s="4">
        <v>2.7900000000000001E-5</v>
      </c>
      <c r="FQ59" s="4">
        <v>2.8900000000000001E-5</v>
      </c>
      <c r="FR59" s="4">
        <v>2.8200000000000001E-5</v>
      </c>
      <c r="FS59" s="4">
        <v>2.7699999999999999E-5</v>
      </c>
      <c r="FT59" s="4">
        <v>2.73E-5</v>
      </c>
      <c r="FU59" s="4">
        <v>2.6800000000000001E-5</v>
      </c>
      <c r="FV59" s="4">
        <v>2.6400000000000001E-5</v>
      </c>
      <c r="FW59" s="4">
        <v>2.5899999999999999E-5</v>
      </c>
      <c r="FX59" s="4">
        <v>2.55E-5</v>
      </c>
      <c r="FY59" s="4">
        <v>2.51E-5</v>
      </c>
      <c r="FZ59" s="4">
        <v>2.4700000000000001E-5</v>
      </c>
      <c r="GA59" s="4">
        <v>2.44E-5</v>
      </c>
      <c r="GB59" s="4">
        <v>2.4000000000000001E-5</v>
      </c>
      <c r="GC59" s="4">
        <v>2.3600000000000001E-5</v>
      </c>
      <c r="GD59" s="4">
        <v>2.3300000000000001E-5</v>
      </c>
      <c r="GE59" s="4">
        <v>2.3E-5</v>
      </c>
      <c r="GF59" s="4">
        <v>2.26E-5</v>
      </c>
      <c r="GG59" s="4">
        <v>2.23E-5</v>
      </c>
      <c r="GH59" s="4">
        <v>2.1999999999999999E-5</v>
      </c>
      <c r="GI59" s="4">
        <v>2.1699999999999999E-5</v>
      </c>
      <c r="GJ59" s="4">
        <v>2.1399999999999998E-5</v>
      </c>
      <c r="GK59" s="4">
        <v>2.1100000000000001E-5</v>
      </c>
      <c r="GL59" s="4">
        <v>2.0800000000000001E-5</v>
      </c>
      <c r="GM59" s="4">
        <v>2.05E-5</v>
      </c>
      <c r="GN59" s="4">
        <v>2.02E-5</v>
      </c>
      <c r="GO59" s="4">
        <v>1.9899999999999999E-5</v>
      </c>
      <c r="GP59" s="4">
        <v>1.9700000000000001E-5</v>
      </c>
      <c r="GQ59" s="4">
        <v>1.9400000000000001E-5</v>
      </c>
      <c r="GR59" s="4">
        <v>1.91E-5</v>
      </c>
      <c r="GS59" s="4">
        <v>1.8899999999999999E-5</v>
      </c>
      <c r="GT59" s="4">
        <v>1.8600000000000001E-5</v>
      </c>
      <c r="GU59" s="4">
        <v>1.84E-5</v>
      </c>
      <c r="GV59" s="4">
        <v>1.8099999999999999E-5</v>
      </c>
      <c r="GW59" s="4">
        <v>1.7900000000000001E-5</v>
      </c>
      <c r="GX59" s="4">
        <v>1.7600000000000001E-5</v>
      </c>
      <c r="GY59" s="4">
        <v>1.7399999999999999E-5</v>
      </c>
      <c r="GZ59" s="4">
        <v>1.7200000000000001E-5</v>
      </c>
      <c r="HA59" s="4">
        <v>1.6900000000000001E-5</v>
      </c>
      <c r="HB59" s="4">
        <v>1.6699999999999999E-5</v>
      </c>
      <c r="HC59" s="4">
        <v>1.6500000000000001E-5</v>
      </c>
      <c r="HD59" s="4">
        <v>1.6200000000000001E-5</v>
      </c>
      <c r="HE59" s="4">
        <v>1.5999999999999999E-5</v>
      </c>
      <c r="HF59" s="4">
        <v>1.5800000000000001E-5</v>
      </c>
      <c r="HG59" s="4">
        <v>1.56E-5</v>
      </c>
      <c r="HH59" s="4">
        <v>1.5299999999999999E-5</v>
      </c>
      <c r="HI59" s="4">
        <v>1.5099999999999999E-5</v>
      </c>
      <c r="HJ59" s="4">
        <v>1.49E-5</v>
      </c>
      <c r="HK59" s="4">
        <v>1.47E-5</v>
      </c>
      <c r="HL59" s="4">
        <v>1.45E-5</v>
      </c>
      <c r="HM59" s="4">
        <v>1.43E-5</v>
      </c>
      <c r="HN59" s="4">
        <v>1.4100000000000001E-5</v>
      </c>
      <c r="HO59" s="4">
        <v>1.3900000000000001E-5</v>
      </c>
      <c r="HP59" s="4">
        <v>1.3699999999999999E-5</v>
      </c>
      <c r="HQ59" s="4">
        <v>1.3499999999999999E-5</v>
      </c>
      <c r="HR59" s="4">
        <v>1.33E-5</v>
      </c>
      <c r="HS59" s="4">
        <v>1.31E-5</v>
      </c>
      <c r="HT59" s="4">
        <v>1.29E-5</v>
      </c>
      <c r="HU59" s="4">
        <v>1.2799999999999999E-5</v>
      </c>
      <c r="HV59" s="4">
        <v>1.26E-5</v>
      </c>
      <c r="HW59" s="4">
        <v>1.24E-5</v>
      </c>
      <c r="HX59" s="4">
        <v>1.22E-5</v>
      </c>
      <c r="HY59" s="4">
        <v>1.2099999999999999E-5</v>
      </c>
      <c r="HZ59" s="4">
        <v>1.19E-5</v>
      </c>
      <c r="IA59" s="4">
        <v>1.17E-5</v>
      </c>
      <c r="IB59" s="4">
        <v>1.1600000000000001E-5</v>
      </c>
      <c r="IC59" s="4">
        <v>1.1399999999999999E-5</v>
      </c>
      <c r="ID59" s="4">
        <v>1.1199999999999999E-5</v>
      </c>
      <c r="IE59" s="4">
        <v>1.11E-5</v>
      </c>
      <c r="IF59" s="4">
        <v>1.0900000000000001E-5</v>
      </c>
      <c r="IG59" s="4">
        <v>7.6380000000000003E-4</v>
      </c>
      <c r="IH59" s="4"/>
      <c r="IL59">
        <f t="shared" si="248"/>
        <v>0.35723848750000009</v>
      </c>
      <c r="IP59" s="4">
        <f t="shared" si="249"/>
        <v>4.1527299999999996E-2</v>
      </c>
      <c r="IQ59" s="4">
        <f t="shared" si="250"/>
        <v>3.31848E-2</v>
      </c>
      <c r="IR59" s="4">
        <f t="shared" si="251"/>
        <v>2.5226999999999999E-2</v>
      </c>
      <c r="IS59" s="4">
        <f t="shared" si="252"/>
        <v>2.01754E-2</v>
      </c>
      <c r="IT59" s="4">
        <f t="shared" si="253"/>
        <v>1.6912299999999998E-2</v>
      </c>
      <c r="IU59" s="4">
        <f t="shared" si="254"/>
        <v>5.9144999999999982E-2</v>
      </c>
      <c r="IV59" s="4">
        <f t="shared" si="255"/>
        <v>3.8445100000000003E-2</v>
      </c>
      <c r="IW59" s="4">
        <f t="shared" si="256"/>
        <v>3.0155500000000002E-2</v>
      </c>
      <c r="IX59" s="4">
        <f t="shared" si="257"/>
        <v>9.2548500000000006E-2</v>
      </c>
    </row>
    <row r="60" spans="1:258" x14ac:dyDescent="0.35">
      <c r="A60" s="1">
        <v>52</v>
      </c>
      <c r="B60" s="4">
        <v>1.0654E-2</v>
      </c>
      <c r="C60" s="4">
        <v>1.0654E-2</v>
      </c>
      <c r="D60" s="4">
        <v>1.0618000000000001E-2</v>
      </c>
      <c r="E60" s="4">
        <v>1.0307999999999999E-2</v>
      </c>
      <c r="F60" s="4">
        <v>9.9415000000000007E-3</v>
      </c>
      <c r="G60" s="4">
        <v>9.2466000000000007E-3</v>
      </c>
      <c r="H60" s="4">
        <v>8.6108999999999995E-3</v>
      </c>
      <c r="I60" s="4">
        <v>7.9792999999999999E-3</v>
      </c>
      <c r="J60" s="4">
        <v>7.4193000000000002E-3</v>
      </c>
      <c r="K60" s="4">
        <v>6.9274000000000002E-3</v>
      </c>
      <c r="L60" s="4">
        <v>6.4982E-3</v>
      </c>
      <c r="M60" s="4">
        <v>6.1116E-3</v>
      </c>
      <c r="N60" s="4">
        <v>5.7400000000000003E-3</v>
      </c>
      <c r="O60" s="4">
        <v>5.4329000000000001E-3</v>
      </c>
      <c r="P60" s="4">
        <v>5.1617E-3</v>
      </c>
      <c r="Q60" s="4">
        <v>4.9081000000000003E-3</v>
      </c>
      <c r="R60" s="4">
        <v>4.6893000000000004E-3</v>
      </c>
      <c r="S60" s="4">
        <v>4.4873999999999999E-3</v>
      </c>
      <c r="T60" s="4">
        <v>4.3030999999999998E-3</v>
      </c>
      <c r="U60" s="4">
        <v>4.1362999999999999E-3</v>
      </c>
      <c r="V60" s="4">
        <v>3.9855000000000003E-3</v>
      </c>
      <c r="W60" s="4">
        <v>3.8516000000000002E-3</v>
      </c>
      <c r="X60" s="4">
        <v>3.7307E-3</v>
      </c>
      <c r="Y60" s="4">
        <v>3.6162999999999998E-3</v>
      </c>
      <c r="Z60" s="4">
        <v>3.5048000000000002E-3</v>
      </c>
      <c r="AA60" s="4">
        <v>3.4004E-3</v>
      </c>
      <c r="AB60" s="4">
        <v>3.3021999999999999E-3</v>
      </c>
      <c r="AC60" s="4">
        <v>3.2014000000000001E-3</v>
      </c>
      <c r="AD60" s="4">
        <v>3.1153000000000001E-3</v>
      </c>
      <c r="AE60" s="4">
        <v>2.9940000000000001E-3</v>
      </c>
      <c r="AF60" s="4">
        <v>2.9128000000000001E-3</v>
      </c>
      <c r="AG60" s="4">
        <v>2.8365999999999999E-3</v>
      </c>
      <c r="AH60" s="4">
        <v>2.7631000000000001E-3</v>
      </c>
      <c r="AI60" s="4">
        <v>2.6955E-3</v>
      </c>
      <c r="AJ60" s="4">
        <v>2.6356999999999999E-3</v>
      </c>
      <c r="AK60" s="4">
        <v>2.5783999999999998E-3</v>
      </c>
      <c r="AL60" s="4">
        <v>2.5198E-3</v>
      </c>
      <c r="AM60" s="4">
        <v>2.4635999999999998E-3</v>
      </c>
      <c r="AN60" s="4">
        <v>2.4120000000000001E-3</v>
      </c>
      <c r="AO60" s="4">
        <v>2.3644E-3</v>
      </c>
      <c r="AP60" s="4">
        <v>2.3257E-3</v>
      </c>
      <c r="AQ60" s="4">
        <v>2.2893000000000002E-3</v>
      </c>
      <c r="AR60" s="4">
        <v>2.2526999999999998E-3</v>
      </c>
      <c r="AS60" s="4">
        <v>2.2166999999999998E-3</v>
      </c>
      <c r="AT60" s="4">
        <v>2.1800999999999999E-3</v>
      </c>
      <c r="AU60" s="4">
        <v>2.1413999999999999E-3</v>
      </c>
      <c r="AV60" s="4">
        <v>2.0948999999999998E-3</v>
      </c>
      <c r="AW60" s="4">
        <v>2.0406000000000001E-3</v>
      </c>
      <c r="AX60" s="4">
        <v>1.9434999999999999E-3</v>
      </c>
      <c r="AY60" s="4">
        <v>1.8954E-3</v>
      </c>
      <c r="AZ60" s="4">
        <v>1.8464E-3</v>
      </c>
      <c r="BA60" s="4">
        <v>1.7415E-3</v>
      </c>
      <c r="BB60" s="4">
        <v>1.8177E-3</v>
      </c>
      <c r="BC60" s="4">
        <v>1.7949999999999999E-3</v>
      </c>
      <c r="BD60" s="4">
        <v>1.7832E-3</v>
      </c>
      <c r="BE60" s="4">
        <v>1.7698E-3</v>
      </c>
      <c r="BF60" s="4">
        <v>1.7562999999999999E-3</v>
      </c>
      <c r="BG60" s="4">
        <v>1.7417999999999999E-3</v>
      </c>
      <c r="BH60" s="4">
        <v>1.7269E-3</v>
      </c>
      <c r="BI60" s="4">
        <v>1.7112E-3</v>
      </c>
      <c r="BJ60" s="4">
        <v>1.6949000000000001E-3</v>
      </c>
      <c r="BK60" s="4">
        <v>1.678E-3</v>
      </c>
      <c r="BL60" s="4">
        <v>1.6607E-3</v>
      </c>
      <c r="BM60" s="4">
        <v>1.6429999999999999E-3</v>
      </c>
      <c r="BN60" s="4">
        <v>1.6251E-3</v>
      </c>
      <c r="BO60" s="4">
        <v>1.6069000000000001E-3</v>
      </c>
      <c r="BP60" s="4">
        <v>1.5885000000000001E-3</v>
      </c>
      <c r="BQ60" s="4">
        <v>1.5701000000000001E-3</v>
      </c>
      <c r="BR60" s="4">
        <v>1.5514999999999999E-3</v>
      </c>
      <c r="BS60" s="4">
        <v>1.5328E-3</v>
      </c>
      <c r="BT60" s="4">
        <v>1.5142000000000001E-3</v>
      </c>
      <c r="BU60" s="4">
        <v>1.4955000000000001E-3</v>
      </c>
      <c r="BV60" s="4">
        <v>1.4769E-3</v>
      </c>
      <c r="BW60" s="4">
        <v>1.4583E-3</v>
      </c>
      <c r="BX60" s="4">
        <v>1.4396999999999999E-3</v>
      </c>
      <c r="BY60" s="4">
        <v>1.4212000000000001E-3</v>
      </c>
      <c r="BZ60" s="4">
        <v>1.4028000000000001E-3</v>
      </c>
      <c r="CA60" s="4">
        <v>1.3845000000000001E-3</v>
      </c>
      <c r="CB60" s="4">
        <v>1.3663E-3</v>
      </c>
      <c r="CC60" s="4">
        <v>1.3481999999999999E-3</v>
      </c>
      <c r="CD60" s="4">
        <v>1.3301999999999999E-3</v>
      </c>
      <c r="CE60" s="4">
        <v>1.3123E-3</v>
      </c>
      <c r="CF60" s="4">
        <v>1.2945999999999999E-3</v>
      </c>
      <c r="CG60" s="4">
        <v>1.2769000000000001E-3</v>
      </c>
      <c r="CH60" s="4">
        <v>1.2595E-3</v>
      </c>
      <c r="CI60" s="4">
        <v>1.2421000000000001E-3</v>
      </c>
      <c r="CJ60" s="4">
        <v>1.2248999999999999E-3</v>
      </c>
      <c r="CK60" s="4">
        <v>1.2078E-3</v>
      </c>
      <c r="CL60" s="4">
        <v>1.1908999999999999E-3</v>
      </c>
      <c r="CM60" s="4">
        <v>1.1742E-3</v>
      </c>
      <c r="CN60" s="4">
        <v>1.1577E-3</v>
      </c>
      <c r="CO60" s="4">
        <v>1.1413E-3</v>
      </c>
      <c r="CP60" s="4">
        <v>1.1251E-3</v>
      </c>
      <c r="CQ60" s="4">
        <v>1.1091E-3</v>
      </c>
      <c r="CR60" s="4">
        <v>1.0931999999999999E-3</v>
      </c>
      <c r="CS60" s="4">
        <v>1.0776E-3</v>
      </c>
      <c r="CT60" s="4">
        <v>1.0621999999999999E-3</v>
      </c>
      <c r="CU60" s="4">
        <v>1.0468999999999999E-3</v>
      </c>
      <c r="CV60" s="4">
        <v>1.0319000000000001E-3</v>
      </c>
      <c r="CW60" s="4">
        <v>1.0169999999999999E-3</v>
      </c>
      <c r="CX60" s="4">
        <v>1.0023E-3</v>
      </c>
      <c r="CY60" s="4">
        <v>9.8790000000000011E-4</v>
      </c>
      <c r="CZ60" s="4">
        <v>9.7360000000000003E-4</v>
      </c>
      <c r="DA60" s="4">
        <v>9.5949999999999996E-4</v>
      </c>
      <c r="DB60" s="4">
        <v>9.4569999999999995E-4</v>
      </c>
      <c r="DC60" s="4">
        <v>9.3199999999999999E-4</v>
      </c>
      <c r="DD60" s="4">
        <v>9.1850000000000005E-4</v>
      </c>
      <c r="DE60" s="4">
        <v>9.0519999999999999E-4</v>
      </c>
      <c r="DF60" s="4">
        <v>8.922E-4</v>
      </c>
      <c r="DG60" s="4">
        <v>8.7929999999999996E-4</v>
      </c>
      <c r="DH60" s="4">
        <v>8.6660000000000003E-4</v>
      </c>
      <c r="DI60" s="4">
        <v>8.5400000000000005E-4</v>
      </c>
      <c r="DJ60" s="4">
        <v>8.4170000000000002E-4</v>
      </c>
      <c r="DK60" s="4">
        <v>8.296E-4</v>
      </c>
      <c r="DL60" s="4">
        <v>8.1760000000000003E-4</v>
      </c>
      <c r="DM60" s="4">
        <v>8.0579999999999996E-4</v>
      </c>
      <c r="DN60" s="4">
        <v>7.9420000000000001E-4</v>
      </c>
      <c r="DO60" s="4">
        <v>7.8280000000000005E-4</v>
      </c>
      <c r="DP60" s="4">
        <v>7.716E-4</v>
      </c>
      <c r="DQ60" s="4">
        <v>5.3746200000000001E-2</v>
      </c>
      <c r="DR60" s="4">
        <v>0</v>
      </c>
      <c r="DS60" s="4">
        <v>1.106E-4</v>
      </c>
      <c r="DT60" s="4">
        <v>2.2020000000000001E-4</v>
      </c>
      <c r="DU60" s="4">
        <v>3.6739999999999999E-4</v>
      </c>
      <c r="DV60" s="4">
        <v>7.0010000000000005E-4</v>
      </c>
      <c r="DW60" s="4">
        <v>6.3330000000000005E-4</v>
      </c>
      <c r="DX60" s="4">
        <v>6.2100000000000002E-4</v>
      </c>
      <c r="DY60" s="4">
        <v>5.4969999999999997E-4</v>
      </c>
      <c r="DZ60" s="4">
        <v>4.8990000000000004E-4</v>
      </c>
      <c r="EA60" s="4">
        <v>4.3459999999999999E-4</v>
      </c>
      <c r="EB60" s="4">
        <v>3.859E-4</v>
      </c>
      <c r="EC60" s="4">
        <v>3.4309999999999999E-4</v>
      </c>
      <c r="ED60" s="4">
        <v>3.0410000000000002E-4</v>
      </c>
      <c r="EE60" s="4">
        <v>2.721E-4</v>
      </c>
      <c r="EF60" s="4">
        <v>2.4499999999999999E-4</v>
      </c>
      <c r="EG60" s="4">
        <v>2.2049999999999999E-4</v>
      </c>
      <c r="EH60" s="4">
        <v>1.9990000000000001E-4</v>
      </c>
      <c r="EI60" s="4">
        <v>1.817E-4</v>
      </c>
      <c r="EJ60" s="4">
        <v>1.6589999999999999E-4</v>
      </c>
      <c r="EK60" s="4">
        <v>1.5190000000000001E-4</v>
      </c>
      <c r="EL60" s="4">
        <v>1.3970000000000001E-4</v>
      </c>
      <c r="EM60" s="4">
        <v>1.2879999999999999E-4</v>
      </c>
      <c r="EN60" s="4">
        <v>1.193E-4</v>
      </c>
      <c r="EO60" s="4">
        <v>1.109E-4</v>
      </c>
      <c r="EP60" s="4">
        <v>1.032E-4</v>
      </c>
      <c r="EQ60" s="4">
        <v>9.6199999999999994E-5</v>
      </c>
      <c r="ER60" s="4">
        <v>9.0099999999999995E-5</v>
      </c>
      <c r="ES60" s="4">
        <v>8.4400000000000005E-5</v>
      </c>
      <c r="ET60" s="4">
        <v>7.9400000000000006E-5</v>
      </c>
      <c r="EU60" s="4">
        <v>7.3800000000000005E-5</v>
      </c>
      <c r="EV60" s="4">
        <v>6.9599999999999998E-5</v>
      </c>
      <c r="EW60" s="4">
        <v>6.5900000000000003E-5</v>
      </c>
      <c r="EX60" s="4">
        <v>6.2399999999999999E-5</v>
      </c>
      <c r="EY60" s="4">
        <v>5.9200000000000002E-5</v>
      </c>
      <c r="EZ60" s="4">
        <v>5.6400000000000002E-5</v>
      </c>
      <c r="FA60" s="4">
        <v>5.38E-5</v>
      </c>
      <c r="FB60" s="4">
        <v>5.13E-5</v>
      </c>
      <c r="FC60" s="4">
        <v>4.8999999999999998E-5</v>
      </c>
      <c r="FD60" s="4">
        <v>4.6900000000000002E-5</v>
      </c>
      <c r="FE60" s="4">
        <v>4.49E-5</v>
      </c>
      <c r="FF60" s="4">
        <v>4.3300000000000002E-5</v>
      </c>
      <c r="FG60" s="4">
        <v>4.1699999999999997E-5</v>
      </c>
      <c r="FH60" s="4">
        <v>4.0200000000000001E-5</v>
      </c>
      <c r="FI60" s="4">
        <v>3.8800000000000001E-5</v>
      </c>
      <c r="FJ60" s="4">
        <v>3.7499999999999997E-5</v>
      </c>
      <c r="FK60" s="4">
        <v>3.6199999999999999E-5</v>
      </c>
      <c r="FL60" s="4">
        <v>3.4900000000000001E-5</v>
      </c>
      <c r="FM60" s="4">
        <v>3.3500000000000001E-5</v>
      </c>
      <c r="FN60" s="4">
        <v>3.15E-5</v>
      </c>
      <c r="FO60" s="4">
        <v>3.0300000000000001E-5</v>
      </c>
      <c r="FP60" s="4">
        <v>2.9200000000000002E-5</v>
      </c>
      <c r="FQ60" s="4">
        <v>2.72E-5</v>
      </c>
      <c r="FR60" s="4">
        <v>2.8200000000000001E-5</v>
      </c>
      <c r="FS60" s="4">
        <v>2.7500000000000001E-5</v>
      </c>
      <c r="FT60" s="4">
        <v>2.7100000000000001E-5</v>
      </c>
      <c r="FU60" s="4">
        <v>2.6599999999999999E-5</v>
      </c>
      <c r="FV60" s="4">
        <v>2.62E-5</v>
      </c>
      <c r="FW60" s="4">
        <v>2.58E-5</v>
      </c>
      <c r="FX60" s="4">
        <v>2.5400000000000001E-5</v>
      </c>
      <c r="FY60" s="4">
        <v>2.5000000000000001E-5</v>
      </c>
      <c r="FZ60" s="4">
        <v>2.4700000000000001E-5</v>
      </c>
      <c r="GA60" s="4">
        <v>2.4300000000000001E-5</v>
      </c>
      <c r="GB60" s="4">
        <v>2.3900000000000002E-5</v>
      </c>
      <c r="GC60" s="4">
        <v>2.3600000000000001E-5</v>
      </c>
      <c r="GD60" s="4">
        <v>2.3200000000000001E-5</v>
      </c>
      <c r="GE60" s="4">
        <v>2.2900000000000001E-5</v>
      </c>
      <c r="GF60" s="4">
        <v>2.26E-5</v>
      </c>
      <c r="GG60" s="4">
        <v>2.23E-5</v>
      </c>
      <c r="GH60" s="4">
        <v>2.19E-5</v>
      </c>
      <c r="GI60" s="4">
        <v>2.16E-5</v>
      </c>
      <c r="GJ60" s="4">
        <v>2.1299999999999999E-5</v>
      </c>
      <c r="GK60" s="4">
        <v>2.0999999999999999E-5</v>
      </c>
      <c r="GL60" s="4">
        <v>2.0800000000000001E-5</v>
      </c>
      <c r="GM60" s="4">
        <v>2.05E-5</v>
      </c>
      <c r="GN60" s="4">
        <v>2.02E-5</v>
      </c>
      <c r="GO60" s="4">
        <v>1.9899999999999999E-5</v>
      </c>
      <c r="GP60" s="4">
        <v>1.9700000000000001E-5</v>
      </c>
      <c r="GQ60" s="4">
        <v>1.9400000000000001E-5</v>
      </c>
      <c r="GR60" s="4">
        <v>1.91E-5</v>
      </c>
      <c r="GS60" s="4">
        <v>1.8899999999999999E-5</v>
      </c>
      <c r="GT60" s="4">
        <v>1.8600000000000001E-5</v>
      </c>
      <c r="GU60" s="4">
        <v>1.84E-5</v>
      </c>
      <c r="GV60" s="4">
        <v>1.8099999999999999E-5</v>
      </c>
      <c r="GW60" s="4">
        <v>1.7900000000000001E-5</v>
      </c>
      <c r="GX60" s="4">
        <v>1.7600000000000001E-5</v>
      </c>
      <c r="GY60" s="4">
        <v>1.7399999999999999E-5</v>
      </c>
      <c r="GZ60" s="4">
        <v>1.7200000000000001E-5</v>
      </c>
      <c r="HA60" s="4">
        <v>1.6900000000000001E-5</v>
      </c>
      <c r="HB60" s="4">
        <v>1.6699999999999999E-5</v>
      </c>
      <c r="HC60" s="4">
        <v>1.6500000000000001E-5</v>
      </c>
      <c r="HD60" s="4">
        <v>1.6200000000000001E-5</v>
      </c>
      <c r="HE60" s="4">
        <v>1.5999999999999999E-5</v>
      </c>
      <c r="HF60" s="4">
        <v>1.5800000000000001E-5</v>
      </c>
      <c r="HG60" s="4">
        <v>1.56E-5</v>
      </c>
      <c r="HH60" s="4">
        <v>1.5299999999999999E-5</v>
      </c>
      <c r="HI60" s="4">
        <v>1.5099999999999999E-5</v>
      </c>
      <c r="HJ60" s="4">
        <v>1.49E-5</v>
      </c>
      <c r="HK60" s="4">
        <v>1.47E-5</v>
      </c>
      <c r="HL60" s="4">
        <v>1.45E-5</v>
      </c>
      <c r="HM60" s="4">
        <v>1.43E-5</v>
      </c>
      <c r="HN60" s="4">
        <v>1.4100000000000001E-5</v>
      </c>
      <c r="HO60" s="4">
        <v>1.3900000000000001E-5</v>
      </c>
      <c r="HP60" s="4">
        <v>1.3699999999999999E-5</v>
      </c>
      <c r="HQ60" s="4">
        <v>1.3499999999999999E-5</v>
      </c>
      <c r="HR60" s="4">
        <v>1.33E-5</v>
      </c>
      <c r="HS60" s="4">
        <v>1.31E-5</v>
      </c>
      <c r="HT60" s="4">
        <v>1.2999999999999999E-5</v>
      </c>
      <c r="HU60" s="4">
        <v>1.2799999999999999E-5</v>
      </c>
      <c r="HV60" s="4">
        <v>1.26E-5</v>
      </c>
      <c r="HW60" s="4">
        <v>1.24E-5</v>
      </c>
      <c r="HX60" s="4">
        <v>1.22E-5</v>
      </c>
      <c r="HY60" s="4">
        <v>1.2099999999999999E-5</v>
      </c>
      <c r="HZ60" s="4">
        <v>1.19E-5</v>
      </c>
      <c r="IA60" s="4">
        <v>1.17E-5</v>
      </c>
      <c r="IB60" s="4">
        <v>1.1600000000000001E-5</v>
      </c>
      <c r="IC60" s="4">
        <v>1.1399999999999999E-5</v>
      </c>
      <c r="ID60" s="4">
        <v>1.1199999999999999E-5</v>
      </c>
      <c r="IE60" s="4">
        <v>1.11E-5</v>
      </c>
      <c r="IF60" s="4">
        <v>1.0900000000000001E-5</v>
      </c>
      <c r="IG60" s="4">
        <v>7.6369999999999997E-4</v>
      </c>
      <c r="IH60" s="4"/>
      <c r="IL60">
        <f t="shared" si="248"/>
        <v>0.35729732500000011</v>
      </c>
      <c r="IP60" s="4">
        <f t="shared" si="249"/>
        <v>4.1521499999999996E-2</v>
      </c>
      <c r="IQ60" s="4">
        <f t="shared" si="250"/>
        <v>3.3256099999999997E-2</v>
      </c>
      <c r="IR60" s="4">
        <f t="shared" si="251"/>
        <v>2.52772E-2</v>
      </c>
      <c r="IS60" s="4">
        <f t="shared" si="252"/>
        <v>2.0192000000000002E-2</v>
      </c>
      <c r="IT60" s="4">
        <f t="shared" si="253"/>
        <v>1.6912299999999998E-2</v>
      </c>
      <c r="IU60" s="4">
        <f t="shared" si="254"/>
        <v>5.9224300000000007E-2</v>
      </c>
      <c r="IV60" s="4">
        <f t="shared" si="255"/>
        <v>3.8439300000000003E-2</v>
      </c>
      <c r="IW60" s="4">
        <f t="shared" si="256"/>
        <v>3.00944E-2</v>
      </c>
      <c r="IX60" s="4">
        <f t="shared" si="257"/>
        <v>9.2551500000000009E-2</v>
      </c>
    </row>
    <row r="61" spans="1:258" x14ac:dyDescent="0.35">
      <c r="A61" s="1">
        <v>53</v>
      </c>
      <c r="B61" s="4">
        <v>1.0654E-2</v>
      </c>
      <c r="C61" s="4">
        <v>1.0654E-2</v>
      </c>
      <c r="D61" s="4">
        <v>1.05434E-2</v>
      </c>
      <c r="E61" s="4">
        <v>1.03978E-2</v>
      </c>
      <c r="F61" s="4">
        <v>9.9406000000000008E-3</v>
      </c>
      <c r="G61" s="4">
        <v>9.2414000000000003E-3</v>
      </c>
      <c r="H61" s="4">
        <v>8.6133000000000008E-3</v>
      </c>
      <c r="I61" s="4">
        <v>7.9898999999999994E-3</v>
      </c>
      <c r="J61" s="4">
        <v>7.4295999999999997E-3</v>
      </c>
      <c r="K61" s="4">
        <v>6.9293999999999996E-3</v>
      </c>
      <c r="L61" s="4">
        <v>6.4928E-3</v>
      </c>
      <c r="M61" s="4">
        <v>6.1121999999999999E-3</v>
      </c>
      <c r="N61" s="4">
        <v>5.7685999999999996E-3</v>
      </c>
      <c r="O61" s="4">
        <v>5.4358999999999996E-3</v>
      </c>
      <c r="P61" s="4">
        <v>5.1608000000000001E-3</v>
      </c>
      <c r="Q61" s="4">
        <v>4.9167000000000004E-3</v>
      </c>
      <c r="R61" s="4">
        <v>4.6876000000000001E-3</v>
      </c>
      <c r="S61" s="4">
        <v>4.4894000000000002E-3</v>
      </c>
      <c r="T61" s="4">
        <v>4.3055999999999997E-3</v>
      </c>
      <c r="U61" s="4">
        <v>4.1371999999999997E-3</v>
      </c>
      <c r="V61" s="4">
        <v>3.9843999999999999E-3</v>
      </c>
      <c r="W61" s="4">
        <v>3.8457999999999999E-3</v>
      </c>
      <c r="X61" s="4">
        <v>3.7228000000000001E-3</v>
      </c>
      <c r="Y61" s="4">
        <v>3.6113E-3</v>
      </c>
      <c r="Z61" s="4">
        <v>3.5054999999999999E-3</v>
      </c>
      <c r="AA61" s="4">
        <v>3.4015999999999998E-3</v>
      </c>
      <c r="AB61" s="4">
        <v>3.3042000000000002E-3</v>
      </c>
      <c r="AC61" s="4">
        <v>3.2120999999999999E-3</v>
      </c>
      <c r="AD61" s="4">
        <v>3.117E-3</v>
      </c>
      <c r="AE61" s="4">
        <v>3.0358999999999998E-3</v>
      </c>
      <c r="AF61" s="4">
        <v>2.9202E-3</v>
      </c>
      <c r="AG61" s="4">
        <v>2.8432000000000002E-3</v>
      </c>
      <c r="AH61" s="4">
        <v>2.7707000000000001E-3</v>
      </c>
      <c r="AI61" s="4">
        <v>2.7006999999999999E-3</v>
      </c>
      <c r="AJ61" s="4">
        <v>2.6362999999999998E-3</v>
      </c>
      <c r="AK61" s="4">
        <v>2.5793000000000001E-3</v>
      </c>
      <c r="AL61" s="4">
        <v>2.5246999999999999E-3</v>
      </c>
      <c r="AM61" s="4">
        <v>2.4685000000000002E-3</v>
      </c>
      <c r="AN61" s="4">
        <v>2.4145999999999998E-3</v>
      </c>
      <c r="AO61" s="4">
        <v>2.3651000000000002E-3</v>
      </c>
      <c r="AP61" s="4">
        <v>2.3194999999999999E-3</v>
      </c>
      <c r="AQ61" s="4">
        <v>2.2824999999999998E-3</v>
      </c>
      <c r="AR61" s="4">
        <v>2.2476000000000002E-3</v>
      </c>
      <c r="AS61" s="4">
        <v>2.2125000000000001E-3</v>
      </c>
      <c r="AT61" s="4">
        <v>2.1779E-3</v>
      </c>
      <c r="AU61" s="4">
        <v>2.1426000000000001E-3</v>
      </c>
      <c r="AV61" s="4">
        <v>2.1052000000000002E-3</v>
      </c>
      <c r="AW61" s="4">
        <v>2.0600000000000002E-3</v>
      </c>
      <c r="AX61" s="4">
        <v>2.0070999999999999E-3</v>
      </c>
      <c r="AY61" s="4">
        <v>1.9120000000000001E-3</v>
      </c>
      <c r="AZ61" s="4">
        <v>1.8651E-3</v>
      </c>
      <c r="BA61" s="4">
        <v>1.8171999999999999E-3</v>
      </c>
      <c r="BB61" s="4">
        <v>1.7144E-3</v>
      </c>
      <c r="BC61" s="4">
        <v>1.7895000000000001E-3</v>
      </c>
      <c r="BD61" s="4">
        <v>1.7675E-3</v>
      </c>
      <c r="BE61" s="4">
        <v>1.7561E-3</v>
      </c>
      <c r="BF61" s="4">
        <v>1.7432000000000001E-3</v>
      </c>
      <c r="BG61" s="4">
        <v>1.7301E-3</v>
      </c>
      <c r="BH61" s="4">
        <v>1.7160000000000001E-3</v>
      </c>
      <c r="BI61" s="4">
        <v>1.7015000000000001E-3</v>
      </c>
      <c r="BJ61" s="4">
        <v>1.6861999999999999E-3</v>
      </c>
      <c r="BK61" s="4">
        <v>1.6701999999999999E-3</v>
      </c>
      <c r="BL61" s="4">
        <v>1.6536999999999999E-3</v>
      </c>
      <c r="BM61" s="4">
        <v>1.6368000000000001E-3</v>
      </c>
      <c r="BN61" s="4">
        <v>1.6195000000000001E-3</v>
      </c>
      <c r="BO61" s="4">
        <v>1.6018E-3</v>
      </c>
      <c r="BP61" s="4">
        <v>1.5839999999999999E-3</v>
      </c>
      <c r="BQ61" s="4">
        <v>1.5659999999999999E-3</v>
      </c>
      <c r="BR61" s="4">
        <v>1.5478E-3</v>
      </c>
      <c r="BS61" s="4">
        <v>1.5295E-3</v>
      </c>
      <c r="BT61" s="4">
        <v>1.5112000000000001E-3</v>
      </c>
      <c r="BU61" s="4">
        <v>1.4928000000000001E-3</v>
      </c>
      <c r="BV61" s="4">
        <v>1.4744999999999999E-3</v>
      </c>
      <c r="BW61" s="4">
        <v>1.4561000000000001E-3</v>
      </c>
      <c r="BX61" s="4">
        <v>1.4377999999999999E-3</v>
      </c>
      <c r="BY61" s="4">
        <v>1.4195E-3</v>
      </c>
      <c r="BZ61" s="4">
        <v>1.4013000000000001E-3</v>
      </c>
      <c r="CA61" s="4">
        <v>1.3832E-3</v>
      </c>
      <c r="CB61" s="4">
        <v>1.3652E-3</v>
      </c>
      <c r="CC61" s="4">
        <v>1.3472E-3</v>
      </c>
      <c r="CD61" s="4">
        <v>1.3293999999999999E-3</v>
      </c>
      <c r="CE61" s="4">
        <v>1.3116E-3</v>
      </c>
      <c r="CF61" s="4">
        <v>1.294E-3</v>
      </c>
      <c r="CG61" s="4">
        <v>1.2765000000000001E-3</v>
      </c>
      <c r="CH61" s="4">
        <v>1.2591E-3</v>
      </c>
      <c r="CI61" s="4">
        <v>1.2417999999999999E-3</v>
      </c>
      <c r="CJ61" s="4">
        <v>1.2247E-3</v>
      </c>
      <c r="CK61" s="4">
        <v>1.2076999999999999E-3</v>
      </c>
      <c r="CL61" s="4">
        <v>1.1908999999999999E-3</v>
      </c>
      <c r="CM61" s="4">
        <v>1.1743000000000001E-3</v>
      </c>
      <c r="CN61" s="4">
        <v>1.1578000000000001E-3</v>
      </c>
      <c r="CO61" s="4">
        <v>1.1414000000000001E-3</v>
      </c>
      <c r="CP61" s="4">
        <v>1.1253000000000001E-3</v>
      </c>
      <c r="CQ61" s="4">
        <v>1.1092999999999999E-3</v>
      </c>
      <c r="CR61" s="4">
        <v>1.0935000000000001E-3</v>
      </c>
      <c r="CS61" s="4">
        <v>1.0778999999999999E-3</v>
      </c>
      <c r="CT61" s="4">
        <v>1.0625000000000001E-3</v>
      </c>
      <c r="CU61" s="4">
        <v>1.0472000000000001E-3</v>
      </c>
      <c r="CV61" s="4">
        <v>1.0322E-3</v>
      </c>
      <c r="CW61" s="4">
        <v>1.0173000000000001E-3</v>
      </c>
      <c r="CX61" s="4">
        <v>1.0027E-3</v>
      </c>
      <c r="CY61" s="4">
        <v>9.8820000000000006E-4</v>
      </c>
      <c r="CZ61" s="4">
        <v>9.7400000000000004E-4</v>
      </c>
      <c r="DA61" s="4">
        <v>9.5989999999999997E-4</v>
      </c>
      <c r="DB61" s="4">
        <v>9.4600000000000001E-4</v>
      </c>
      <c r="DC61" s="4">
        <v>9.3229999999999995E-4</v>
      </c>
      <c r="DD61" s="4">
        <v>9.1889999999999995E-4</v>
      </c>
      <c r="DE61" s="4">
        <v>9.056E-4</v>
      </c>
      <c r="DF61" s="4">
        <v>8.9249999999999996E-4</v>
      </c>
      <c r="DG61" s="4">
        <v>8.7960000000000002E-4</v>
      </c>
      <c r="DH61" s="4">
        <v>8.6689999999999998E-4</v>
      </c>
      <c r="DI61" s="4">
        <v>8.543E-4</v>
      </c>
      <c r="DJ61" s="4">
        <v>8.4199999999999998E-4</v>
      </c>
      <c r="DK61" s="4">
        <v>8.298E-4</v>
      </c>
      <c r="DL61" s="4">
        <v>8.1789999999999999E-4</v>
      </c>
      <c r="DM61" s="4">
        <v>8.0610000000000002E-4</v>
      </c>
      <c r="DN61" s="4">
        <v>7.9449999999999996E-4</v>
      </c>
      <c r="DO61" s="4">
        <v>7.8299999999999995E-4</v>
      </c>
      <c r="DP61" s="4">
        <v>7.718E-4</v>
      </c>
      <c r="DQ61" s="4">
        <v>5.3743100000000002E-2</v>
      </c>
      <c r="DR61" s="4">
        <v>0</v>
      </c>
      <c r="DS61" s="4">
        <v>1.3630000000000001E-4</v>
      </c>
      <c r="DT61" s="4">
        <v>2.1550000000000001E-4</v>
      </c>
      <c r="DU61" s="4">
        <v>4.3090000000000001E-4</v>
      </c>
      <c r="DV61" s="4">
        <v>6.9470000000000003E-4</v>
      </c>
      <c r="DW61" s="4">
        <v>6.2810000000000003E-4</v>
      </c>
      <c r="DX61" s="4">
        <v>6.1689999999999998E-4</v>
      </c>
      <c r="DY61" s="4">
        <v>5.4730000000000002E-4</v>
      </c>
      <c r="DZ61" s="4">
        <v>4.8899999999999996E-4</v>
      </c>
      <c r="EA61" s="4">
        <v>4.3150000000000003E-4</v>
      </c>
      <c r="EB61" s="4">
        <v>3.8200000000000002E-4</v>
      </c>
      <c r="EC61" s="4">
        <v>3.4010000000000003E-4</v>
      </c>
      <c r="ED61" s="4">
        <v>3.0279999999999999E-4</v>
      </c>
      <c r="EE61" s="4">
        <v>2.6899999999999998E-4</v>
      </c>
      <c r="EF61" s="4">
        <v>2.4130000000000001E-4</v>
      </c>
      <c r="EG61" s="4">
        <v>2.1790000000000001E-4</v>
      </c>
      <c r="EH61" s="4">
        <v>1.9670000000000001E-4</v>
      </c>
      <c r="EI61" s="4">
        <v>1.7890000000000001E-4</v>
      </c>
      <c r="EJ61" s="4">
        <v>1.6330000000000001E-4</v>
      </c>
      <c r="EK61" s="4">
        <v>1.4970000000000001E-4</v>
      </c>
      <c r="EL61" s="4">
        <v>1.3760000000000001E-4</v>
      </c>
      <c r="EM61" s="4">
        <v>1.271E-4</v>
      </c>
      <c r="EN61" s="4">
        <v>1.178E-4</v>
      </c>
      <c r="EO61" s="4">
        <v>1.0959999999999999E-4</v>
      </c>
      <c r="EP61" s="4">
        <v>1.0230000000000001E-4</v>
      </c>
      <c r="EQ61" s="4">
        <v>9.5699999999999995E-5</v>
      </c>
      <c r="ER61" s="4">
        <v>8.9699999999999998E-5</v>
      </c>
      <c r="ES61" s="4">
        <v>8.4300000000000003E-5</v>
      </c>
      <c r="ET61" s="4">
        <v>7.9200000000000001E-5</v>
      </c>
      <c r="EU61" s="4">
        <v>7.4800000000000002E-5</v>
      </c>
      <c r="EV61" s="4">
        <v>6.9800000000000003E-5</v>
      </c>
      <c r="EW61" s="4">
        <v>6.6099999999999994E-5</v>
      </c>
      <c r="EX61" s="4">
        <v>6.2700000000000006E-5</v>
      </c>
      <c r="EY61" s="4">
        <v>5.9500000000000003E-5</v>
      </c>
      <c r="EZ61" s="4">
        <v>5.66E-5</v>
      </c>
      <c r="FA61" s="4">
        <v>5.3999999999999998E-5</v>
      </c>
      <c r="FB61" s="4">
        <v>5.1600000000000001E-5</v>
      </c>
      <c r="FC61" s="4">
        <v>4.9299999999999999E-5</v>
      </c>
      <c r="FD61" s="4">
        <v>4.7200000000000002E-5</v>
      </c>
      <c r="FE61" s="4">
        <v>4.5200000000000001E-5</v>
      </c>
      <c r="FF61" s="4">
        <v>4.3399999999999998E-5</v>
      </c>
      <c r="FG61" s="4">
        <v>4.1900000000000002E-5</v>
      </c>
      <c r="FH61" s="4">
        <v>4.0399999999999999E-5</v>
      </c>
      <c r="FI61" s="4">
        <v>3.8999999999999999E-5</v>
      </c>
      <c r="FJ61" s="4">
        <v>3.7700000000000002E-5</v>
      </c>
      <c r="FK61" s="4">
        <v>3.65E-5</v>
      </c>
      <c r="FL61" s="4">
        <v>3.5299999999999997E-5</v>
      </c>
      <c r="FM61" s="4">
        <v>3.4E-5</v>
      </c>
      <c r="FN61" s="4">
        <v>3.2700000000000002E-5</v>
      </c>
      <c r="FO61" s="4">
        <v>3.0700000000000001E-5</v>
      </c>
      <c r="FP61" s="4">
        <v>2.9600000000000001E-5</v>
      </c>
      <c r="FQ61" s="4">
        <v>2.8500000000000002E-5</v>
      </c>
      <c r="FR61" s="4">
        <v>2.6599999999999999E-5</v>
      </c>
      <c r="FS61" s="4">
        <v>2.76E-5</v>
      </c>
      <c r="FT61" s="4">
        <v>2.6999999999999999E-5</v>
      </c>
      <c r="FU61" s="4">
        <v>2.6599999999999999E-5</v>
      </c>
      <c r="FV61" s="4">
        <v>2.6100000000000001E-5</v>
      </c>
      <c r="FW61" s="4">
        <v>2.5700000000000001E-5</v>
      </c>
      <c r="FX61" s="4">
        <v>2.5400000000000001E-5</v>
      </c>
      <c r="FY61" s="4">
        <v>2.5000000000000001E-5</v>
      </c>
      <c r="FZ61" s="4">
        <v>2.4600000000000002E-5</v>
      </c>
      <c r="GA61" s="4">
        <v>2.4199999999999999E-5</v>
      </c>
      <c r="GB61" s="4">
        <v>2.3900000000000002E-5</v>
      </c>
      <c r="GC61" s="4">
        <v>2.3499999999999999E-5</v>
      </c>
      <c r="GD61" s="4">
        <v>2.3200000000000001E-5</v>
      </c>
      <c r="GE61" s="4">
        <v>2.2900000000000001E-5</v>
      </c>
      <c r="GF61" s="4">
        <v>2.26E-5</v>
      </c>
      <c r="GG61" s="4">
        <v>2.2200000000000001E-5</v>
      </c>
      <c r="GH61" s="4">
        <v>2.19E-5</v>
      </c>
      <c r="GI61" s="4">
        <v>2.16E-5</v>
      </c>
      <c r="GJ61" s="4">
        <v>2.1299999999999999E-5</v>
      </c>
      <c r="GK61" s="4">
        <v>2.0999999999999999E-5</v>
      </c>
      <c r="GL61" s="4">
        <v>2.0699999999999998E-5</v>
      </c>
      <c r="GM61" s="4">
        <v>2.05E-5</v>
      </c>
      <c r="GN61" s="4">
        <v>2.02E-5</v>
      </c>
      <c r="GO61" s="4">
        <v>1.9899999999999999E-5</v>
      </c>
      <c r="GP61" s="4">
        <v>1.9599999999999999E-5</v>
      </c>
      <c r="GQ61" s="4">
        <v>1.9400000000000001E-5</v>
      </c>
      <c r="GR61" s="4">
        <v>1.91E-5</v>
      </c>
      <c r="GS61" s="4">
        <v>1.8899999999999999E-5</v>
      </c>
      <c r="GT61" s="4">
        <v>1.8600000000000001E-5</v>
      </c>
      <c r="GU61" s="4">
        <v>1.84E-5</v>
      </c>
      <c r="GV61" s="4">
        <v>1.8099999999999999E-5</v>
      </c>
      <c r="GW61" s="4">
        <v>1.7900000000000001E-5</v>
      </c>
      <c r="GX61" s="4">
        <v>1.7600000000000001E-5</v>
      </c>
      <c r="GY61" s="4">
        <v>1.7399999999999999E-5</v>
      </c>
      <c r="GZ61" s="4">
        <v>1.7200000000000001E-5</v>
      </c>
      <c r="HA61" s="4">
        <v>1.6900000000000001E-5</v>
      </c>
      <c r="HB61" s="4">
        <v>1.6699999999999999E-5</v>
      </c>
      <c r="HC61" s="4">
        <v>1.6500000000000001E-5</v>
      </c>
      <c r="HD61" s="4">
        <v>1.6200000000000001E-5</v>
      </c>
      <c r="HE61" s="4">
        <v>1.5999999999999999E-5</v>
      </c>
      <c r="HF61" s="4">
        <v>1.5800000000000001E-5</v>
      </c>
      <c r="HG61" s="4">
        <v>1.56E-5</v>
      </c>
      <c r="HH61" s="4">
        <v>1.5400000000000002E-5</v>
      </c>
      <c r="HI61" s="4">
        <v>1.5099999999999999E-5</v>
      </c>
      <c r="HJ61" s="4">
        <v>1.49E-5</v>
      </c>
      <c r="HK61" s="4">
        <v>1.47E-5</v>
      </c>
      <c r="HL61" s="4">
        <v>1.45E-5</v>
      </c>
      <c r="HM61" s="4">
        <v>1.43E-5</v>
      </c>
      <c r="HN61" s="4">
        <v>1.4100000000000001E-5</v>
      </c>
      <c r="HO61" s="4">
        <v>1.3900000000000001E-5</v>
      </c>
      <c r="HP61" s="4">
        <v>1.3699999999999999E-5</v>
      </c>
      <c r="HQ61" s="4">
        <v>1.3499999999999999E-5</v>
      </c>
      <c r="HR61" s="4">
        <v>1.33E-5</v>
      </c>
      <c r="HS61" s="4">
        <v>1.31E-5</v>
      </c>
      <c r="HT61" s="4">
        <v>1.2999999999999999E-5</v>
      </c>
      <c r="HU61" s="4">
        <v>1.2799999999999999E-5</v>
      </c>
      <c r="HV61" s="4">
        <v>1.26E-5</v>
      </c>
      <c r="HW61" s="4">
        <v>1.24E-5</v>
      </c>
      <c r="HX61" s="4">
        <v>1.22E-5</v>
      </c>
      <c r="HY61" s="4">
        <v>1.2099999999999999E-5</v>
      </c>
      <c r="HZ61" s="4">
        <v>1.19E-5</v>
      </c>
      <c r="IA61" s="4">
        <v>1.17E-5</v>
      </c>
      <c r="IB61" s="4">
        <v>1.1600000000000001E-5</v>
      </c>
      <c r="IC61" s="4">
        <v>1.1399999999999999E-5</v>
      </c>
      <c r="ID61" s="4">
        <v>1.1199999999999999E-5</v>
      </c>
      <c r="IE61" s="4">
        <v>1.11E-5</v>
      </c>
      <c r="IF61" s="4">
        <v>1.0900000000000001E-5</v>
      </c>
      <c r="IG61" s="4">
        <v>7.6369999999999997E-4</v>
      </c>
      <c r="IH61" s="4"/>
      <c r="IL61">
        <f t="shared" si="248"/>
        <v>0.35735363749999982</v>
      </c>
      <c r="IP61" s="4">
        <f t="shared" si="249"/>
        <v>4.1535799999999998E-2</v>
      </c>
      <c r="IQ61" s="4">
        <f t="shared" si="250"/>
        <v>3.3274200000000004E-2</v>
      </c>
      <c r="IR61" s="4">
        <f t="shared" si="251"/>
        <v>2.5302999999999999E-2</v>
      </c>
      <c r="IS61" s="4">
        <f t="shared" si="252"/>
        <v>2.0201E-2</v>
      </c>
      <c r="IT61" s="4">
        <f t="shared" si="253"/>
        <v>1.69166E-2</v>
      </c>
      <c r="IU61" s="4">
        <f t="shared" si="254"/>
        <v>5.9298999999999998E-2</v>
      </c>
      <c r="IV61" s="4">
        <f t="shared" si="255"/>
        <v>3.8434200000000002E-2</v>
      </c>
      <c r="IW61" s="4">
        <f t="shared" si="256"/>
        <v>3.0027500000000002E-2</v>
      </c>
      <c r="IX61" s="4">
        <f t="shared" si="257"/>
        <v>9.25541E-2</v>
      </c>
    </row>
    <row r="62" spans="1:258" x14ac:dyDescent="0.35">
      <c r="A62" s="1">
        <v>54</v>
      </c>
      <c r="B62" s="4">
        <v>1.0734799999999999E-2</v>
      </c>
      <c r="C62" s="4">
        <v>1.0654E-2</v>
      </c>
      <c r="D62" s="4">
        <v>1.05177E-2</v>
      </c>
      <c r="E62" s="4">
        <v>1.0327899999999999E-2</v>
      </c>
      <c r="F62" s="4">
        <v>9.9670000000000002E-3</v>
      </c>
      <c r="G62" s="4">
        <v>9.2458999999999996E-3</v>
      </c>
      <c r="H62" s="4">
        <v>8.6133000000000008E-3</v>
      </c>
      <c r="I62" s="4">
        <v>7.9964000000000007E-3</v>
      </c>
      <c r="J62" s="4">
        <v>7.4425999999999997E-3</v>
      </c>
      <c r="K62" s="4">
        <v>6.9405999999999999E-3</v>
      </c>
      <c r="L62" s="4">
        <v>6.4979E-3</v>
      </c>
      <c r="M62" s="4">
        <v>6.1108000000000004E-3</v>
      </c>
      <c r="N62" s="4">
        <v>5.7720999999999996E-3</v>
      </c>
      <c r="O62" s="4">
        <v>5.4657000000000004E-3</v>
      </c>
      <c r="P62" s="4">
        <v>5.1669000000000003E-3</v>
      </c>
      <c r="Q62" s="4">
        <v>4.9195000000000003E-3</v>
      </c>
      <c r="R62" s="4">
        <v>4.6988000000000004E-3</v>
      </c>
      <c r="S62" s="4">
        <v>4.4908999999999999E-3</v>
      </c>
      <c r="T62" s="4">
        <v>4.3105000000000001E-3</v>
      </c>
      <c r="U62" s="4">
        <v>4.1422999999999998E-3</v>
      </c>
      <c r="V62" s="4">
        <v>3.9874999999999997E-3</v>
      </c>
      <c r="W62" s="4">
        <v>3.8467000000000002E-3</v>
      </c>
      <c r="X62" s="4">
        <v>3.7187000000000001E-3</v>
      </c>
      <c r="Y62" s="4">
        <v>3.6050000000000001E-3</v>
      </c>
      <c r="Z62" s="4">
        <v>3.5017E-3</v>
      </c>
      <c r="AA62" s="4">
        <v>3.4031999999999999E-3</v>
      </c>
      <c r="AB62" s="4">
        <v>3.3059000000000001E-3</v>
      </c>
      <c r="AC62" s="4">
        <v>3.2144999999999999E-3</v>
      </c>
      <c r="AD62" s="4">
        <v>3.1278E-3</v>
      </c>
      <c r="AE62" s="4">
        <v>3.0376999999999999E-3</v>
      </c>
      <c r="AF62" s="4">
        <v>2.9610999999999999E-3</v>
      </c>
      <c r="AG62" s="4">
        <v>2.8503999999999999E-3</v>
      </c>
      <c r="AH62" s="4">
        <v>2.7770999999999998E-3</v>
      </c>
      <c r="AI62" s="4">
        <v>2.7079999999999999E-3</v>
      </c>
      <c r="AJ62" s="4">
        <v>2.6411E-3</v>
      </c>
      <c r="AK62" s="4">
        <v>2.5796E-3</v>
      </c>
      <c r="AL62" s="4">
        <v>2.5252E-3</v>
      </c>
      <c r="AM62" s="4">
        <v>2.4729999999999999E-3</v>
      </c>
      <c r="AN62" s="4">
        <v>2.4191999999999998E-3</v>
      </c>
      <c r="AO62" s="4">
        <v>2.3674999999999998E-3</v>
      </c>
      <c r="AP62" s="4">
        <v>2.3199000000000002E-3</v>
      </c>
      <c r="AQ62" s="4">
        <v>2.2761000000000001E-3</v>
      </c>
      <c r="AR62" s="4">
        <v>2.2406000000000001E-3</v>
      </c>
      <c r="AS62" s="4">
        <v>2.2071999999999999E-3</v>
      </c>
      <c r="AT62" s="4">
        <v>2.1733999999999998E-3</v>
      </c>
      <c r="AU62" s="4">
        <v>2.1400999999999998E-3</v>
      </c>
      <c r="AV62" s="4">
        <v>2.1061000000000001E-3</v>
      </c>
      <c r="AW62" s="4">
        <v>2.0699E-3</v>
      </c>
      <c r="AX62" s="4">
        <v>2.026E-3</v>
      </c>
      <c r="AY62" s="4">
        <v>1.9743999999999999E-3</v>
      </c>
      <c r="AZ62" s="4">
        <v>1.8813E-3</v>
      </c>
      <c r="BA62" s="4">
        <v>1.8354999999999999E-3</v>
      </c>
      <c r="BB62" s="4">
        <v>1.7887000000000001E-3</v>
      </c>
      <c r="BC62" s="4">
        <v>1.6877999999999999E-3</v>
      </c>
      <c r="BD62" s="4">
        <v>1.7619000000000001E-3</v>
      </c>
      <c r="BE62" s="4">
        <v>1.7405000000000001E-3</v>
      </c>
      <c r="BF62" s="4">
        <v>1.7294999999999999E-3</v>
      </c>
      <c r="BG62" s="4">
        <v>1.717E-3</v>
      </c>
      <c r="BH62" s="4">
        <v>1.7043E-3</v>
      </c>
      <c r="BI62" s="4">
        <v>1.6907000000000001E-3</v>
      </c>
      <c r="BJ62" s="4">
        <v>1.6765E-3</v>
      </c>
      <c r="BK62" s="4">
        <v>1.6615E-3</v>
      </c>
      <c r="BL62" s="4">
        <v>1.6459000000000001E-3</v>
      </c>
      <c r="BM62" s="4">
        <v>1.6298E-3</v>
      </c>
      <c r="BN62" s="4">
        <v>1.6132E-3</v>
      </c>
      <c r="BO62" s="4">
        <v>1.5962000000000001E-3</v>
      </c>
      <c r="BP62" s="4">
        <v>1.5790000000000001E-3</v>
      </c>
      <c r="BQ62" s="4">
        <v>1.5613999999999999E-3</v>
      </c>
      <c r="BR62" s="4">
        <v>1.5437000000000001E-3</v>
      </c>
      <c r="BS62" s="4">
        <v>1.5259E-3</v>
      </c>
      <c r="BT62" s="4">
        <v>1.5079E-3</v>
      </c>
      <c r="BU62" s="4">
        <v>1.4898999999999999E-3</v>
      </c>
      <c r="BV62" s="4">
        <v>1.4718000000000001E-3</v>
      </c>
      <c r="BW62" s="4">
        <v>1.4537E-3</v>
      </c>
      <c r="BX62" s="4">
        <v>1.4356E-3</v>
      </c>
      <c r="BY62" s="4">
        <v>1.4176E-3</v>
      </c>
      <c r="BZ62" s="4">
        <v>1.3996E-3</v>
      </c>
      <c r="CA62" s="4">
        <v>1.3817E-3</v>
      </c>
      <c r="CB62" s="4">
        <v>1.3638000000000001E-3</v>
      </c>
      <c r="CC62" s="4">
        <v>1.346E-3</v>
      </c>
      <c r="CD62" s="4">
        <v>1.3282999999999999E-3</v>
      </c>
      <c r="CE62" s="4">
        <v>1.3106999999999999E-3</v>
      </c>
      <c r="CF62" s="4">
        <v>1.2932E-3</v>
      </c>
      <c r="CG62" s="4">
        <v>1.2759E-3</v>
      </c>
      <c r="CH62" s="4">
        <v>1.2585999999999999E-3</v>
      </c>
      <c r="CI62" s="4">
        <v>1.2413999999999999E-3</v>
      </c>
      <c r="CJ62" s="4">
        <v>1.2244000000000001E-3</v>
      </c>
      <c r="CK62" s="4">
        <v>1.2075E-3</v>
      </c>
      <c r="CL62" s="4">
        <v>1.1908000000000001E-3</v>
      </c>
      <c r="CM62" s="4">
        <v>1.1742E-3</v>
      </c>
      <c r="CN62" s="4">
        <v>1.1578000000000001E-3</v>
      </c>
      <c r="CO62" s="4">
        <v>1.1414999999999999E-3</v>
      </c>
      <c r="CP62" s="4">
        <v>1.1253999999999999E-3</v>
      </c>
      <c r="CQ62" s="4">
        <v>1.1095E-3</v>
      </c>
      <c r="CR62" s="4">
        <v>1.0937E-3</v>
      </c>
      <c r="CS62" s="4">
        <v>1.0781E-3</v>
      </c>
      <c r="CT62" s="4">
        <v>1.0628E-3</v>
      </c>
      <c r="CU62" s="4">
        <v>1.0475E-3</v>
      </c>
      <c r="CV62" s="4">
        <v>1.0325E-3</v>
      </c>
      <c r="CW62" s="4">
        <v>1.0177000000000001E-3</v>
      </c>
      <c r="CX62" s="4">
        <v>1.003E-3</v>
      </c>
      <c r="CY62" s="4">
        <v>9.8860000000000007E-4</v>
      </c>
      <c r="CZ62" s="4">
        <v>9.7429999999999999E-4</v>
      </c>
      <c r="DA62" s="4">
        <v>9.6020000000000003E-4</v>
      </c>
      <c r="DB62" s="4">
        <v>9.4640000000000002E-4</v>
      </c>
      <c r="DC62" s="4">
        <v>9.3269999999999996E-4</v>
      </c>
      <c r="DD62" s="4">
        <v>9.1920000000000001E-4</v>
      </c>
      <c r="DE62" s="4">
        <v>9.0589999999999996E-4</v>
      </c>
      <c r="DF62" s="4">
        <v>8.9280000000000002E-4</v>
      </c>
      <c r="DG62" s="4">
        <v>8.7989999999999997E-4</v>
      </c>
      <c r="DH62" s="4">
        <v>8.6720000000000005E-4</v>
      </c>
      <c r="DI62" s="4">
        <v>8.5459999999999996E-4</v>
      </c>
      <c r="DJ62" s="4">
        <v>8.4230000000000004E-4</v>
      </c>
      <c r="DK62" s="4">
        <v>8.3009999999999996E-4</v>
      </c>
      <c r="DL62" s="4">
        <v>8.1809999999999999E-4</v>
      </c>
      <c r="DM62" s="4">
        <v>8.0630000000000003E-4</v>
      </c>
      <c r="DN62" s="4">
        <v>7.9469999999999996E-4</v>
      </c>
      <c r="DO62" s="4">
        <v>7.8319999999999996E-4</v>
      </c>
      <c r="DP62" s="4">
        <v>7.7189999999999995E-4</v>
      </c>
      <c r="DQ62" s="4">
        <v>5.3740299999999998E-2</v>
      </c>
      <c r="DR62" s="4">
        <v>0</v>
      </c>
      <c r="DS62" s="4">
        <v>1.3630000000000001E-4</v>
      </c>
      <c r="DT62" s="4">
        <v>1.8540000000000001E-4</v>
      </c>
      <c r="DU62" s="4">
        <v>4.2440000000000002E-4</v>
      </c>
      <c r="DV62" s="4">
        <v>6.6569999999999997E-4</v>
      </c>
      <c r="DW62" s="4">
        <v>6.2790000000000003E-4</v>
      </c>
      <c r="DX62" s="4">
        <v>6.2029999999999995E-4</v>
      </c>
      <c r="DY62" s="4">
        <v>5.5259999999999999E-4</v>
      </c>
      <c r="DZ62" s="4">
        <v>4.9569999999999996E-4</v>
      </c>
      <c r="EA62" s="4">
        <v>4.3550000000000001E-4</v>
      </c>
      <c r="EB62" s="4">
        <v>3.8539999999999999E-4</v>
      </c>
      <c r="EC62" s="4">
        <v>3.4289999999999999E-4</v>
      </c>
      <c r="ED62" s="4">
        <v>3.0640000000000002E-4</v>
      </c>
      <c r="EE62" s="4">
        <v>2.743E-4</v>
      </c>
      <c r="EF62" s="4">
        <v>2.4509999999999999E-4</v>
      </c>
      <c r="EG62" s="4">
        <v>2.2100000000000001E-4</v>
      </c>
      <c r="EH62" s="4">
        <v>2.0049999999999999E-4</v>
      </c>
      <c r="EI62" s="4">
        <v>1.819E-4</v>
      </c>
      <c r="EJ62" s="4">
        <v>1.662E-4</v>
      </c>
      <c r="EK62" s="4">
        <v>1.5220000000000001E-4</v>
      </c>
      <c r="EL62" s="4">
        <v>1.3999999999999999E-4</v>
      </c>
      <c r="EM62" s="4">
        <v>1.2909999999999999E-4</v>
      </c>
      <c r="EN62" s="4">
        <v>1.195E-4</v>
      </c>
      <c r="EO62" s="4">
        <v>1.11E-4</v>
      </c>
      <c r="EP62" s="4">
        <v>1.0349999999999999E-4</v>
      </c>
      <c r="EQ62" s="4">
        <v>9.6799999999999995E-5</v>
      </c>
      <c r="ER62" s="4">
        <v>9.0600000000000007E-5</v>
      </c>
      <c r="ES62" s="4">
        <v>8.5000000000000006E-5</v>
      </c>
      <c r="ET62" s="4">
        <v>8.0099999999999995E-5</v>
      </c>
      <c r="EU62" s="4">
        <v>7.5300000000000001E-5</v>
      </c>
      <c r="EV62" s="4">
        <v>7.1199999999999996E-5</v>
      </c>
      <c r="EW62" s="4">
        <v>6.6500000000000004E-5</v>
      </c>
      <c r="EX62" s="4">
        <v>6.3E-5</v>
      </c>
      <c r="EY62" s="4">
        <v>5.9799999999999997E-5</v>
      </c>
      <c r="EZ62" s="4">
        <v>5.6799999999999998E-5</v>
      </c>
      <c r="FA62" s="4">
        <v>5.41E-5</v>
      </c>
      <c r="FB62" s="4">
        <v>5.1600000000000001E-5</v>
      </c>
      <c r="FC62" s="4">
        <v>4.9299999999999999E-5</v>
      </c>
      <c r="FD62" s="4">
        <v>4.7200000000000002E-5</v>
      </c>
      <c r="FE62" s="4">
        <v>4.5099999999999998E-5</v>
      </c>
      <c r="FF62" s="4">
        <v>4.3300000000000002E-5</v>
      </c>
      <c r="FG62" s="4">
        <v>4.1600000000000002E-5</v>
      </c>
      <c r="FH62" s="4">
        <v>4.0200000000000001E-5</v>
      </c>
      <c r="FI62" s="4">
        <v>3.8800000000000001E-5</v>
      </c>
      <c r="FJ62" s="4">
        <v>3.7499999999999997E-5</v>
      </c>
      <c r="FK62" s="4">
        <v>3.6300000000000001E-5</v>
      </c>
      <c r="FL62" s="4">
        <v>3.5200000000000002E-5</v>
      </c>
      <c r="FM62" s="4">
        <v>3.4E-5</v>
      </c>
      <c r="FN62" s="4">
        <v>3.29E-5</v>
      </c>
      <c r="FO62" s="4">
        <v>3.1600000000000002E-5</v>
      </c>
      <c r="FP62" s="4">
        <v>2.97E-5</v>
      </c>
      <c r="FQ62" s="4">
        <v>2.87E-5</v>
      </c>
      <c r="FR62" s="4">
        <v>2.7699999999999999E-5</v>
      </c>
      <c r="FS62" s="4">
        <v>2.58E-5</v>
      </c>
      <c r="FT62" s="4">
        <v>2.6800000000000001E-5</v>
      </c>
      <c r="FU62" s="4">
        <v>2.62E-5</v>
      </c>
      <c r="FV62" s="4">
        <v>2.5899999999999999E-5</v>
      </c>
      <c r="FW62" s="4">
        <v>2.55E-5</v>
      </c>
      <c r="FX62" s="4">
        <v>2.51E-5</v>
      </c>
      <c r="FY62" s="4">
        <v>2.48E-5</v>
      </c>
      <c r="FZ62" s="4">
        <v>2.44E-5</v>
      </c>
      <c r="GA62" s="4">
        <v>2.41E-5</v>
      </c>
      <c r="GB62" s="4">
        <v>2.37E-5</v>
      </c>
      <c r="GC62" s="4">
        <v>2.34E-5</v>
      </c>
      <c r="GD62" s="4">
        <v>2.3099999999999999E-5</v>
      </c>
      <c r="GE62" s="4">
        <v>2.27E-5</v>
      </c>
      <c r="GF62" s="4">
        <v>2.2399999999999999E-5</v>
      </c>
      <c r="GG62" s="4">
        <v>2.2099999999999998E-5</v>
      </c>
      <c r="GH62" s="4">
        <v>2.1800000000000001E-5</v>
      </c>
      <c r="GI62" s="4">
        <v>2.1500000000000001E-5</v>
      </c>
      <c r="GJ62" s="4">
        <v>2.12E-5</v>
      </c>
      <c r="GK62" s="4">
        <v>2.0999999999999999E-5</v>
      </c>
      <c r="GL62" s="4">
        <v>2.0699999999999998E-5</v>
      </c>
      <c r="GM62" s="4">
        <v>2.0400000000000001E-5</v>
      </c>
      <c r="GN62" s="4">
        <v>2.0100000000000001E-5</v>
      </c>
      <c r="GO62" s="4">
        <v>1.9899999999999999E-5</v>
      </c>
      <c r="GP62" s="4">
        <v>1.9599999999999999E-5</v>
      </c>
      <c r="GQ62" s="4">
        <v>1.9300000000000002E-5</v>
      </c>
      <c r="GR62" s="4">
        <v>1.91E-5</v>
      </c>
      <c r="GS62" s="4">
        <v>1.88E-5</v>
      </c>
      <c r="GT62" s="4">
        <v>1.8600000000000001E-5</v>
      </c>
      <c r="GU62" s="4">
        <v>1.8300000000000001E-5</v>
      </c>
      <c r="GV62" s="4">
        <v>1.8099999999999999E-5</v>
      </c>
      <c r="GW62" s="4">
        <v>1.7900000000000001E-5</v>
      </c>
      <c r="GX62" s="4">
        <v>1.7600000000000001E-5</v>
      </c>
      <c r="GY62" s="4">
        <v>1.7399999999999999E-5</v>
      </c>
      <c r="GZ62" s="4">
        <v>1.7099999999999999E-5</v>
      </c>
      <c r="HA62" s="4">
        <v>1.6900000000000001E-5</v>
      </c>
      <c r="HB62" s="4">
        <v>1.6699999999999999E-5</v>
      </c>
      <c r="HC62" s="4">
        <v>1.6500000000000001E-5</v>
      </c>
      <c r="HD62" s="4">
        <v>1.6200000000000001E-5</v>
      </c>
      <c r="HE62" s="4">
        <v>1.5999999999999999E-5</v>
      </c>
      <c r="HF62" s="4">
        <v>1.5800000000000001E-5</v>
      </c>
      <c r="HG62" s="4">
        <v>1.56E-5</v>
      </c>
      <c r="HH62" s="4">
        <v>1.5400000000000002E-5</v>
      </c>
      <c r="HI62" s="4">
        <v>1.5099999999999999E-5</v>
      </c>
      <c r="HJ62" s="4">
        <v>1.49E-5</v>
      </c>
      <c r="HK62" s="4">
        <v>1.47E-5</v>
      </c>
      <c r="HL62" s="4">
        <v>1.45E-5</v>
      </c>
      <c r="HM62" s="4">
        <v>1.43E-5</v>
      </c>
      <c r="HN62" s="4">
        <v>1.4100000000000001E-5</v>
      </c>
      <c r="HO62" s="4">
        <v>1.3900000000000001E-5</v>
      </c>
      <c r="HP62" s="4">
        <v>1.3699999999999999E-5</v>
      </c>
      <c r="HQ62" s="4">
        <v>1.3499999999999999E-5</v>
      </c>
      <c r="HR62" s="4">
        <v>1.33E-5</v>
      </c>
      <c r="HS62" s="4">
        <v>1.31E-5</v>
      </c>
      <c r="HT62" s="4">
        <v>1.2999999999999999E-5</v>
      </c>
      <c r="HU62" s="4">
        <v>1.2799999999999999E-5</v>
      </c>
      <c r="HV62" s="4">
        <v>1.26E-5</v>
      </c>
      <c r="HW62" s="4">
        <v>1.24E-5</v>
      </c>
      <c r="HX62" s="4">
        <v>1.22E-5</v>
      </c>
      <c r="HY62" s="4">
        <v>1.2099999999999999E-5</v>
      </c>
      <c r="HZ62" s="4">
        <v>1.19E-5</v>
      </c>
      <c r="IA62" s="4">
        <v>1.17E-5</v>
      </c>
      <c r="IB62" s="4">
        <v>1.1600000000000001E-5</v>
      </c>
      <c r="IC62" s="4">
        <v>1.1399999999999999E-5</v>
      </c>
      <c r="ID62" s="4">
        <v>1.1199999999999999E-5</v>
      </c>
      <c r="IE62" s="4">
        <v>1.11E-5</v>
      </c>
      <c r="IF62" s="4">
        <v>1.0900000000000001E-5</v>
      </c>
      <c r="IG62" s="4">
        <v>7.6360000000000002E-4</v>
      </c>
      <c r="IH62" s="4"/>
      <c r="IL62">
        <f t="shared" si="248"/>
        <v>0.35741976249999957</v>
      </c>
      <c r="IP62" s="4">
        <f t="shared" si="249"/>
        <v>4.1466600000000006E-2</v>
      </c>
      <c r="IQ62" s="4">
        <f t="shared" si="250"/>
        <v>3.32982E-2</v>
      </c>
      <c r="IR62" s="4">
        <f t="shared" si="251"/>
        <v>2.5321399999999997E-2</v>
      </c>
      <c r="IS62" s="4">
        <f t="shared" si="252"/>
        <v>2.0250900000000002E-2</v>
      </c>
      <c r="IT62" s="4">
        <f t="shared" si="253"/>
        <v>1.69312E-2</v>
      </c>
      <c r="IU62" s="4">
        <f t="shared" si="254"/>
        <v>5.9383300000000007E-2</v>
      </c>
      <c r="IV62" s="4">
        <f t="shared" si="255"/>
        <v>3.8427500000000003E-2</v>
      </c>
      <c r="IW62" s="4">
        <f t="shared" si="256"/>
        <v>2.9952499999999996E-2</v>
      </c>
      <c r="IX62" s="4">
        <f t="shared" si="257"/>
        <v>9.2554899999999996E-2</v>
      </c>
    </row>
    <row r="63" spans="1:258" x14ac:dyDescent="0.35">
      <c r="A63" s="1">
        <v>55</v>
      </c>
      <c r="B63" s="4">
        <v>1.0734799999999999E-2</v>
      </c>
      <c r="C63" s="4">
        <v>1.0734799999999999E-2</v>
      </c>
      <c r="D63" s="4">
        <v>1.05177E-2</v>
      </c>
      <c r="E63" s="4">
        <v>1.03324E-2</v>
      </c>
      <c r="F63" s="4">
        <v>9.9035000000000008E-3</v>
      </c>
      <c r="G63" s="4">
        <v>9.3012000000000008E-3</v>
      </c>
      <c r="H63" s="4">
        <v>8.6180000000000007E-3</v>
      </c>
      <c r="I63" s="4">
        <v>7.9930000000000001E-3</v>
      </c>
      <c r="J63" s="4">
        <v>7.4438000000000004E-3</v>
      </c>
      <c r="K63" s="4">
        <v>6.9468999999999998E-3</v>
      </c>
      <c r="L63" s="4">
        <v>6.5050999999999998E-3</v>
      </c>
      <c r="M63" s="4">
        <v>6.1124999999999999E-3</v>
      </c>
      <c r="N63" s="4">
        <v>5.7679999999999997E-3</v>
      </c>
      <c r="O63" s="4">
        <v>5.4657000000000004E-3</v>
      </c>
      <c r="P63" s="4">
        <v>5.1913999999999997E-3</v>
      </c>
      <c r="Q63" s="4">
        <v>4.9217999999999996E-3</v>
      </c>
      <c r="R63" s="4">
        <v>4.6985000000000004E-3</v>
      </c>
      <c r="S63" s="4">
        <v>4.4983000000000002E-3</v>
      </c>
      <c r="T63" s="4">
        <v>4.3090000000000003E-3</v>
      </c>
      <c r="U63" s="4">
        <v>4.1443000000000001E-3</v>
      </c>
      <c r="V63" s="4">
        <v>3.9900999999999999E-3</v>
      </c>
      <c r="W63" s="4">
        <v>3.8476000000000001E-3</v>
      </c>
      <c r="X63" s="4">
        <v>3.7177E-3</v>
      </c>
      <c r="Y63" s="4">
        <v>3.5993000000000002E-3</v>
      </c>
      <c r="Z63" s="4">
        <v>3.4940000000000001E-3</v>
      </c>
      <c r="AA63" s="4">
        <v>3.3982000000000001E-3</v>
      </c>
      <c r="AB63" s="4">
        <v>3.3064000000000001E-3</v>
      </c>
      <c r="AC63" s="4">
        <v>3.2152999999999999E-3</v>
      </c>
      <c r="AD63" s="4">
        <v>3.1294999999999999E-3</v>
      </c>
      <c r="AE63" s="4">
        <v>3.0477E-3</v>
      </c>
      <c r="AF63" s="4">
        <v>2.9624E-3</v>
      </c>
      <c r="AG63" s="4">
        <v>2.8898999999999999E-3</v>
      </c>
      <c r="AH63" s="4">
        <v>2.784E-3</v>
      </c>
      <c r="AI63" s="4">
        <v>2.7141000000000001E-3</v>
      </c>
      <c r="AJ63" s="4">
        <v>2.6483000000000001E-3</v>
      </c>
      <c r="AK63" s="4">
        <v>2.5842999999999999E-3</v>
      </c>
      <c r="AL63" s="4">
        <v>2.5255999999999998E-3</v>
      </c>
      <c r="AM63" s="4">
        <v>2.4735999999999998E-3</v>
      </c>
      <c r="AN63" s="4">
        <v>2.4237E-3</v>
      </c>
      <c r="AO63" s="4">
        <v>2.372E-3</v>
      </c>
      <c r="AP63" s="4">
        <v>2.3222999999999998E-3</v>
      </c>
      <c r="AQ63" s="4">
        <v>2.2766000000000002E-3</v>
      </c>
      <c r="AR63" s="4">
        <v>2.2344999999999999E-3</v>
      </c>
      <c r="AS63" s="4">
        <v>2.2003999999999999E-3</v>
      </c>
      <c r="AT63" s="4">
        <v>2.1684E-3</v>
      </c>
      <c r="AU63" s="4">
        <v>2.1359E-3</v>
      </c>
      <c r="AV63" s="4">
        <v>2.1037999999999999E-3</v>
      </c>
      <c r="AW63" s="4">
        <v>2.0709999999999999E-3</v>
      </c>
      <c r="AX63" s="4">
        <v>2.0359000000000002E-3</v>
      </c>
      <c r="AY63" s="4">
        <v>1.9930999999999998E-3</v>
      </c>
      <c r="AZ63" s="4">
        <v>1.9428E-3</v>
      </c>
      <c r="BA63" s="4">
        <v>1.8515999999999999E-3</v>
      </c>
      <c r="BB63" s="4">
        <v>1.8067999999999999E-3</v>
      </c>
      <c r="BC63" s="4">
        <v>1.761E-3</v>
      </c>
      <c r="BD63" s="4">
        <v>1.6619E-3</v>
      </c>
      <c r="BE63" s="4">
        <v>1.7351000000000001E-3</v>
      </c>
      <c r="BF63" s="4">
        <v>1.7143E-3</v>
      </c>
      <c r="BG63" s="4">
        <v>1.7037E-3</v>
      </c>
      <c r="BH63" s="4">
        <v>1.6915000000000001E-3</v>
      </c>
      <c r="BI63" s="4">
        <v>1.6792000000000001E-3</v>
      </c>
      <c r="BJ63" s="4">
        <v>1.6659000000000001E-3</v>
      </c>
      <c r="BK63" s="4">
        <v>1.6521000000000001E-3</v>
      </c>
      <c r="BL63" s="4">
        <v>1.6375000000000001E-3</v>
      </c>
      <c r="BM63" s="4">
        <v>1.6222000000000001E-3</v>
      </c>
      <c r="BN63" s="4">
        <v>1.6064E-3</v>
      </c>
      <c r="BO63" s="4">
        <v>1.5901000000000001E-3</v>
      </c>
      <c r="BP63" s="4">
        <v>1.5735E-3</v>
      </c>
      <c r="BQ63" s="4">
        <v>1.5564999999999999E-3</v>
      </c>
      <c r="BR63" s="4">
        <v>1.5393E-3</v>
      </c>
      <c r="BS63" s="4">
        <v>1.5219000000000001E-3</v>
      </c>
      <c r="BT63" s="4">
        <v>1.5043000000000001E-3</v>
      </c>
      <c r="BU63" s="4">
        <v>1.4867000000000001E-3</v>
      </c>
      <c r="BV63" s="4">
        <v>1.4689E-3</v>
      </c>
      <c r="BW63" s="4">
        <v>1.4511000000000001E-3</v>
      </c>
      <c r="BX63" s="4">
        <v>1.4333E-3</v>
      </c>
      <c r="BY63" s="4">
        <v>1.4155000000000001E-3</v>
      </c>
      <c r="BZ63" s="4">
        <v>1.3977E-3</v>
      </c>
      <c r="CA63" s="4">
        <v>1.3799999999999999E-3</v>
      </c>
      <c r="CB63" s="4">
        <v>1.3623000000000001E-3</v>
      </c>
      <c r="CC63" s="4">
        <v>1.3447000000000001E-3</v>
      </c>
      <c r="CD63" s="4">
        <v>1.3272E-3</v>
      </c>
      <c r="CE63" s="4">
        <v>1.3097E-3</v>
      </c>
      <c r="CF63" s="4">
        <v>1.2924E-3</v>
      </c>
      <c r="CG63" s="4">
        <v>1.2750999999999999E-3</v>
      </c>
      <c r="CH63" s="4">
        <v>1.258E-3</v>
      </c>
      <c r="CI63" s="4">
        <v>1.2409999999999999E-3</v>
      </c>
      <c r="CJ63" s="4">
        <v>1.2241000000000001E-3</v>
      </c>
      <c r="CK63" s="4">
        <v>1.2072999999999999E-3</v>
      </c>
      <c r="CL63" s="4">
        <v>1.1906E-3</v>
      </c>
      <c r="CM63" s="4">
        <v>1.1741E-3</v>
      </c>
      <c r="CN63" s="4">
        <v>1.1578000000000001E-3</v>
      </c>
      <c r="CO63" s="4">
        <v>1.1416E-3</v>
      </c>
      <c r="CP63" s="4">
        <v>1.1255E-3</v>
      </c>
      <c r="CQ63" s="4">
        <v>1.1096000000000001E-3</v>
      </c>
      <c r="CR63" s="4">
        <v>1.0939000000000001E-3</v>
      </c>
      <c r="CS63" s="4">
        <v>1.0784E-3</v>
      </c>
      <c r="CT63" s="4">
        <v>1.0629999999999999E-3</v>
      </c>
      <c r="CU63" s="4">
        <v>1.0478E-3</v>
      </c>
      <c r="CV63" s="4">
        <v>1.0328E-3</v>
      </c>
      <c r="CW63" s="4">
        <v>1.018E-3</v>
      </c>
      <c r="CX63" s="4">
        <v>1.0034E-3</v>
      </c>
      <c r="CY63" s="4">
        <v>9.8890000000000002E-4</v>
      </c>
      <c r="CZ63" s="4">
        <v>9.747E-4</v>
      </c>
      <c r="DA63" s="4">
        <v>9.6060000000000004E-4</v>
      </c>
      <c r="DB63" s="4">
        <v>9.4669999999999997E-4</v>
      </c>
      <c r="DC63" s="4">
        <v>9.3300000000000002E-4</v>
      </c>
      <c r="DD63" s="4">
        <v>9.1949999999999996E-4</v>
      </c>
      <c r="DE63" s="4">
        <v>9.0620000000000002E-4</v>
      </c>
      <c r="DF63" s="4">
        <v>8.9309999999999997E-4</v>
      </c>
      <c r="DG63" s="4">
        <v>8.8020000000000004E-4</v>
      </c>
      <c r="DH63" s="4">
        <v>8.675E-4</v>
      </c>
      <c r="DI63" s="4">
        <v>8.5490000000000002E-4</v>
      </c>
      <c r="DJ63" s="4">
        <v>8.4250000000000004E-4</v>
      </c>
      <c r="DK63" s="4">
        <v>8.3040000000000002E-4</v>
      </c>
      <c r="DL63" s="4">
        <v>8.1840000000000005E-4</v>
      </c>
      <c r="DM63" s="4">
        <v>8.0650000000000003E-4</v>
      </c>
      <c r="DN63" s="4">
        <v>7.9489999999999997E-4</v>
      </c>
      <c r="DO63" s="4">
        <v>7.8339999999999996E-4</v>
      </c>
      <c r="DP63" s="4">
        <v>7.7209999999999996E-4</v>
      </c>
      <c r="DQ63" s="4">
        <v>5.3737699999999999E-2</v>
      </c>
      <c r="DR63" s="4">
        <v>0</v>
      </c>
      <c r="DS63" s="4">
        <v>1.4249999999999999E-4</v>
      </c>
      <c r="DT63" s="4">
        <v>1.8540000000000001E-4</v>
      </c>
      <c r="DU63" s="4">
        <v>4.7160000000000002E-4</v>
      </c>
      <c r="DV63" s="4">
        <v>6.6359999999999998E-4</v>
      </c>
      <c r="DW63" s="4">
        <v>6.5530000000000004E-4</v>
      </c>
      <c r="DX63" s="4">
        <v>6.3000000000000003E-4</v>
      </c>
      <c r="DY63" s="4">
        <v>5.5610000000000002E-4</v>
      </c>
      <c r="DZ63" s="4">
        <v>4.9779999999999996E-4</v>
      </c>
      <c r="EA63" s="4">
        <v>4.3820000000000003E-4</v>
      </c>
      <c r="EB63" s="4">
        <v>3.881E-4</v>
      </c>
      <c r="EC63" s="4">
        <v>3.436E-4</v>
      </c>
      <c r="ED63" s="4">
        <v>3.0610000000000001E-4</v>
      </c>
      <c r="EE63" s="4">
        <v>2.744E-4</v>
      </c>
      <c r="EF63" s="4">
        <v>2.4630000000000002E-4</v>
      </c>
      <c r="EG63" s="4">
        <v>2.206E-4</v>
      </c>
      <c r="EH63" s="4">
        <v>1.995E-4</v>
      </c>
      <c r="EI63" s="4">
        <v>1.816E-4</v>
      </c>
      <c r="EJ63" s="4">
        <v>1.6530000000000001E-4</v>
      </c>
      <c r="EK63" s="4">
        <v>1.515E-4</v>
      </c>
      <c r="EL63" s="4">
        <v>1.393E-4</v>
      </c>
      <c r="EM63" s="4">
        <v>1.2860000000000001E-4</v>
      </c>
      <c r="EN63" s="4">
        <v>1.1900000000000001E-4</v>
      </c>
      <c r="EO63" s="4">
        <v>1.106E-4</v>
      </c>
      <c r="EP63" s="4">
        <v>1.032E-4</v>
      </c>
      <c r="EQ63" s="4">
        <v>9.6700000000000006E-5</v>
      </c>
      <c r="ER63" s="4">
        <v>9.0799999999999998E-5</v>
      </c>
      <c r="ES63" s="4">
        <v>8.5400000000000002E-5</v>
      </c>
      <c r="ET63" s="4">
        <v>8.0400000000000003E-5</v>
      </c>
      <c r="EU63" s="4">
        <v>7.5900000000000002E-5</v>
      </c>
      <c r="EV63" s="4">
        <v>7.1699999999999995E-5</v>
      </c>
      <c r="EW63" s="4">
        <v>6.7999999999999999E-5</v>
      </c>
      <c r="EX63" s="4">
        <v>6.3600000000000001E-5</v>
      </c>
      <c r="EY63" s="4">
        <v>6.0399999999999998E-5</v>
      </c>
      <c r="EZ63" s="4">
        <v>5.7399999999999999E-5</v>
      </c>
      <c r="FA63" s="4">
        <v>5.4700000000000001E-5</v>
      </c>
      <c r="FB63" s="4">
        <v>5.2099999999999999E-5</v>
      </c>
      <c r="FC63" s="4">
        <v>4.9799999999999998E-5</v>
      </c>
      <c r="FD63" s="4">
        <v>4.7700000000000001E-5</v>
      </c>
      <c r="FE63" s="4">
        <v>4.57E-5</v>
      </c>
      <c r="FF63" s="4">
        <v>4.3800000000000001E-5</v>
      </c>
      <c r="FG63" s="4">
        <v>4.1999999999999998E-5</v>
      </c>
      <c r="FH63" s="4">
        <v>4.0500000000000002E-5</v>
      </c>
      <c r="FI63" s="4">
        <v>3.9100000000000002E-5</v>
      </c>
      <c r="FJ63" s="4">
        <v>3.7799999999999997E-5</v>
      </c>
      <c r="FK63" s="4">
        <v>3.6600000000000002E-5</v>
      </c>
      <c r="FL63" s="4">
        <v>3.54E-5</v>
      </c>
      <c r="FM63" s="4">
        <v>3.43E-5</v>
      </c>
      <c r="FN63" s="4">
        <v>3.3300000000000003E-5</v>
      </c>
      <c r="FO63" s="4">
        <v>3.2100000000000001E-5</v>
      </c>
      <c r="FP63" s="4">
        <v>3.0899999999999999E-5</v>
      </c>
      <c r="FQ63" s="4">
        <v>2.9099999999999999E-5</v>
      </c>
      <c r="FR63" s="4">
        <v>2.8099999999999999E-5</v>
      </c>
      <c r="FS63" s="4">
        <v>2.7100000000000001E-5</v>
      </c>
      <c r="FT63" s="4">
        <v>2.5299999999999998E-5</v>
      </c>
      <c r="FU63" s="4">
        <v>2.6299999999999999E-5</v>
      </c>
      <c r="FV63" s="4">
        <v>2.58E-5</v>
      </c>
      <c r="FW63" s="4">
        <v>2.5400000000000001E-5</v>
      </c>
      <c r="FX63" s="4">
        <v>2.5000000000000001E-5</v>
      </c>
      <c r="FY63" s="4">
        <v>2.4700000000000001E-5</v>
      </c>
      <c r="FZ63" s="4">
        <v>2.4300000000000001E-5</v>
      </c>
      <c r="GA63" s="4">
        <v>2.4000000000000001E-5</v>
      </c>
      <c r="GB63" s="4">
        <v>2.37E-5</v>
      </c>
      <c r="GC63" s="4">
        <v>2.34E-5</v>
      </c>
      <c r="GD63" s="4">
        <v>2.3E-5</v>
      </c>
      <c r="GE63" s="4">
        <v>2.27E-5</v>
      </c>
      <c r="GF63" s="4">
        <v>2.2399999999999999E-5</v>
      </c>
      <c r="GG63" s="4">
        <v>2.2099999999999998E-5</v>
      </c>
      <c r="GH63" s="4">
        <v>2.1800000000000001E-5</v>
      </c>
      <c r="GI63" s="4">
        <v>2.1500000000000001E-5</v>
      </c>
      <c r="GJ63" s="4">
        <v>2.12E-5</v>
      </c>
      <c r="GK63" s="4">
        <v>2.09E-5</v>
      </c>
      <c r="GL63" s="4">
        <v>2.0699999999999998E-5</v>
      </c>
      <c r="GM63" s="4">
        <v>2.0400000000000001E-5</v>
      </c>
      <c r="GN63" s="4">
        <v>2.0100000000000001E-5</v>
      </c>
      <c r="GO63" s="4">
        <v>1.9899999999999999E-5</v>
      </c>
      <c r="GP63" s="4">
        <v>1.9599999999999999E-5</v>
      </c>
      <c r="GQ63" s="4">
        <v>1.9300000000000002E-5</v>
      </c>
      <c r="GR63" s="4">
        <v>1.91E-5</v>
      </c>
      <c r="GS63" s="4">
        <v>1.88E-5</v>
      </c>
      <c r="GT63" s="4">
        <v>1.8600000000000001E-5</v>
      </c>
      <c r="GU63" s="4">
        <v>1.8300000000000001E-5</v>
      </c>
      <c r="GV63" s="4">
        <v>1.8099999999999999E-5</v>
      </c>
      <c r="GW63" s="4">
        <v>1.7799999999999999E-5</v>
      </c>
      <c r="GX63" s="4">
        <v>1.7600000000000001E-5</v>
      </c>
      <c r="GY63" s="4">
        <v>1.7399999999999999E-5</v>
      </c>
      <c r="GZ63" s="4">
        <v>1.7099999999999999E-5</v>
      </c>
      <c r="HA63" s="4">
        <v>1.6900000000000001E-5</v>
      </c>
      <c r="HB63" s="4">
        <v>1.6699999999999999E-5</v>
      </c>
      <c r="HC63" s="4">
        <v>1.6500000000000001E-5</v>
      </c>
      <c r="HD63" s="4">
        <v>1.6200000000000001E-5</v>
      </c>
      <c r="HE63" s="4">
        <v>1.5999999999999999E-5</v>
      </c>
      <c r="HF63" s="4">
        <v>1.5800000000000001E-5</v>
      </c>
      <c r="HG63" s="4">
        <v>1.56E-5</v>
      </c>
      <c r="HH63" s="4">
        <v>1.5400000000000002E-5</v>
      </c>
      <c r="HI63" s="4">
        <v>1.5099999999999999E-5</v>
      </c>
      <c r="HJ63" s="4">
        <v>1.49E-5</v>
      </c>
      <c r="HK63" s="4">
        <v>1.47E-5</v>
      </c>
      <c r="HL63" s="4">
        <v>1.45E-5</v>
      </c>
      <c r="HM63" s="4">
        <v>1.43E-5</v>
      </c>
      <c r="HN63" s="4">
        <v>1.4100000000000001E-5</v>
      </c>
      <c r="HO63" s="4">
        <v>1.3900000000000001E-5</v>
      </c>
      <c r="HP63" s="4">
        <v>1.3699999999999999E-5</v>
      </c>
      <c r="HQ63" s="4">
        <v>1.3499999999999999E-5</v>
      </c>
      <c r="HR63" s="4">
        <v>1.33E-5</v>
      </c>
      <c r="HS63" s="4">
        <v>1.3200000000000001E-5</v>
      </c>
      <c r="HT63" s="4">
        <v>1.2999999999999999E-5</v>
      </c>
      <c r="HU63" s="4">
        <v>1.2799999999999999E-5</v>
      </c>
      <c r="HV63" s="4">
        <v>1.26E-5</v>
      </c>
      <c r="HW63" s="4">
        <v>1.24E-5</v>
      </c>
      <c r="HX63" s="4">
        <v>1.22E-5</v>
      </c>
      <c r="HY63" s="4">
        <v>1.2099999999999999E-5</v>
      </c>
      <c r="HZ63" s="4">
        <v>1.19E-5</v>
      </c>
      <c r="IA63" s="4">
        <v>1.17E-5</v>
      </c>
      <c r="IB63" s="4">
        <v>1.1600000000000001E-5</v>
      </c>
      <c r="IC63" s="4">
        <v>1.1399999999999999E-5</v>
      </c>
      <c r="ID63" s="4">
        <v>1.1199999999999999E-5</v>
      </c>
      <c r="IE63" s="4">
        <v>1.11E-5</v>
      </c>
      <c r="IF63" s="4">
        <v>1.0900000000000001E-5</v>
      </c>
      <c r="IG63" s="4">
        <v>7.6349999999999996E-4</v>
      </c>
      <c r="IH63" s="4"/>
      <c r="IL63">
        <f t="shared" si="248"/>
        <v>0.35748359999999957</v>
      </c>
      <c r="IP63" s="4">
        <f t="shared" si="249"/>
        <v>4.1488400000000002E-2</v>
      </c>
      <c r="IQ63" s="4">
        <f t="shared" si="250"/>
        <v>3.3356000000000004E-2</v>
      </c>
      <c r="IR63" s="4">
        <f t="shared" si="251"/>
        <v>2.5332499999999997E-2</v>
      </c>
      <c r="IS63" s="4">
        <f t="shared" si="252"/>
        <v>2.0277400000000001E-2</v>
      </c>
      <c r="IT63" s="4">
        <f t="shared" si="253"/>
        <v>1.6941700000000001E-2</v>
      </c>
      <c r="IU63" s="4">
        <f t="shared" si="254"/>
        <v>5.9455899999999999E-2</v>
      </c>
      <c r="IV63" s="4">
        <f t="shared" si="255"/>
        <v>3.84334E-2</v>
      </c>
      <c r="IW63" s="4">
        <f t="shared" si="256"/>
        <v>2.9871200000000001E-2</v>
      </c>
      <c r="IX63" s="4">
        <f t="shared" si="257"/>
        <v>9.2555300000000007E-2</v>
      </c>
    </row>
    <row r="64" spans="1:258" x14ac:dyDescent="0.35">
      <c r="A64" s="1">
        <v>56</v>
      </c>
      <c r="B64" s="4">
        <v>1.0734799999999999E-2</v>
      </c>
      <c r="C64" s="4">
        <v>1.0734799999999999E-2</v>
      </c>
      <c r="D64" s="4">
        <v>1.0592300000000001E-2</v>
      </c>
      <c r="E64" s="4">
        <v>1.0332300000000001E-2</v>
      </c>
      <c r="F64" s="4">
        <v>9.8607E-3</v>
      </c>
      <c r="G64" s="4">
        <v>9.2399000000000005E-3</v>
      </c>
      <c r="H64" s="4">
        <v>8.6458999999999998E-3</v>
      </c>
      <c r="I64" s="4">
        <v>7.9878999999999992E-3</v>
      </c>
      <c r="J64" s="4">
        <v>7.4368999999999998E-3</v>
      </c>
      <c r="K64" s="4">
        <v>6.9458999999999996E-3</v>
      </c>
      <c r="L64" s="4">
        <v>6.5088000000000003E-3</v>
      </c>
      <c r="M64" s="4">
        <v>6.117E-3</v>
      </c>
      <c r="N64" s="4">
        <v>5.7689000000000004E-3</v>
      </c>
      <c r="O64" s="4">
        <v>5.4618999999999996E-3</v>
      </c>
      <c r="P64" s="4">
        <v>5.1913999999999997E-3</v>
      </c>
      <c r="Q64" s="4">
        <v>4.9452000000000003E-3</v>
      </c>
      <c r="R64" s="4">
        <v>4.7012E-3</v>
      </c>
      <c r="S64" s="4">
        <v>4.4989000000000001E-3</v>
      </c>
      <c r="T64" s="4">
        <v>4.3166999999999997E-3</v>
      </c>
      <c r="U64" s="4">
        <v>4.1437000000000002E-3</v>
      </c>
      <c r="V64" s="4">
        <v>3.9927000000000001E-3</v>
      </c>
      <c r="W64" s="4">
        <v>3.8508000000000001E-3</v>
      </c>
      <c r="X64" s="4">
        <v>3.7190000000000001E-3</v>
      </c>
      <c r="Y64" s="4">
        <v>3.5986E-3</v>
      </c>
      <c r="Z64" s="4">
        <v>3.4886000000000001E-3</v>
      </c>
      <c r="AA64" s="4">
        <v>3.3907999999999998E-3</v>
      </c>
      <c r="AB64" s="4">
        <v>3.3016E-3</v>
      </c>
      <c r="AC64" s="4">
        <v>3.2155999999999999E-3</v>
      </c>
      <c r="AD64" s="4">
        <v>3.1299000000000001E-3</v>
      </c>
      <c r="AE64" s="4">
        <v>3.0490999999999999E-3</v>
      </c>
      <c r="AF64" s="4">
        <v>2.9718000000000001E-3</v>
      </c>
      <c r="AG64" s="4">
        <v>2.8907E-3</v>
      </c>
      <c r="AH64" s="4">
        <v>2.8219E-3</v>
      </c>
      <c r="AI64" s="4">
        <v>2.7204E-3</v>
      </c>
      <c r="AJ64" s="4">
        <v>2.6537000000000002E-3</v>
      </c>
      <c r="AK64" s="4">
        <v>2.5907999999999999E-3</v>
      </c>
      <c r="AL64" s="4">
        <v>2.5297000000000002E-3</v>
      </c>
      <c r="AM64" s="4">
        <v>2.4735E-3</v>
      </c>
      <c r="AN64" s="4">
        <v>2.4237999999999998E-3</v>
      </c>
      <c r="AO64" s="4">
        <v>2.3758999999999998E-3</v>
      </c>
      <c r="AP64" s="4">
        <v>2.3262999999999999E-3</v>
      </c>
      <c r="AQ64" s="4">
        <v>2.2785000000000001E-3</v>
      </c>
      <c r="AR64" s="4">
        <v>2.2344999999999999E-3</v>
      </c>
      <c r="AS64" s="4">
        <v>2.1940000000000002E-3</v>
      </c>
      <c r="AT64" s="4">
        <v>2.1614E-3</v>
      </c>
      <c r="AU64" s="4">
        <v>2.1305999999999999E-3</v>
      </c>
      <c r="AV64" s="4">
        <v>2.0993000000000001E-3</v>
      </c>
      <c r="AW64" s="4">
        <v>2.0684000000000002E-3</v>
      </c>
      <c r="AX64" s="4">
        <v>2.0366E-3</v>
      </c>
      <c r="AY64" s="4">
        <v>2.0026000000000002E-3</v>
      </c>
      <c r="AZ64" s="4">
        <v>1.9610000000000001E-3</v>
      </c>
      <c r="BA64" s="4">
        <v>1.9119E-3</v>
      </c>
      <c r="BB64" s="4">
        <v>1.8224000000000001E-3</v>
      </c>
      <c r="BC64" s="4">
        <v>1.7787E-3</v>
      </c>
      <c r="BD64" s="4">
        <v>1.7339E-3</v>
      </c>
      <c r="BE64" s="4">
        <v>1.6366E-3</v>
      </c>
      <c r="BF64" s="4">
        <v>1.7087999999999999E-3</v>
      </c>
      <c r="BG64" s="4">
        <v>1.6884999999999999E-3</v>
      </c>
      <c r="BH64" s="4">
        <v>1.6783E-3</v>
      </c>
      <c r="BI64" s="4">
        <v>1.6665E-3</v>
      </c>
      <c r="BJ64" s="4">
        <v>1.6544999999999999E-3</v>
      </c>
      <c r="BK64" s="4">
        <v>1.6416E-3</v>
      </c>
      <c r="BL64" s="4">
        <v>1.6280999999999999E-3</v>
      </c>
      <c r="BM64" s="4">
        <v>1.6138000000000001E-3</v>
      </c>
      <c r="BN64" s="4">
        <v>1.5989000000000001E-3</v>
      </c>
      <c r="BO64" s="4">
        <v>1.5834E-3</v>
      </c>
      <c r="BP64" s="4">
        <v>1.5674E-3</v>
      </c>
      <c r="BQ64" s="4">
        <v>1.5510999999999999E-3</v>
      </c>
      <c r="BR64" s="4">
        <v>1.5344E-3</v>
      </c>
      <c r="BS64" s="4">
        <v>1.5175E-3</v>
      </c>
      <c r="BT64" s="4">
        <v>1.5004E-3</v>
      </c>
      <c r="BU64" s="4">
        <v>1.4831E-3</v>
      </c>
      <c r="BV64" s="4">
        <v>1.4656999999999999E-3</v>
      </c>
      <c r="BW64" s="4">
        <v>1.4483E-3</v>
      </c>
      <c r="BX64" s="4">
        <v>1.4307E-3</v>
      </c>
      <c r="BY64" s="4">
        <v>1.4132000000000001E-3</v>
      </c>
      <c r="BZ64" s="4">
        <v>1.3956999999999999E-3</v>
      </c>
      <c r="CA64" s="4">
        <v>1.3780999999999999E-3</v>
      </c>
      <c r="CB64" s="4">
        <v>1.3607000000000001E-3</v>
      </c>
      <c r="CC64" s="4">
        <v>1.3431999999999999E-3</v>
      </c>
      <c r="CD64" s="4">
        <v>1.3259000000000001E-3</v>
      </c>
      <c r="CE64" s="4">
        <v>1.3086E-3</v>
      </c>
      <c r="CF64" s="4">
        <v>1.2914000000000001E-3</v>
      </c>
      <c r="CG64" s="4">
        <v>1.2742999999999999E-3</v>
      </c>
      <c r="CH64" s="4">
        <v>1.2573E-3</v>
      </c>
      <c r="CI64" s="4">
        <v>1.2404E-3</v>
      </c>
      <c r="CJ64" s="4">
        <v>1.2236E-3</v>
      </c>
      <c r="CK64" s="4">
        <v>1.2068999999999999E-3</v>
      </c>
      <c r="CL64" s="4">
        <v>1.1904000000000001E-3</v>
      </c>
      <c r="CM64" s="4">
        <v>1.1739999999999999E-3</v>
      </c>
      <c r="CN64" s="4">
        <v>1.1577E-3</v>
      </c>
      <c r="CO64" s="4">
        <v>1.1414999999999999E-3</v>
      </c>
      <c r="CP64" s="4">
        <v>1.1256E-3</v>
      </c>
      <c r="CQ64" s="4">
        <v>1.1096999999999999E-3</v>
      </c>
      <c r="CR64" s="4">
        <v>1.0941E-3</v>
      </c>
      <c r="CS64" s="4">
        <v>1.0786000000000001E-3</v>
      </c>
      <c r="CT64" s="4">
        <v>1.0632E-3</v>
      </c>
      <c r="CU64" s="4">
        <v>1.0480999999999999E-3</v>
      </c>
      <c r="CV64" s="4">
        <v>1.0330999999999999E-3</v>
      </c>
      <c r="CW64" s="4">
        <v>1.0183E-3</v>
      </c>
      <c r="CX64" s="4">
        <v>1.0036999999999999E-3</v>
      </c>
      <c r="CY64" s="4">
        <v>9.8919999999999998E-4</v>
      </c>
      <c r="CZ64" s="4">
        <v>9.7499999999999996E-4</v>
      </c>
      <c r="DA64" s="4">
        <v>9.6089999999999999E-4</v>
      </c>
      <c r="DB64" s="4">
        <v>9.4709999999999998E-4</v>
      </c>
      <c r="DC64" s="4">
        <v>9.3340000000000003E-4</v>
      </c>
      <c r="DD64" s="4">
        <v>9.1989999999999997E-4</v>
      </c>
      <c r="DE64" s="4">
        <v>9.0660000000000003E-4</v>
      </c>
      <c r="DF64" s="4">
        <v>8.9349999999999998E-4</v>
      </c>
      <c r="DG64" s="4">
        <v>8.8049999999999999E-4</v>
      </c>
      <c r="DH64" s="4">
        <v>8.6779999999999995E-4</v>
      </c>
      <c r="DI64" s="4">
        <v>8.5519999999999997E-4</v>
      </c>
      <c r="DJ64" s="4">
        <v>8.4279999999999999E-4</v>
      </c>
      <c r="DK64" s="4">
        <v>8.3060000000000002E-4</v>
      </c>
      <c r="DL64" s="4">
        <v>8.1859999999999995E-4</v>
      </c>
      <c r="DM64" s="4">
        <v>8.0679999999999999E-4</v>
      </c>
      <c r="DN64" s="4">
        <v>7.9509999999999997E-4</v>
      </c>
      <c r="DO64" s="4">
        <v>7.8370000000000002E-4</v>
      </c>
      <c r="DP64" s="4">
        <v>7.7229999999999996E-4</v>
      </c>
      <c r="DQ64" s="4">
        <v>5.3735400000000003E-2</v>
      </c>
      <c r="DR64" s="4">
        <v>0</v>
      </c>
      <c r="DS64" s="4">
        <v>1.426E-4</v>
      </c>
      <c r="DT64" s="4">
        <v>1.895E-4</v>
      </c>
      <c r="DU64" s="4">
        <v>4.7179999999999998E-4</v>
      </c>
      <c r="DV64" s="4">
        <v>6.2430000000000005E-4</v>
      </c>
      <c r="DW64" s="4">
        <v>6.4459999999999995E-4</v>
      </c>
      <c r="DX64" s="4">
        <v>6.2870000000000005E-4</v>
      </c>
      <c r="DY64" s="4">
        <v>5.5900000000000004E-4</v>
      </c>
      <c r="DZ64" s="4">
        <v>5.0020000000000002E-4</v>
      </c>
      <c r="EA64" s="4">
        <v>4.4200000000000001E-4</v>
      </c>
      <c r="EB64" s="4">
        <v>3.9169999999999998E-4</v>
      </c>
      <c r="EC64" s="4">
        <v>3.457E-4</v>
      </c>
      <c r="ED64" s="4">
        <v>3.0709999999999998E-4</v>
      </c>
      <c r="EE64" s="4">
        <v>2.743E-4</v>
      </c>
      <c r="EF64" s="4">
        <v>2.4630000000000002E-4</v>
      </c>
      <c r="EG64" s="4">
        <v>2.2159999999999999E-4</v>
      </c>
      <c r="EH64" s="4">
        <v>1.9909999999999999E-4</v>
      </c>
      <c r="EI64" s="4">
        <v>1.806E-4</v>
      </c>
      <c r="EJ64" s="4">
        <v>1.6479999999999999E-4</v>
      </c>
      <c r="EK64" s="4">
        <v>1.505E-4</v>
      </c>
      <c r="EL64" s="4">
        <v>1.383E-4</v>
      </c>
      <c r="EM64" s="4">
        <v>1.2750000000000001E-4</v>
      </c>
      <c r="EN64" s="4">
        <v>1.18E-4</v>
      </c>
      <c r="EO64" s="4">
        <v>1.0950000000000001E-4</v>
      </c>
      <c r="EP64" s="4">
        <v>1.02E-4</v>
      </c>
      <c r="EQ64" s="4">
        <v>9.5400000000000001E-5</v>
      </c>
      <c r="ER64" s="4">
        <v>8.9599999999999996E-5</v>
      </c>
      <c r="ES64" s="4">
        <v>8.4300000000000003E-5</v>
      </c>
      <c r="ET64" s="4">
        <v>7.9400000000000006E-5</v>
      </c>
      <c r="EU64" s="4">
        <v>7.4999999999999993E-5</v>
      </c>
      <c r="EV64" s="4">
        <v>7.0900000000000002E-5</v>
      </c>
      <c r="EW64" s="4">
        <v>6.7000000000000002E-5</v>
      </c>
      <c r="EX64" s="4">
        <v>6.3700000000000003E-5</v>
      </c>
      <c r="EY64" s="4">
        <v>5.9700000000000001E-5</v>
      </c>
      <c r="EZ64" s="4">
        <v>5.6700000000000003E-5</v>
      </c>
      <c r="FA64" s="4">
        <v>5.3999999999999998E-5</v>
      </c>
      <c r="FB64" s="4">
        <v>5.1499999999999998E-5</v>
      </c>
      <c r="FC64" s="4">
        <v>4.9200000000000003E-5</v>
      </c>
      <c r="FD64" s="4">
        <v>4.71E-5</v>
      </c>
      <c r="FE64" s="4">
        <v>4.5200000000000001E-5</v>
      </c>
      <c r="FF64" s="4">
        <v>4.3300000000000002E-5</v>
      </c>
      <c r="FG64" s="4">
        <v>4.1600000000000002E-5</v>
      </c>
      <c r="FH64" s="4">
        <v>4.0000000000000003E-5</v>
      </c>
      <c r="FI64" s="4">
        <v>3.8500000000000001E-5</v>
      </c>
      <c r="FJ64" s="4">
        <v>3.7299999999999999E-5</v>
      </c>
      <c r="FK64" s="4">
        <v>3.6100000000000003E-5</v>
      </c>
      <c r="FL64" s="4">
        <v>3.4999999999999997E-5</v>
      </c>
      <c r="FM64" s="4">
        <v>3.4E-5</v>
      </c>
      <c r="FN64" s="4">
        <v>3.3000000000000003E-5</v>
      </c>
      <c r="FO64" s="4">
        <v>3.1999999999999999E-5</v>
      </c>
      <c r="FP64" s="4">
        <v>3.1000000000000001E-5</v>
      </c>
      <c r="FQ64" s="4">
        <v>2.9899999999999998E-5</v>
      </c>
      <c r="FR64" s="4">
        <v>2.8099999999999999E-5</v>
      </c>
      <c r="FS64" s="4">
        <v>2.72E-5</v>
      </c>
      <c r="FT64" s="4">
        <v>2.6299999999999999E-5</v>
      </c>
      <c r="FU64" s="4">
        <v>2.4600000000000002E-5</v>
      </c>
      <c r="FV64" s="4">
        <v>2.5599999999999999E-5</v>
      </c>
      <c r="FW64" s="4">
        <v>2.5000000000000001E-5</v>
      </c>
      <c r="FX64" s="4">
        <v>2.4700000000000001E-5</v>
      </c>
      <c r="FY64" s="4">
        <v>2.44E-5</v>
      </c>
      <c r="FZ64" s="4">
        <v>2.41E-5</v>
      </c>
      <c r="GA64" s="4">
        <v>2.3799999999999999E-5</v>
      </c>
      <c r="GB64" s="4">
        <v>2.3499999999999999E-5</v>
      </c>
      <c r="GC64" s="4">
        <v>2.3200000000000001E-5</v>
      </c>
      <c r="GD64" s="4">
        <v>2.2900000000000001E-5</v>
      </c>
      <c r="GE64" s="4">
        <v>2.26E-5</v>
      </c>
      <c r="GF64" s="4">
        <v>2.23E-5</v>
      </c>
      <c r="GG64" s="4">
        <v>2.1999999999999999E-5</v>
      </c>
      <c r="GH64" s="4">
        <v>2.1699999999999999E-5</v>
      </c>
      <c r="GI64" s="4">
        <v>2.1399999999999998E-5</v>
      </c>
      <c r="GJ64" s="4">
        <v>2.1100000000000001E-5</v>
      </c>
      <c r="GK64" s="4">
        <v>2.09E-5</v>
      </c>
      <c r="GL64" s="4">
        <v>2.0599999999999999E-5</v>
      </c>
      <c r="GM64" s="4">
        <v>2.0299999999999999E-5</v>
      </c>
      <c r="GN64" s="4">
        <v>2.0100000000000001E-5</v>
      </c>
      <c r="GO64" s="4">
        <v>1.98E-5</v>
      </c>
      <c r="GP64" s="4">
        <v>1.95E-5</v>
      </c>
      <c r="GQ64" s="4">
        <v>1.9300000000000002E-5</v>
      </c>
      <c r="GR64" s="4">
        <v>1.9000000000000001E-5</v>
      </c>
      <c r="GS64" s="4">
        <v>1.88E-5</v>
      </c>
      <c r="GT64" s="4">
        <v>1.8499999999999999E-5</v>
      </c>
      <c r="GU64" s="4">
        <v>1.8300000000000001E-5</v>
      </c>
      <c r="GV64" s="4">
        <v>1.8099999999999999E-5</v>
      </c>
      <c r="GW64" s="4">
        <v>1.7799999999999999E-5</v>
      </c>
      <c r="GX64" s="4">
        <v>1.7600000000000001E-5</v>
      </c>
      <c r="GY64" s="4">
        <v>1.7399999999999999E-5</v>
      </c>
      <c r="GZ64" s="4">
        <v>1.7099999999999999E-5</v>
      </c>
      <c r="HA64" s="4">
        <v>1.6900000000000001E-5</v>
      </c>
      <c r="HB64" s="4">
        <v>1.6699999999999999E-5</v>
      </c>
      <c r="HC64" s="4">
        <v>1.6399999999999999E-5</v>
      </c>
      <c r="HD64" s="4">
        <v>1.6200000000000001E-5</v>
      </c>
      <c r="HE64" s="4">
        <v>1.5999999999999999E-5</v>
      </c>
      <c r="HF64" s="4">
        <v>1.5800000000000001E-5</v>
      </c>
      <c r="HG64" s="4">
        <v>1.56E-5</v>
      </c>
      <c r="HH64" s="4">
        <v>1.5400000000000002E-5</v>
      </c>
      <c r="HI64" s="4">
        <v>1.5099999999999999E-5</v>
      </c>
      <c r="HJ64" s="4">
        <v>1.49E-5</v>
      </c>
      <c r="HK64" s="4">
        <v>1.47E-5</v>
      </c>
      <c r="HL64" s="4">
        <v>1.45E-5</v>
      </c>
      <c r="HM64" s="4">
        <v>1.43E-5</v>
      </c>
      <c r="HN64" s="4">
        <v>1.4100000000000001E-5</v>
      </c>
      <c r="HO64" s="4">
        <v>1.3900000000000001E-5</v>
      </c>
      <c r="HP64" s="4">
        <v>1.3699999999999999E-5</v>
      </c>
      <c r="HQ64" s="4">
        <v>1.3499999999999999E-5</v>
      </c>
      <c r="HR64" s="4">
        <v>1.33E-5</v>
      </c>
      <c r="HS64" s="4">
        <v>1.3200000000000001E-5</v>
      </c>
      <c r="HT64" s="4">
        <v>1.2999999999999999E-5</v>
      </c>
      <c r="HU64" s="4">
        <v>1.2799999999999999E-5</v>
      </c>
      <c r="HV64" s="4">
        <v>1.26E-5</v>
      </c>
      <c r="HW64" s="4">
        <v>1.24E-5</v>
      </c>
      <c r="HX64" s="4">
        <v>1.2300000000000001E-5</v>
      </c>
      <c r="HY64" s="4">
        <v>1.2099999999999999E-5</v>
      </c>
      <c r="HZ64" s="4">
        <v>1.19E-5</v>
      </c>
      <c r="IA64" s="4">
        <v>1.17E-5</v>
      </c>
      <c r="IB64" s="4">
        <v>1.1600000000000001E-5</v>
      </c>
      <c r="IC64" s="4">
        <v>1.1399999999999999E-5</v>
      </c>
      <c r="ID64" s="4">
        <v>1.1199999999999999E-5</v>
      </c>
      <c r="IE64" s="4">
        <v>1.11E-5</v>
      </c>
      <c r="IF64" s="4">
        <v>1.0900000000000001E-5</v>
      </c>
      <c r="IG64" s="4">
        <v>7.6340000000000002E-4</v>
      </c>
      <c r="IH64" s="4"/>
      <c r="IP64" s="4">
        <f t="shared" si="249"/>
        <v>4.1520100000000004E-2</v>
      </c>
      <c r="IQ64" s="4">
        <f t="shared" si="250"/>
        <v>3.3310599999999996E-2</v>
      </c>
      <c r="IR64" s="4">
        <f t="shared" si="251"/>
        <v>2.5340600000000001E-2</v>
      </c>
      <c r="IS64" s="4">
        <f t="shared" si="252"/>
        <v>2.02997E-2</v>
      </c>
      <c r="IT64" s="4">
        <f t="shared" si="253"/>
        <v>1.6952000000000002E-2</v>
      </c>
      <c r="IU64" s="4">
        <f t="shared" si="254"/>
        <v>5.9522499999999992E-2</v>
      </c>
      <c r="IV64" s="4">
        <f t="shared" si="255"/>
        <v>3.8447000000000009E-2</v>
      </c>
      <c r="IW64" s="4">
        <f t="shared" si="256"/>
        <v>2.9781200000000001E-2</v>
      </c>
      <c r="IX64" s="4">
        <f t="shared" si="257"/>
        <v>9.2554899999999996E-2</v>
      </c>
    </row>
    <row r="65" spans="1:258" x14ac:dyDescent="0.35">
      <c r="A65" s="1">
        <v>57</v>
      </c>
      <c r="B65" s="4">
        <v>1.0654E-2</v>
      </c>
      <c r="C65" s="4">
        <v>1.0734799999999999E-2</v>
      </c>
      <c r="D65" s="4">
        <v>1.05922E-2</v>
      </c>
      <c r="E65" s="4">
        <v>1.04028E-2</v>
      </c>
      <c r="F65" s="4">
        <v>9.8604999999999995E-3</v>
      </c>
      <c r="G65" s="4">
        <v>9.2364000000000005E-3</v>
      </c>
      <c r="H65" s="4">
        <v>8.5953000000000002E-3</v>
      </c>
      <c r="I65" s="4">
        <v>8.0172000000000004E-3</v>
      </c>
      <c r="J65" s="4">
        <v>7.4289000000000004E-3</v>
      </c>
      <c r="K65" s="4">
        <v>6.9366000000000002E-3</v>
      </c>
      <c r="L65" s="4">
        <v>6.5040000000000002E-3</v>
      </c>
      <c r="M65" s="4">
        <v>6.1171000000000003E-3</v>
      </c>
      <c r="N65" s="4">
        <v>5.7713E-3</v>
      </c>
      <c r="O65" s="4">
        <v>5.4618000000000002E-3</v>
      </c>
      <c r="P65" s="4">
        <v>5.1875999999999997E-3</v>
      </c>
      <c r="Q65" s="4">
        <v>4.9451E-3</v>
      </c>
      <c r="R65" s="4">
        <v>4.7235999999999997E-3</v>
      </c>
      <c r="S65" s="4">
        <v>4.5021000000000002E-3</v>
      </c>
      <c r="T65" s="4">
        <v>4.3184E-3</v>
      </c>
      <c r="U65" s="4">
        <v>4.1517999999999998E-3</v>
      </c>
      <c r="V65" s="4">
        <v>3.9931999999999997E-3</v>
      </c>
      <c r="W65" s="4">
        <v>3.8544E-3</v>
      </c>
      <c r="X65" s="4">
        <v>3.7233000000000001E-3</v>
      </c>
      <c r="Y65" s="4">
        <v>3.601E-3</v>
      </c>
      <c r="Z65" s="4">
        <v>3.4891000000000002E-3</v>
      </c>
      <c r="AA65" s="4">
        <v>3.3866E-3</v>
      </c>
      <c r="AB65" s="4">
        <v>3.2954E-3</v>
      </c>
      <c r="AC65" s="4">
        <v>3.212E-3</v>
      </c>
      <c r="AD65" s="4">
        <v>3.1313000000000001E-3</v>
      </c>
      <c r="AE65" s="4">
        <v>3.0504999999999998E-3</v>
      </c>
      <c r="AF65" s="4">
        <v>2.9740999999999999E-3</v>
      </c>
      <c r="AG65" s="4">
        <v>2.9007999999999998E-3</v>
      </c>
      <c r="AH65" s="4">
        <v>2.8237000000000002E-3</v>
      </c>
      <c r="AI65" s="4">
        <v>2.7583E-3</v>
      </c>
      <c r="AJ65" s="4">
        <v>2.6606999999999998E-3</v>
      </c>
      <c r="AK65" s="4">
        <v>2.5969999999999999E-3</v>
      </c>
      <c r="AL65" s="4">
        <v>2.5368000000000001E-3</v>
      </c>
      <c r="AM65" s="4">
        <v>2.4781999999999998E-3</v>
      </c>
      <c r="AN65" s="4">
        <v>2.4242999999999999E-3</v>
      </c>
      <c r="AO65" s="4">
        <v>2.3766999999999998E-3</v>
      </c>
      <c r="AP65" s="4">
        <v>2.3308000000000001E-3</v>
      </c>
      <c r="AQ65" s="4">
        <v>2.2829999999999999E-3</v>
      </c>
      <c r="AR65" s="4">
        <v>2.2369999999999998E-3</v>
      </c>
      <c r="AS65" s="4">
        <v>2.1946000000000001E-3</v>
      </c>
      <c r="AT65" s="4">
        <v>2.1554999999999999E-3</v>
      </c>
      <c r="AU65" s="4">
        <v>2.1240999999999999E-3</v>
      </c>
      <c r="AV65" s="4">
        <v>2.0944000000000002E-3</v>
      </c>
      <c r="AW65" s="4">
        <v>2.0642999999999998E-3</v>
      </c>
      <c r="AX65" s="4">
        <v>2.0344E-3</v>
      </c>
      <c r="AY65" s="4">
        <v>2.0035999999999999E-3</v>
      </c>
      <c r="AZ65" s="4">
        <v>1.9705999999999999E-3</v>
      </c>
      <c r="BA65" s="4">
        <v>1.9300000000000001E-3</v>
      </c>
      <c r="BB65" s="4">
        <v>1.882E-3</v>
      </c>
      <c r="BC65" s="4">
        <v>1.7943E-3</v>
      </c>
      <c r="BD65" s="4">
        <v>1.7515E-3</v>
      </c>
      <c r="BE65" s="4">
        <v>1.7076000000000001E-3</v>
      </c>
      <c r="BF65" s="4">
        <v>1.6119999999999999E-3</v>
      </c>
      <c r="BG65" s="4">
        <v>1.6831999999999999E-3</v>
      </c>
      <c r="BH65" s="4">
        <v>1.6635E-3</v>
      </c>
      <c r="BI65" s="4">
        <v>1.6535E-3</v>
      </c>
      <c r="BJ65" s="4">
        <v>1.6421000000000001E-3</v>
      </c>
      <c r="BK65" s="4">
        <v>1.6303999999999999E-3</v>
      </c>
      <c r="BL65" s="4">
        <v>1.6178E-3</v>
      </c>
      <c r="BM65" s="4">
        <v>1.6046000000000001E-3</v>
      </c>
      <c r="BN65" s="4">
        <v>1.5906E-3</v>
      </c>
      <c r="BO65" s="4">
        <v>1.5759999999999999E-3</v>
      </c>
      <c r="BP65" s="4">
        <v>1.5608E-3</v>
      </c>
      <c r="BQ65" s="4">
        <v>1.5452E-3</v>
      </c>
      <c r="BR65" s="4">
        <v>1.5291E-3</v>
      </c>
      <c r="BS65" s="4">
        <v>1.5127000000000001E-3</v>
      </c>
      <c r="BT65" s="4">
        <v>1.4961E-3</v>
      </c>
      <c r="BU65" s="4">
        <v>1.4792E-3</v>
      </c>
      <c r="BV65" s="4">
        <v>1.4622000000000001E-3</v>
      </c>
      <c r="BW65" s="4">
        <v>1.4450999999999999E-3</v>
      </c>
      <c r="BX65" s="4">
        <v>1.4279E-3</v>
      </c>
      <c r="BY65" s="4">
        <v>1.4107E-3</v>
      </c>
      <c r="BZ65" s="4">
        <v>1.3933999999999999E-3</v>
      </c>
      <c r="CA65" s="4">
        <v>1.3760999999999999E-3</v>
      </c>
      <c r="CB65" s="4">
        <v>1.3588999999999999E-3</v>
      </c>
      <c r="CC65" s="4">
        <v>1.3416000000000001E-3</v>
      </c>
      <c r="CD65" s="4">
        <v>1.3244999999999999E-3</v>
      </c>
      <c r="CE65" s="4">
        <v>1.3073E-3</v>
      </c>
      <c r="CF65" s="4">
        <v>1.2903000000000001E-3</v>
      </c>
      <c r="CG65" s="4">
        <v>1.2733E-3</v>
      </c>
      <c r="CH65" s="4">
        <v>1.2565E-3</v>
      </c>
      <c r="CI65" s="4">
        <v>1.2397E-3</v>
      </c>
      <c r="CJ65" s="4">
        <v>1.2229999999999999E-3</v>
      </c>
      <c r="CK65" s="4">
        <v>1.2065000000000001E-3</v>
      </c>
      <c r="CL65" s="4">
        <v>1.1900000000000001E-3</v>
      </c>
      <c r="CM65" s="4">
        <v>1.1737E-3</v>
      </c>
      <c r="CN65" s="4">
        <v>1.1574999999999999E-3</v>
      </c>
      <c r="CO65" s="4">
        <v>1.1414999999999999E-3</v>
      </c>
      <c r="CP65" s="4">
        <v>1.1255E-3</v>
      </c>
      <c r="CQ65" s="4">
        <v>1.1098E-3</v>
      </c>
      <c r="CR65" s="4">
        <v>1.0942E-3</v>
      </c>
      <c r="CS65" s="4">
        <v>1.0786999999999999E-3</v>
      </c>
      <c r="CT65" s="4">
        <v>1.0633999999999999E-3</v>
      </c>
      <c r="CU65" s="4">
        <v>1.0483000000000001E-3</v>
      </c>
      <c r="CV65" s="4">
        <v>1.0333E-3</v>
      </c>
      <c r="CW65" s="4">
        <v>1.0185999999999999E-3</v>
      </c>
      <c r="CX65" s="4">
        <v>1.0039999999999999E-3</v>
      </c>
      <c r="CY65" s="4">
        <v>9.8959999999999998E-4</v>
      </c>
      <c r="CZ65" s="4">
        <v>9.7530000000000002E-4</v>
      </c>
      <c r="DA65" s="4">
        <v>9.613E-4</v>
      </c>
      <c r="DB65" s="4">
        <v>9.4740000000000004E-4</v>
      </c>
      <c r="DC65" s="4">
        <v>9.3369999999999998E-4</v>
      </c>
      <c r="DD65" s="4">
        <v>9.2020000000000003E-4</v>
      </c>
      <c r="DE65" s="4">
        <v>9.0689999999999998E-4</v>
      </c>
      <c r="DF65" s="4">
        <v>8.9380000000000004E-4</v>
      </c>
      <c r="DG65" s="4">
        <v>8.8080000000000005E-4</v>
      </c>
      <c r="DH65" s="4">
        <v>8.6810000000000001E-4</v>
      </c>
      <c r="DI65" s="4">
        <v>8.5550000000000003E-4</v>
      </c>
      <c r="DJ65" s="4">
        <v>8.4309999999999995E-4</v>
      </c>
      <c r="DK65" s="4">
        <v>8.3089999999999998E-4</v>
      </c>
      <c r="DL65" s="4">
        <v>8.1890000000000001E-4</v>
      </c>
      <c r="DM65" s="4">
        <v>8.0710000000000005E-4</v>
      </c>
      <c r="DN65" s="4">
        <v>7.9540000000000003E-4</v>
      </c>
      <c r="DO65" s="4">
        <v>7.8390000000000003E-4</v>
      </c>
      <c r="DP65" s="4">
        <v>7.7260000000000002E-4</v>
      </c>
      <c r="DQ65" s="4">
        <v>5.3733400000000001E-2</v>
      </c>
      <c r="DR65" s="4">
        <v>0</v>
      </c>
      <c r="DS65" s="4">
        <v>1.426E-4</v>
      </c>
      <c r="DT65" s="4">
        <v>1.895E-4</v>
      </c>
      <c r="DU65" s="4">
        <v>4.9299999999999995E-4</v>
      </c>
      <c r="DV65" s="4">
        <v>6.2430000000000005E-4</v>
      </c>
      <c r="DW65" s="4">
        <v>6.5700000000000003E-4</v>
      </c>
      <c r="DX65" s="4">
        <v>6.2040000000000001E-4</v>
      </c>
      <c r="DY65" s="4">
        <v>5.5670000000000003E-4</v>
      </c>
      <c r="DZ65" s="4">
        <v>4.9330000000000001E-4</v>
      </c>
      <c r="EA65" s="4">
        <v>4.351E-4</v>
      </c>
      <c r="EB65" s="4">
        <v>3.8610000000000001E-4</v>
      </c>
      <c r="EC65" s="4">
        <v>3.4239999999999997E-4</v>
      </c>
      <c r="ED65" s="4">
        <v>3.0499999999999999E-4</v>
      </c>
      <c r="EE65" s="4">
        <v>2.7240000000000001E-4</v>
      </c>
      <c r="EF65" s="4">
        <v>2.4459999999999998E-4</v>
      </c>
      <c r="EG65" s="4">
        <v>2.209E-4</v>
      </c>
      <c r="EH65" s="4">
        <v>1.998E-4</v>
      </c>
      <c r="EI65" s="4">
        <v>1.805E-4</v>
      </c>
      <c r="EJ65" s="4">
        <v>1.6459999999999999E-4</v>
      </c>
      <c r="EK65" s="4">
        <v>1.5090000000000001E-4</v>
      </c>
      <c r="EL65" s="4">
        <v>1.384E-4</v>
      </c>
      <c r="EM65" s="4">
        <v>1.2769999999999999E-4</v>
      </c>
      <c r="EN65" s="4">
        <v>1.182E-4</v>
      </c>
      <c r="EO65" s="4">
        <v>1.098E-4</v>
      </c>
      <c r="EP65" s="4">
        <v>1.0230000000000001E-4</v>
      </c>
      <c r="EQ65" s="4">
        <v>9.5600000000000006E-5</v>
      </c>
      <c r="ER65" s="4">
        <v>8.9699999999999998E-5</v>
      </c>
      <c r="ES65" s="4">
        <v>8.4499999999999994E-5</v>
      </c>
      <c r="ET65" s="4">
        <v>7.9800000000000002E-5</v>
      </c>
      <c r="EU65" s="4">
        <v>7.5400000000000003E-5</v>
      </c>
      <c r="EV65" s="4">
        <v>7.1299999999999998E-5</v>
      </c>
      <c r="EW65" s="4">
        <v>6.7600000000000003E-5</v>
      </c>
      <c r="EX65" s="4">
        <v>6.3999999999999997E-5</v>
      </c>
      <c r="EY65" s="4">
        <v>6.0900000000000003E-5</v>
      </c>
      <c r="EZ65" s="4">
        <v>5.7200000000000001E-5</v>
      </c>
      <c r="FA65" s="4">
        <v>5.4400000000000001E-5</v>
      </c>
      <c r="FB65" s="4">
        <v>5.1900000000000001E-5</v>
      </c>
      <c r="FC65" s="4">
        <v>4.9599999999999999E-5</v>
      </c>
      <c r="FD65" s="4">
        <v>4.74E-5</v>
      </c>
      <c r="FE65" s="4">
        <v>4.5399999999999999E-5</v>
      </c>
      <c r="FF65" s="4">
        <v>4.3600000000000003E-5</v>
      </c>
      <c r="FG65" s="4">
        <v>4.1900000000000002E-5</v>
      </c>
      <c r="FH65" s="4">
        <v>4.0200000000000001E-5</v>
      </c>
      <c r="FI65" s="4">
        <v>3.8699999999999999E-5</v>
      </c>
      <c r="FJ65" s="4">
        <v>3.7400000000000001E-5</v>
      </c>
      <c r="FK65" s="4">
        <v>3.6199999999999999E-5</v>
      </c>
      <c r="FL65" s="4">
        <v>3.5099999999999999E-5</v>
      </c>
      <c r="FM65" s="4">
        <v>3.4100000000000002E-5</v>
      </c>
      <c r="FN65" s="4">
        <v>3.3099999999999998E-5</v>
      </c>
      <c r="FO65" s="4">
        <v>3.2100000000000001E-5</v>
      </c>
      <c r="FP65" s="4">
        <v>3.1199999999999999E-5</v>
      </c>
      <c r="FQ65" s="4">
        <v>3.0199999999999999E-5</v>
      </c>
      <c r="FR65" s="4">
        <v>2.9200000000000002E-5</v>
      </c>
      <c r="FS65" s="4">
        <v>2.7500000000000001E-5</v>
      </c>
      <c r="FT65" s="4">
        <v>2.6599999999999999E-5</v>
      </c>
      <c r="FU65" s="4">
        <v>2.5700000000000001E-5</v>
      </c>
      <c r="FV65" s="4">
        <v>2.41E-5</v>
      </c>
      <c r="FW65" s="4">
        <v>2.5000000000000001E-5</v>
      </c>
      <c r="FX65" s="4">
        <v>2.4600000000000002E-5</v>
      </c>
      <c r="FY65" s="4">
        <v>2.4300000000000001E-5</v>
      </c>
      <c r="FZ65" s="4">
        <v>2.3900000000000002E-5</v>
      </c>
      <c r="GA65" s="4">
        <v>2.3600000000000001E-5</v>
      </c>
      <c r="GB65" s="4">
        <v>2.3300000000000001E-5</v>
      </c>
      <c r="GC65" s="4">
        <v>2.3099999999999999E-5</v>
      </c>
      <c r="GD65" s="4">
        <v>2.2799999999999999E-5</v>
      </c>
      <c r="GE65" s="4">
        <v>2.2500000000000001E-5</v>
      </c>
      <c r="GF65" s="4">
        <v>2.2200000000000001E-5</v>
      </c>
      <c r="GG65" s="4">
        <v>2.19E-5</v>
      </c>
      <c r="GH65" s="4">
        <v>2.16E-5</v>
      </c>
      <c r="GI65" s="4">
        <v>2.1399999999999998E-5</v>
      </c>
      <c r="GJ65" s="4">
        <v>2.1100000000000001E-5</v>
      </c>
      <c r="GK65" s="4">
        <v>2.0800000000000001E-5</v>
      </c>
      <c r="GL65" s="4">
        <v>2.05E-5</v>
      </c>
      <c r="GM65" s="4">
        <v>2.0299999999999999E-5</v>
      </c>
      <c r="GN65" s="4">
        <v>2.0000000000000002E-5</v>
      </c>
      <c r="GO65" s="4">
        <v>1.98E-5</v>
      </c>
      <c r="GP65" s="4">
        <v>1.95E-5</v>
      </c>
      <c r="GQ65" s="4">
        <v>1.9300000000000002E-5</v>
      </c>
      <c r="GR65" s="4">
        <v>1.9000000000000001E-5</v>
      </c>
      <c r="GS65" s="4">
        <v>1.88E-5</v>
      </c>
      <c r="GT65" s="4">
        <v>1.8499999999999999E-5</v>
      </c>
      <c r="GU65" s="4">
        <v>1.8300000000000001E-5</v>
      </c>
      <c r="GV65" s="4">
        <v>1.8E-5</v>
      </c>
      <c r="GW65" s="4">
        <v>1.7799999999999999E-5</v>
      </c>
      <c r="GX65" s="4">
        <v>1.7600000000000001E-5</v>
      </c>
      <c r="GY65" s="4">
        <v>1.73E-5</v>
      </c>
      <c r="GZ65" s="4">
        <v>1.7099999999999999E-5</v>
      </c>
      <c r="HA65" s="4">
        <v>1.6900000000000001E-5</v>
      </c>
      <c r="HB65" s="4">
        <v>1.6699999999999999E-5</v>
      </c>
      <c r="HC65" s="4">
        <v>1.6399999999999999E-5</v>
      </c>
      <c r="HD65" s="4">
        <v>1.6200000000000001E-5</v>
      </c>
      <c r="HE65" s="4">
        <v>1.5999999999999999E-5</v>
      </c>
      <c r="HF65" s="4">
        <v>1.5800000000000001E-5</v>
      </c>
      <c r="HG65" s="4">
        <v>1.56E-5</v>
      </c>
      <c r="HH65" s="4">
        <v>1.5400000000000002E-5</v>
      </c>
      <c r="HI65" s="4">
        <v>1.5099999999999999E-5</v>
      </c>
      <c r="HJ65" s="4">
        <v>1.49E-5</v>
      </c>
      <c r="HK65" s="4">
        <v>1.47E-5</v>
      </c>
      <c r="HL65" s="4">
        <v>1.45E-5</v>
      </c>
      <c r="HM65" s="4">
        <v>1.43E-5</v>
      </c>
      <c r="HN65" s="4">
        <v>1.4100000000000001E-5</v>
      </c>
      <c r="HO65" s="4">
        <v>1.3900000000000001E-5</v>
      </c>
      <c r="HP65" s="4">
        <v>1.3699999999999999E-5</v>
      </c>
      <c r="HQ65" s="4">
        <v>1.3499999999999999E-5</v>
      </c>
      <c r="HR65" s="4">
        <v>1.33E-5</v>
      </c>
      <c r="HS65" s="4">
        <v>1.3200000000000001E-5</v>
      </c>
      <c r="HT65" s="4">
        <v>1.2999999999999999E-5</v>
      </c>
      <c r="HU65" s="4">
        <v>1.2799999999999999E-5</v>
      </c>
      <c r="HV65" s="4">
        <v>1.26E-5</v>
      </c>
      <c r="HW65" s="4">
        <v>1.24E-5</v>
      </c>
      <c r="HX65" s="4">
        <v>1.2300000000000001E-5</v>
      </c>
      <c r="HY65" s="4">
        <v>1.2099999999999999E-5</v>
      </c>
      <c r="HZ65" s="4">
        <v>1.19E-5</v>
      </c>
      <c r="IA65" s="4">
        <v>1.17E-5</v>
      </c>
      <c r="IB65" s="4">
        <v>1.1600000000000001E-5</v>
      </c>
      <c r="IC65" s="4">
        <v>1.1399999999999999E-5</v>
      </c>
      <c r="ID65" s="4">
        <v>1.1199999999999999E-5</v>
      </c>
      <c r="IE65" s="4">
        <v>1.11E-5</v>
      </c>
      <c r="IF65" s="4">
        <v>1.0900000000000001E-5</v>
      </c>
      <c r="IG65" s="4">
        <v>7.6329999999999996E-4</v>
      </c>
      <c r="IH65" s="4"/>
      <c r="IP65" s="4">
        <f t="shared" si="249"/>
        <v>4.1590300000000004E-2</v>
      </c>
      <c r="IQ65" s="4">
        <f t="shared" si="250"/>
        <v>3.3277800000000003E-2</v>
      </c>
      <c r="IR65" s="4">
        <f t="shared" si="251"/>
        <v>2.5329000000000001E-2</v>
      </c>
      <c r="IS65" s="4">
        <f t="shared" si="252"/>
        <v>2.0318099999999999E-2</v>
      </c>
      <c r="IT65" s="4">
        <f t="shared" si="253"/>
        <v>1.6965499999999998E-2</v>
      </c>
      <c r="IU65" s="4">
        <f t="shared" si="254"/>
        <v>5.9604999999999998E-2</v>
      </c>
      <c r="IV65" s="4">
        <f t="shared" si="255"/>
        <v>3.8481200000000007E-2</v>
      </c>
      <c r="IW65" s="4">
        <f t="shared" si="256"/>
        <v>2.9682899999999998E-2</v>
      </c>
      <c r="IX65" s="4">
        <f t="shared" si="257"/>
        <v>9.2552999999999996E-2</v>
      </c>
    </row>
    <row r="66" spans="1:258" x14ac:dyDescent="0.35">
      <c r="A66" s="1">
        <v>58</v>
      </c>
      <c r="B66" s="4">
        <v>1.0654E-2</v>
      </c>
      <c r="C66" s="4">
        <v>1.0654E-2</v>
      </c>
      <c r="D66" s="4">
        <v>1.05922E-2</v>
      </c>
      <c r="E66" s="4">
        <v>1.04028E-2</v>
      </c>
      <c r="F66" s="4">
        <v>9.9097999999999999E-3</v>
      </c>
      <c r="G66" s="4">
        <v>9.2362E-3</v>
      </c>
      <c r="H66" s="4">
        <v>8.5793999999999992E-3</v>
      </c>
      <c r="I66" s="4">
        <v>7.9749E-3</v>
      </c>
      <c r="J66" s="4">
        <v>7.4605000000000001E-3</v>
      </c>
      <c r="K66" s="4">
        <v>6.9356000000000001E-3</v>
      </c>
      <c r="L66" s="4">
        <v>6.5015999999999997E-3</v>
      </c>
      <c r="M66" s="4">
        <v>6.1178999999999999E-3</v>
      </c>
      <c r="N66" s="4">
        <v>5.7746999999999998E-3</v>
      </c>
      <c r="O66" s="4">
        <v>5.4663000000000003E-3</v>
      </c>
      <c r="P66" s="4">
        <v>5.1894000000000003E-3</v>
      </c>
      <c r="Q66" s="4">
        <v>4.9430000000000003E-3</v>
      </c>
      <c r="R66" s="4">
        <v>4.7241999999999996E-3</v>
      </c>
      <c r="S66" s="4">
        <v>4.5237000000000003E-3</v>
      </c>
      <c r="T66" s="4">
        <v>4.3214999999999998E-3</v>
      </c>
      <c r="U66" s="4">
        <v>4.1538E-3</v>
      </c>
      <c r="V66" s="4">
        <v>4.0010000000000002E-3</v>
      </c>
      <c r="W66" s="4">
        <v>3.8547999999999998E-3</v>
      </c>
      <c r="X66" s="4">
        <v>3.7266999999999999E-3</v>
      </c>
      <c r="Y66" s="4">
        <v>3.6051E-3</v>
      </c>
      <c r="Z66" s="4">
        <v>3.4913000000000001E-3</v>
      </c>
      <c r="AA66" s="4">
        <v>3.3869E-3</v>
      </c>
      <c r="AB66" s="4">
        <v>3.2910000000000001E-3</v>
      </c>
      <c r="AC66" s="4">
        <v>3.2055999999999999E-3</v>
      </c>
      <c r="AD66" s="4">
        <v>3.1275000000000001E-3</v>
      </c>
      <c r="AE66" s="4">
        <v>3.0515999999999998E-3</v>
      </c>
      <c r="AF66" s="4">
        <v>2.9751999999999999E-3</v>
      </c>
      <c r="AG66" s="4">
        <v>2.9028000000000001E-3</v>
      </c>
      <c r="AH66" s="4">
        <v>2.8332000000000001E-3</v>
      </c>
      <c r="AI66" s="4">
        <v>2.7596000000000001E-3</v>
      </c>
      <c r="AJ66" s="4">
        <v>2.6974E-3</v>
      </c>
      <c r="AK66" s="4">
        <v>2.6034999999999999E-3</v>
      </c>
      <c r="AL66" s="4">
        <v>2.5425999999999999E-3</v>
      </c>
      <c r="AM66" s="4">
        <v>2.4849E-3</v>
      </c>
      <c r="AN66" s="4">
        <v>2.4285999999999999E-3</v>
      </c>
      <c r="AO66" s="4">
        <v>2.3768999999999999E-3</v>
      </c>
      <c r="AP66" s="4">
        <v>2.3313000000000001E-3</v>
      </c>
      <c r="AQ66" s="4">
        <v>2.2872000000000001E-3</v>
      </c>
      <c r="AR66" s="4">
        <v>2.2412E-3</v>
      </c>
      <c r="AS66" s="4">
        <v>2.1967000000000002E-3</v>
      </c>
      <c r="AT66" s="4">
        <v>2.1557999999999998E-3</v>
      </c>
      <c r="AU66" s="4">
        <v>2.1180999999999999E-3</v>
      </c>
      <c r="AV66" s="4">
        <v>2.0879000000000002E-3</v>
      </c>
      <c r="AW66" s="4">
        <v>2.0593E-3</v>
      </c>
      <c r="AX66" s="4">
        <v>2.0301999999999998E-3</v>
      </c>
      <c r="AY66" s="4">
        <v>2.0013000000000001E-3</v>
      </c>
      <c r="AZ66" s="4">
        <v>1.9715000000000002E-3</v>
      </c>
      <c r="BA66" s="4">
        <v>1.9394E-3</v>
      </c>
      <c r="BB66" s="4">
        <v>1.8998000000000001E-3</v>
      </c>
      <c r="BC66" s="4">
        <v>1.8527999999999999E-3</v>
      </c>
      <c r="BD66" s="4">
        <v>1.7668E-3</v>
      </c>
      <c r="BE66" s="4">
        <v>1.7248999999999999E-3</v>
      </c>
      <c r="BF66" s="4">
        <v>1.6819000000000001E-3</v>
      </c>
      <c r="BG66" s="4">
        <v>1.5878999999999999E-3</v>
      </c>
      <c r="BH66" s="4">
        <v>1.6582000000000001E-3</v>
      </c>
      <c r="BI66" s="4">
        <v>1.6389E-3</v>
      </c>
      <c r="BJ66" s="4">
        <v>1.6293E-3</v>
      </c>
      <c r="BK66" s="4">
        <v>1.6182E-3</v>
      </c>
      <c r="BL66" s="4">
        <v>1.6068E-3</v>
      </c>
      <c r="BM66" s="4">
        <v>1.5945E-3</v>
      </c>
      <c r="BN66" s="4">
        <v>1.5815E-3</v>
      </c>
      <c r="BO66" s="4">
        <v>1.5678999999999999E-3</v>
      </c>
      <c r="BP66" s="4">
        <v>1.5535E-3</v>
      </c>
      <c r="BQ66" s="4">
        <v>1.5386E-3</v>
      </c>
      <c r="BR66" s="4">
        <v>1.5231999999999999E-3</v>
      </c>
      <c r="BS66" s="4">
        <v>1.5074999999999999E-3</v>
      </c>
      <c r="BT66" s="4">
        <v>1.4913999999999999E-3</v>
      </c>
      <c r="BU66" s="4">
        <v>1.475E-3</v>
      </c>
      <c r="BV66" s="4">
        <v>1.4584000000000001E-3</v>
      </c>
      <c r="BW66" s="4">
        <v>1.4417E-3</v>
      </c>
      <c r="BX66" s="4">
        <v>1.4247999999999999E-3</v>
      </c>
      <c r="BY66" s="4">
        <v>1.4078999999999999E-3</v>
      </c>
      <c r="BZ66" s="4">
        <v>1.3909E-3</v>
      </c>
      <c r="CA66" s="4">
        <v>1.3738999999999999E-3</v>
      </c>
      <c r="CB66" s="4">
        <v>1.3569000000000001E-3</v>
      </c>
      <c r="CC66" s="4">
        <v>1.3397999999999999E-3</v>
      </c>
      <c r="CD66" s="4">
        <v>1.3228999999999999E-3</v>
      </c>
      <c r="CE66" s="4">
        <v>1.3059E-3</v>
      </c>
      <c r="CF66" s="4">
        <v>1.2891000000000001E-3</v>
      </c>
      <c r="CG66" s="4">
        <v>1.2723000000000001E-3</v>
      </c>
      <c r="CH66" s="4">
        <v>1.2555000000000001E-3</v>
      </c>
      <c r="CI66" s="4">
        <v>1.2389E-3</v>
      </c>
      <c r="CJ66" s="4">
        <v>1.2224E-3</v>
      </c>
      <c r="CK66" s="4">
        <v>1.2059E-3</v>
      </c>
      <c r="CL66" s="4">
        <v>1.1896000000000001E-3</v>
      </c>
      <c r="CM66" s="4">
        <v>1.1734E-3</v>
      </c>
      <c r="CN66" s="4">
        <v>1.1573E-3</v>
      </c>
      <c r="CO66" s="4">
        <v>1.1413E-3</v>
      </c>
      <c r="CP66" s="4">
        <v>1.1255E-3</v>
      </c>
      <c r="CQ66" s="4">
        <v>1.1098E-3</v>
      </c>
      <c r="CR66" s="4">
        <v>1.0942E-3</v>
      </c>
      <c r="CS66" s="4">
        <v>1.0788E-3</v>
      </c>
      <c r="CT66" s="4">
        <v>1.0636E-3</v>
      </c>
      <c r="CU66" s="4">
        <v>1.0485E-3</v>
      </c>
      <c r="CV66" s="4">
        <v>1.0336E-3</v>
      </c>
      <c r="CW66" s="4">
        <v>1.0188E-3</v>
      </c>
      <c r="CX66" s="4">
        <v>1.0043000000000001E-3</v>
      </c>
      <c r="CY66" s="4">
        <v>9.8989999999999994E-4</v>
      </c>
      <c r="CZ66" s="4">
        <v>9.7559999999999997E-4</v>
      </c>
      <c r="DA66" s="4">
        <v>9.6159999999999995E-4</v>
      </c>
      <c r="DB66" s="4">
        <v>9.477E-4</v>
      </c>
      <c r="DC66" s="4">
        <v>9.3409999999999999E-4</v>
      </c>
      <c r="DD66" s="4">
        <v>9.2060000000000004E-4</v>
      </c>
      <c r="DE66" s="4">
        <v>9.0729999999999999E-4</v>
      </c>
      <c r="DF66" s="4">
        <v>8.9409999999999999E-4</v>
      </c>
      <c r="DG66" s="4">
        <v>8.8119999999999995E-4</v>
      </c>
      <c r="DH66" s="4">
        <v>8.6839999999999997E-4</v>
      </c>
      <c r="DI66" s="4">
        <v>8.5579999999999999E-4</v>
      </c>
      <c r="DJ66" s="4">
        <v>8.4340000000000001E-4</v>
      </c>
      <c r="DK66" s="4">
        <v>8.3120000000000004E-4</v>
      </c>
      <c r="DL66" s="4">
        <v>8.1919999999999996E-4</v>
      </c>
      <c r="DM66" s="4">
        <v>8.0730000000000005E-4</v>
      </c>
      <c r="DN66" s="4">
        <v>7.9560000000000004E-4</v>
      </c>
      <c r="DO66" s="4">
        <v>7.8410000000000003E-4</v>
      </c>
      <c r="DP66" s="4">
        <v>7.7280000000000003E-4</v>
      </c>
      <c r="DQ66" s="4">
        <v>5.37317E-2</v>
      </c>
      <c r="DR66" s="4">
        <v>0</v>
      </c>
      <c r="DS66" s="4">
        <v>1.1069999999999999E-4</v>
      </c>
      <c r="DT66" s="4">
        <v>1.6760000000000001E-4</v>
      </c>
      <c r="DU66" s="4">
        <v>4.9339999999999996E-4</v>
      </c>
      <c r="DV66" s="4">
        <v>6.1609999999999996E-4</v>
      </c>
      <c r="DW66" s="4">
        <v>6.5510000000000004E-4</v>
      </c>
      <c r="DX66" s="4">
        <v>6.1390000000000001E-4</v>
      </c>
      <c r="DY66" s="4">
        <v>5.5259999999999999E-4</v>
      </c>
      <c r="DZ66" s="4">
        <v>4.9790000000000001E-4</v>
      </c>
      <c r="EA66" s="4">
        <v>4.3760000000000001E-4</v>
      </c>
      <c r="EB66" s="4">
        <v>3.8840000000000001E-4</v>
      </c>
      <c r="EC66" s="4">
        <v>3.4519999999999999E-4</v>
      </c>
      <c r="ED66" s="4">
        <v>3.079E-4</v>
      </c>
      <c r="EE66" s="4">
        <v>2.7480000000000001E-4</v>
      </c>
      <c r="EF66" s="4">
        <v>2.4649999999999997E-4</v>
      </c>
      <c r="EG66" s="4">
        <v>2.2220000000000001E-4</v>
      </c>
      <c r="EH66" s="4">
        <v>2.0139999999999999E-4</v>
      </c>
      <c r="EI66" s="4">
        <v>1.829E-4</v>
      </c>
      <c r="EJ66" s="4">
        <v>1.6579999999999999E-4</v>
      </c>
      <c r="EK66" s="4">
        <v>1.516E-4</v>
      </c>
      <c r="EL66" s="4">
        <v>1.394E-4</v>
      </c>
      <c r="EM66" s="4">
        <v>1.282E-4</v>
      </c>
      <c r="EN66" s="4">
        <v>1.187E-4</v>
      </c>
      <c r="EO66" s="4">
        <v>1.1010000000000001E-4</v>
      </c>
      <c r="EP66" s="4">
        <v>1.025E-4</v>
      </c>
      <c r="EQ66" s="4">
        <v>9.5699999999999995E-5</v>
      </c>
      <c r="ER66" s="4">
        <v>8.9699999999999998E-5</v>
      </c>
      <c r="ES66" s="4">
        <v>8.4300000000000003E-5</v>
      </c>
      <c r="ET66" s="4">
        <v>7.9599999999999997E-5</v>
      </c>
      <c r="EU66" s="4">
        <v>7.5199999999999998E-5</v>
      </c>
      <c r="EV66" s="4">
        <v>7.1199999999999996E-5</v>
      </c>
      <c r="EW66" s="4">
        <v>6.7399999999999998E-5</v>
      </c>
      <c r="EX66" s="4">
        <v>6.3999999999999997E-5</v>
      </c>
      <c r="EY66" s="4">
        <v>6.0699999999999998E-5</v>
      </c>
      <c r="EZ66" s="4">
        <v>5.7800000000000002E-5</v>
      </c>
      <c r="FA66" s="4">
        <v>5.4299999999999998E-5</v>
      </c>
      <c r="FB66" s="4">
        <v>5.1799999999999999E-5</v>
      </c>
      <c r="FC66" s="4">
        <v>4.9400000000000001E-5</v>
      </c>
      <c r="FD66" s="4">
        <v>4.7200000000000002E-5</v>
      </c>
      <c r="FE66" s="4">
        <v>4.5200000000000001E-5</v>
      </c>
      <c r="FF66" s="4">
        <v>4.3399999999999998E-5</v>
      </c>
      <c r="FG66" s="4">
        <v>4.1699999999999997E-5</v>
      </c>
      <c r="FH66" s="4">
        <v>4.0099999999999999E-5</v>
      </c>
      <c r="FI66" s="4">
        <v>3.8600000000000003E-5</v>
      </c>
      <c r="FJ66" s="4">
        <v>3.7200000000000003E-5</v>
      </c>
      <c r="FK66" s="4">
        <v>3.5899999999999998E-5</v>
      </c>
      <c r="FL66" s="4">
        <v>3.4799999999999999E-5</v>
      </c>
      <c r="FM66" s="4">
        <v>3.3800000000000002E-5</v>
      </c>
      <c r="FN66" s="4">
        <v>3.29E-5</v>
      </c>
      <c r="FO66" s="4">
        <v>3.1999999999999999E-5</v>
      </c>
      <c r="FP66" s="4">
        <v>3.1099999999999997E-5</v>
      </c>
      <c r="FQ66" s="4">
        <v>3.0300000000000001E-5</v>
      </c>
      <c r="FR66" s="4">
        <v>2.9300000000000001E-5</v>
      </c>
      <c r="FS66" s="4">
        <v>2.83E-5</v>
      </c>
      <c r="FT66" s="4">
        <v>2.6699999999999998E-5</v>
      </c>
      <c r="FU66" s="4">
        <v>2.5899999999999999E-5</v>
      </c>
      <c r="FV66" s="4">
        <v>2.51E-5</v>
      </c>
      <c r="FW66" s="4">
        <v>2.3499999999999999E-5</v>
      </c>
      <c r="FX66" s="4">
        <v>2.44E-5</v>
      </c>
      <c r="FY66" s="4">
        <v>2.4000000000000001E-5</v>
      </c>
      <c r="FZ66" s="4">
        <v>2.37E-5</v>
      </c>
      <c r="GA66" s="4">
        <v>2.34E-5</v>
      </c>
      <c r="GB66" s="4">
        <v>2.3099999999999999E-5</v>
      </c>
      <c r="GC66" s="4">
        <v>2.2900000000000001E-5</v>
      </c>
      <c r="GD66" s="4">
        <v>2.26E-5</v>
      </c>
      <c r="GE66" s="4">
        <v>2.23E-5</v>
      </c>
      <c r="GF66" s="4">
        <v>2.2099999999999998E-5</v>
      </c>
      <c r="GG66" s="4">
        <v>2.1800000000000001E-5</v>
      </c>
      <c r="GH66" s="4">
        <v>2.1500000000000001E-5</v>
      </c>
      <c r="GI66" s="4">
        <v>2.1299999999999999E-5</v>
      </c>
      <c r="GJ66" s="4">
        <v>2.0999999999999999E-5</v>
      </c>
      <c r="GK66" s="4">
        <v>2.0699999999999998E-5</v>
      </c>
      <c r="GL66" s="4">
        <v>2.05E-5</v>
      </c>
      <c r="GM66" s="4">
        <v>2.02E-5</v>
      </c>
      <c r="GN66" s="4">
        <v>2.0000000000000002E-5</v>
      </c>
      <c r="GO66" s="4">
        <v>1.9700000000000001E-5</v>
      </c>
      <c r="GP66" s="4">
        <v>1.95E-5</v>
      </c>
      <c r="GQ66" s="4">
        <v>1.9199999999999999E-5</v>
      </c>
      <c r="GR66" s="4">
        <v>1.9000000000000001E-5</v>
      </c>
      <c r="GS66" s="4">
        <v>1.8700000000000001E-5</v>
      </c>
      <c r="GT66" s="4">
        <v>1.8499999999999999E-5</v>
      </c>
      <c r="GU66" s="4">
        <v>1.8300000000000001E-5</v>
      </c>
      <c r="GV66" s="4">
        <v>1.8E-5</v>
      </c>
      <c r="GW66" s="4">
        <v>1.7799999999999999E-5</v>
      </c>
      <c r="GX66" s="4">
        <v>1.7600000000000001E-5</v>
      </c>
      <c r="GY66" s="4">
        <v>1.73E-5</v>
      </c>
      <c r="GZ66" s="4">
        <v>1.7099999999999999E-5</v>
      </c>
      <c r="HA66" s="4">
        <v>1.6900000000000001E-5</v>
      </c>
      <c r="HB66" s="4">
        <v>1.6699999999999999E-5</v>
      </c>
      <c r="HC66" s="4">
        <v>1.6399999999999999E-5</v>
      </c>
      <c r="HD66" s="4">
        <v>1.6200000000000001E-5</v>
      </c>
      <c r="HE66" s="4">
        <v>1.5999999999999999E-5</v>
      </c>
      <c r="HF66" s="4">
        <v>1.5800000000000001E-5</v>
      </c>
      <c r="HG66" s="4">
        <v>1.56E-5</v>
      </c>
      <c r="HH66" s="4">
        <v>1.5400000000000002E-5</v>
      </c>
      <c r="HI66" s="4">
        <v>1.5099999999999999E-5</v>
      </c>
      <c r="HJ66" s="4">
        <v>1.49E-5</v>
      </c>
      <c r="HK66" s="4">
        <v>1.47E-5</v>
      </c>
      <c r="HL66" s="4">
        <v>1.45E-5</v>
      </c>
      <c r="HM66" s="4">
        <v>1.43E-5</v>
      </c>
      <c r="HN66" s="4">
        <v>1.4100000000000001E-5</v>
      </c>
      <c r="HO66" s="4">
        <v>1.3900000000000001E-5</v>
      </c>
      <c r="HP66" s="4">
        <v>1.3699999999999999E-5</v>
      </c>
      <c r="HQ66" s="4">
        <v>1.3499999999999999E-5</v>
      </c>
      <c r="HR66" s="4">
        <v>1.34E-5</v>
      </c>
      <c r="HS66" s="4">
        <v>1.3200000000000001E-5</v>
      </c>
      <c r="HT66" s="4">
        <v>1.2999999999999999E-5</v>
      </c>
      <c r="HU66" s="4">
        <v>1.2799999999999999E-5</v>
      </c>
      <c r="HV66" s="4">
        <v>1.26E-5</v>
      </c>
      <c r="HW66" s="4">
        <v>1.24E-5</v>
      </c>
      <c r="HX66" s="4">
        <v>1.2300000000000001E-5</v>
      </c>
      <c r="HY66" s="4">
        <v>1.2099999999999999E-5</v>
      </c>
      <c r="HZ66" s="4">
        <v>1.19E-5</v>
      </c>
      <c r="IA66" s="4">
        <v>1.17E-5</v>
      </c>
      <c r="IB66" s="4">
        <v>1.1600000000000001E-5</v>
      </c>
      <c r="IC66" s="4">
        <v>1.1399999999999999E-5</v>
      </c>
      <c r="ID66" s="4">
        <v>1.1199999999999999E-5</v>
      </c>
      <c r="IE66" s="4">
        <v>1.11E-5</v>
      </c>
      <c r="IF66" s="4">
        <v>1.0900000000000001E-5</v>
      </c>
      <c r="IG66" s="4">
        <v>7.6329999999999996E-4</v>
      </c>
      <c r="IH66" s="4"/>
    </row>
    <row r="67" spans="1:258" x14ac:dyDescent="0.35">
      <c r="A67" s="1">
        <v>59</v>
      </c>
      <c r="B67" s="4">
        <v>1.0734799999999999E-2</v>
      </c>
      <c r="C67" s="4">
        <v>1.0654E-2</v>
      </c>
      <c r="D67" s="4">
        <v>1.05433E-2</v>
      </c>
      <c r="E67" s="4">
        <v>1.04247E-2</v>
      </c>
      <c r="F67" s="4">
        <v>9.9092999999999994E-3</v>
      </c>
      <c r="G67" s="4">
        <v>9.2937999999999996E-3</v>
      </c>
      <c r="H67" s="4">
        <v>8.5810999999999995E-3</v>
      </c>
      <c r="I67" s="4">
        <v>7.9655000000000004E-3</v>
      </c>
      <c r="J67" s="4">
        <v>7.4222999999999997E-3</v>
      </c>
      <c r="K67" s="4">
        <v>6.9626000000000002E-3</v>
      </c>
      <c r="L67" s="4">
        <v>6.4980000000000003E-3</v>
      </c>
      <c r="M67" s="4">
        <v>6.1132000000000001E-3</v>
      </c>
      <c r="N67" s="4">
        <v>5.7726000000000001E-3</v>
      </c>
      <c r="O67" s="4">
        <v>5.4668E-3</v>
      </c>
      <c r="P67" s="4">
        <v>5.1914999999999999E-3</v>
      </c>
      <c r="Q67" s="4">
        <v>4.9429000000000001E-3</v>
      </c>
      <c r="R67" s="4">
        <v>4.7207999999999998E-3</v>
      </c>
      <c r="S67" s="4">
        <v>4.5228999999999998E-3</v>
      </c>
      <c r="T67" s="4">
        <v>4.3407999999999997E-3</v>
      </c>
      <c r="U67" s="4">
        <v>4.1558000000000003E-3</v>
      </c>
      <c r="V67" s="4">
        <v>4.0022E-3</v>
      </c>
      <c r="W67" s="4">
        <v>3.8616000000000002E-3</v>
      </c>
      <c r="X67" s="4">
        <v>3.7266000000000001E-3</v>
      </c>
      <c r="Y67" s="4">
        <v>3.6080000000000001E-3</v>
      </c>
      <c r="Z67" s="4">
        <v>3.4949999999999998E-3</v>
      </c>
      <c r="AA67" s="4">
        <v>3.3888E-3</v>
      </c>
      <c r="AB67" s="4">
        <v>3.2912000000000002E-3</v>
      </c>
      <c r="AC67" s="4">
        <v>3.2012999999999998E-3</v>
      </c>
      <c r="AD67" s="4">
        <v>3.1213E-3</v>
      </c>
      <c r="AE67" s="4">
        <v>3.0479000000000001E-3</v>
      </c>
      <c r="AF67" s="4">
        <v>2.9762999999999999E-3</v>
      </c>
      <c r="AG67" s="4">
        <v>2.9039999999999999E-3</v>
      </c>
      <c r="AH67" s="4">
        <v>2.8354000000000001E-3</v>
      </c>
      <c r="AI67" s="4">
        <v>2.7691999999999999E-3</v>
      </c>
      <c r="AJ67" s="4">
        <v>2.6989000000000002E-3</v>
      </c>
      <c r="AK67" s="4">
        <v>2.6396000000000002E-3</v>
      </c>
      <c r="AL67" s="4">
        <v>2.5492000000000002E-3</v>
      </c>
      <c r="AM67" s="4">
        <v>2.4908E-3</v>
      </c>
      <c r="AN67" s="4">
        <v>2.4353999999999999E-3</v>
      </c>
      <c r="AO67" s="4">
        <v>2.3814000000000001E-3</v>
      </c>
      <c r="AP67" s="4">
        <v>2.3316999999999999E-3</v>
      </c>
      <c r="AQ67" s="4">
        <v>2.2878E-3</v>
      </c>
      <c r="AR67" s="4">
        <v>2.2453999999999998E-3</v>
      </c>
      <c r="AS67" s="4">
        <v>2.2011000000000001E-3</v>
      </c>
      <c r="AT67" s="4">
        <v>2.1581999999999999E-3</v>
      </c>
      <c r="AU67" s="4">
        <v>2.1186E-3</v>
      </c>
      <c r="AV67" s="4">
        <v>2.0822000000000002E-3</v>
      </c>
      <c r="AW67" s="4">
        <v>2.0530000000000001E-3</v>
      </c>
      <c r="AX67" s="4">
        <v>2.0255E-3</v>
      </c>
      <c r="AY67" s="4">
        <v>1.9973E-3</v>
      </c>
      <c r="AZ67" s="4">
        <v>1.9692999999999998E-3</v>
      </c>
      <c r="BA67" s="4">
        <v>1.9403999999999999E-3</v>
      </c>
      <c r="BB67" s="4">
        <v>1.9090999999999999E-3</v>
      </c>
      <c r="BC67" s="4">
        <v>1.8705E-3</v>
      </c>
      <c r="BD67" s="4">
        <v>1.8244999999999999E-3</v>
      </c>
      <c r="BE67" s="4">
        <v>1.74E-3</v>
      </c>
      <c r="BF67" s="4">
        <v>1.699E-3</v>
      </c>
      <c r="BG67" s="4">
        <v>1.6567999999999999E-3</v>
      </c>
      <c r="BH67" s="4">
        <v>1.5644999999999999E-3</v>
      </c>
      <c r="BI67" s="4">
        <v>1.6337000000000001E-3</v>
      </c>
      <c r="BJ67" s="4">
        <v>1.6149000000000001E-3</v>
      </c>
      <c r="BK67" s="4">
        <v>1.6056E-3</v>
      </c>
      <c r="BL67" s="4">
        <v>1.5946999999999999E-3</v>
      </c>
      <c r="BM67" s="4">
        <v>1.5837E-3</v>
      </c>
      <c r="BN67" s="4">
        <v>1.5716E-3</v>
      </c>
      <c r="BO67" s="4">
        <v>1.5589E-3</v>
      </c>
      <c r="BP67" s="4">
        <v>1.5455E-3</v>
      </c>
      <c r="BQ67" s="4">
        <v>1.5315000000000001E-3</v>
      </c>
      <c r="BR67" s="4">
        <v>1.5168E-3</v>
      </c>
      <c r="BS67" s="4">
        <v>1.5016999999999999E-3</v>
      </c>
      <c r="BT67" s="4">
        <v>1.4862E-3</v>
      </c>
      <c r="BU67" s="4">
        <v>1.4704E-3</v>
      </c>
      <c r="BV67" s="4">
        <v>1.4543E-3</v>
      </c>
      <c r="BW67" s="4">
        <v>1.438E-3</v>
      </c>
      <c r="BX67" s="4">
        <v>1.4215E-3</v>
      </c>
      <c r="BY67" s="4">
        <v>1.4048999999999999E-3</v>
      </c>
      <c r="BZ67" s="4">
        <v>1.3882E-3</v>
      </c>
      <c r="CA67" s="4">
        <v>1.3714E-3</v>
      </c>
      <c r="CB67" s="4">
        <v>1.3546999999999999E-3</v>
      </c>
      <c r="CC67" s="4">
        <v>1.3378999999999999E-3</v>
      </c>
      <c r="CD67" s="4">
        <v>1.3211E-3</v>
      </c>
      <c r="CE67" s="4">
        <v>1.3044E-3</v>
      </c>
      <c r="CF67" s="4">
        <v>1.2876999999999999E-3</v>
      </c>
      <c r="CG67" s="4">
        <v>1.271E-3</v>
      </c>
      <c r="CH67" s="4">
        <v>1.2545E-3</v>
      </c>
      <c r="CI67" s="4">
        <v>1.238E-3</v>
      </c>
      <c r="CJ67" s="4">
        <v>1.2216E-3</v>
      </c>
      <c r="CK67" s="4">
        <v>1.2053000000000001E-3</v>
      </c>
      <c r="CL67" s="4">
        <v>1.189E-3</v>
      </c>
      <c r="CM67" s="4">
        <v>1.1728999999999999E-3</v>
      </c>
      <c r="CN67" s="4">
        <v>1.1569E-3</v>
      </c>
      <c r="CO67" s="4">
        <v>1.1410999999999999E-3</v>
      </c>
      <c r="CP67" s="4">
        <v>1.1253000000000001E-3</v>
      </c>
      <c r="CQ67" s="4">
        <v>1.1096999999999999E-3</v>
      </c>
      <c r="CR67" s="4">
        <v>1.0942E-3</v>
      </c>
      <c r="CS67" s="4">
        <v>1.0789E-3</v>
      </c>
      <c r="CT67" s="4">
        <v>1.0637000000000001E-3</v>
      </c>
      <c r="CU67" s="4">
        <v>1.0486E-3</v>
      </c>
      <c r="CV67" s="4">
        <v>1.0338000000000001E-3</v>
      </c>
      <c r="CW67" s="4">
        <v>1.0189999999999999E-3</v>
      </c>
      <c r="CX67" s="4">
        <v>1.0045E-3</v>
      </c>
      <c r="CY67" s="4">
        <v>9.9010000000000005E-4</v>
      </c>
      <c r="CZ67" s="4">
        <v>9.7590000000000003E-4</v>
      </c>
      <c r="DA67" s="4">
        <v>9.6190000000000002E-4</v>
      </c>
      <c r="DB67" s="4">
        <v>9.4810000000000001E-4</v>
      </c>
      <c r="DC67" s="4">
        <v>9.3440000000000005E-4</v>
      </c>
      <c r="DD67" s="4">
        <v>9.209E-4</v>
      </c>
      <c r="DE67" s="4">
        <v>9.0760000000000005E-4</v>
      </c>
      <c r="DF67" s="4">
        <v>8.945E-4</v>
      </c>
      <c r="DG67" s="4">
        <v>8.8150000000000001E-4</v>
      </c>
      <c r="DH67" s="4">
        <v>8.6870000000000003E-4</v>
      </c>
      <c r="DI67" s="4">
        <v>8.5619999999999999E-4</v>
      </c>
      <c r="DJ67" s="4">
        <v>8.4380000000000002E-4</v>
      </c>
      <c r="DK67" s="4">
        <v>8.3149999999999999E-4</v>
      </c>
      <c r="DL67" s="4">
        <v>8.1950000000000002E-4</v>
      </c>
      <c r="DM67" s="4">
        <v>8.0760000000000001E-4</v>
      </c>
      <c r="DN67" s="4">
        <v>7.9589999999999999E-4</v>
      </c>
      <c r="DO67" s="4">
        <v>7.8439999999999998E-4</v>
      </c>
      <c r="DP67" s="4">
        <v>7.7309999999999998E-4</v>
      </c>
      <c r="DQ67" s="4">
        <v>5.3730300000000002E-2</v>
      </c>
      <c r="DR67" s="4">
        <v>0</v>
      </c>
      <c r="DS67" s="4">
        <v>1.1069999999999999E-4</v>
      </c>
      <c r="DT67" s="4">
        <v>1.827E-4</v>
      </c>
      <c r="DU67" s="4">
        <v>5.5929999999999999E-4</v>
      </c>
      <c r="DV67" s="4">
        <v>6.1399999999999996E-4</v>
      </c>
      <c r="DW67" s="4">
        <v>6.7659999999999997E-4</v>
      </c>
      <c r="DX67" s="4">
        <v>6.2069999999999996E-4</v>
      </c>
      <c r="DY67" s="4">
        <v>5.5400000000000002E-4</v>
      </c>
      <c r="DZ67" s="4">
        <v>4.9709999999999999E-4</v>
      </c>
      <c r="EA67" s="4">
        <v>4.4119999999999999E-4</v>
      </c>
      <c r="EB67" s="4">
        <v>3.8840000000000001E-4</v>
      </c>
      <c r="EC67" s="4">
        <v>3.4390000000000001E-4</v>
      </c>
      <c r="ED67" s="4">
        <v>3.0650000000000002E-4</v>
      </c>
      <c r="EE67" s="4">
        <v>2.7379999999999999E-4</v>
      </c>
      <c r="EF67" s="4">
        <v>2.4560000000000001E-4</v>
      </c>
      <c r="EG67" s="4">
        <v>2.2110000000000001E-4</v>
      </c>
      <c r="EH67" s="4">
        <v>2.0010000000000001E-4</v>
      </c>
      <c r="EI67" s="4">
        <v>1.8210000000000001E-4</v>
      </c>
      <c r="EJ67" s="4">
        <v>1.661E-4</v>
      </c>
      <c r="EK67" s="4">
        <v>1.5119999999999999E-4</v>
      </c>
      <c r="EL67" s="4">
        <v>1.3889999999999999E-4</v>
      </c>
      <c r="EM67" s="4">
        <v>1.282E-4</v>
      </c>
      <c r="EN67" s="4">
        <v>1.184E-4</v>
      </c>
      <c r="EO67" s="4">
        <v>1.1E-4</v>
      </c>
      <c r="EP67" s="4">
        <v>1.024E-4</v>
      </c>
      <c r="EQ67" s="4">
        <v>9.5699999999999995E-5</v>
      </c>
      <c r="ER67" s="4">
        <v>8.9599999999999996E-5</v>
      </c>
      <c r="ES67" s="4">
        <v>8.4300000000000003E-5</v>
      </c>
      <c r="ET67" s="4">
        <v>7.9499999999999994E-5</v>
      </c>
      <c r="EU67" s="4">
        <v>7.5300000000000001E-5</v>
      </c>
      <c r="EV67" s="4">
        <v>7.1299999999999998E-5</v>
      </c>
      <c r="EW67" s="4">
        <v>6.7700000000000006E-5</v>
      </c>
      <c r="EX67" s="4">
        <v>6.4300000000000004E-5</v>
      </c>
      <c r="EY67" s="4">
        <v>6.1099999999999994E-5</v>
      </c>
      <c r="EZ67" s="4">
        <v>5.8100000000000003E-5</v>
      </c>
      <c r="FA67" s="4">
        <v>5.5399999999999998E-5</v>
      </c>
      <c r="FB67" s="4">
        <v>5.2200000000000002E-5</v>
      </c>
      <c r="FC67" s="4">
        <v>4.99E-5</v>
      </c>
      <c r="FD67" s="4">
        <v>4.7700000000000001E-5</v>
      </c>
      <c r="FE67" s="4">
        <v>4.5599999999999997E-5</v>
      </c>
      <c r="FF67" s="4">
        <v>4.3800000000000001E-5</v>
      </c>
      <c r="FG67" s="4">
        <v>4.21E-5</v>
      </c>
      <c r="FH67" s="4">
        <v>4.0500000000000002E-5</v>
      </c>
      <c r="FI67" s="4">
        <v>3.8999999999999999E-5</v>
      </c>
      <c r="FJ67" s="4">
        <v>3.7599999999999999E-5</v>
      </c>
      <c r="FK67" s="4">
        <v>3.6300000000000001E-5</v>
      </c>
      <c r="FL67" s="4">
        <v>3.5099999999999999E-5</v>
      </c>
      <c r="FM67" s="4">
        <v>3.4100000000000002E-5</v>
      </c>
      <c r="FN67" s="4">
        <v>3.3099999999999998E-5</v>
      </c>
      <c r="FO67" s="4">
        <v>3.2199999999999997E-5</v>
      </c>
      <c r="FP67" s="4">
        <v>3.1399999999999998E-5</v>
      </c>
      <c r="FQ67" s="4">
        <v>3.0599999999999998E-5</v>
      </c>
      <c r="FR67" s="4">
        <v>2.97E-5</v>
      </c>
      <c r="FS67" s="4">
        <v>2.8900000000000001E-5</v>
      </c>
      <c r="FT67" s="4">
        <v>2.7900000000000001E-5</v>
      </c>
      <c r="FU67" s="4">
        <v>2.6400000000000001E-5</v>
      </c>
      <c r="FV67" s="4">
        <v>2.55E-5</v>
      </c>
      <c r="FW67" s="4">
        <v>2.4700000000000001E-5</v>
      </c>
      <c r="FX67" s="4">
        <v>2.3200000000000001E-5</v>
      </c>
      <c r="FY67" s="4">
        <v>2.41E-5</v>
      </c>
      <c r="FZ67" s="4">
        <v>2.37E-5</v>
      </c>
      <c r="GA67" s="4">
        <v>2.34E-5</v>
      </c>
      <c r="GB67" s="4">
        <v>2.3099999999999999E-5</v>
      </c>
      <c r="GC67" s="4">
        <v>2.2900000000000001E-5</v>
      </c>
      <c r="GD67" s="4">
        <v>2.26E-5</v>
      </c>
      <c r="GE67" s="4">
        <v>2.2399999999999999E-5</v>
      </c>
      <c r="GF67" s="4">
        <v>2.2099999999999998E-5</v>
      </c>
      <c r="GG67" s="4">
        <v>2.1800000000000001E-5</v>
      </c>
      <c r="GH67" s="4">
        <v>2.16E-5</v>
      </c>
      <c r="GI67" s="4">
        <v>2.1299999999999999E-5</v>
      </c>
      <c r="GJ67" s="4">
        <v>2.0999999999999999E-5</v>
      </c>
      <c r="GK67" s="4">
        <v>2.0800000000000001E-5</v>
      </c>
      <c r="GL67" s="4">
        <v>2.05E-5</v>
      </c>
      <c r="GM67" s="4">
        <v>2.0299999999999999E-5</v>
      </c>
      <c r="GN67" s="4">
        <v>2.0000000000000002E-5</v>
      </c>
      <c r="GO67" s="4">
        <v>1.98E-5</v>
      </c>
      <c r="GP67" s="4">
        <v>1.95E-5</v>
      </c>
      <c r="GQ67" s="4">
        <v>1.9300000000000002E-5</v>
      </c>
      <c r="GR67" s="4">
        <v>1.9000000000000001E-5</v>
      </c>
      <c r="GS67" s="4">
        <v>1.88E-5</v>
      </c>
      <c r="GT67" s="4">
        <v>1.8499999999999999E-5</v>
      </c>
      <c r="GU67" s="4">
        <v>1.8300000000000001E-5</v>
      </c>
      <c r="GV67" s="4">
        <v>1.8099999999999999E-5</v>
      </c>
      <c r="GW67" s="4">
        <v>1.7799999999999999E-5</v>
      </c>
      <c r="GX67" s="4">
        <v>1.7600000000000001E-5</v>
      </c>
      <c r="GY67" s="4">
        <v>1.7399999999999999E-5</v>
      </c>
      <c r="GZ67" s="4">
        <v>1.7099999999999999E-5</v>
      </c>
      <c r="HA67" s="4">
        <v>1.6900000000000001E-5</v>
      </c>
      <c r="HB67" s="4">
        <v>1.6699999999999999E-5</v>
      </c>
      <c r="HC67" s="4">
        <v>1.6500000000000001E-5</v>
      </c>
      <c r="HD67" s="4">
        <v>1.6200000000000001E-5</v>
      </c>
      <c r="HE67" s="4">
        <v>1.5999999999999999E-5</v>
      </c>
      <c r="HF67" s="4">
        <v>1.5800000000000001E-5</v>
      </c>
      <c r="HG67" s="4">
        <v>1.56E-5</v>
      </c>
      <c r="HH67" s="4">
        <v>1.5400000000000002E-5</v>
      </c>
      <c r="HI67" s="4">
        <v>1.52E-5</v>
      </c>
      <c r="HJ67" s="4">
        <v>1.5E-5</v>
      </c>
      <c r="HK67" s="4">
        <v>1.4800000000000001E-5</v>
      </c>
      <c r="HL67" s="4">
        <v>1.45E-5</v>
      </c>
      <c r="HM67" s="4">
        <v>1.43E-5</v>
      </c>
      <c r="HN67" s="4">
        <v>1.4100000000000001E-5</v>
      </c>
      <c r="HO67" s="4">
        <v>1.3900000000000001E-5</v>
      </c>
      <c r="HP67" s="4">
        <v>1.38E-5</v>
      </c>
      <c r="HQ67" s="4">
        <v>1.36E-5</v>
      </c>
      <c r="HR67" s="4">
        <v>1.34E-5</v>
      </c>
      <c r="HS67" s="4">
        <v>1.3200000000000001E-5</v>
      </c>
      <c r="HT67" s="4">
        <v>1.2999999999999999E-5</v>
      </c>
      <c r="HU67" s="4">
        <v>1.2799999999999999E-5</v>
      </c>
      <c r="HV67" s="4">
        <v>1.26E-5</v>
      </c>
      <c r="HW67" s="4">
        <v>1.24E-5</v>
      </c>
      <c r="HX67" s="4">
        <v>1.2300000000000001E-5</v>
      </c>
      <c r="HY67" s="4">
        <v>1.2099999999999999E-5</v>
      </c>
      <c r="HZ67" s="4">
        <v>1.19E-5</v>
      </c>
      <c r="IA67" s="4">
        <v>1.1800000000000001E-5</v>
      </c>
      <c r="IB67" s="4">
        <v>1.1600000000000001E-5</v>
      </c>
      <c r="IC67" s="4">
        <v>1.1399999999999999E-5</v>
      </c>
      <c r="ID67" s="4">
        <v>1.13E-5</v>
      </c>
      <c r="IE67" s="4">
        <v>1.11E-5</v>
      </c>
      <c r="IF67" s="4">
        <v>1.0900000000000001E-5</v>
      </c>
      <c r="IG67" s="4">
        <v>7.6329999999999996E-4</v>
      </c>
      <c r="IH67" s="4"/>
    </row>
    <row r="68" spans="1:258" x14ac:dyDescent="0.35">
      <c r="A68" s="1">
        <v>60</v>
      </c>
      <c r="B68">
        <v>1.0734799999999999E-2</v>
      </c>
      <c r="C68">
        <v>1.0734799999999999E-2</v>
      </c>
      <c r="D68">
        <v>1.05433E-2</v>
      </c>
      <c r="E68">
        <v>1.0360599999999999E-2</v>
      </c>
      <c r="F68">
        <v>9.8653000000000005E-3</v>
      </c>
      <c r="G68">
        <v>9.2952999999999994E-3</v>
      </c>
      <c r="H68">
        <v>8.6172000000000002E-3</v>
      </c>
      <c r="I68">
        <v>7.9603999999999994E-3</v>
      </c>
      <c r="J68">
        <v>7.4114999999999997E-3</v>
      </c>
      <c r="K68">
        <v>6.9252000000000003E-3</v>
      </c>
      <c r="L68">
        <v>6.5214000000000001E-3</v>
      </c>
      <c r="M68">
        <v>6.1095999999999998E-3</v>
      </c>
      <c r="N68">
        <v>5.7694E-3</v>
      </c>
      <c r="O68">
        <v>5.4660999999999998E-3</v>
      </c>
      <c r="P68">
        <v>5.1929999999999997E-3</v>
      </c>
      <c r="Q68">
        <v>4.9458999999999996E-3</v>
      </c>
      <c r="R68">
        <v>4.7218E-3</v>
      </c>
      <c r="S68">
        <v>4.5206999999999999E-3</v>
      </c>
      <c r="T68">
        <v>4.3407999999999997E-3</v>
      </c>
      <c r="U68">
        <v>4.1748000000000002E-3</v>
      </c>
      <c r="V68">
        <v>4.0045000000000002E-3</v>
      </c>
      <c r="W68">
        <v>3.8633000000000001E-3</v>
      </c>
      <c r="X68">
        <v>3.7334E-3</v>
      </c>
      <c r="Y68">
        <v>3.6082000000000002E-3</v>
      </c>
      <c r="Z68">
        <v>3.4981000000000001E-3</v>
      </c>
      <c r="AA68">
        <v>3.3926E-3</v>
      </c>
      <c r="AB68">
        <v>3.2931000000000002E-3</v>
      </c>
      <c r="AC68">
        <v>3.2016000000000002E-3</v>
      </c>
      <c r="AD68">
        <v>3.117E-3</v>
      </c>
      <c r="AE68">
        <v>3.0417999999999999E-3</v>
      </c>
      <c r="AF68">
        <v>2.9726000000000002E-3</v>
      </c>
      <c r="AG68">
        <v>2.905E-3</v>
      </c>
      <c r="AH68">
        <v>2.8362999999999999E-3</v>
      </c>
      <c r="AI68">
        <v>2.7710999999999999E-3</v>
      </c>
      <c r="AJ68">
        <v>2.7081000000000002E-3</v>
      </c>
      <c r="AK68">
        <v>2.6408E-3</v>
      </c>
      <c r="AL68">
        <v>2.5842E-3</v>
      </c>
      <c r="AM68">
        <v>2.4970000000000001E-3</v>
      </c>
      <c r="AN68">
        <v>2.441E-3</v>
      </c>
      <c r="AO68">
        <v>2.3877E-3</v>
      </c>
      <c r="AP68">
        <v>2.3357E-3</v>
      </c>
      <c r="AQ68">
        <v>2.2878999999999998E-3</v>
      </c>
      <c r="AR68">
        <v>2.2458000000000001E-3</v>
      </c>
      <c r="AS68">
        <v>2.2049000000000001E-3</v>
      </c>
      <c r="AT68">
        <v>2.1621000000000001E-3</v>
      </c>
      <c r="AU68">
        <v>2.1205999999999998E-3</v>
      </c>
      <c r="AV68">
        <v>2.0823999999999999E-3</v>
      </c>
      <c r="AW68">
        <v>2.0471E-3</v>
      </c>
      <c r="AX68">
        <v>2.019E-3</v>
      </c>
      <c r="AY68">
        <v>1.9922999999999998E-3</v>
      </c>
      <c r="AZ68">
        <v>1.9651E-3</v>
      </c>
      <c r="BA68">
        <v>1.9379E-3</v>
      </c>
      <c r="BB68">
        <v>1.9097999999999999E-3</v>
      </c>
      <c r="BC68">
        <v>1.8794E-3</v>
      </c>
      <c r="BD68">
        <v>1.8416000000000001E-3</v>
      </c>
      <c r="BE68">
        <v>1.7966E-3</v>
      </c>
      <c r="BF68">
        <v>1.7137000000000001E-3</v>
      </c>
      <c r="BG68">
        <v>1.6734E-3</v>
      </c>
      <c r="BH68">
        <v>1.6321E-3</v>
      </c>
      <c r="BI68">
        <v>1.5413E-3</v>
      </c>
      <c r="BJ68">
        <v>1.6096000000000001E-3</v>
      </c>
      <c r="BK68">
        <v>1.5912999999999999E-3</v>
      </c>
      <c r="BL68">
        <v>1.5822E-3</v>
      </c>
      <c r="BM68">
        <v>1.5716E-3</v>
      </c>
      <c r="BN68">
        <v>1.5608E-3</v>
      </c>
      <c r="BO68">
        <v>1.549E-3</v>
      </c>
      <c r="BP68">
        <v>1.5365999999999999E-3</v>
      </c>
      <c r="BQ68">
        <v>1.5234999999999999E-3</v>
      </c>
      <c r="BR68">
        <v>1.5096E-3</v>
      </c>
      <c r="BS68">
        <v>1.4953E-3</v>
      </c>
      <c r="BT68">
        <v>1.4804E-3</v>
      </c>
      <c r="BU68">
        <v>1.4652000000000001E-3</v>
      </c>
      <c r="BV68">
        <v>1.4496000000000001E-3</v>
      </c>
      <c r="BW68">
        <v>1.4338E-3</v>
      </c>
      <c r="BX68">
        <v>1.4177E-3</v>
      </c>
      <c r="BY68">
        <v>1.4015E-3</v>
      </c>
      <c r="BZ68">
        <v>1.3851E-3</v>
      </c>
      <c r="CA68">
        <v>1.3687E-3</v>
      </c>
      <c r="CB68">
        <v>1.3522E-3</v>
      </c>
      <c r="CC68">
        <v>1.3355999999999999E-3</v>
      </c>
      <c r="CD68">
        <v>1.3190999999999999E-3</v>
      </c>
      <c r="CE68">
        <v>1.3025999999999999E-3</v>
      </c>
      <c r="CF68">
        <v>1.2861000000000001E-3</v>
      </c>
      <c r="CG68">
        <v>1.2696000000000001E-3</v>
      </c>
      <c r="CH68">
        <v>1.2532000000000001E-3</v>
      </c>
      <c r="CI68">
        <v>1.2369E-3</v>
      </c>
      <c r="CJ68">
        <v>1.2206000000000001E-3</v>
      </c>
      <c r="CK68">
        <v>1.2044E-3</v>
      </c>
      <c r="CL68">
        <v>1.1884E-3</v>
      </c>
      <c r="CM68">
        <v>1.1724000000000001E-3</v>
      </c>
      <c r="CN68">
        <v>1.1565E-3</v>
      </c>
      <c r="CO68">
        <v>1.1406999999999999E-3</v>
      </c>
      <c r="CP68">
        <v>1.1249999999999999E-3</v>
      </c>
      <c r="CQ68">
        <v>1.1095E-3</v>
      </c>
      <c r="CR68">
        <v>1.0941E-3</v>
      </c>
      <c r="CS68">
        <v>1.0788E-3</v>
      </c>
      <c r="CT68">
        <v>1.0637000000000001E-3</v>
      </c>
      <c r="CU68">
        <v>1.0487000000000001E-3</v>
      </c>
      <c r="CV68">
        <v>1.0338999999999999E-3</v>
      </c>
      <c r="CW68">
        <v>1.0192000000000001E-3</v>
      </c>
      <c r="CX68">
        <v>1.0047000000000001E-3</v>
      </c>
      <c r="CY68">
        <v>9.904E-4</v>
      </c>
      <c r="CZ68">
        <v>9.7619999999999998E-4</v>
      </c>
      <c r="DA68">
        <v>9.6219999999999997E-4</v>
      </c>
      <c r="DB68">
        <v>9.4830000000000001E-4</v>
      </c>
      <c r="DC68">
        <v>9.3470000000000001E-4</v>
      </c>
      <c r="DD68">
        <v>9.2119999999999995E-4</v>
      </c>
      <c r="DE68">
        <v>9.079E-4</v>
      </c>
      <c r="DF68">
        <v>8.9479999999999996E-4</v>
      </c>
      <c r="DG68">
        <v>8.8179999999999997E-4</v>
      </c>
      <c r="DH68">
        <v>8.6910000000000004E-4</v>
      </c>
      <c r="DI68">
        <v>8.5649999999999995E-4</v>
      </c>
      <c r="DJ68">
        <v>8.4409999999999997E-4</v>
      </c>
      <c r="DK68">
        <v>8.3180000000000005E-4</v>
      </c>
      <c r="DL68">
        <v>8.1979999999999998E-4</v>
      </c>
      <c r="DM68">
        <v>8.0789999999999996E-4</v>
      </c>
      <c r="DN68">
        <v>7.9619999999999995E-4</v>
      </c>
      <c r="DO68">
        <v>7.8470000000000005E-4</v>
      </c>
      <c r="DP68">
        <v>7.7329999999999999E-4</v>
      </c>
      <c r="DQ68">
        <v>5.3729100000000002E-2</v>
      </c>
      <c r="DR68">
        <v>0</v>
      </c>
      <c r="DS68">
        <v>1.427E-4</v>
      </c>
      <c r="DT68">
        <v>1.827E-4</v>
      </c>
      <c r="DU68">
        <v>5.0350000000000004E-4</v>
      </c>
      <c r="DV68">
        <v>5.7790000000000001E-4</v>
      </c>
      <c r="DW68">
        <v>6.6520000000000001E-4</v>
      </c>
      <c r="DX68">
        <v>6.0599999999999998E-4</v>
      </c>
      <c r="DY68">
        <v>5.4230000000000001E-4</v>
      </c>
      <c r="DZ68">
        <v>4.8840000000000005E-4</v>
      </c>
      <c r="EA68">
        <v>4.3209999999999999E-4</v>
      </c>
      <c r="EB68">
        <v>3.859E-4</v>
      </c>
      <c r="EC68">
        <v>3.4099999999999999E-4</v>
      </c>
      <c r="ED68">
        <v>3.0469999999999998E-4</v>
      </c>
      <c r="EE68">
        <v>2.7310000000000002E-4</v>
      </c>
      <c r="EF68">
        <v>2.4570000000000001E-4</v>
      </c>
      <c r="EG68">
        <v>2.2149999999999999E-4</v>
      </c>
      <c r="EH68">
        <v>2.006E-4</v>
      </c>
      <c r="EI68">
        <v>1.8249999999999999E-4</v>
      </c>
      <c r="EJ68">
        <v>1.6679999999999999E-4</v>
      </c>
      <c r="EK68">
        <v>1.528E-4</v>
      </c>
      <c r="EL68">
        <v>1.3980000000000001E-4</v>
      </c>
      <c r="EM68">
        <v>1.2879999999999999E-4</v>
      </c>
      <c r="EN68">
        <v>1.193E-4</v>
      </c>
      <c r="EO68">
        <v>1.105E-4</v>
      </c>
      <c r="EP68">
        <v>1.03E-4</v>
      </c>
      <c r="EQ68">
        <v>9.6199999999999994E-5</v>
      </c>
      <c r="ER68">
        <v>9.0099999999999995E-5</v>
      </c>
      <c r="ES68">
        <v>8.4599999999999996E-5</v>
      </c>
      <c r="ET68">
        <v>7.9800000000000002E-5</v>
      </c>
      <c r="EU68">
        <v>7.5400000000000003E-5</v>
      </c>
      <c r="EV68">
        <v>7.1500000000000003E-5</v>
      </c>
      <c r="EW68">
        <v>6.7799999999999995E-5</v>
      </c>
      <c r="EX68">
        <v>6.4399999999999993E-5</v>
      </c>
      <c r="EY68">
        <v>6.1299999999999999E-5</v>
      </c>
      <c r="EZ68">
        <v>5.8300000000000001E-5</v>
      </c>
      <c r="FA68">
        <v>5.5500000000000001E-5</v>
      </c>
      <c r="FB68">
        <v>5.3000000000000001E-5</v>
      </c>
      <c r="FC68">
        <v>5.0000000000000002E-5</v>
      </c>
      <c r="FD68">
        <v>4.7700000000000001E-5</v>
      </c>
      <c r="FE68">
        <v>4.57E-5</v>
      </c>
      <c r="FF68">
        <v>4.3800000000000001E-5</v>
      </c>
      <c r="FG68">
        <v>4.1999999999999998E-5</v>
      </c>
      <c r="FH68">
        <v>4.0500000000000002E-5</v>
      </c>
      <c r="FI68">
        <v>3.8999999999999999E-5</v>
      </c>
      <c r="FJ68">
        <v>3.7599999999999999E-5</v>
      </c>
      <c r="FK68">
        <v>3.6199999999999999E-5</v>
      </c>
      <c r="FL68">
        <v>3.4999999999999997E-5</v>
      </c>
      <c r="FM68">
        <v>3.3899999999999997E-5</v>
      </c>
      <c r="FN68">
        <v>3.3000000000000003E-5</v>
      </c>
      <c r="FO68">
        <v>3.2100000000000001E-5</v>
      </c>
      <c r="FP68">
        <v>3.1199999999999999E-5</v>
      </c>
      <c r="FQ68">
        <v>3.0499999999999999E-5</v>
      </c>
      <c r="FR68">
        <v>2.97E-5</v>
      </c>
      <c r="FS68">
        <v>2.8900000000000001E-5</v>
      </c>
      <c r="FT68">
        <v>2.8099999999999999E-5</v>
      </c>
      <c r="FU68">
        <v>2.72E-5</v>
      </c>
      <c r="FV68">
        <v>2.5700000000000001E-5</v>
      </c>
      <c r="FW68">
        <v>2.4899999999999999E-5</v>
      </c>
      <c r="FX68">
        <v>2.41E-5</v>
      </c>
      <c r="FY68">
        <v>2.26E-5</v>
      </c>
      <c r="FZ68">
        <v>2.3600000000000001E-5</v>
      </c>
      <c r="GA68">
        <v>2.3200000000000001E-5</v>
      </c>
      <c r="GB68">
        <v>2.2900000000000001E-5</v>
      </c>
      <c r="GC68">
        <v>2.27E-5</v>
      </c>
      <c r="GD68">
        <v>2.2399999999999999E-5</v>
      </c>
      <c r="GE68">
        <v>2.2200000000000001E-5</v>
      </c>
      <c r="GF68">
        <v>2.19E-5</v>
      </c>
      <c r="GG68">
        <v>2.1699999999999999E-5</v>
      </c>
      <c r="GH68">
        <v>2.1399999999999998E-5</v>
      </c>
      <c r="GI68">
        <v>2.12E-5</v>
      </c>
      <c r="GJ68">
        <v>2.09E-5</v>
      </c>
      <c r="GK68">
        <v>2.0699999999999998E-5</v>
      </c>
      <c r="GL68">
        <v>2.0400000000000001E-5</v>
      </c>
      <c r="GM68">
        <v>2.02E-5</v>
      </c>
      <c r="GN68">
        <v>1.9899999999999999E-5</v>
      </c>
      <c r="GO68">
        <v>1.9700000000000001E-5</v>
      </c>
      <c r="GP68">
        <v>1.95E-5</v>
      </c>
      <c r="GQ68">
        <v>1.9199999999999999E-5</v>
      </c>
      <c r="GR68">
        <v>1.9000000000000001E-5</v>
      </c>
      <c r="GS68">
        <v>1.8700000000000001E-5</v>
      </c>
      <c r="GT68">
        <v>1.8499999999999999E-5</v>
      </c>
      <c r="GU68">
        <v>1.8300000000000001E-5</v>
      </c>
      <c r="GV68">
        <v>1.8E-5</v>
      </c>
      <c r="GW68">
        <v>1.7799999999999999E-5</v>
      </c>
      <c r="GX68">
        <v>1.7600000000000001E-5</v>
      </c>
      <c r="GY68">
        <v>1.73E-5</v>
      </c>
      <c r="GZ68">
        <v>1.7099999999999999E-5</v>
      </c>
      <c r="HA68">
        <v>1.6900000000000001E-5</v>
      </c>
      <c r="HB68">
        <v>1.6699999999999999E-5</v>
      </c>
      <c r="HC68">
        <v>1.6500000000000001E-5</v>
      </c>
      <c r="HD68">
        <v>1.6200000000000001E-5</v>
      </c>
      <c r="HE68">
        <v>1.5999999999999999E-5</v>
      </c>
      <c r="HF68">
        <v>1.5800000000000001E-5</v>
      </c>
      <c r="HG68">
        <v>1.56E-5</v>
      </c>
      <c r="HH68">
        <v>1.5400000000000002E-5</v>
      </c>
      <c r="HI68">
        <v>1.52E-5</v>
      </c>
      <c r="HJ68">
        <v>1.5E-5</v>
      </c>
      <c r="HK68">
        <v>1.4800000000000001E-5</v>
      </c>
      <c r="HL68">
        <v>1.45E-5</v>
      </c>
      <c r="HM68">
        <v>1.43E-5</v>
      </c>
      <c r="HN68">
        <v>1.4100000000000001E-5</v>
      </c>
      <c r="HO68">
        <v>1.4E-5</v>
      </c>
      <c r="HP68">
        <v>1.38E-5</v>
      </c>
      <c r="HQ68">
        <v>1.36E-5</v>
      </c>
      <c r="HR68">
        <v>1.34E-5</v>
      </c>
      <c r="HS68">
        <v>1.3200000000000001E-5</v>
      </c>
      <c r="HT68">
        <v>1.2999999999999999E-5</v>
      </c>
      <c r="HU68">
        <v>1.2799999999999999E-5</v>
      </c>
      <c r="HV68">
        <v>1.26E-5</v>
      </c>
      <c r="HW68">
        <v>1.2500000000000001E-5</v>
      </c>
      <c r="HX68">
        <v>1.2300000000000001E-5</v>
      </c>
      <c r="HY68">
        <v>1.2099999999999999E-5</v>
      </c>
      <c r="HZ68">
        <v>1.19E-5</v>
      </c>
      <c r="IA68">
        <v>1.1800000000000001E-5</v>
      </c>
      <c r="IB68">
        <v>1.1600000000000001E-5</v>
      </c>
      <c r="IC68">
        <v>1.1399999999999999E-5</v>
      </c>
      <c r="ID68">
        <v>1.13E-5</v>
      </c>
      <c r="IE68">
        <v>1.11E-5</v>
      </c>
      <c r="IF68">
        <v>1.0900000000000001E-5</v>
      </c>
      <c r="IG68">
        <v>7.6329999999999996E-4</v>
      </c>
    </row>
    <row r="69" spans="1:258" x14ac:dyDescent="0.35">
      <c r="A69" s="1">
        <v>61</v>
      </c>
      <c r="B69">
        <v>1.0734799999999999E-2</v>
      </c>
      <c r="C69">
        <v>1.0734799999999999E-2</v>
      </c>
      <c r="D69">
        <v>1.05921E-2</v>
      </c>
      <c r="E69">
        <v>1.0360599999999999E-2</v>
      </c>
      <c r="F69">
        <v>9.8572E-3</v>
      </c>
      <c r="G69">
        <v>9.2873999999999995E-3</v>
      </c>
      <c r="H69">
        <v>8.6300999999999999E-3</v>
      </c>
      <c r="I69">
        <v>8.0111999999999996E-3</v>
      </c>
      <c r="J69">
        <v>7.4181000000000004E-3</v>
      </c>
      <c r="K69">
        <v>6.9230000000000003E-3</v>
      </c>
      <c r="L69">
        <v>6.4932000000000002E-3</v>
      </c>
      <c r="M69">
        <v>6.1355000000000003E-3</v>
      </c>
      <c r="N69">
        <v>5.7685999999999996E-3</v>
      </c>
      <c r="O69">
        <v>5.4647000000000003E-3</v>
      </c>
      <c r="P69">
        <v>5.1929999999999997E-3</v>
      </c>
      <c r="Q69">
        <v>4.9473E-3</v>
      </c>
      <c r="R69">
        <v>4.7244000000000001E-3</v>
      </c>
      <c r="S69">
        <v>4.5212999999999998E-3</v>
      </c>
      <c r="T69">
        <v>4.3382999999999998E-3</v>
      </c>
      <c r="U69">
        <v>4.1739999999999998E-3</v>
      </c>
      <c r="V69">
        <v>4.0219000000000001E-3</v>
      </c>
      <c r="W69">
        <v>3.8647999999999998E-3</v>
      </c>
      <c r="X69">
        <v>3.7344000000000001E-3</v>
      </c>
      <c r="Y69">
        <v>3.614E-3</v>
      </c>
      <c r="Z69">
        <v>3.4976999999999999E-3</v>
      </c>
      <c r="AA69">
        <v>3.3950999999999999E-3</v>
      </c>
      <c r="AB69">
        <v>3.2965E-3</v>
      </c>
      <c r="AC69">
        <v>3.2030000000000001E-3</v>
      </c>
      <c r="AD69">
        <v>3.1169000000000001E-3</v>
      </c>
      <c r="AE69">
        <v>3.0373000000000002E-3</v>
      </c>
      <c r="AF69">
        <v>2.9664000000000001E-3</v>
      </c>
      <c r="AG69">
        <v>2.9012E-3</v>
      </c>
      <c r="AH69">
        <v>2.8371E-3</v>
      </c>
      <c r="AI69">
        <v>2.7718999999999999E-3</v>
      </c>
      <c r="AJ69">
        <v>2.7098999999999999E-3</v>
      </c>
      <c r="AK69">
        <v>2.6497999999999999E-3</v>
      </c>
      <c r="AL69">
        <v>2.5853E-3</v>
      </c>
      <c r="AM69">
        <v>2.5311999999999999E-3</v>
      </c>
      <c r="AN69">
        <v>2.447E-3</v>
      </c>
      <c r="AO69">
        <v>2.3931999999999998E-3</v>
      </c>
      <c r="AP69">
        <v>2.3419999999999999E-3</v>
      </c>
      <c r="AQ69">
        <v>2.2918999999999999E-3</v>
      </c>
      <c r="AR69">
        <v>2.2458999999999999E-3</v>
      </c>
      <c r="AS69">
        <v>2.2052999999999999E-3</v>
      </c>
      <c r="AT69">
        <v>2.1659000000000001E-3</v>
      </c>
      <c r="AU69">
        <v>2.1245000000000001E-3</v>
      </c>
      <c r="AV69">
        <v>2.0844000000000001E-3</v>
      </c>
      <c r="AW69">
        <v>2.0474E-3</v>
      </c>
      <c r="AX69">
        <v>2.0132000000000001E-3</v>
      </c>
      <c r="AY69">
        <v>1.9859999999999999E-3</v>
      </c>
      <c r="AZ69">
        <v>1.9602999999999999E-3</v>
      </c>
      <c r="BA69">
        <v>1.9338999999999999E-3</v>
      </c>
      <c r="BB69">
        <v>1.9074999999999999E-3</v>
      </c>
      <c r="BC69">
        <v>1.8801E-3</v>
      </c>
      <c r="BD69">
        <v>1.8504000000000001E-3</v>
      </c>
      <c r="BE69">
        <v>1.8135E-3</v>
      </c>
      <c r="BF69">
        <v>1.7695E-3</v>
      </c>
      <c r="BG69">
        <v>1.688E-3</v>
      </c>
      <c r="BH69">
        <v>1.6485E-3</v>
      </c>
      <c r="BI69">
        <v>1.6079E-3</v>
      </c>
      <c r="BJ69">
        <v>1.5185999999999999E-3</v>
      </c>
      <c r="BK69">
        <v>1.586E-3</v>
      </c>
      <c r="BL69">
        <v>1.5681E-3</v>
      </c>
      <c r="BM69">
        <v>1.5592E-3</v>
      </c>
      <c r="BN69">
        <v>1.5489E-3</v>
      </c>
      <c r="BO69">
        <v>1.5383E-3</v>
      </c>
      <c r="BP69">
        <v>1.5268E-3</v>
      </c>
      <c r="BQ69">
        <v>1.5146999999999999E-3</v>
      </c>
      <c r="BR69">
        <v>1.5018E-3</v>
      </c>
      <c r="BS69">
        <v>1.4882000000000001E-3</v>
      </c>
      <c r="BT69">
        <v>1.4741000000000001E-3</v>
      </c>
      <c r="BU69">
        <v>1.4595000000000001E-3</v>
      </c>
      <c r="BV69">
        <v>1.4445E-3</v>
      </c>
      <c r="BW69">
        <v>1.4292E-3</v>
      </c>
      <c r="BX69">
        <v>1.4136000000000001E-3</v>
      </c>
      <c r="BY69">
        <v>1.3978E-3</v>
      </c>
      <c r="BZ69">
        <v>1.3818000000000001E-3</v>
      </c>
      <c r="CA69">
        <v>1.3657000000000001E-3</v>
      </c>
      <c r="CB69">
        <v>1.3495E-3</v>
      </c>
      <c r="CC69">
        <v>1.3332000000000001E-3</v>
      </c>
      <c r="CD69">
        <v>1.3169E-3</v>
      </c>
      <c r="CE69">
        <v>1.3006000000000001E-3</v>
      </c>
      <c r="CF69">
        <v>1.2842999999999999E-3</v>
      </c>
      <c r="CG69">
        <v>1.268E-3</v>
      </c>
      <c r="CH69">
        <v>1.2518E-3</v>
      </c>
      <c r="CI69">
        <v>1.2355999999999999E-3</v>
      </c>
      <c r="CJ69">
        <v>1.2195000000000001E-3</v>
      </c>
      <c r="CK69">
        <v>1.2034999999999999E-3</v>
      </c>
      <c r="CL69">
        <v>1.1875E-3</v>
      </c>
      <c r="CM69">
        <v>1.1716999999999999E-3</v>
      </c>
      <c r="CN69">
        <v>1.1559000000000001E-3</v>
      </c>
      <c r="CO69">
        <v>1.1402000000000001E-3</v>
      </c>
      <c r="CP69">
        <v>1.1247E-3</v>
      </c>
      <c r="CQ69">
        <v>1.1092000000000001E-3</v>
      </c>
      <c r="CR69">
        <v>1.0939000000000001E-3</v>
      </c>
      <c r="CS69">
        <v>1.0786999999999999E-3</v>
      </c>
      <c r="CT69">
        <v>1.0636E-3</v>
      </c>
      <c r="CU69">
        <v>1.0487000000000001E-3</v>
      </c>
      <c r="CV69">
        <v>1.034E-3</v>
      </c>
      <c r="CW69">
        <v>1.0192999999999999E-3</v>
      </c>
      <c r="CX69">
        <v>1.0049E-3</v>
      </c>
      <c r="CY69">
        <v>9.905999999999999E-4</v>
      </c>
      <c r="CZ69">
        <v>9.7639999999999999E-4</v>
      </c>
      <c r="DA69">
        <v>9.6239999999999997E-4</v>
      </c>
      <c r="DB69">
        <v>9.4859999999999996E-4</v>
      </c>
      <c r="DC69">
        <v>9.3499999999999996E-4</v>
      </c>
      <c r="DD69">
        <v>9.2150000000000001E-4</v>
      </c>
      <c r="DE69">
        <v>9.0819999999999996E-4</v>
      </c>
      <c r="DF69">
        <v>8.9510000000000002E-4</v>
      </c>
      <c r="DG69">
        <v>8.8210000000000003E-4</v>
      </c>
      <c r="DH69">
        <v>8.6939999999999999E-4</v>
      </c>
      <c r="DI69">
        <v>8.5680000000000001E-4</v>
      </c>
      <c r="DJ69">
        <v>8.4440000000000003E-4</v>
      </c>
      <c r="DK69">
        <v>8.3210000000000001E-4</v>
      </c>
      <c r="DL69">
        <v>8.2010000000000004E-4</v>
      </c>
      <c r="DM69">
        <v>8.0820000000000002E-4</v>
      </c>
      <c r="DN69">
        <v>7.9650000000000001E-4</v>
      </c>
      <c r="DO69">
        <v>7.8490000000000005E-4</v>
      </c>
      <c r="DP69">
        <v>7.7360000000000005E-4</v>
      </c>
      <c r="DQ69">
        <v>5.3728199999999997E-2</v>
      </c>
      <c r="DR69">
        <v>0</v>
      </c>
      <c r="DS69">
        <v>1.17E-4</v>
      </c>
      <c r="DT69">
        <v>1.6770000000000001E-4</v>
      </c>
      <c r="DU69">
        <v>5.0279999999999997E-4</v>
      </c>
      <c r="DV69">
        <v>6.1320000000000005E-4</v>
      </c>
      <c r="DW69">
        <v>6.7139999999999995E-4</v>
      </c>
      <c r="DX69">
        <v>6.1390000000000001E-4</v>
      </c>
      <c r="DY69">
        <v>5.555E-4</v>
      </c>
      <c r="DZ69">
        <v>4.9379999999999997E-4</v>
      </c>
      <c r="EA69">
        <v>4.3370000000000003E-4</v>
      </c>
      <c r="EB69">
        <v>3.8559999999999999E-4</v>
      </c>
      <c r="EC69">
        <v>3.4400000000000001E-4</v>
      </c>
      <c r="ED69">
        <v>3.0529999999999999E-4</v>
      </c>
      <c r="EE69">
        <v>2.7310000000000002E-4</v>
      </c>
      <c r="EF69">
        <v>2.455E-4</v>
      </c>
      <c r="EG69">
        <v>2.2139999999999999E-4</v>
      </c>
      <c r="EH69">
        <v>2.0039999999999999E-4</v>
      </c>
      <c r="EI69">
        <v>1.8200000000000001E-4</v>
      </c>
      <c r="EJ69">
        <v>1.661E-4</v>
      </c>
      <c r="EK69">
        <v>1.5229999999999999E-4</v>
      </c>
      <c r="EL69">
        <v>1.3990000000000001E-4</v>
      </c>
      <c r="EM69">
        <v>1.283E-4</v>
      </c>
      <c r="EN69">
        <v>1.186E-4</v>
      </c>
      <c r="EO69">
        <v>1.1010000000000001E-4</v>
      </c>
      <c r="EP69">
        <v>1.0230000000000001E-4</v>
      </c>
      <c r="EQ69">
        <v>9.5600000000000006E-5</v>
      </c>
      <c r="ER69">
        <v>8.9499999999999994E-5</v>
      </c>
      <c r="ES69">
        <v>8.4099999999999998E-5</v>
      </c>
      <c r="ET69">
        <v>7.9200000000000001E-5</v>
      </c>
      <c r="EU69">
        <v>7.4800000000000002E-5</v>
      </c>
      <c r="EV69">
        <v>7.0900000000000002E-5</v>
      </c>
      <c r="EW69">
        <v>6.7299999999999996E-5</v>
      </c>
      <c r="EX69">
        <v>6.3999999999999997E-5</v>
      </c>
      <c r="EY69">
        <v>6.0900000000000003E-5</v>
      </c>
      <c r="EZ69">
        <v>5.8E-5</v>
      </c>
      <c r="FA69">
        <v>5.5300000000000002E-5</v>
      </c>
      <c r="FB69">
        <v>5.27E-5</v>
      </c>
      <c r="FC69">
        <v>5.0399999999999999E-5</v>
      </c>
      <c r="FD69">
        <v>4.7599999999999998E-5</v>
      </c>
      <c r="FE69">
        <v>4.5599999999999997E-5</v>
      </c>
      <c r="FF69">
        <v>4.3699999999999998E-5</v>
      </c>
      <c r="FG69">
        <v>4.1900000000000002E-5</v>
      </c>
      <c r="FH69">
        <v>4.0299999999999997E-5</v>
      </c>
      <c r="FI69">
        <v>3.8800000000000001E-5</v>
      </c>
      <c r="FJ69">
        <v>3.7499999999999997E-5</v>
      </c>
      <c r="FK69">
        <v>3.6100000000000003E-5</v>
      </c>
      <c r="FL69">
        <v>3.4900000000000001E-5</v>
      </c>
      <c r="FM69">
        <v>3.3800000000000002E-5</v>
      </c>
      <c r="FN69">
        <v>3.2799999999999998E-5</v>
      </c>
      <c r="FO69">
        <v>3.1900000000000003E-5</v>
      </c>
      <c r="FP69">
        <v>3.1099999999999997E-5</v>
      </c>
      <c r="FQ69">
        <v>3.0300000000000001E-5</v>
      </c>
      <c r="FR69">
        <v>2.9600000000000001E-5</v>
      </c>
      <c r="FS69">
        <v>2.8900000000000001E-5</v>
      </c>
      <c r="FT69">
        <v>2.8200000000000001E-5</v>
      </c>
      <c r="FU69">
        <v>2.7399999999999999E-5</v>
      </c>
      <c r="FV69">
        <v>2.65E-5</v>
      </c>
      <c r="FW69">
        <v>2.51E-5</v>
      </c>
      <c r="FX69">
        <v>2.4300000000000001E-5</v>
      </c>
      <c r="FY69">
        <v>2.3600000000000001E-5</v>
      </c>
      <c r="FZ69">
        <v>2.2200000000000001E-5</v>
      </c>
      <c r="GA69">
        <v>2.3099999999999999E-5</v>
      </c>
      <c r="GB69">
        <v>2.27E-5</v>
      </c>
      <c r="GC69">
        <v>2.2500000000000001E-5</v>
      </c>
      <c r="GD69">
        <v>2.2200000000000001E-5</v>
      </c>
      <c r="GE69">
        <v>2.1999999999999999E-5</v>
      </c>
      <c r="GF69">
        <v>2.1800000000000001E-5</v>
      </c>
      <c r="GG69">
        <v>2.16E-5</v>
      </c>
      <c r="GH69">
        <v>2.1299999999999999E-5</v>
      </c>
      <c r="GI69">
        <v>2.1100000000000001E-5</v>
      </c>
      <c r="GJ69">
        <v>2.0800000000000001E-5</v>
      </c>
      <c r="GK69">
        <v>2.0599999999999999E-5</v>
      </c>
      <c r="GL69">
        <v>2.0400000000000001E-5</v>
      </c>
      <c r="GM69">
        <v>2.0100000000000001E-5</v>
      </c>
      <c r="GN69">
        <v>1.9899999999999999E-5</v>
      </c>
      <c r="GO69">
        <v>1.9599999999999999E-5</v>
      </c>
      <c r="GP69">
        <v>1.9400000000000001E-5</v>
      </c>
      <c r="GQ69">
        <v>1.9199999999999999E-5</v>
      </c>
      <c r="GR69">
        <v>1.8899999999999999E-5</v>
      </c>
      <c r="GS69">
        <v>1.8700000000000001E-5</v>
      </c>
      <c r="GT69">
        <v>1.8499999999999999E-5</v>
      </c>
      <c r="GU69">
        <v>1.8199999999999999E-5</v>
      </c>
      <c r="GV69">
        <v>1.8E-5</v>
      </c>
      <c r="GW69">
        <v>1.7799999999999999E-5</v>
      </c>
      <c r="GX69">
        <v>1.7600000000000001E-5</v>
      </c>
      <c r="GY69">
        <v>1.73E-5</v>
      </c>
      <c r="GZ69">
        <v>1.7099999999999999E-5</v>
      </c>
      <c r="HA69">
        <v>1.6900000000000001E-5</v>
      </c>
      <c r="HB69">
        <v>1.6699999999999999E-5</v>
      </c>
      <c r="HC69">
        <v>1.6399999999999999E-5</v>
      </c>
      <c r="HD69">
        <v>1.6200000000000001E-5</v>
      </c>
      <c r="HE69">
        <v>1.5999999999999999E-5</v>
      </c>
      <c r="HF69">
        <v>1.5800000000000001E-5</v>
      </c>
      <c r="HG69">
        <v>1.56E-5</v>
      </c>
      <c r="HH69">
        <v>1.5400000000000002E-5</v>
      </c>
      <c r="HI69">
        <v>1.52E-5</v>
      </c>
      <c r="HJ69">
        <v>1.5E-5</v>
      </c>
      <c r="HK69">
        <v>1.4800000000000001E-5</v>
      </c>
      <c r="HL69">
        <v>1.4600000000000001E-5</v>
      </c>
      <c r="HM69">
        <v>1.43E-5</v>
      </c>
      <c r="HN69">
        <v>1.42E-5</v>
      </c>
      <c r="HO69">
        <v>1.4E-5</v>
      </c>
      <c r="HP69">
        <v>1.38E-5</v>
      </c>
      <c r="HQ69">
        <v>1.36E-5</v>
      </c>
      <c r="HR69">
        <v>1.34E-5</v>
      </c>
      <c r="HS69">
        <v>1.3200000000000001E-5</v>
      </c>
      <c r="HT69">
        <v>1.2999999999999999E-5</v>
      </c>
      <c r="HU69">
        <v>1.2799999999999999E-5</v>
      </c>
      <c r="HV69">
        <v>1.26E-5</v>
      </c>
      <c r="HW69">
        <v>1.2500000000000001E-5</v>
      </c>
      <c r="HX69">
        <v>1.2300000000000001E-5</v>
      </c>
      <c r="HY69">
        <v>1.2099999999999999E-5</v>
      </c>
      <c r="HZ69">
        <v>1.19E-5</v>
      </c>
      <c r="IA69">
        <v>1.1800000000000001E-5</v>
      </c>
      <c r="IB69">
        <v>1.1600000000000001E-5</v>
      </c>
      <c r="IC69">
        <v>1.1399999999999999E-5</v>
      </c>
      <c r="ID69">
        <v>1.13E-5</v>
      </c>
      <c r="IE69">
        <v>1.11E-5</v>
      </c>
      <c r="IF69">
        <v>1.0900000000000001E-5</v>
      </c>
      <c r="IG69">
        <v>7.6320000000000001E-4</v>
      </c>
    </row>
    <row r="70" spans="1:258" x14ac:dyDescent="0.35">
      <c r="A70" s="1">
        <v>62</v>
      </c>
      <c r="B70">
        <v>1.0734799999999999E-2</v>
      </c>
      <c r="C70">
        <v>1.0734799999999999E-2</v>
      </c>
      <c r="D70">
        <v>1.06178E-2</v>
      </c>
      <c r="E70">
        <v>1.04245E-2</v>
      </c>
      <c r="F70">
        <v>9.8577999999999999E-3</v>
      </c>
      <c r="G70">
        <v>9.2440000000000005E-3</v>
      </c>
      <c r="H70">
        <v>8.6160000000000004E-3</v>
      </c>
      <c r="I70">
        <v>8.0161999999999994E-3</v>
      </c>
      <c r="J70">
        <v>7.4557E-3</v>
      </c>
      <c r="K70">
        <v>6.9243000000000004E-3</v>
      </c>
      <c r="L70">
        <v>6.4892999999999999E-3</v>
      </c>
      <c r="M70">
        <v>6.1076000000000004E-3</v>
      </c>
      <c r="N70">
        <v>5.7914999999999998E-3</v>
      </c>
      <c r="O70">
        <v>5.4632999999999999E-3</v>
      </c>
      <c r="P70">
        <v>5.1916000000000002E-3</v>
      </c>
      <c r="Q70">
        <v>4.9474999999999996E-3</v>
      </c>
      <c r="R70">
        <v>4.7258999999999999E-3</v>
      </c>
      <c r="S70">
        <v>4.5240000000000002E-3</v>
      </c>
      <c r="T70">
        <v>4.3392999999999999E-3</v>
      </c>
      <c r="U70">
        <v>4.1722E-3</v>
      </c>
      <c r="V70">
        <v>4.0216999999999996E-3</v>
      </c>
      <c r="W70">
        <v>3.882E-3</v>
      </c>
      <c r="X70">
        <v>3.7364999999999998E-3</v>
      </c>
      <c r="Y70">
        <v>3.6158000000000002E-3</v>
      </c>
      <c r="Z70">
        <v>3.5038999999999999E-3</v>
      </c>
      <c r="AA70">
        <v>3.3953E-3</v>
      </c>
      <c r="AB70">
        <v>3.2994000000000001E-3</v>
      </c>
      <c r="AC70">
        <v>3.2068999999999999E-3</v>
      </c>
      <c r="AD70">
        <v>3.1189E-3</v>
      </c>
      <c r="AE70">
        <v>3.0376999999999999E-3</v>
      </c>
      <c r="AF70">
        <v>2.9624999999999999E-3</v>
      </c>
      <c r="AG70">
        <v>2.8955999999999999E-3</v>
      </c>
      <c r="AH70">
        <v>2.8338999999999999E-3</v>
      </c>
      <c r="AI70">
        <v>2.7731000000000001E-3</v>
      </c>
      <c r="AJ70">
        <v>2.7109999999999999E-3</v>
      </c>
      <c r="AK70">
        <v>2.6519E-3</v>
      </c>
      <c r="AL70">
        <v>2.5944000000000002E-3</v>
      </c>
      <c r="AM70">
        <v>2.5325999999999999E-3</v>
      </c>
      <c r="AN70">
        <v>2.4808E-3</v>
      </c>
      <c r="AO70">
        <v>2.3993999999999999E-3</v>
      </c>
      <c r="AP70">
        <v>2.3476999999999999E-3</v>
      </c>
      <c r="AQ70">
        <v>2.2983999999999999E-3</v>
      </c>
      <c r="AR70">
        <v>2.2499999999999998E-3</v>
      </c>
      <c r="AS70">
        <v>2.2055999999999998E-3</v>
      </c>
      <c r="AT70">
        <v>2.1665E-3</v>
      </c>
      <c r="AU70">
        <v>2.1285000000000002E-3</v>
      </c>
      <c r="AV70">
        <v>2.0883999999999998E-3</v>
      </c>
      <c r="AW70">
        <v>2.0495000000000001E-3</v>
      </c>
      <c r="AX70">
        <v>2.0135999999999999E-3</v>
      </c>
      <c r="AY70">
        <v>1.9804000000000002E-3</v>
      </c>
      <c r="AZ70">
        <v>1.9540999999999998E-3</v>
      </c>
      <c r="BA70">
        <v>1.9292000000000001E-3</v>
      </c>
      <c r="BB70">
        <v>1.9035E-3</v>
      </c>
      <c r="BC70">
        <v>1.8779000000000001E-3</v>
      </c>
      <c r="BD70">
        <v>1.8513E-3</v>
      </c>
      <c r="BE70">
        <v>1.8223E-3</v>
      </c>
      <c r="BF70">
        <v>1.7861999999999999E-3</v>
      </c>
      <c r="BG70">
        <v>1.743E-3</v>
      </c>
      <c r="BH70">
        <v>1.6628999999999999E-3</v>
      </c>
      <c r="BI70">
        <v>1.6241000000000001E-3</v>
      </c>
      <c r="BJ70">
        <v>1.5843000000000001E-3</v>
      </c>
      <c r="BK70">
        <v>1.4965E-3</v>
      </c>
      <c r="BL70">
        <v>1.5629999999999999E-3</v>
      </c>
      <c r="BM70">
        <v>1.5453999999999999E-3</v>
      </c>
      <c r="BN70">
        <v>1.5367E-3</v>
      </c>
      <c r="BO70">
        <v>1.5267E-3</v>
      </c>
      <c r="BP70">
        <v>1.5162999999999999E-3</v>
      </c>
      <c r="BQ70">
        <v>1.505E-3</v>
      </c>
      <c r="BR70">
        <v>1.4931E-3</v>
      </c>
      <c r="BS70">
        <v>1.4805E-3</v>
      </c>
      <c r="BT70">
        <v>1.4671E-3</v>
      </c>
      <c r="BU70">
        <v>1.4532E-3</v>
      </c>
      <c r="BV70">
        <v>1.4388999999999999E-3</v>
      </c>
      <c r="BW70">
        <v>1.4241E-3</v>
      </c>
      <c r="BX70">
        <v>1.4090000000000001E-3</v>
      </c>
      <c r="BY70">
        <v>1.3937000000000001E-3</v>
      </c>
      <c r="BZ70">
        <v>1.3780999999999999E-3</v>
      </c>
      <c r="CA70">
        <v>1.3623999999999999E-3</v>
      </c>
      <c r="CB70">
        <v>1.3465E-3</v>
      </c>
      <c r="CC70">
        <v>1.3305000000000001E-3</v>
      </c>
      <c r="CD70">
        <v>1.3144999999999999E-3</v>
      </c>
      <c r="CE70">
        <v>1.2983999999999999E-3</v>
      </c>
      <c r="CF70">
        <v>1.2823999999999999E-3</v>
      </c>
      <c r="CG70">
        <v>1.2662999999999999E-3</v>
      </c>
      <c r="CH70">
        <v>1.2503E-3</v>
      </c>
      <c r="CI70">
        <v>1.2343E-3</v>
      </c>
      <c r="CJ70">
        <v>1.2183000000000001E-3</v>
      </c>
      <c r="CK70">
        <v>1.2024E-3</v>
      </c>
      <c r="CL70">
        <v>1.1865999999999999E-3</v>
      </c>
      <c r="CM70">
        <v>1.1708999999999999E-3</v>
      </c>
      <c r="CN70">
        <v>1.1552000000000001E-3</v>
      </c>
      <c r="CO70">
        <v>1.1397E-3</v>
      </c>
      <c r="CP70">
        <v>1.1241999999999999E-3</v>
      </c>
      <c r="CQ70">
        <v>1.1088999999999999E-3</v>
      </c>
      <c r="CR70">
        <v>1.0935999999999999E-3</v>
      </c>
      <c r="CS70">
        <v>1.0785E-3</v>
      </c>
      <c r="CT70">
        <v>1.0635E-3</v>
      </c>
      <c r="CU70">
        <v>1.0487000000000001E-3</v>
      </c>
      <c r="CV70">
        <v>1.034E-3</v>
      </c>
      <c r="CW70">
        <v>1.0194E-3</v>
      </c>
      <c r="CX70">
        <v>1.005E-3</v>
      </c>
      <c r="CY70">
        <v>9.9069999999999996E-4</v>
      </c>
      <c r="CZ70">
        <v>9.7659999999999999E-4</v>
      </c>
      <c r="DA70">
        <v>9.6259999999999998E-4</v>
      </c>
      <c r="DB70">
        <v>9.4890000000000003E-4</v>
      </c>
      <c r="DC70">
        <v>9.3519999999999996E-4</v>
      </c>
      <c r="DD70">
        <v>9.2179999999999996E-4</v>
      </c>
      <c r="DE70">
        <v>9.0850000000000002E-4</v>
      </c>
      <c r="DF70">
        <v>8.9539999999999997E-4</v>
      </c>
      <c r="DG70">
        <v>8.8250000000000004E-4</v>
      </c>
      <c r="DH70">
        <v>8.6970000000000005E-4</v>
      </c>
      <c r="DI70">
        <v>8.5709999999999996E-4</v>
      </c>
      <c r="DJ70">
        <v>8.4469999999999999E-4</v>
      </c>
      <c r="DK70">
        <v>8.3239999999999996E-4</v>
      </c>
      <c r="DL70">
        <v>8.2039999999999999E-4</v>
      </c>
      <c r="DM70">
        <v>8.0849999999999997E-4</v>
      </c>
      <c r="DN70">
        <v>7.9679999999999996E-4</v>
      </c>
      <c r="DO70">
        <v>7.852E-4</v>
      </c>
      <c r="DP70">
        <v>7.7380000000000005E-4</v>
      </c>
      <c r="DQ70">
        <v>5.37276E-2</v>
      </c>
      <c r="DR70">
        <v>0</v>
      </c>
      <c r="DS70">
        <v>1.17E-4</v>
      </c>
      <c r="DT70">
        <v>1.66E-4</v>
      </c>
      <c r="DU70">
        <v>5.5889999999999998E-4</v>
      </c>
      <c r="DV70">
        <v>6.1629999999999996E-4</v>
      </c>
      <c r="DW70">
        <v>6.5470000000000003E-4</v>
      </c>
      <c r="DX70">
        <v>6.1229999999999998E-4</v>
      </c>
      <c r="DY70">
        <v>5.5599999999999996E-4</v>
      </c>
      <c r="DZ70">
        <v>4.9569999999999996E-4</v>
      </c>
      <c r="EA70">
        <v>4.3310000000000001E-4</v>
      </c>
      <c r="EB70">
        <v>3.8470000000000003E-4</v>
      </c>
      <c r="EC70">
        <v>3.4160000000000001E-4</v>
      </c>
      <c r="ED70">
        <v>3.0660000000000003E-4</v>
      </c>
      <c r="EE70">
        <v>2.7300000000000002E-4</v>
      </c>
      <c r="EF70">
        <v>2.454E-4</v>
      </c>
      <c r="EG70">
        <v>2.2139999999999999E-4</v>
      </c>
      <c r="EH70">
        <v>2.0049999999999999E-4</v>
      </c>
      <c r="EI70">
        <v>1.8210000000000001E-4</v>
      </c>
      <c r="EJ70">
        <v>1.66E-4</v>
      </c>
      <c r="EK70">
        <v>1.5210000000000001E-4</v>
      </c>
      <c r="EL70">
        <v>1.3999999999999999E-4</v>
      </c>
      <c r="EM70">
        <v>1.2909999999999999E-4</v>
      </c>
      <c r="EN70">
        <v>1.189E-4</v>
      </c>
      <c r="EO70">
        <v>1.103E-4</v>
      </c>
      <c r="EP70">
        <v>1.0280000000000001E-4</v>
      </c>
      <c r="EQ70">
        <v>9.59E-5</v>
      </c>
      <c r="ER70">
        <v>9.0000000000000006E-5</v>
      </c>
      <c r="ES70">
        <v>8.4499999999999994E-5</v>
      </c>
      <c r="ET70">
        <v>7.9599999999999997E-5</v>
      </c>
      <c r="EU70">
        <v>7.5199999999999998E-5</v>
      </c>
      <c r="EV70">
        <v>7.1199999999999996E-5</v>
      </c>
      <c r="EW70">
        <v>6.7600000000000003E-5</v>
      </c>
      <c r="EX70">
        <v>6.4399999999999993E-5</v>
      </c>
      <c r="EY70">
        <v>6.1299999999999999E-5</v>
      </c>
      <c r="EZ70">
        <v>5.8400000000000003E-5</v>
      </c>
      <c r="FA70">
        <v>5.5699999999999999E-5</v>
      </c>
      <c r="FB70">
        <v>5.3199999999999999E-5</v>
      </c>
      <c r="FC70">
        <v>5.0800000000000002E-5</v>
      </c>
      <c r="FD70">
        <v>4.8600000000000002E-5</v>
      </c>
      <c r="FE70">
        <v>4.6E-5</v>
      </c>
      <c r="FF70">
        <v>4.3999999999999999E-5</v>
      </c>
      <c r="FG70">
        <v>4.2299999999999998E-5</v>
      </c>
      <c r="FH70">
        <v>4.0599999999999998E-5</v>
      </c>
      <c r="FI70">
        <v>3.8999999999999999E-5</v>
      </c>
      <c r="FJ70">
        <v>3.7700000000000002E-5</v>
      </c>
      <c r="FK70">
        <v>3.6399999999999997E-5</v>
      </c>
      <c r="FL70">
        <v>3.5099999999999999E-5</v>
      </c>
      <c r="FM70">
        <v>3.4E-5</v>
      </c>
      <c r="FN70">
        <v>3.29E-5</v>
      </c>
      <c r="FO70">
        <v>3.1900000000000003E-5</v>
      </c>
      <c r="FP70">
        <v>3.1099999999999997E-5</v>
      </c>
      <c r="FQ70">
        <v>3.0300000000000001E-5</v>
      </c>
      <c r="FR70">
        <v>2.9600000000000001E-5</v>
      </c>
      <c r="FS70">
        <v>2.8900000000000001E-5</v>
      </c>
      <c r="FT70">
        <v>2.8200000000000001E-5</v>
      </c>
      <c r="FU70">
        <v>2.7500000000000001E-5</v>
      </c>
      <c r="FV70">
        <v>2.6800000000000001E-5</v>
      </c>
      <c r="FW70">
        <v>2.5899999999999999E-5</v>
      </c>
      <c r="FX70">
        <v>2.4600000000000002E-5</v>
      </c>
      <c r="FY70">
        <v>2.3900000000000002E-5</v>
      </c>
      <c r="FZ70">
        <v>2.3200000000000001E-5</v>
      </c>
      <c r="GA70">
        <v>2.1699999999999999E-5</v>
      </c>
      <c r="GB70">
        <v>2.26E-5</v>
      </c>
      <c r="GC70">
        <v>2.23E-5</v>
      </c>
      <c r="GD70">
        <v>2.2099999999999998E-5</v>
      </c>
      <c r="GE70">
        <v>2.19E-5</v>
      </c>
      <c r="GF70">
        <v>2.16E-5</v>
      </c>
      <c r="GG70">
        <v>2.1399999999999998E-5</v>
      </c>
      <c r="GH70">
        <v>2.12E-5</v>
      </c>
      <c r="GI70">
        <v>2.0999999999999999E-5</v>
      </c>
      <c r="GJ70">
        <v>2.0699999999999998E-5</v>
      </c>
      <c r="GK70">
        <v>2.05E-5</v>
      </c>
      <c r="GL70">
        <v>2.0299999999999999E-5</v>
      </c>
      <c r="GM70">
        <v>2.0000000000000002E-5</v>
      </c>
      <c r="GN70">
        <v>1.98E-5</v>
      </c>
      <c r="GO70">
        <v>1.9599999999999999E-5</v>
      </c>
      <c r="GP70">
        <v>1.9300000000000002E-5</v>
      </c>
      <c r="GQ70">
        <v>1.91E-5</v>
      </c>
      <c r="GR70">
        <v>1.8899999999999999E-5</v>
      </c>
      <c r="GS70">
        <v>1.8600000000000001E-5</v>
      </c>
      <c r="GT70">
        <v>1.84E-5</v>
      </c>
      <c r="GU70">
        <v>1.8199999999999999E-5</v>
      </c>
      <c r="GV70">
        <v>1.8E-5</v>
      </c>
      <c r="GW70">
        <v>1.77E-5</v>
      </c>
      <c r="GX70">
        <v>1.7499999999999998E-5</v>
      </c>
      <c r="GY70">
        <v>1.73E-5</v>
      </c>
      <c r="GZ70">
        <v>1.7099999999999999E-5</v>
      </c>
      <c r="HA70">
        <v>1.6900000000000001E-5</v>
      </c>
      <c r="HB70">
        <v>1.66E-5</v>
      </c>
      <c r="HC70">
        <v>1.6399999999999999E-5</v>
      </c>
      <c r="HD70">
        <v>1.6200000000000001E-5</v>
      </c>
      <c r="HE70">
        <v>1.5999999999999999E-5</v>
      </c>
      <c r="HF70">
        <v>1.5800000000000001E-5</v>
      </c>
      <c r="HG70">
        <v>1.56E-5</v>
      </c>
      <c r="HH70">
        <v>1.5400000000000002E-5</v>
      </c>
      <c r="HI70">
        <v>1.52E-5</v>
      </c>
      <c r="HJ70">
        <v>1.49E-5</v>
      </c>
      <c r="HK70">
        <v>1.47E-5</v>
      </c>
      <c r="HL70">
        <v>1.45E-5</v>
      </c>
      <c r="HM70">
        <v>1.43E-5</v>
      </c>
      <c r="HN70">
        <v>1.4100000000000001E-5</v>
      </c>
      <c r="HO70">
        <v>1.3900000000000001E-5</v>
      </c>
      <c r="HP70">
        <v>1.38E-5</v>
      </c>
      <c r="HQ70">
        <v>1.36E-5</v>
      </c>
      <c r="HR70">
        <v>1.34E-5</v>
      </c>
      <c r="HS70">
        <v>1.3200000000000001E-5</v>
      </c>
      <c r="HT70">
        <v>1.2999999999999999E-5</v>
      </c>
      <c r="HU70">
        <v>1.2799999999999999E-5</v>
      </c>
      <c r="HV70">
        <v>1.26E-5</v>
      </c>
      <c r="HW70">
        <v>1.2500000000000001E-5</v>
      </c>
      <c r="HX70">
        <v>1.2300000000000001E-5</v>
      </c>
      <c r="HY70">
        <v>1.2099999999999999E-5</v>
      </c>
      <c r="HZ70">
        <v>1.19E-5</v>
      </c>
      <c r="IA70">
        <v>1.1800000000000001E-5</v>
      </c>
      <c r="IB70">
        <v>1.1600000000000001E-5</v>
      </c>
      <c r="IC70">
        <v>1.1399999999999999E-5</v>
      </c>
      <c r="ID70">
        <v>1.13E-5</v>
      </c>
      <c r="IE70">
        <v>1.11E-5</v>
      </c>
      <c r="IF70">
        <v>1.0900000000000001E-5</v>
      </c>
      <c r="IG70">
        <v>7.6320000000000001E-4</v>
      </c>
    </row>
    <row r="71" spans="1:258" x14ac:dyDescent="0.35">
      <c r="A71" s="1">
        <v>63</v>
      </c>
      <c r="B71">
        <v>1.0654E-2</v>
      </c>
      <c r="C71">
        <v>1.0734799999999999E-2</v>
      </c>
      <c r="D71">
        <v>1.06178E-2</v>
      </c>
      <c r="E71">
        <v>1.0451800000000001E-2</v>
      </c>
      <c r="F71">
        <v>9.8654999999999993E-3</v>
      </c>
      <c r="G71">
        <v>9.2414000000000003E-3</v>
      </c>
      <c r="H71">
        <v>8.5892E-3</v>
      </c>
      <c r="I71">
        <v>8.0037000000000007E-3</v>
      </c>
      <c r="J71">
        <v>7.4602000000000002E-3</v>
      </c>
      <c r="K71">
        <v>6.9601000000000003E-3</v>
      </c>
      <c r="L71">
        <v>6.4911999999999999E-3</v>
      </c>
      <c r="M71">
        <v>6.1047000000000002E-3</v>
      </c>
      <c r="N71">
        <v>5.7660000000000003E-3</v>
      </c>
      <c r="O71">
        <v>5.4849E-3</v>
      </c>
      <c r="P71">
        <v>5.1903000000000001E-3</v>
      </c>
      <c r="Q71">
        <v>4.9462999999999998E-3</v>
      </c>
      <c r="R71">
        <v>4.7260999999999996E-3</v>
      </c>
      <c r="S71">
        <v>4.5255E-3</v>
      </c>
      <c r="T71">
        <v>4.3420000000000004E-3</v>
      </c>
      <c r="U71">
        <v>4.1732999999999996E-3</v>
      </c>
      <c r="V71">
        <v>4.0201999999999998E-3</v>
      </c>
      <c r="W71">
        <v>3.8817000000000001E-3</v>
      </c>
      <c r="X71">
        <v>3.7529E-3</v>
      </c>
      <c r="Y71">
        <v>3.6175999999999999E-3</v>
      </c>
      <c r="Z71">
        <v>3.5054999999999999E-3</v>
      </c>
      <c r="AA71">
        <v>3.4010999999999998E-3</v>
      </c>
      <c r="AB71">
        <v>3.2994000000000001E-3</v>
      </c>
      <c r="AC71">
        <v>3.2095000000000001E-3</v>
      </c>
      <c r="AD71">
        <v>3.1224E-3</v>
      </c>
      <c r="AE71">
        <v>3.0393E-3</v>
      </c>
      <c r="AF71">
        <v>2.9624999999999999E-3</v>
      </c>
      <c r="AG71">
        <v>2.8912999999999999E-3</v>
      </c>
      <c r="AH71">
        <v>2.8278999999999999E-3</v>
      </c>
      <c r="AI71">
        <v>2.7694999999999998E-3</v>
      </c>
      <c r="AJ71">
        <v>2.7117999999999999E-3</v>
      </c>
      <c r="AK71">
        <v>2.6526000000000002E-3</v>
      </c>
      <c r="AL71">
        <v>2.5961000000000001E-3</v>
      </c>
      <c r="AM71">
        <v>2.5412E-3</v>
      </c>
      <c r="AN71">
        <v>2.4818000000000002E-3</v>
      </c>
      <c r="AO71">
        <v>2.4321E-3</v>
      </c>
      <c r="AP71">
        <v>2.3535000000000001E-3</v>
      </c>
      <c r="AQ71">
        <v>2.3035999999999998E-3</v>
      </c>
      <c r="AR71">
        <v>2.2561E-3</v>
      </c>
      <c r="AS71">
        <v>2.2093999999999998E-3</v>
      </c>
      <c r="AT71">
        <v>2.1665999999999999E-3</v>
      </c>
      <c r="AU71">
        <v>2.1288000000000001E-3</v>
      </c>
      <c r="AV71">
        <v>2.0920999999999999E-3</v>
      </c>
      <c r="AW71">
        <v>2.0533000000000001E-3</v>
      </c>
      <c r="AX71">
        <v>2.0154999999999999E-3</v>
      </c>
      <c r="AY71">
        <v>1.9807000000000002E-3</v>
      </c>
      <c r="AZ71">
        <v>1.9484999999999999E-3</v>
      </c>
      <c r="BA71">
        <v>1.923E-3</v>
      </c>
      <c r="BB71">
        <v>1.8988E-3</v>
      </c>
      <c r="BC71">
        <v>1.8739E-3</v>
      </c>
      <c r="BD71">
        <v>1.8489999999999999E-3</v>
      </c>
      <c r="BE71">
        <v>1.823E-3</v>
      </c>
      <c r="BF71">
        <v>1.7947E-3</v>
      </c>
      <c r="BG71">
        <v>1.7593999999999999E-3</v>
      </c>
      <c r="BH71">
        <v>1.717E-3</v>
      </c>
      <c r="BI71">
        <v>1.6383000000000001E-3</v>
      </c>
      <c r="BJ71">
        <v>1.6003E-3</v>
      </c>
      <c r="BK71">
        <v>1.5612E-3</v>
      </c>
      <c r="BL71">
        <v>1.4747E-3</v>
      </c>
      <c r="BM71">
        <v>1.5403000000000001E-3</v>
      </c>
      <c r="BN71">
        <v>1.5231000000000001E-3</v>
      </c>
      <c r="BO71">
        <v>1.5146999999999999E-3</v>
      </c>
      <c r="BP71">
        <v>1.5047999999999999E-3</v>
      </c>
      <c r="BQ71">
        <v>1.4947000000000001E-3</v>
      </c>
      <c r="BR71">
        <v>1.4836000000000001E-3</v>
      </c>
      <c r="BS71">
        <v>1.4718999999999999E-3</v>
      </c>
      <c r="BT71">
        <v>1.4595000000000001E-3</v>
      </c>
      <c r="BU71">
        <v>1.4464E-3</v>
      </c>
      <c r="BV71">
        <v>1.4327000000000001E-3</v>
      </c>
      <c r="BW71">
        <v>1.4185999999999999E-3</v>
      </c>
      <c r="BX71">
        <v>1.4040999999999999E-3</v>
      </c>
      <c r="BY71">
        <v>1.3891999999999999E-3</v>
      </c>
      <c r="BZ71">
        <v>1.3741000000000001E-3</v>
      </c>
      <c r="CA71">
        <v>1.3588000000000001E-3</v>
      </c>
      <c r="CB71">
        <v>1.3433E-3</v>
      </c>
      <c r="CC71">
        <v>1.3276E-3</v>
      </c>
      <c r="CD71">
        <v>1.3119E-3</v>
      </c>
      <c r="CE71">
        <v>1.2960999999999999E-3</v>
      </c>
      <c r="CF71">
        <v>1.2803000000000001E-3</v>
      </c>
      <c r="CG71">
        <v>1.2643999999999999E-3</v>
      </c>
      <c r="CH71">
        <v>1.2486000000000001E-3</v>
      </c>
      <c r="CI71">
        <v>1.2328E-3</v>
      </c>
      <c r="CJ71">
        <v>1.217E-3</v>
      </c>
      <c r="CK71">
        <v>1.2011999999999999E-3</v>
      </c>
      <c r="CL71">
        <v>1.1856E-3</v>
      </c>
      <c r="CM71">
        <v>1.17E-3</v>
      </c>
      <c r="CN71">
        <v>1.1544999999999999E-3</v>
      </c>
      <c r="CO71">
        <v>1.139E-3</v>
      </c>
      <c r="CP71">
        <v>1.1237E-3</v>
      </c>
      <c r="CQ71">
        <v>1.1084999999999999E-3</v>
      </c>
      <c r="CR71">
        <v>1.0933E-3</v>
      </c>
      <c r="CS71">
        <v>1.0782999999999999E-3</v>
      </c>
      <c r="CT71">
        <v>1.0633999999999999E-3</v>
      </c>
      <c r="CU71">
        <v>1.0486E-3</v>
      </c>
      <c r="CV71">
        <v>1.0338999999999999E-3</v>
      </c>
      <c r="CW71">
        <v>1.0194E-3</v>
      </c>
      <c r="CX71">
        <v>1.0051000000000001E-3</v>
      </c>
      <c r="CY71">
        <v>9.9080000000000001E-4</v>
      </c>
      <c r="CZ71">
        <v>9.7680000000000011E-4</v>
      </c>
      <c r="DA71">
        <v>9.6279999999999998E-4</v>
      </c>
      <c r="DB71">
        <v>9.4910000000000003E-4</v>
      </c>
      <c r="DC71">
        <v>9.3550000000000003E-4</v>
      </c>
      <c r="DD71">
        <v>9.2199999999999997E-4</v>
      </c>
      <c r="DE71">
        <v>9.0879999999999997E-4</v>
      </c>
      <c r="DF71">
        <v>8.9570000000000003E-4</v>
      </c>
      <c r="DG71">
        <v>8.8279999999999999E-4</v>
      </c>
      <c r="DH71">
        <v>8.7000000000000001E-4</v>
      </c>
      <c r="DI71">
        <v>8.5740000000000002E-4</v>
      </c>
      <c r="DJ71">
        <v>8.4500000000000005E-4</v>
      </c>
      <c r="DK71">
        <v>8.3270000000000002E-4</v>
      </c>
      <c r="DL71">
        <v>8.2070000000000005E-4</v>
      </c>
      <c r="DM71">
        <v>8.0880000000000004E-4</v>
      </c>
      <c r="DN71">
        <v>7.9699999999999997E-4</v>
      </c>
      <c r="DO71">
        <v>7.8549999999999996E-4</v>
      </c>
      <c r="DP71">
        <v>7.7410000000000001E-4</v>
      </c>
      <c r="DQ71">
        <v>5.3727299999999999E-2</v>
      </c>
      <c r="DR71">
        <v>0</v>
      </c>
      <c r="DS71">
        <v>1.17E-4</v>
      </c>
      <c r="DT71">
        <v>1.66E-4</v>
      </c>
      <c r="DU71">
        <v>5.7189999999999997E-4</v>
      </c>
      <c r="DV71">
        <v>5.8739999999999997E-4</v>
      </c>
      <c r="DW71">
        <v>6.5530000000000004E-4</v>
      </c>
      <c r="DX71">
        <v>6.1300000000000005E-4</v>
      </c>
      <c r="DY71">
        <v>5.5460000000000004E-4</v>
      </c>
      <c r="DZ71">
        <v>4.994E-4</v>
      </c>
      <c r="EA71">
        <v>4.3889999999999999E-4</v>
      </c>
      <c r="EB71">
        <v>3.8709999999999998E-4</v>
      </c>
      <c r="EC71">
        <v>3.4239999999999997E-4</v>
      </c>
      <c r="ED71">
        <v>3.0610000000000001E-4</v>
      </c>
      <c r="EE71">
        <v>2.7540000000000003E-4</v>
      </c>
      <c r="EF71">
        <v>2.4640000000000003E-4</v>
      </c>
      <c r="EG71">
        <v>2.2220000000000001E-4</v>
      </c>
      <c r="EH71">
        <v>2.0129999999999999E-4</v>
      </c>
      <c r="EI71">
        <v>1.83E-4</v>
      </c>
      <c r="EJ71">
        <v>1.6679999999999999E-4</v>
      </c>
      <c r="EK71">
        <v>1.527E-4</v>
      </c>
      <c r="EL71">
        <v>1.403E-4</v>
      </c>
      <c r="EM71">
        <v>1.295E-4</v>
      </c>
      <c r="EN71">
        <v>1.198E-4</v>
      </c>
      <c r="EO71">
        <v>1.106E-4</v>
      </c>
      <c r="EP71">
        <v>1.0289999999999999E-4</v>
      </c>
      <c r="EQ71">
        <v>9.6100000000000005E-5</v>
      </c>
      <c r="ER71">
        <v>8.9800000000000001E-5</v>
      </c>
      <c r="ES71">
        <v>8.4400000000000005E-5</v>
      </c>
      <c r="ET71">
        <v>7.9400000000000006E-5</v>
      </c>
      <c r="EU71">
        <v>7.4900000000000005E-5</v>
      </c>
      <c r="EV71">
        <v>7.08E-5</v>
      </c>
      <c r="EW71">
        <v>6.7100000000000005E-5</v>
      </c>
      <c r="EX71">
        <v>6.3800000000000006E-5</v>
      </c>
      <c r="EY71">
        <v>6.0800000000000001E-5</v>
      </c>
      <c r="EZ71">
        <v>5.8E-5</v>
      </c>
      <c r="FA71">
        <v>5.5300000000000002E-5</v>
      </c>
      <c r="FB71">
        <v>5.2800000000000003E-5</v>
      </c>
      <c r="FC71">
        <v>5.0399999999999999E-5</v>
      </c>
      <c r="FD71">
        <v>4.8099999999999997E-5</v>
      </c>
      <c r="FE71">
        <v>4.6100000000000002E-5</v>
      </c>
      <c r="FF71">
        <v>4.3699999999999998E-5</v>
      </c>
      <c r="FG71">
        <v>4.1900000000000002E-5</v>
      </c>
      <c r="FH71">
        <v>4.0200000000000001E-5</v>
      </c>
      <c r="FI71">
        <v>3.8699999999999999E-5</v>
      </c>
      <c r="FJ71">
        <v>3.7299999999999999E-5</v>
      </c>
      <c r="FK71">
        <v>3.6000000000000001E-5</v>
      </c>
      <c r="FL71">
        <v>3.4799999999999999E-5</v>
      </c>
      <c r="FM71">
        <v>3.3699999999999999E-5</v>
      </c>
      <c r="FN71">
        <v>3.26E-5</v>
      </c>
      <c r="FO71">
        <v>3.1600000000000002E-5</v>
      </c>
      <c r="FP71">
        <v>3.0700000000000001E-5</v>
      </c>
      <c r="FQ71">
        <v>2.9899999999999998E-5</v>
      </c>
      <c r="FR71">
        <v>2.9300000000000001E-5</v>
      </c>
      <c r="FS71">
        <v>2.8600000000000001E-5</v>
      </c>
      <c r="FT71">
        <v>2.7900000000000001E-5</v>
      </c>
      <c r="FU71">
        <v>2.73E-5</v>
      </c>
      <c r="FV71">
        <v>2.6699999999999998E-5</v>
      </c>
      <c r="FW71">
        <v>2.5999999999999998E-5</v>
      </c>
      <c r="FX71">
        <v>2.5199999999999999E-5</v>
      </c>
      <c r="FY71">
        <v>2.3900000000000002E-5</v>
      </c>
      <c r="FZ71">
        <v>2.3200000000000001E-5</v>
      </c>
      <c r="GA71">
        <v>2.2500000000000001E-5</v>
      </c>
      <c r="GB71">
        <v>2.12E-5</v>
      </c>
      <c r="GC71">
        <v>2.2099999999999998E-5</v>
      </c>
      <c r="GD71">
        <v>2.1800000000000001E-5</v>
      </c>
      <c r="GE71">
        <v>2.16E-5</v>
      </c>
      <c r="GF71">
        <v>2.1399999999999998E-5</v>
      </c>
      <c r="GG71">
        <v>2.12E-5</v>
      </c>
      <c r="GH71">
        <v>2.0999999999999999E-5</v>
      </c>
      <c r="GI71">
        <v>2.0800000000000001E-5</v>
      </c>
      <c r="GJ71">
        <v>2.05E-5</v>
      </c>
      <c r="GK71">
        <v>2.0299999999999999E-5</v>
      </c>
      <c r="GL71">
        <v>2.0100000000000001E-5</v>
      </c>
      <c r="GM71">
        <v>1.9899999999999999E-5</v>
      </c>
      <c r="GN71">
        <v>1.9700000000000001E-5</v>
      </c>
      <c r="GO71">
        <v>1.9400000000000001E-5</v>
      </c>
      <c r="GP71">
        <v>1.9199999999999999E-5</v>
      </c>
      <c r="GQ71">
        <v>1.9000000000000001E-5</v>
      </c>
      <c r="GR71">
        <v>1.88E-5</v>
      </c>
      <c r="GS71">
        <v>1.8600000000000001E-5</v>
      </c>
      <c r="GT71">
        <v>1.8300000000000001E-5</v>
      </c>
      <c r="GU71">
        <v>1.8099999999999999E-5</v>
      </c>
      <c r="GV71">
        <v>1.7900000000000001E-5</v>
      </c>
      <c r="GW71">
        <v>1.77E-5</v>
      </c>
      <c r="GX71">
        <v>1.7499999999999998E-5</v>
      </c>
      <c r="GY71">
        <v>1.7200000000000001E-5</v>
      </c>
      <c r="GZ71">
        <v>1.7E-5</v>
      </c>
      <c r="HA71">
        <v>1.6799999999999998E-5</v>
      </c>
      <c r="HB71">
        <v>1.66E-5</v>
      </c>
      <c r="HC71">
        <v>1.6399999999999999E-5</v>
      </c>
      <c r="HD71">
        <v>1.6200000000000001E-5</v>
      </c>
      <c r="HE71">
        <v>1.5999999999999999E-5</v>
      </c>
      <c r="HF71">
        <v>1.5800000000000001E-5</v>
      </c>
      <c r="HG71">
        <v>1.5500000000000001E-5</v>
      </c>
      <c r="HH71">
        <v>1.5299999999999999E-5</v>
      </c>
      <c r="HI71">
        <v>1.5099999999999999E-5</v>
      </c>
      <c r="HJ71">
        <v>1.49E-5</v>
      </c>
      <c r="HK71">
        <v>1.47E-5</v>
      </c>
      <c r="HL71">
        <v>1.45E-5</v>
      </c>
      <c r="HM71">
        <v>1.43E-5</v>
      </c>
      <c r="HN71">
        <v>1.4100000000000001E-5</v>
      </c>
      <c r="HO71">
        <v>1.3900000000000001E-5</v>
      </c>
      <c r="HP71">
        <v>1.38E-5</v>
      </c>
      <c r="HQ71">
        <v>1.36E-5</v>
      </c>
      <c r="HR71">
        <v>1.34E-5</v>
      </c>
      <c r="HS71">
        <v>1.3200000000000001E-5</v>
      </c>
      <c r="HT71">
        <v>1.2999999999999999E-5</v>
      </c>
      <c r="HU71">
        <v>1.2799999999999999E-5</v>
      </c>
      <c r="HV71">
        <v>1.26E-5</v>
      </c>
      <c r="HW71">
        <v>1.2500000000000001E-5</v>
      </c>
      <c r="HX71">
        <v>1.2300000000000001E-5</v>
      </c>
      <c r="HY71">
        <v>1.2099999999999999E-5</v>
      </c>
      <c r="HZ71">
        <v>1.19E-5</v>
      </c>
      <c r="IA71">
        <v>1.1800000000000001E-5</v>
      </c>
      <c r="IB71">
        <v>1.1600000000000001E-5</v>
      </c>
      <c r="IC71">
        <v>1.1399999999999999E-5</v>
      </c>
      <c r="ID71">
        <v>1.13E-5</v>
      </c>
      <c r="IE71">
        <v>1.11E-5</v>
      </c>
      <c r="IF71">
        <v>1.1E-5</v>
      </c>
      <c r="IG71">
        <v>7.6309999999999995E-4</v>
      </c>
    </row>
    <row r="72" spans="1:258" x14ac:dyDescent="0.35">
      <c r="A72" s="1">
        <v>64</v>
      </c>
      <c r="B72">
        <v>1.0654E-2</v>
      </c>
      <c r="C72">
        <v>1.0654E-2</v>
      </c>
      <c r="D72">
        <v>1.06178E-2</v>
      </c>
      <c r="E72">
        <v>1.0451800000000001E-2</v>
      </c>
      <c r="F72">
        <v>9.8799000000000005E-3</v>
      </c>
      <c r="G72">
        <v>9.2780999999999992E-3</v>
      </c>
      <c r="H72">
        <v>8.5860999999999993E-3</v>
      </c>
      <c r="I72">
        <v>7.9763000000000004E-3</v>
      </c>
      <c r="J72">
        <v>7.4491000000000002E-3</v>
      </c>
      <c r="K72">
        <v>6.9608999999999999E-3</v>
      </c>
      <c r="L72">
        <v>6.5211999999999996E-3</v>
      </c>
      <c r="M72">
        <v>6.1041000000000003E-3</v>
      </c>
      <c r="N72">
        <v>5.7622999999999997E-3</v>
      </c>
      <c r="O72">
        <v>5.4599000000000002E-3</v>
      </c>
      <c r="P72">
        <v>5.2094999999999997E-3</v>
      </c>
      <c r="Q72">
        <v>4.9439000000000002E-3</v>
      </c>
      <c r="R72">
        <v>4.7241000000000002E-3</v>
      </c>
      <c r="S72">
        <v>4.5247999999999998E-3</v>
      </c>
      <c r="T72">
        <v>4.3425E-3</v>
      </c>
      <c r="U72">
        <v>4.1751000000000002E-3</v>
      </c>
      <c r="V72">
        <v>4.0206E-3</v>
      </c>
      <c r="W72">
        <v>3.8798999999999999E-3</v>
      </c>
      <c r="X72">
        <v>3.7521999999999998E-3</v>
      </c>
      <c r="Y72">
        <v>3.6330999999999998E-3</v>
      </c>
      <c r="Z72">
        <v>3.5070000000000001E-3</v>
      </c>
      <c r="AA72">
        <v>3.4026E-3</v>
      </c>
      <c r="AB72">
        <v>3.3050000000000002E-3</v>
      </c>
      <c r="AC72">
        <v>3.2096E-3</v>
      </c>
      <c r="AD72">
        <v>3.1251E-3</v>
      </c>
      <c r="AE72">
        <v>3.0430000000000001E-3</v>
      </c>
      <c r="AF72">
        <v>2.9643999999999998E-3</v>
      </c>
      <c r="AG72">
        <v>2.8917000000000001E-3</v>
      </c>
      <c r="AH72">
        <v>2.8241E-3</v>
      </c>
      <c r="AI72">
        <v>2.7640999999999998E-3</v>
      </c>
      <c r="AJ72">
        <v>2.7087000000000001E-3</v>
      </c>
      <c r="AK72">
        <v>2.6538E-3</v>
      </c>
      <c r="AL72">
        <v>2.5972999999999999E-3</v>
      </c>
      <c r="AM72">
        <v>2.5433999999999999E-3</v>
      </c>
      <c r="AN72">
        <v>2.4908E-3</v>
      </c>
      <c r="AO72">
        <v>2.4337E-3</v>
      </c>
      <c r="AP72">
        <v>2.3860000000000001E-3</v>
      </c>
      <c r="AQ72">
        <v>2.3097999999999999E-3</v>
      </c>
      <c r="AR72">
        <v>2.2617000000000002E-3</v>
      </c>
      <c r="AS72">
        <v>2.2158999999999998E-3</v>
      </c>
      <c r="AT72">
        <v>2.1708000000000001E-3</v>
      </c>
      <c r="AU72">
        <v>2.1293000000000002E-3</v>
      </c>
      <c r="AV72">
        <v>2.0928000000000001E-3</v>
      </c>
      <c r="AW72">
        <v>2.0573000000000002E-3</v>
      </c>
      <c r="AX72">
        <v>2.0195999999999999E-3</v>
      </c>
      <c r="AY72">
        <v>1.9829000000000001E-3</v>
      </c>
      <c r="AZ72">
        <v>1.9491000000000001E-3</v>
      </c>
      <c r="BA72">
        <v>1.9178000000000001E-3</v>
      </c>
      <c r="BB72">
        <v>1.8931E-3</v>
      </c>
      <c r="BC72">
        <v>1.8695999999999999E-3</v>
      </c>
      <c r="BD72">
        <v>1.8454000000000001E-3</v>
      </c>
      <c r="BE72">
        <v>1.8211E-3</v>
      </c>
      <c r="BF72">
        <v>1.7956999999999999E-3</v>
      </c>
      <c r="BG72">
        <v>1.7681000000000001E-3</v>
      </c>
      <c r="BH72">
        <v>1.7334E-3</v>
      </c>
      <c r="BI72">
        <v>1.6918E-3</v>
      </c>
      <c r="BJ72">
        <v>1.6144E-3</v>
      </c>
      <c r="BK72">
        <v>1.5770999999999999E-3</v>
      </c>
      <c r="BL72">
        <v>1.5386E-3</v>
      </c>
      <c r="BM72">
        <v>1.4534999999999999E-3</v>
      </c>
      <c r="BN72">
        <v>1.5181999999999999E-3</v>
      </c>
      <c r="BO72">
        <v>1.5012999999999999E-3</v>
      </c>
      <c r="BP72">
        <v>1.4931E-3</v>
      </c>
      <c r="BQ72">
        <v>1.4835E-3</v>
      </c>
      <c r="BR72">
        <v>1.4735E-3</v>
      </c>
      <c r="BS72">
        <v>1.4626000000000001E-3</v>
      </c>
      <c r="BT72">
        <v>1.4511999999999999E-3</v>
      </c>
      <c r="BU72">
        <v>1.439E-3</v>
      </c>
      <c r="BV72">
        <v>1.4261E-3</v>
      </c>
      <c r="BW72">
        <v>1.4126E-3</v>
      </c>
      <c r="BX72">
        <v>1.3986999999999999E-3</v>
      </c>
      <c r="BY72">
        <v>1.3844E-3</v>
      </c>
      <c r="BZ72">
        <v>1.3698E-3</v>
      </c>
      <c r="CA72">
        <v>1.3549E-3</v>
      </c>
      <c r="CB72">
        <v>1.3397999999999999E-3</v>
      </c>
      <c r="CC72">
        <v>1.3244999999999999E-3</v>
      </c>
      <c r="CD72">
        <v>1.3091000000000001E-3</v>
      </c>
      <c r="CE72">
        <v>1.2936E-3</v>
      </c>
      <c r="CF72">
        <v>1.2780000000000001E-3</v>
      </c>
      <c r="CG72">
        <v>1.2623999999999999E-3</v>
      </c>
      <c r="CH72">
        <v>1.2466999999999999E-3</v>
      </c>
      <c r="CI72">
        <v>1.2310999999999999E-3</v>
      </c>
      <c r="CJ72">
        <v>1.2155E-3</v>
      </c>
      <c r="CK72">
        <v>1.1999000000000001E-3</v>
      </c>
      <c r="CL72">
        <v>1.1843999999999999E-3</v>
      </c>
      <c r="CM72">
        <v>1.1689999999999999E-3</v>
      </c>
      <c r="CN72">
        <v>1.1536000000000001E-3</v>
      </c>
      <c r="CO72">
        <v>1.1383000000000001E-3</v>
      </c>
      <c r="CP72">
        <v>1.1230999999999999E-3</v>
      </c>
      <c r="CQ72">
        <v>1.1079E-3</v>
      </c>
      <c r="CR72">
        <v>1.0928999999999999E-3</v>
      </c>
      <c r="CS72">
        <v>1.078E-3</v>
      </c>
      <c r="CT72">
        <v>1.0631E-3</v>
      </c>
      <c r="CU72">
        <v>1.0483999999999999E-3</v>
      </c>
      <c r="CV72">
        <v>1.0338999999999999E-3</v>
      </c>
      <c r="CW72">
        <v>1.0194E-3</v>
      </c>
      <c r="CX72">
        <v>1.0051000000000001E-3</v>
      </c>
      <c r="CY72">
        <v>9.9090000000000007E-4</v>
      </c>
      <c r="CZ72">
        <v>9.7689999999999995E-4</v>
      </c>
      <c r="DA72">
        <v>9.6299999999999999E-4</v>
      </c>
      <c r="DB72">
        <v>9.4930000000000004E-4</v>
      </c>
      <c r="DC72">
        <v>9.3570000000000003E-4</v>
      </c>
      <c r="DD72">
        <v>9.2230000000000003E-4</v>
      </c>
      <c r="DE72">
        <v>9.0899999999999998E-4</v>
      </c>
      <c r="DF72">
        <v>8.9599999999999999E-4</v>
      </c>
      <c r="DG72">
        <v>8.83E-4</v>
      </c>
      <c r="DH72">
        <v>8.7029999999999996E-4</v>
      </c>
      <c r="DI72">
        <v>8.5769999999999998E-4</v>
      </c>
      <c r="DJ72">
        <v>8.453E-4</v>
      </c>
      <c r="DK72">
        <v>8.3310000000000003E-4</v>
      </c>
      <c r="DL72">
        <v>8.2100000000000001E-4</v>
      </c>
      <c r="DM72">
        <v>8.0909999999999999E-4</v>
      </c>
      <c r="DN72">
        <v>7.9730000000000003E-4</v>
      </c>
      <c r="DO72">
        <v>7.8580000000000002E-4</v>
      </c>
      <c r="DP72">
        <v>7.7439999999999996E-4</v>
      </c>
      <c r="DQ72">
        <v>5.3727299999999999E-2</v>
      </c>
      <c r="DR72">
        <v>0</v>
      </c>
      <c r="DS72">
        <v>1.108E-4</v>
      </c>
      <c r="DT72">
        <v>1.661E-4</v>
      </c>
      <c r="DU72">
        <v>5.6959999999999997E-4</v>
      </c>
      <c r="DV72">
        <v>5.9310000000000005E-4</v>
      </c>
      <c r="DW72">
        <v>6.7100000000000005E-4</v>
      </c>
      <c r="DX72">
        <v>6.1079999999999999E-4</v>
      </c>
      <c r="DY72">
        <v>5.507E-4</v>
      </c>
      <c r="DZ72">
        <v>4.9510000000000005E-4</v>
      </c>
      <c r="EA72">
        <v>4.37E-4</v>
      </c>
      <c r="EB72">
        <v>3.879E-4</v>
      </c>
      <c r="EC72">
        <v>3.4059999999999998E-4</v>
      </c>
      <c r="ED72">
        <v>3.0390000000000001E-4</v>
      </c>
      <c r="EE72">
        <v>2.7159999999999999E-4</v>
      </c>
      <c r="EF72">
        <v>2.453E-4</v>
      </c>
      <c r="EG72">
        <v>2.2000000000000001E-4</v>
      </c>
      <c r="EH72">
        <v>1.9919999999999999E-4</v>
      </c>
      <c r="EI72">
        <v>1.8110000000000001E-4</v>
      </c>
      <c r="EJ72">
        <v>1.652E-4</v>
      </c>
      <c r="EK72">
        <v>1.5119999999999999E-4</v>
      </c>
      <c r="EL72">
        <v>1.3889999999999999E-4</v>
      </c>
      <c r="EM72">
        <v>1.281E-4</v>
      </c>
      <c r="EN72">
        <v>1.187E-4</v>
      </c>
      <c r="EO72">
        <v>1.102E-4</v>
      </c>
      <c r="EP72">
        <v>1.022E-4</v>
      </c>
      <c r="EQ72">
        <v>9.5400000000000001E-5</v>
      </c>
      <c r="ER72">
        <v>8.9499999999999994E-5</v>
      </c>
      <c r="ES72">
        <v>8.3900000000000006E-5</v>
      </c>
      <c r="ET72">
        <v>7.9099999999999998E-5</v>
      </c>
      <c r="EU72">
        <v>7.47E-5</v>
      </c>
      <c r="EV72">
        <v>7.0699999999999997E-5</v>
      </c>
      <c r="EW72">
        <v>6.7000000000000002E-5</v>
      </c>
      <c r="EX72">
        <v>6.3700000000000003E-5</v>
      </c>
      <c r="EY72">
        <v>6.0699999999999998E-5</v>
      </c>
      <c r="EZ72">
        <v>5.7899999999999998E-5</v>
      </c>
      <c r="FA72">
        <v>5.5399999999999998E-5</v>
      </c>
      <c r="FB72">
        <v>5.2899999999999998E-5</v>
      </c>
      <c r="FC72">
        <v>5.0599999999999997E-5</v>
      </c>
      <c r="FD72">
        <v>4.8399999999999997E-5</v>
      </c>
      <c r="FE72">
        <v>4.6300000000000001E-5</v>
      </c>
      <c r="FF72">
        <v>4.4499999999999997E-5</v>
      </c>
      <c r="FG72">
        <v>4.21E-5</v>
      </c>
      <c r="FH72">
        <v>4.0500000000000002E-5</v>
      </c>
      <c r="FI72">
        <v>3.8899999999999997E-5</v>
      </c>
      <c r="FJ72">
        <v>3.7499999999999997E-5</v>
      </c>
      <c r="FK72">
        <v>3.6100000000000003E-5</v>
      </c>
      <c r="FL72">
        <v>3.4999999999999997E-5</v>
      </c>
      <c r="FM72">
        <v>3.3899999999999997E-5</v>
      </c>
      <c r="FN72">
        <v>3.2799999999999998E-5</v>
      </c>
      <c r="FO72">
        <v>3.18E-5</v>
      </c>
      <c r="FP72">
        <v>3.0800000000000003E-5</v>
      </c>
      <c r="FQ72">
        <v>3.0000000000000001E-5</v>
      </c>
      <c r="FR72">
        <v>2.9300000000000001E-5</v>
      </c>
      <c r="FS72">
        <v>2.8600000000000001E-5</v>
      </c>
      <c r="FT72">
        <v>2.8E-5</v>
      </c>
      <c r="FU72">
        <v>2.7399999999999999E-5</v>
      </c>
      <c r="FV72">
        <v>2.6800000000000001E-5</v>
      </c>
      <c r="FW72">
        <v>2.62E-5</v>
      </c>
      <c r="FX72">
        <v>2.55E-5</v>
      </c>
      <c r="FY72">
        <v>2.4700000000000001E-5</v>
      </c>
      <c r="FZ72">
        <v>2.3499999999999999E-5</v>
      </c>
      <c r="GA72">
        <v>2.2799999999999999E-5</v>
      </c>
      <c r="GB72">
        <v>2.2200000000000001E-5</v>
      </c>
      <c r="GC72">
        <v>2.0800000000000001E-5</v>
      </c>
      <c r="GD72">
        <v>2.1699999999999999E-5</v>
      </c>
      <c r="GE72">
        <v>2.1399999999999998E-5</v>
      </c>
      <c r="GF72">
        <v>2.12E-5</v>
      </c>
      <c r="GG72">
        <v>2.0999999999999999E-5</v>
      </c>
      <c r="GH72">
        <v>2.0800000000000001E-5</v>
      </c>
      <c r="GI72">
        <v>2.0599999999999999E-5</v>
      </c>
      <c r="GJ72">
        <v>2.0400000000000001E-5</v>
      </c>
      <c r="GK72">
        <v>2.02E-5</v>
      </c>
      <c r="GL72">
        <v>2.0000000000000002E-5</v>
      </c>
      <c r="GM72">
        <v>1.98E-5</v>
      </c>
      <c r="GN72">
        <v>1.9599999999999999E-5</v>
      </c>
      <c r="GO72">
        <v>1.9400000000000001E-5</v>
      </c>
      <c r="GP72">
        <v>1.9199999999999999E-5</v>
      </c>
      <c r="GQ72">
        <v>1.9000000000000001E-5</v>
      </c>
      <c r="GR72">
        <v>1.8700000000000001E-5</v>
      </c>
      <c r="GS72">
        <v>1.8499999999999999E-5</v>
      </c>
      <c r="GT72">
        <v>1.8300000000000001E-5</v>
      </c>
      <c r="GU72">
        <v>1.8099999999999999E-5</v>
      </c>
      <c r="GV72">
        <v>1.7900000000000001E-5</v>
      </c>
      <c r="GW72">
        <v>1.77E-5</v>
      </c>
      <c r="GX72">
        <v>1.7399999999999999E-5</v>
      </c>
      <c r="GY72">
        <v>1.7200000000000001E-5</v>
      </c>
      <c r="GZ72">
        <v>1.7E-5</v>
      </c>
      <c r="HA72">
        <v>1.6799999999999998E-5</v>
      </c>
      <c r="HB72">
        <v>1.66E-5</v>
      </c>
      <c r="HC72">
        <v>1.6399999999999999E-5</v>
      </c>
      <c r="HD72">
        <v>1.6200000000000001E-5</v>
      </c>
      <c r="HE72">
        <v>1.5999999999999999E-5</v>
      </c>
      <c r="HF72">
        <v>1.5699999999999999E-5</v>
      </c>
      <c r="HG72">
        <v>1.5500000000000001E-5</v>
      </c>
      <c r="HH72">
        <v>1.5299999999999999E-5</v>
      </c>
      <c r="HI72">
        <v>1.5099999999999999E-5</v>
      </c>
      <c r="HJ72">
        <v>1.49E-5</v>
      </c>
      <c r="HK72">
        <v>1.47E-5</v>
      </c>
      <c r="HL72">
        <v>1.45E-5</v>
      </c>
      <c r="HM72">
        <v>1.43E-5</v>
      </c>
      <c r="HN72">
        <v>1.4100000000000001E-5</v>
      </c>
      <c r="HO72">
        <v>1.3900000000000001E-5</v>
      </c>
      <c r="HP72">
        <v>1.38E-5</v>
      </c>
      <c r="HQ72">
        <v>1.36E-5</v>
      </c>
      <c r="HR72">
        <v>1.34E-5</v>
      </c>
      <c r="HS72">
        <v>1.3200000000000001E-5</v>
      </c>
      <c r="HT72">
        <v>1.2999999999999999E-5</v>
      </c>
      <c r="HU72">
        <v>1.2799999999999999E-5</v>
      </c>
      <c r="HV72">
        <v>1.26E-5</v>
      </c>
      <c r="HW72">
        <v>1.2500000000000001E-5</v>
      </c>
      <c r="HX72">
        <v>1.2300000000000001E-5</v>
      </c>
      <c r="HY72">
        <v>1.2099999999999999E-5</v>
      </c>
      <c r="HZ72">
        <v>1.19E-5</v>
      </c>
      <c r="IA72">
        <v>1.1800000000000001E-5</v>
      </c>
      <c r="IB72">
        <v>1.1600000000000001E-5</v>
      </c>
      <c r="IC72">
        <v>1.1399999999999999E-5</v>
      </c>
      <c r="ID72">
        <v>1.13E-5</v>
      </c>
      <c r="IE72">
        <v>1.11E-5</v>
      </c>
      <c r="IF72">
        <v>1.1E-5</v>
      </c>
      <c r="IG72">
        <v>7.6309999999999995E-4</v>
      </c>
    </row>
    <row r="73" spans="1:258" x14ac:dyDescent="0.35">
      <c r="A73" s="1">
        <v>65</v>
      </c>
      <c r="B73">
        <v>1.0654E-2</v>
      </c>
      <c r="C73">
        <v>1.0654E-2</v>
      </c>
      <c r="D73">
        <v>1.0543200000000001E-2</v>
      </c>
      <c r="E73">
        <v>1.04517E-2</v>
      </c>
      <c r="F73">
        <v>9.8822000000000007E-3</v>
      </c>
      <c r="G73">
        <v>9.2867999999999996E-3</v>
      </c>
      <c r="H73">
        <v>8.6070999999999995E-3</v>
      </c>
      <c r="I73">
        <v>7.9752999999999994E-3</v>
      </c>
      <c r="J73">
        <v>7.4256000000000001E-3</v>
      </c>
      <c r="K73">
        <v>6.9538999999999998E-3</v>
      </c>
      <c r="L73">
        <v>6.5237999999999997E-3</v>
      </c>
      <c r="M73">
        <v>6.1332000000000001E-3</v>
      </c>
      <c r="N73">
        <v>5.7635999999999998E-3</v>
      </c>
      <c r="O73">
        <v>5.4584000000000004E-3</v>
      </c>
      <c r="P73">
        <v>5.1882999999999999E-3</v>
      </c>
      <c r="Q73">
        <v>4.9642999999999996E-3</v>
      </c>
      <c r="R73">
        <v>4.7238999999999996E-3</v>
      </c>
      <c r="S73">
        <v>4.5249000000000001E-3</v>
      </c>
      <c r="T73">
        <v>4.3436999999999998E-3</v>
      </c>
      <c r="U73">
        <v>4.1773000000000001E-3</v>
      </c>
      <c r="V73">
        <v>4.0239000000000004E-3</v>
      </c>
      <c r="W73">
        <v>3.8817000000000001E-3</v>
      </c>
      <c r="X73">
        <v>3.7517000000000002E-3</v>
      </c>
      <c r="Y73">
        <v>3.6335E-3</v>
      </c>
      <c r="Z73">
        <v>3.5228999999999998E-3</v>
      </c>
      <c r="AA73">
        <v>3.4047999999999999E-3</v>
      </c>
      <c r="AB73">
        <v>3.3072000000000002E-3</v>
      </c>
      <c r="AC73">
        <v>3.2155E-3</v>
      </c>
      <c r="AD73">
        <v>3.1256999999999999E-3</v>
      </c>
      <c r="AE73">
        <v>3.0460000000000001E-3</v>
      </c>
      <c r="AF73">
        <v>2.9683000000000001E-3</v>
      </c>
      <c r="AG73">
        <v>2.8936999999999999E-3</v>
      </c>
      <c r="AH73">
        <v>2.8246999999999999E-3</v>
      </c>
      <c r="AI73">
        <v>2.7604000000000001E-3</v>
      </c>
      <c r="AJ73">
        <v>2.7035000000000002E-3</v>
      </c>
      <c r="AK73">
        <v>2.6508E-3</v>
      </c>
      <c r="AL73">
        <v>2.5985000000000001E-3</v>
      </c>
      <c r="AM73">
        <v>2.5444E-3</v>
      </c>
      <c r="AN73">
        <v>2.4927999999999999E-3</v>
      </c>
      <c r="AO73">
        <v>2.4423000000000001E-3</v>
      </c>
      <c r="AP73">
        <v>2.3874E-3</v>
      </c>
      <c r="AQ73">
        <v>2.3414999999999998E-3</v>
      </c>
      <c r="AR73">
        <v>2.2677000000000001E-3</v>
      </c>
      <c r="AS73">
        <v>2.2212999999999998E-3</v>
      </c>
      <c r="AT73">
        <v>2.1768999999999998E-3</v>
      </c>
      <c r="AU73">
        <v>2.1332999999999999E-3</v>
      </c>
      <c r="AV73">
        <v>2.0931999999999999E-3</v>
      </c>
      <c r="AW73">
        <v>2.0579000000000001E-3</v>
      </c>
      <c r="AX73">
        <v>2.0233999999999999E-3</v>
      </c>
      <c r="AY73">
        <v>1.9867999999999999E-3</v>
      </c>
      <c r="AZ73">
        <v>1.9511999999999999E-3</v>
      </c>
      <c r="BA73">
        <v>1.9181999999999999E-3</v>
      </c>
      <c r="BB73">
        <v>1.8878E-3</v>
      </c>
      <c r="BC73">
        <v>1.8638000000000001E-3</v>
      </c>
      <c r="BD73">
        <v>1.841E-3</v>
      </c>
      <c r="BE73">
        <v>1.8174E-3</v>
      </c>
      <c r="BF73">
        <v>1.7937000000000001E-3</v>
      </c>
      <c r="BG73">
        <v>1.769E-3</v>
      </c>
      <c r="BH73">
        <v>1.7419E-3</v>
      </c>
      <c r="BI73">
        <v>1.7079E-3</v>
      </c>
      <c r="BJ73">
        <v>1.6670999999999999E-3</v>
      </c>
      <c r="BK73">
        <v>1.591E-3</v>
      </c>
      <c r="BL73">
        <v>1.5543E-3</v>
      </c>
      <c r="BM73">
        <v>1.5164E-3</v>
      </c>
      <c r="BN73">
        <v>1.4327000000000001E-3</v>
      </c>
      <c r="BO73">
        <v>1.4965E-3</v>
      </c>
      <c r="BP73">
        <v>1.4798999999999999E-3</v>
      </c>
      <c r="BQ73">
        <v>1.4718999999999999E-3</v>
      </c>
      <c r="BR73">
        <v>1.4624E-3</v>
      </c>
      <c r="BS73">
        <v>1.4526999999999999E-3</v>
      </c>
      <c r="BT73">
        <v>1.4419999999999999E-3</v>
      </c>
      <c r="BU73">
        <v>1.4307E-3</v>
      </c>
      <c r="BV73">
        <v>1.4187E-3</v>
      </c>
      <c r="BW73">
        <v>1.4059999999999999E-3</v>
      </c>
      <c r="BX73">
        <v>1.3928E-3</v>
      </c>
      <c r="BY73">
        <v>1.3791000000000001E-3</v>
      </c>
      <c r="BZ73">
        <v>1.3649999999999999E-3</v>
      </c>
      <c r="CA73">
        <v>1.3506E-3</v>
      </c>
      <c r="CB73">
        <v>1.3359000000000001E-3</v>
      </c>
      <c r="CC73">
        <v>1.3209999999999999E-3</v>
      </c>
      <c r="CD73">
        <v>1.3060000000000001E-3</v>
      </c>
      <c r="CE73">
        <v>1.2907999999999999E-3</v>
      </c>
      <c r="CF73">
        <v>1.2754999999999999E-3</v>
      </c>
      <c r="CG73">
        <v>1.2600999999999999E-3</v>
      </c>
      <c r="CH73">
        <v>1.2447000000000001E-3</v>
      </c>
      <c r="CI73">
        <v>1.2293E-3</v>
      </c>
      <c r="CJ73">
        <v>1.2139E-3</v>
      </c>
      <c r="CK73">
        <v>1.1984999999999999E-3</v>
      </c>
      <c r="CL73">
        <v>1.1831999999999999E-3</v>
      </c>
      <c r="CM73">
        <v>1.1678999999999999E-3</v>
      </c>
      <c r="CN73">
        <v>1.1525999999999999E-3</v>
      </c>
      <c r="CO73">
        <v>1.1374E-3</v>
      </c>
      <c r="CP73">
        <v>1.1222999999999999E-3</v>
      </c>
      <c r="CQ73">
        <v>1.1073000000000001E-3</v>
      </c>
      <c r="CR73">
        <v>1.0924000000000001E-3</v>
      </c>
      <c r="CS73">
        <v>1.0776E-3</v>
      </c>
      <c r="CT73">
        <v>1.0628E-3</v>
      </c>
      <c r="CU73">
        <v>1.0482E-3</v>
      </c>
      <c r="CV73">
        <v>1.0337E-3</v>
      </c>
      <c r="CW73">
        <v>1.0192999999999999E-3</v>
      </c>
      <c r="CX73">
        <v>1.0051000000000001E-3</v>
      </c>
      <c r="CY73">
        <v>9.9099999999999991E-4</v>
      </c>
      <c r="CZ73">
        <v>9.77E-4</v>
      </c>
      <c r="DA73">
        <v>9.6310000000000005E-4</v>
      </c>
      <c r="DB73">
        <v>9.4939999999999998E-4</v>
      </c>
      <c r="DC73">
        <v>9.3590000000000003E-4</v>
      </c>
      <c r="DD73">
        <v>9.2250000000000003E-4</v>
      </c>
      <c r="DE73">
        <v>9.0930000000000004E-4</v>
      </c>
      <c r="DF73">
        <v>8.9619999999999999E-4</v>
      </c>
      <c r="DG73">
        <v>8.8329999999999995E-4</v>
      </c>
      <c r="DH73">
        <v>8.7060000000000002E-4</v>
      </c>
      <c r="DI73">
        <v>8.5800000000000004E-4</v>
      </c>
      <c r="DJ73">
        <v>8.4559999999999995E-4</v>
      </c>
      <c r="DK73">
        <v>8.3339999999999998E-4</v>
      </c>
      <c r="DL73">
        <v>8.2129999999999996E-4</v>
      </c>
      <c r="DM73">
        <v>8.0940000000000005E-4</v>
      </c>
      <c r="DN73">
        <v>7.9759999999999998E-4</v>
      </c>
      <c r="DO73">
        <v>7.8609999999999997E-4</v>
      </c>
      <c r="DP73">
        <v>7.7470000000000002E-4</v>
      </c>
      <c r="DQ73">
        <v>5.37276E-2</v>
      </c>
      <c r="DR73">
        <v>0</v>
      </c>
      <c r="DS73">
        <v>8.5799999999999998E-5</v>
      </c>
      <c r="DT73">
        <v>1.6210000000000001E-4</v>
      </c>
      <c r="DU73">
        <v>5.6979999999999997E-4</v>
      </c>
      <c r="DV73">
        <v>5.9969999999999999E-4</v>
      </c>
      <c r="DW73">
        <v>6.6439999999999999E-4</v>
      </c>
      <c r="DX73">
        <v>6.0999999999999997E-4</v>
      </c>
      <c r="DY73">
        <v>5.5159999999999996E-4</v>
      </c>
      <c r="DZ73">
        <v>4.9450000000000004E-4</v>
      </c>
      <c r="EA73">
        <v>4.3619999999999998E-4</v>
      </c>
      <c r="EB73">
        <v>3.8939999999999998E-4</v>
      </c>
      <c r="EC73">
        <v>3.4380000000000001E-4</v>
      </c>
      <c r="ED73">
        <v>3.0469999999999998E-4</v>
      </c>
      <c r="EE73">
        <v>2.719E-4</v>
      </c>
      <c r="EF73">
        <v>2.4459999999999998E-4</v>
      </c>
      <c r="EG73">
        <v>2.2159999999999999E-4</v>
      </c>
      <c r="EH73">
        <v>1.997E-4</v>
      </c>
      <c r="EI73">
        <v>1.8149999999999999E-4</v>
      </c>
      <c r="EJ73">
        <v>1.6559999999999999E-4</v>
      </c>
      <c r="EK73">
        <v>1.516E-4</v>
      </c>
      <c r="EL73">
        <v>1.393E-4</v>
      </c>
      <c r="EM73">
        <v>1.283E-4</v>
      </c>
      <c r="EN73">
        <v>1.187E-4</v>
      </c>
      <c r="EO73">
        <v>1.103E-4</v>
      </c>
      <c r="EP73">
        <v>1.027E-4</v>
      </c>
      <c r="EQ73">
        <v>9.5500000000000004E-5</v>
      </c>
      <c r="ER73">
        <v>8.9400000000000005E-5</v>
      </c>
      <c r="ES73">
        <v>8.3999999999999995E-5</v>
      </c>
      <c r="ET73">
        <v>7.8999999999999996E-5</v>
      </c>
      <c r="EU73">
        <v>7.4599999999999997E-5</v>
      </c>
      <c r="EV73">
        <v>7.0599999999999995E-5</v>
      </c>
      <c r="EW73">
        <v>6.69E-5</v>
      </c>
      <c r="EX73">
        <v>6.3499999999999999E-5</v>
      </c>
      <c r="EY73">
        <v>6.05E-5</v>
      </c>
      <c r="EZ73">
        <v>5.77E-5</v>
      </c>
      <c r="FA73">
        <v>5.52E-5</v>
      </c>
      <c r="FB73">
        <v>5.2800000000000003E-5</v>
      </c>
      <c r="FC73">
        <v>5.0500000000000001E-5</v>
      </c>
      <c r="FD73">
        <v>4.8399999999999997E-5</v>
      </c>
      <c r="FE73">
        <v>4.6400000000000003E-5</v>
      </c>
      <c r="FF73">
        <v>4.4400000000000002E-5</v>
      </c>
      <c r="FG73">
        <v>4.2700000000000001E-5</v>
      </c>
      <c r="FH73">
        <v>4.0500000000000002E-5</v>
      </c>
      <c r="FI73">
        <v>3.8899999999999997E-5</v>
      </c>
      <c r="FJ73">
        <v>3.7499999999999997E-5</v>
      </c>
      <c r="FK73">
        <v>3.6199999999999999E-5</v>
      </c>
      <c r="FL73">
        <v>3.4900000000000001E-5</v>
      </c>
      <c r="FM73">
        <v>3.3800000000000002E-5</v>
      </c>
      <c r="FN73">
        <v>3.2799999999999998E-5</v>
      </c>
      <c r="FO73">
        <v>3.18E-5</v>
      </c>
      <c r="FP73">
        <v>3.0800000000000003E-5</v>
      </c>
      <c r="FQ73">
        <v>2.9899999999999998E-5</v>
      </c>
      <c r="FR73">
        <v>2.9200000000000002E-5</v>
      </c>
      <c r="FS73">
        <v>2.8500000000000002E-5</v>
      </c>
      <c r="FT73">
        <v>2.7900000000000001E-5</v>
      </c>
      <c r="FU73">
        <v>2.73E-5</v>
      </c>
      <c r="FV73">
        <v>2.6699999999999998E-5</v>
      </c>
      <c r="FW73">
        <v>2.62E-5</v>
      </c>
      <c r="FX73">
        <v>2.5599999999999999E-5</v>
      </c>
      <c r="FY73">
        <v>2.4899999999999999E-5</v>
      </c>
      <c r="FZ73">
        <v>2.4199999999999999E-5</v>
      </c>
      <c r="GA73">
        <v>2.3E-5</v>
      </c>
      <c r="GB73">
        <v>2.2399999999999999E-5</v>
      </c>
      <c r="GC73">
        <v>2.1699999999999999E-5</v>
      </c>
      <c r="GD73">
        <v>2.05E-5</v>
      </c>
      <c r="GE73">
        <v>2.1299999999999999E-5</v>
      </c>
      <c r="GF73">
        <v>2.0999999999999999E-5</v>
      </c>
      <c r="GG73">
        <v>2.09E-5</v>
      </c>
      <c r="GH73">
        <v>2.0699999999999998E-5</v>
      </c>
      <c r="GI73">
        <v>2.05E-5</v>
      </c>
      <c r="GJ73">
        <v>2.0299999999999999E-5</v>
      </c>
      <c r="GK73">
        <v>2.0100000000000001E-5</v>
      </c>
      <c r="GL73">
        <v>1.9899999999999999E-5</v>
      </c>
      <c r="GM73">
        <v>1.9700000000000001E-5</v>
      </c>
      <c r="GN73">
        <v>1.95E-5</v>
      </c>
      <c r="GO73">
        <v>1.9300000000000002E-5</v>
      </c>
      <c r="GP73">
        <v>1.91E-5</v>
      </c>
      <c r="GQ73">
        <v>1.8899999999999999E-5</v>
      </c>
      <c r="GR73">
        <v>1.8700000000000001E-5</v>
      </c>
      <c r="GS73">
        <v>1.8499999999999999E-5</v>
      </c>
      <c r="GT73">
        <v>1.8300000000000001E-5</v>
      </c>
      <c r="GU73">
        <v>1.8E-5</v>
      </c>
      <c r="GV73">
        <v>1.7799999999999999E-5</v>
      </c>
      <c r="GW73">
        <v>1.7600000000000001E-5</v>
      </c>
      <c r="GX73">
        <v>1.7399999999999999E-5</v>
      </c>
      <c r="GY73">
        <v>1.7200000000000001E-5</v>
      </c>
      <c r="GZ73">
        <v>1.7E-5</v>
      </c>
      <c r="HA73">
        <v>1.6799999999999998E-5</v>
      </c>
      <c r="HB73">
        <v>1.66E-5</v>
      </c>
      <c r="HC73">
        <v>1.6399999999999999E-5</v>
      </c>
      <c r="HD73">
        <v>1.6099999999999998E-5</v>
      </c>
      <c r="HE73">
        <v>1.59E-5</v>
      </c>
      <c r="HF73">
        <v>1.5699999999999999E-5</v>
      </c>
      <c r="HG73">
        <v>1.5500000000000001E-5</v>
      </c>
      <c r="HH73">
        <v>1.5299999999999999E-5</v>
      </c>
      <c r="HI73">
        <v>1.5099999999999999E-5</v>
      </c>
      <c r="HJ73">
        <v>1.49E-5</v>
      </c>
      <c r="HK73">
        <v>1.47E-5</v>
      </c>
      <c r="HL73">
        <v>1.45E-5</v>
      </c>
      <c r="HM73">
        <v>1.43E-5</v>
      </c>
      <c r="HN73">
        <v>1.4100000000000001E-5</v>
      </c>
      <c r="HO73">
        <v>1.3900000000000001E-5</v>
      </c>
      <c r="HP73">
        <v>1.38E-5</v>
      </c>
      <c r="HQ73">
        <v>1.36E-5</v>
      </c>
      <c r="HR73">
        <v>1.34E-5</v>
      </c>
      <c r="HS73">
        <v>1.3200000000000001E-5</v>
      </c>
      <c r="HT73">
        <v>1.2999999999999999E-5</v>
      </c>
      <c r="HU73">
        <v>1.2799999999999999E-5</v>
      </c>
      <c r="HV73">
        <v>1.26E-5</v>
      </c>
      <c r="HW73">
        <v>1.2500000000000001E-5</v>
      </c>
      <c r="HX73">
        <v>1.2300000000000001E-5</v>
      </c>
      <c r="HY73">
        <v>1.2099999999999999E-5</v>
      </c>
      <c r="HZ73">
        <v>1.19E-5</v>
      </c>
      <c r="IA73">
        <v>1.1800000000000001E-5</v>
      </c>
      <c r="IB73">
        <v>1.1600000000000001E-5</v>
      </c>
      <c r="IC73">
        <v>1.1399999999999999E-5</v>
      </c>
      <c r="ID73">
        <v>1.13E-5</v>
      </c>
      <c r="IE73">
        <v>1.11E-5</v>
      </c>
      <c r="IF73">
        <v>1.1E-5</v>
      </c>
      <c r="IG73">
        <v>7.6309999999999995E-4</v>
      </c>
    </row>
    <row r="74" spans="1:258" x14ac:dyDescent="0.35">
      <c r="A74" s="1">
        <v>66</v>
      </c>
      <c r="B74">
        <v>1.0654E-2</v>
      </c>
      <c r="C74">
        <v>1.0654E-2</v>
      </c>
      <c r="D74">
        <v>1.05682E-2</v>
      </c>
      <c r="E74">
        <v>1.0381100000000001E-2</v>
      </c>
      <c r="F74">
        <v>9.8819000000000008E-3</v>
      </c>
      <c r="G74">
        <v>9.2823999999999997E-3</v>
      </c>
      <c r="H74">
        <v>8.6224000000000006E-3</v>
      </c>
      <c r="I74">
        <v>7.9971E-3</v>
      </c>
      <c r="J74">
        <v>7.4237000000000001E-3</v>
      </c>
      <c r="K74">
        <v>6.9310999999999999E-3</v>
      </c>
      <c r="L74">
        <v>6.5177999999999998E-3</v>
      </c>
      <c r="M74">
        <v>6.1343999999999999E-3</v>
      </c>
      <c r="N74">
        <v>5.7895000000000004E-3</v>
      </c>
      <c r="O74">
        <v>5.4587999999999998E-3</v>
      </c>
      <c r="P74">
        <v>5.1866000000000004E-3</v>
      </c>
      <c r="Q74">
        <v>4.9436999999999997E-3</v>
      </c>
      <c r="R74">
        <v>4.7426999999999999E-3</v>
      </c>
      <c r="S74">
        <v>4.5241999999999999E-3</v>
      </c>
      <c r="T74">
        <v>4.3433999999999999E-3</v>
      </c>
      <c r="U74">
        <v>4.1780999999999997E-3</v>
      </c>
      <c r="V74">
        <v>4.0255999999999998E-3</v>
      </c>
      <c r="W74">
        <v>3.8846000000000002E-3</v>
      </c>
      <c r="X74">
        <v>3.7534000000000001E-3</v>
      </c>
      <c r="Y74">
        <v>3.6329999999999999E-3</v>
      </c>
      <c r="Z74">
        <v>3.5232000000000002E-3</v>
      </c>
      <c r="AA74">
        <v>3.4202E-3</v>
      </c>
      <c r="AB74">
        <v>3.3094000000000001E-3</v>
      </c>
      <c r="AC74">
        <v>3.2177999999999998E-3</v>
      </c>
      <c r="AD74">
        <v>3.1315000000000002E-3</v>
      </c>
      <c r="AE74">
        <v>3.0466999999999998E-3</v>
      </c>
      <c r="AF74">
        <v>2.9713999999999999E-3</v>
      </c>
      <c r="AG74">
        <v>2.8977E-3</v>
      </c>
      <c r="AH74">
        <v>2.8268E-3</v>
      </c>
      <c r="AI74">
        <v>2.7610999999999998E-3</v>
      </c>
      <c r="AJ74">
        <v>2.7000000000000001E-3</v>
      </c>
      <c r="AK74">
        <v>2.6457999999999998E-3</v>
      </c>
      <c r="AL74">
        <v>2.5956E-3</v>
      </c>
      <c r="AM74">
        <v>2.5457000000000001E-3</v>
      </c>
      <c r="AN74">
        <v>2.4938999999999998E-3</v>
      </c>
      <c r="AO74">
        <v>2.4443999999999998E-3</v>
      </c>
      <c r="AP74">
        <v>2.3960000000000001E-3</v>
      </c>
      <c r="AQ74">
        <v>2.343E-3</v>
      </c>
      <c r="AR74">
        <v>2.2989E-3</v>
      </c>
      <c r="AS74">
        <v>2.2271999999999999E-3</v>
      </c>
      <c r="AT74">
        <v>2.1822999999999999E-3</v>
      </c>
      <c r="AU74">
        <v>2.1394000000000001E-3</v>
      </c>
      <c r="AV74">
        <v>2.0971000000000002E-3</v>
      </c>
      <c r="AW74">
        <v>2.0582E-3</v>
      </c>
      <c r="AX74">
        <v>2.0240000000000002E-3</v>
      </c>
      <c r="AY74">
        <v>1.9905999999999999E-3</v>
      </c>
      <c r="AZ74">
        <v>1.9551E-3</v>
      </c>
      <c r="BA74">
        <v>1.9203E-3</v>
      </c>
      <c r="BB74">
        <v>1.8883000000000001E-3</v>
      </c>
      <c r="BC74">
        <v>1.8587E-3</v>
      </c>
      <c r="BD74">
        <v>1.8353E-3</v>
      </c>
      <c r="BE74">
        <v>1.8131E-3</v>
      </c>
      <c r="BF74">
        <v>1.7901E-3</v>
      </c>
      <c r="BG74">
        <v>1.7669999999999999E-3</v>
      </c>
      <c r="BH74">
        <v>1.7428000000000001E-3</v>
      </c>
      <c r="BI74">
        <v>1.7163E-3</v>
      </c>
      <c r="BJ74">
        <v>1.683E-3</v>
      </c>
      <c r="BK74">
        <v>1.6429000000000001E-3</v>
      </c>
      <c r="BL74">
        <v>1.5679999999999999E-3</v>
      </c>
      <c r="BM74">
        <v>1.5319000000000001E-3</v>
      </c>
      <c r="BN74">
        <v>1.4947000000000001E-3</v>
      </c>
      <c r="BO74">
        <v>1.4122E-3</v>
      </c>
      <c r="BP74">
        <v>1.4752000000000001E-3</v>
      </c>
      <c r="BQ74">
        <v>1.4589E-3</v>
      </c>
      <c r="BR74">
        <v>1.451E-3</v>
      </c>
      <c r="BS74">
        <v>1.4418E-3</v>
      </c>
      <c r="BT74">
        <v>1.4322E-3</v>
      </c>
      <c r="BU74">
        <v>1.4216999999999999E-3</v>
      </c>
      <c r="BV74">
        <v>1.4105999999999999E-3</v>
      </c>
      <c r="BW74">
        <v>1.3988E-3</v>
      </c>
      <c r="BX74">
        <v>1.3863E-3</v>
      </c>
      <c r="BY74">
        <v>1.3733E-3</v>
      </c>
      <c r="BZ74">
        <v>1.3598E-3</v>
      </c>
      <c r="CA74">
        <v>1.3458999999999999E-3</v>
      </c>
      <c r="CB74">
        <v>1.3316999999999999E-3</v>
      </c>
      <c r="CC74">
        <v>1.3171999999999999E-3</v>
      </c>
      <c r="CD74">
        <v>1.3025999999999999E-3</v>
      </c>
      <c r="CE74">
        <v>1.2876999999999999E-3</v>
      </c>
      <c r="CF74">
        <v>1.2727000000000001E-3</v>
      </c>
      <c r="CG74">
        <v>1.2576E-3</v>
      </c>
      <c r="CH74">
        <v>1.2424999999999999E-3</v>
      </c>
      <c r="CI74">
        <v>1.2273E-3</v>
      </c>
      <c r="CJ74">
        <v>1.2121E-3</v>
      </c>
      <c r="CK74">
        <v>1.1969000000000001E-3</v>
      </c>
      <c r="CL74">
        <v>1.1816999999999999E-3</v>
      </c>
      <c r="CM74">
        <v>1.1666000000000001E-3</v>
      </c>
      <c r="CN74">
        <v>1.1515E-3</v>
      </c>
      <c r="CO74">
        <v>1.1364999999999999E-3</v>
      </c>
      <c r="CP74">
        <v>1.1215000000000001E-3</v>
      </c>
      <c r="CQ74">
        <v>1.1065999999999999E-3</v>
      </c>
      <c r="CR74">
        <v>1.0918E-3</v>
      </c>
      <c r="CS74">
        <v>1.0771000000000001E-3</v>
      </c>
      <c r="CT74">
        <v>1.0624E-3</v>
      </c>
      <c r="CU74">
        <v>1.0479E-3</v>
      </c>
      <c r="CV74">
        <v>1.0334999999999999E-3</v>
      </c>
      <c r="CW74">
        <v>1.0192000000000001E-3</v>
      </c>
      <c r="CX74">
        <v>1.005E-3</v>
      </c>
      <c r="CY74">
        <v>9.9090000000000007E-4</v>
      </c>
      <c r="CZ74">
        <v>9.77E-4</v>
      </c>
      <c r="DA74">
        <v>9.6319999999999999E-4</v>
      </c>
      <c r="DB74">
        <v>9.4959999999999999E-4</v>
      </c>
      <c r="DC74">
        <v>9.3610000000000004E-4</v>
      </c>
      <c r="DD74">
        <v>9.2270000000000004E-4</v>
      </c>
      <c r="DE74">
        <v>9.0950000000000004E-4</v>
      </c>
      <c r="DF74">
        <v>8.9650000000000005E-4</v>
      </c>
      <c r="DG74">
        <v>8.8360000000000001E-4</v>
      </c>
      <c r="DH74">
        <v>8.7089999999999997E-4</v>
      </c>
      <c r="DI74">
        <v>8.5829999999999999E-4</v>
      </c>
      <c r="DJ74">
        <v>8.4590000000000002E-4</v>
      </c>
      <c r="DK74">
        <v>8.3370000000000004E-4</v>
      </c>
      <c r="DL74">
        <v>8.2160000000000002E-4</v>
      </c>
      <c r="DM74">
        <v>8.097E-4</v>
      </c>
      <c r="DN74">
        <v>7.9790000000000004E-4</v>
      </c>
      <c r="DO74">
        <v>7.8640000000000003E-4</v>
      </c>
      <c r="DP74">
        <v>7.7490000000000002E-4</v>
      </c>
      <c r="DQ74">
        <v>5.3728199999999997E-2</v>
      </c>
      <c r="DR74">
        <v>0</v>
      </c>
      <c r="DS74">
        <v>8.5799999999999998E-5</v>
      </c>
      <c r="DT74">
        <v>1.6249999999999999E-4</v>
      </c>
      <c r="DU74">
        <v>5.6119999999999998E-4</v>
      </c>
      <c r="DV74">
        <v>5.9679999999999998E-4</v>
      </c>
      <c r="DW74">
        <v>6.6629999999999999E-4</v>
      </c>
      <c r="DX74">
        <v>6.1629999999999996E-4</v>
      </c>
      <c r="DY74">
        <v>5.509E-4</v>
      </c>
      <c r="DZ74">
        <v>4.9399999999999997E-4</v>
      </c>
      <c r="EA74">
        <v>4.3570000000000002E-4</v>
      </c>
      <c r="EB74">
        <v>3.8880000000000002E-4</v>
      </c>
      <c r="EC74">
        <v>3.4459999999999997E-4</v>
      </c>
      <c r="ED74">
        <v>3.0719999999999999E-4</v>
      </c>
      <c r="EE74">
        <v>2.7240000000000001E-4</v>
      </c>
      <c r="EF74">
        <v>2.4459999999999998E-4</v>
      </c>
      <c r="EG74">
        <v>2.206E-4</v>
      </c>
      <c r="EH74">
        <v>2.007E-4</v>
      </c>
      <c r="EI74">
        <v>1.816E-4</v>
      </c>
      <c r="EJ74">
        <v>1.6579999999999999E-4</v>
      </c>
      <c r="EK74">
        <v>1.5190000000000001E-4</v>
      </c>
      <c r="EL74">
        <v>1.3970000000000001E-4</v>
      </c>
      <c r="EM74">
        <v>1.2879999999999999E-4</v>
      </c>
      <c r="EN74">
        <v>1.192E-4</v>
      </c>
      <c r="EO74">
        <v>1.1069999999999999E-4</v>
      </c>
      <c r="EP74">
        <v>1.033E-4</v>
      </c>
      <c r="EQ74">
        <v>9.6600000000000003E-5</v>
      </c>
      <c r="ER74">
        <v>9.0099999999999995E-5</v>
      </c>
      <c r="ES74">
        <v>8.4699999999999999E-5</v>
      </c>
      <c r="ET74">
        <v>7.9900000000000004E-5</v>
      </c>
      <c r="EU74">
        <v>7.5400000000000003E-5</v>
      </c>
      <c r="EV74">
        <v>7.1400000000000001E-5</v>
      </c>
      <c r="EW74">
        <v>6.7799999999999995E-5</v>
      </c>
      <c r="EX74">
        <v>6.4399999999999993E-5</v>
      </c>
      <c r="EY74">
        <v>6.1299999999999999E-5</v>
      </c>
      <c r="EZ74">
        <v>5.8400000000000003E-5</v>
      </c>
      <c r="FA74">
        <v>5.5899999999999997E-5</v>
      </c>
      <c r="FB74">
        <v>5.3499999999999999E-5</v>
      </c>
      <c r="FC74">
        <v>5.13E-5</v>
      </c>
      <c r="FD74">
        <v>4.9100000000000001E-5</v>
      </c>
      <c r="FE74">
        <v>4.71E-5</v>
      </c>
      <c r="FF74">
        <v>4.5200000000000001E-5</v>
      </c>
      <c r="FG74">
        <v>4.3300000000000002E-5</v>
      </c>
      <c r="FH74">
        <v>4.1699999999999997E-5</v>
      </c>
      <c r="FI74">
        <v>3.96E-5</v>
      </c>
      <c r="FJ74">
        <v>3.8099999999999998E-5</v>
      </c>
      <c r="FK74">
        <v>3.68E-5</v>
      </c>
      <c r="FL74">
        <v>3.5500000000000002E-5</v>
      </c>
      <c r="FM74">
        <v>3.43E-5</v>
      </c>
      <c r="FN74">
        <v>3.3200000000000001E-5</v>
      </c>
      <c r="FO74">
        <v>3.2199999999999997E-5</v>
      </c>
      <c r="FP74">
        <v>3.1199999999999999E-5</v>
      </c>
      <c r="FQ74">
        <v>3.0300000000000001E-5</v>
      </c>
      <c r="FR74">
        <v>2.9499999999999999E-5</v>
      </c>
      <c r="FS74">
        <v>2.87E-5</v>
      </c>
      <c r="FT74">
        <v>2.8099999999999999E-5</v>
      </c>
      <c r="FU74">
        <v>2.7500000000000001E-5</v>
      </c>
      <c r="FV74">
        <v>2.69E-5</v>
      </c>
      <c r="FW74">
        <v>2.6400000000000001E-5</v>
      </c>
      <c r="FX74">
        <v>2.58E-5</v>
      </c>
      <c r="FY74">
        <v>2.5299999999999998E-5</v>
      </c>
      <c r="FZ74">
        <v>2.4600000000000002E-5</v>
      </c>
      <c r="GA74">
        <v>2.3900000000000002E-5</v>
      </c>
      <c r="GB74">
        <v>2.27E-5</v>
      </c>
      <c r="GC74">
        <v>2.2099999999999998E-5</v>
      </c>
      <c r="GD74">
        <v>2.1500000000000001E-5</v>
      </c>
      <c r="GE74">
        <v>2.02E-5</v>
      </c>
      <c r="GF74">
        <v>2.1100000000000001E-5</v>
      </c>
      <c r="GG74">
        <v>2.0800000000000001E-5</v>
      </c>
      <c r="GH74">
        <v>2.0599999999999999E-5</v>
      </c>
      <c r="GI74">
        <v>2.0400000000000001E-5</v>
      </c>
      <c r="GJ74">
        <v>2.0299999999999999E-5</v>
      </c>
      <c r="GK74">
        <v>2.0100000000000001E-5</v>
      </c>
      <c r="GL74">
        <v>1.9899999999999999E-5</v>
      </c>
      <c r="GM74">
        <v>1.9700000000000001E-5</v>
      </c>
      <c r="GN74">
        <v>1.95E-5</v>
      </c>
      <c r="GO74">
        <v>1.9300000000000002E-5</v>
      </c>
      <c r="GP74">
        <v>1.91E-5</v>
      </c>
      <c r="GQ74">
        <v>1.8899999999999999E-5</v>
      </c>
      <c r="GR74">
        <v>1.8700000000000001E-5</v>
      </c>
      <c r="GS74">
        <v>1.8499999999999999E-5</v>
      </c>
      <c r="GT74">
        <v>1.8199999999999999E-5</v>
      </c>
      <c r="GU74">
        <v>1.8E-5</v>
      </c>
      <c r="GV74">
        <v>1.7799999999999999E-5</v>
      </c>
      <c r="GW74">
        <v>1.7600000000000001E-5</v>
      </c>
      <c r="GX74">
        <v>1.7399999999999999E-5</v>
      </c>
      <c r="GY74">
        <v>1.7200000000000001E-5</v>
      </c>
      <c r="GZ74">
        <v>1.7E-5</v>
      </c>
      <c r="HA74">
        <v>1.6799999999999998E-5</v>
      </c>
      <c r="HB74">
        <v>1.66E-5</v>
      </c>
      <c r="HC74">
        <v>1.6399999999999999E-5</v>
      </c>
      <c r="HD74">
        <v>1.6099999999999998E-5</v>
      </c>
      <c r="HE74">
        <v>1.59E-5</v>
      </c>
      <c r="HF74">
        <v>1.5699999999999999E-5</v>
      </c>
      <c r="HG74">
        <v>1.5500000000000001E-5</v>
      </c>
      <c r="HH74">
        <v>1.5299999999999999E-5</v>
      </c>
      <c r="HI74">
        <v>1.5099999999999999E-5</v>
      </c>
      <c r="HJ74">
        <v>1.49E-5</v>
      </c>
      <c r="HK74">
        <v>1.47E-5</v>
      </c>
      <c r="HL74">
        <v>1.45E-5</v>
      </c>
      <c r="HM74">
        <v>1.43E-5</v>
      </c>
      <c r="HN74">
        <v>1.4100000000000001E-5</v>
      </c>
      <c r="HO74">
        <v>1.4E-5</v>
      </c>
      <c r="HP74">
        <v>1.38E-5</v>
      </c>
      <c r="HQ74">
        <v>1.36E-5</v>
      </c>
      <c r="HR74">
        <v>1.34E-5</v>
      </c>
      <c r="HS74">
        <v>1.3200000000000001E-5</v>
      </c>
      <c r="HT74">
        <v>1.2999999999999999E-5</v>
      </c>
      <c r="HU74">
        <v>1.2799999999999999E-5</v>
      </c>
      <c r="HV74">
        <v>1.27E-5</v>
      </c>
      <c r="HW74">
        <v>1.2500000000000001E-5</v>
      </c>
      <c r="HX74">
        <v>1.2300000000000001E-5</v>
      </c>
      <c r="HY74">
        <v>1.2099999999999999E-5</v>
      </c>
      <c r="HZ74">
        <v>1.2E-5</v>
      </c>
      <c r="IA74">
        <v>1.1800000000000001E-5</v>
      </c>
      <c r="IB74">
        <v>1.1600000000000001E-5</v>
      </c>
      <c r="IC74">
        <v>1.1399999999999999E-5</v>
      </c>
      <c r="ID74">
        <v>1.13E-5</v>
      </c>
      <c r="IE74">
        <v>1.11E-5</v>
      </c>
      <c r="IF74">
        <v>1.1E-5</v>
      </c>
      <c r="IG74">
        <v>7.6309999999999995E-4</v>
      </c>
    </row>
    <row r="75" spans="1:258" x14ac:dyDescent="0.35">
      <c r="A75" s="1">
        <v>67</v>
      </c>
      <c r="B75">
        <v>1.0654E-2</v>
      </c>
      <c r="C75">
        <v>1.0654E-2</v>
      </c>
      <c r="D75">
        <v>1.05682E-2</v>
      </c>
      <c r="E75">
        <v>1.04057E-2</v>
      </c>
      <c r="F75">
        <v>9.8198999999999995E-3</v>
      </c>
      <c r="G75">
        <v>9.2850999999999993E-3</v>
      </c>
      <c r="H75">
        <v>8.6160999999999998E-3</v>
      </c>
      <c r="I75">
        <v>8.0059999999999992E-3</v>
      </c>
      <c r="J75">
        <v>7.4460999999999998E-3</v>
      </c>
      <c r="K75">
        <v>6.9296999999999996E-3</v>
      </c>
      <c r="L75">
        <v>6.4954000000000001E-3</v>
      </c>
      <c r="M75">
        <v>6.1289999999999999E-3</v>
      </c>
      <c r="N75">
        <v>5.7898000000000003E-3</v>
      </c>
      <c r="O75">
        <v>5.4822999999999998E-3</v>
      </c>
      <c r="P75">
        <v>5.1865000000000001E-3</v>
      </c>
      <c r="Q75">
        <v>4.9418999999999999E-3</v>
      </c>
      <c r="R75">
        <v>4.7232000000000003E-3</v>
      </c>
      <c r="S75">
        <v>4.5418999999999998E-3</v>
      </c>
      <c r="T75">
        <v>4.3425E-3</v>
      </c>
      <c r="U75">
        <v>4.1777000000000003E-3</v>
      </c>
      <c r="V75">
        <v>4.0261000000000003E-3</v>
      </c>
      <c r="W75">
        <v>3.8858999999999999E-3</v>
      </c>
      <c r="X75">
        <v>3.7558000000000001E-3</v>
      </c>
      <c r="Y75">
        <v>3.6342000000000002E-3</v>
      </c>
      <c r="Z75">
        <v>3.5222999999999999E-3</v>
      </c>
      <c r="AA75">
        <v>3.4199E-3</v>
      </c>
      <c r="AB75">
        <v>3.3235999999999999E-3</v>
      </c>
      <c r="AC75">
        <v>3.2192000000000002E-3</v>
      </c>
      <c r="AD75">
        <v>3.1329999999999999E-3</v>
      </c>
      <c r="AE75">
        <v>3.0515E-3</v>
      </c>
      <c r="AF75">
        <v>2.9711999999999998E-3</v>
      </c>
      <c r="AG75">
        <v>2.8999E-3</v>
      </c>
      <c r="AH75">
        <v>2.8299000000000002E-3</v>
      </c>
      <c r="AI75">
        <v>2.7623999999999999E-3</v>
      </c>
      <c r="AJ75">
        <v>2.6998999999999999E-3</v>
      </c>
      <c r="AK75">
        <v>2.6415000000000002E-3</v>
      </c>
      <c r="AL75">
        <v>2.5899E-3</v>
      </c>
      <c r="AM75">
        <v>2.5420999999999998E-3</v>
      </c>
      <c r="AN75">
        <v>2.4943999999999999E-3</v>
      </c>
      <c r="AO75">
        <v>2.4448E-3</v>
      </c>
      <c r="AP75">
        <v>2.3973000000000002E-3</v>
      </c>
      <c r="AQ75">
        <v>2.3508000000000001E-3</v>
      </c>
      <c r="AR75">
        <v>2.2997E-3</v>
      </c>
      <c r="AS75">
        <v>2.2572E-3</v>
      </c>
      <c r="AT75">
        <v>2.1876E-3</v>
      </c>
      <c r="AU75">
        <v>2.1442000000000002E-3</v>
      </c>
      <c r="AV75">
        <v>2.1026999999999999E-3</v>
      </c>
      <c r="AW75">
        <v>2.0617000000000001E-3</v>
      </c>
      <c r="AX75">
        <v>2.0240000000000002E-3</v>
      </c>
      <c r="AY75">
        <v>1.9908E-3</v>
      </c>
      <c r="AZ75">
        <v>1.9583999999999999E-3</v>
      </c>
      <c r="BA75">
        <v>1.9238E-3</v>
      </c>
      <c r="BB75">
        <v>1.89E-3</v>
      </c>
      <c r="BC75">
        <v>1.8588000000000001E-3</v>
      </c>
      <c r="BD75">
        <v>1.8299E-3</v>
      </c>
      <c r="BE75">
        <v>1.8071999999999999E-3</v>
      </c>
      <c r="BF75">
        <v>1.7856E-3</v>
      </c>
      <c r="BG75">
        <v>1.7631999999999999E-3</v>
      </c>
      <c r="BH75">
        <v>1.7405999999999999E-3</v>
      </c>
      <c r="BI75">
        <v>1.717E-3</v>
      </c>
      <c r="BJ75">
        <v>1.691E-3</v>
      </c>
      <c r="BK75">
        <v>1.6584E-3</v>
      </c>
      <c r="BL75">
        <v>1.6188999999999999E-3</v>
      </c>
      <c r="BM75">
        <v>1.5453000000000001E-3</v>
      </c>
      <c r="BN75">
        <v>1.5097999999999999E-3</v>
      </c>
      <c r="BO75">
        <v>1.4732E-3</v>
      </c>
      <c r="BP75">
        <v>1.392E-3</v>
      </c>
      <c r="BQ75">
        <v>1.4541000000000001E-3</v>
      </c>
      <c r="BR75">
        <v>1.4381000000000001E-3</v>
      </c>
      <c r="BS75">
        <v>1.4304000000000001E-3</v>
      </c>
      <c r="BT75">
        <v>1.4212999999999999E-3</v>
      </c>
      <c r="BU75">
        <v>1.4119E-3</v>
      </c>
      <c r="BV75">
        <v>1.4016E-3</v>
      </c>
      <c r="BW75">
        <v>1.3906999999999999E-3</v>
      </c>
      <c r="BX75">
        <v>1.3791000000000001E-3</v>
      </c>
      <c r="BY75">
        <v>1.3668E-3</v>
      </c>
      <c r="BZ75">
        <v>1.354E-3</v>
      </c>
      <c r="CA75">
        <v>1.3407E-3</v>
      </c>
      <c r="CB75">
        <v>1.3270999999999999E-3</v>
      </c>
      <c r="CC75">
        <v>1.3131E-3</v>
      </c>
      <c r="CD75">
        <v>1.2987999999999999E-3</v>
      </c>
      <c r="CE75">
        <v>1.2842999999999999E-3</v>
      </c>
      <c r="CF75">
        <v>1.2696999999999999E-3</v>
      </c>
      <c r="CG75">
        <v>1.2549E-3</v>
      </c>
      <c r="CH75">
        <v>1.24E-3</v>
      </c>
      <c r="CI75">
        <v>1.2251E-3</v>
      </c>
      <c r="CJ75">
        <v>1.2101E-3</v>
      </c>
      <c r="CK75">
        <v>1.1950999999999999E-3</v>
      </c>
      <c r="CL75">
        <v>1.1800999999999999E-3</v>
      </c>
      <c r="CM75">
        <v>1.1651999999999999E-3</v>
      </c>
      <c r="CN75">
        <v>1.1502000000000001E-3</v>
      </c>
      <c r="CO75">
        <v>1.1354E-3</v>
      </c>
      <c r="CP75">
        <v>1.1205E-3</v>
      </c>
      <c r="CQ75">
        <v>1.1058000000000001E-3</v>
      </c>
      <c r="CR75">
        <v>1.0911E-3</v>
      </c>
      <c r="CS75">
        <v>1.0765E-3</v>
      </c>
      <c r="CT75">
        <v>1.0619E-3</v>
      </c>
      <c r="CU75">
        <v>1.0475E-3</v>
      </c>
      <c r="CV75">
        <v>1.0332E-3</v>
      </c>
      <c r="CW75">
        <v>1.0189999999999999E-3</v>
      </c>
      <c r="CX75">
        <v>1.0049E-3</v>
      </c>
      <c r="CY75">
        <v>9.9090000000000007E-4</v>
      </c>
      <c r="CZ75">
        <v>9.77E-4</v>
      </c>
      <c r="DA75">
        <v>9.6330000000000005E-4</v>
      </c>
      <c r="DB75">
        <v>9.4970000000000005E-4</v>
      </c>
      <c r="DC75">
        <v>9.3619999999999999E-4</v>
      </c>
      <c r="DD75">
        <v>9.2290000000000004E-4</v>
      </c>
      <c r="DE75">
        <v>9.0970000000000005E-4</v>
      </c>
      <c r="DF75">
        <v>8.9669999999999995E-4</v>
      </c>
      <c r="DG75">
        <v>8.8380000000000002E-4</v>
      </c>
      <c r="DH75">
        <v>8.7109999999999998E-4</v>
      </c>
      <c r="DI75">
        <v>8.5860000000000005E-4</v>
      </c>
      <c r="DJ75">
        <v>8.4619999999999997E-4</v>
      </c>
      <c r="DK75">
        <v>8.3390000000000005E-4</v>
      </c>
      <c r="DL75">
        <v>8.2189999999999997E-4</v>
      </c>
      <c r="DM75">
        <v>8.0999999999999996E-4</v>
      </c>
      <c r="DN75">
        <v>7.9819999999999999E-4</v>
      </c>
      <c r="DO75">
        <v>7.8669999999999999E-4</v>
      </c>
      <c r="DP75">
        <v>7.7519999999999998E-4</v>
      </c>
      <c r="DQ75">
        <v>5.3729100000000002E-2</v>
      </c>
      <c r="DR75">
        <v>0</v>
      </c>
      <c r="DS75">
        <v>8.5799999999999998E-5</v>
      </c>
      <c r="DT75">
        <v>1.6259999999999999E-4</v>
      </c>
      <c r="DU75">
        <v>5.8200000000000005E-4</v>
      </c>
      <c r="DV75">
        <v>5.9199999999999997E-4</v>
      </c>
      <c r="DW75">
        <v>6.7029999999999998E-4</v>
      </c>
      <c r="DX75">
        <v>6.1499999999999999E-4</v>
      </c>
      <c r="DY75">
        <v>5.5029999999999999E-4</v>
      </c>
      <c r="DZ75">
        <v>4.9609999999999997E-4</v>
      </c>
      <c r="EA75">
        <v>4.3580000000000002E-4</v>
      </c>
      <c r="EB75">
        <v>3.8769999999999999E-4</v>
      </c>
      <c r="EC75">
        <v>3.4420000000000002E-4</v>
      </c>
      <c r="ED75">
        <v>3.0850000000000002E-4</v>
      </c>
      <c r="EE75">
        <v>2.7540000000000003E-4</v>
      </c>
      <c r="EF75">
        <v>2.4630000000000002E-4</v>
      </c>
      <c r="EG75">
        <v>2.221E-4</v>
      </c>
      <c r="EH75">
        <v>2.0139999999999999E-4</v>
      </c>
      <c r="EI75">
        <v>1.841E-4</v>
      </c>
      <c r="EJ75">
        <v>1.674E-4</v>
      </c>
      <c r="EK75">
        <v>1.5339999999999999E-4</v>
      </c>
      <c r="EL75">
        <v>1.4100000000000001E-4</v>
      </c>
      <c r="EM75">
        <v>1.2999999999999999E-4</v>
      </c>
      <c r="EN75">
        <v>1.2019999999999999E-4</v>
      </c>
      <c r="EO75">
        <v>1.115E-4</v>
      </c>
      <c r="EP75">
        <v>1.037E-4</v>
      </c>
      <c r="EQ75">
        <v>9.6899999999999997E-5</v>
      </c>
      <c r="ER75">
        <v>9.0799999999999998E-5</v>
      </c>
      <c r="ES75">
        <v>8.4800000000000001E-5</v>
      </c>
      <c r="ET75">
        <v>7.9900000000000004E-5</v>
      </c>
      <c r="EU75">
        <v>7.5400000000000003E-5</v>
      </c>
      <c r="EV75">
        <v>7.1199999999999996E-5</v>
      </c>
      <c r="EW75">
        <v>6.7500000000000001E-5</v>
      </c>
      <c r="EX75">
        <v>6.3999999999999997E-5</v>
      </c>
      <c r="EY75">
        <v>6.0900000000000003E-5</v>
      </c>
      <c r="EZ75">
        <v>5.8E-5</v>
      </c>
      <c r="FA75">
        <v>5.5300000000000002E-5</v>
      </c>
      <c r="FB75">
        <v>5.2899999999999998E-5</v>
      </c>
      <c r="FC75">
        <v>5.0699999999999999E-5</v>
      </c>
      <c r="FD75">
        <v>4.8600000000000002E-5</v>
      </c>
      <c r="FE75">
        <v>4.6600000000000001E-5</v>
      </c>
      <c r="FF75">
        <v>4.4799999999999998E-5</v>
      </c>
      <c r="FG75">
        <v>4.3000000000000002E-5</v>
      </c>
      <c r="FH75">
        <v>4.1300000000000001E-5</v>
      </c>
      <c r="FI75">
        <v>3.9799999999999998E-5</v>
      </c>
      <c r="FJ75">
        <v>3.7799999999999997E-5</v>
      </c>
      <c r="FK75">
        <v>3.65E-5</v>
      </c>
      <c r="FL75">
        <v>3.5200000000000002E-5</v>
      </c>
      <c r="FM75">
        <v>3.4E-5</v>
      </c>
      <c r="FN75">
        <v>3.29E-5</v>
      </c>
      <c r="FO75">
        <v>3.1900000000000003E-5</v>
      </c>
      <c r="FP75">
        <v>3.1000000000000001E-5</v>
      </c>
      <c r="FQ75">
        <v>3.01E-5</v>
      </c>
      <c r="FR75">
        <v>2.9300000000000001E-5</v>
      </c>
      <c r="FS75">
        <v>2.8500000000000002E-5</v>
      </c>
      <c r="FT75">
        <v>2.7800000000000001E-5</v>
      </c>
      <c r="FU75">
        <v>2.72E-5</v>
      </c>
      <c r="FV75">
        <v>2.6699999999999998E-5</v>
      </c>
      <c r="FW75">
        <v>2.6100000000000001E-5</v>
      </c>
      <c r="FX75">
        <v>2.5599999999999999E-5</v>
      </c>
      <c r="FY75">
        <v>2.51E-5</v>
      </c>
      <c r="FZ75">
        <v>2.4600000000000002E-5</v>
      </c>
      <c r="GA75">
        <v>2.4000000000000001E-5</v>
      </c>
      <c r="GB75">
        <v>2.3300000000000001E-5</v>
      </c>
      <c r="GC75">
        <v>2.2200000000000001E-5</v>
      </c>
      <c r="GD75">
        <v>2.16E-5</v>
      </c>
      <c r="GE75">
        <v>2.0999999999999999E-5</v>
      </c>
      <c r="GF75">
        <v>1.98E-5</v>
      </c>
      <c r="GG75">
        <v>2.0599999999999999E-5</v>
      </c>
      <c r="GH75">
        <v>2.0299999999999999E-5</v>
      </c>
      <c r="GI75">
        <v>2.02E-5</v>
      </c>
      <c r="GJ75">
        <v>2.0000000000000002E-5</v>
      </c>
      <c r="GK75">
        <v>1.9899999999999999E-5</v>
      </c>
      <c r="GL75">
        <v>1.9700000000000001E-5</v>
      </c>
      <c r="GM75">
        <v>1.95E-5</v>
      </c>
      <c r="GN75">
        <v>1.9300000000000002E-5</v>
      </c>
      <c r="GO75">
        <v>1.91E-5</v>
      </c>
      <c r="GP75">
        <v>1.9000000000000001E-5</v>
      </c>
      <c r="GQ75">
        <v>1.88E-5</v>
      </c>
      <c r="GR75">
        <v>1.8600000000000001E-5</v>
      </c>
      <c r="GS75">
        <v>1.84E-5</v>
      </c>
      <c r="GT75">
        <v>1.8199999999999999E-5</v>
      </c>
      <c r="GU75">
        <v>1.8E-5</v>
      </c>
      <c r="GV75">
        <v>1.7799999999999999E-5</v>
      </c>
      <c r="GW75">
        <v>1.7499999999999998E-5</v>
      </c>
      <c r="GX75">
        <v>1.73E-5</v>
      </c>
      <c r="GY75">
        <v>1.7099999999999999E-5</v>
      </c>
      <c r="GZ75">
        <v>1.6900000000000001E-5</v>
      </c>
      <c r="HA75">
        <v>1.6699999999999999E-5</v>
      </c>
      <c r="HB75">
        <v>1.6500000000000001E-5</v>
      </c>
      <c r="HC75">
        <v>1.63E-5</v>
      </c>
      <c r="HD75">
        <v>1.6099999999999998E-5</v>
      </c>
      <c r="HE75">
        <v>1.59E-5</v>
      </c>
      <c r="HF75">
        <v>1.5699999999999999E-5</v>
      </c>
      <c r="HG75">
        <v>1.5500000000000001E-5</v>
      </c>
      <c r="HH75">
        <v>1.5299999999999999E-5</v>
      </c>
      <c r="HI75">
        <v>1.5099999999999999E-5</v>
      </c>
      <c r="HJ75">
        <v>1.49E-5</v>
      </c>
      <c r="HK75">
        <v>1.47E-5</v>
      </c>
      <c r="HL75">
        <v>1.45E-5</v>
      </c>
      <c r="HM75">
        <v>1.43E-5</v>
      </c>
      <c r="HN75">
        <v>1.4100000000000001E-5</v>
      </c>
      <c r="HO75">
        <v>1.3900000000000001E-5</v>
      </c>
      <c r="HP75">
        <v>1.38E-5</v>
      </c>
      <c r="HQ75">
        <v>1.36E-5</v>
      </c>
      <c r="HR75">
        <v>1.34E-5</v>
      </c>
      <c r="HS75">
        <v>1.3200000000000001E-5</v>
      </c>
      <c r="HT75">
        <v>1.2999999999999999E-5</v>
      </c>
      <c r="HU75">
        <v>1.2799999999999999E-5</v>
      </c>
      <c r="HV75">
        <v>1.26E-5</v>
      </c>
      <c r="HW75">
        <v>1.2500000000000001E-5</v>
      </c>
      <c r="HX75">
        <v>1.2300000000000001E-5</v>
      </c>
      <c r="HY75">
        <v>1.2099999999999999E-5</v>
      </c>
      <c r="HZ75">
        <v>1.2E-5</v>
      </c>
      <c r="IA75">
        <v>1.1800000000000001E-5</v>
      </c>
      <c r="IB75">
        <v>1.1600000000000001E-5</v>
      </c>
      <c r="IC75">
        <v>1.1399999999999999E-5</v>
      </c>
      <c r="ID75">
        <v>1.13E-5</v>
      </c>
      <c r="IE75">
        <v>1.11E-5</v>
      </c>
      <c r="IF75">
        <v>1.1E-5</v>
      </c>
      <c r="IG75">
        <v>7.6309999999999995E-4</v>
      </c>
    </row>
    <row r="76" spans="1:258" x14ac:dyDescent="0.35">
      <c r="A76" s="1">
        <v>68</v>
      </c>
      <c r="B76">
        <v>1.0654E-2</v>
      </c>
      <c r="C76">
        <v>1.0654E-2</v>
      </c>
      <c r="D76">
        <v>1.05682E-2</v>
      </c>
      <c r="E76">
        <v>1.04057E-2</v>
      </c>
      <c r="F76">
        <v>9.8238000000000006E-3</v>
      </c>
      <c r="G76">
        <v>9.2277999999999995E-3</v>
      </c>
      <c r="H76">
        <v>8.6148000000000006E-3</v>
      </c>
      <c r="I76">
        <v>8.0011000000000006E-3</v>
      </c>
      <c r="J76">
        <v>7.4558000000000003E-3</v>
      </c>
      <c r="K76">
        <v>6.9500999999999999E-3</v>
      </c>
      <c r="L76">
        <v>6.4939000000000004E-3</v>
      </c>
      <c r="M76">
        <v>6.1076999999999998E-3</v>
      </c>
      <c r="N76">
        <v>5.7847999999999997E-3</v>
      </c>
      <c r="O76">
        <v>5.4814E-3</v>
      </c>
      <c r="P76">
        <v>5.2069000000000004E-3</v>
      </c>
      <c r="Q76">
        <v>4.9401000000000002E-3</v>
      </c>
      <c r="R76">
        <v>4.7199E-3</v>
      </c>
      <c r="S76">
        <v>4.5217E-3</v>
      </c>
      <c r="T76">
        <v>4.3578000000000002E-3</v>
      </c>
      <c r="U76">
        <v>4.1751000000000002E-3</v>
      </c>
      <c r="V76">
        <v>4.0242999999999998E-3</v>
      </c>
      <c r="W76">
        <v>3.8850999999999998E-3</v>
      </c>
      <c r="X76">
        <v>3.7559E-3</v>
      </c>
      <c r="Y76">
        <v>3.6356000000000001E-3</v>
      </c>
      <c r="Z76">
        <v>3.5228E-3</v>
      </c>
      <c r="AA76">
        <v>3.4185999999999999E-3</v>
      </c>
      <c r="AB76">
        <v>3.323E-3</v>
      </c>
      <c r="AC76">
        <v>3.2328000000000001E-3</v>
      </c>
      <c r="AD76">
        <v>3.1343999999999999E-3</v>
      </c>
      <c r="AE76">
        <v>3.0531999999999998E-3</v>
      </c>
      <c r="AF76">
        <v>2.9762E-3</v>
      </c>
      <c r="AG76">
        <v>2.9001000000000001E-3</v>
      </c>
      <c r="AH76">
        <v>2.8324000000000001E-3</v>
      </c>
      <c r="AI76">
        <v>2.7659E-3</v>
      </c>
      <c r="AJ76">
        <v>2.7014999999999999E-3</v>
      </c>
      <c r="AK76">
        <v>2.6419E-3</v>
      </c>
      <c r="AL76">
        <v>2.5861999999999999E-3</v>
      </c>
      <c r="AM76">
        <v>2.5370000000000002E-3</v>
      </c>
      <c r="AN76">
        <v>2.4914E-3</v>
      </c>
      <c r="AO76">
        <v>2.4458000000000001E-3</v>
      </c>
      <c r="AP76">
        <v>2.3982000000000001E-3</v>
      </c>
      <c r="AQ76">
        <v>2.3525999999999998E-3</v>
      </c>
      <c r="AR76">
        <v>2.3078E-3</v>
      </c>
      <c r="AS76">
        <v>2.2583999999999998E-3</v>
      </c>
      <c r="AT76">
        <v>2.2174E-3</v>
      </c>
      <c r="AU76">
        <v>2.1497999999999999E-3</v>
      </c>
      <c r="AV76">
        <v>2.1078E-3</v>
      </c>
      <c r="AW76">
        <v>2.0674999999999999E-3</v>
      </c>
      <c r="AX76">
        <v>2.0276999999999999E-3</v>
      </c>
      <c r="AY76">
        <v>1.9911E-3</v>
      </c>
      <c r="AZ76">
        <v>1.9589E-3</v>
      </c>
      <c r="BA76">
        <v>1.9273999999999999E-3</v>
      </c>
      <c r="BB76">
        <v>1.8936999999999999E-3</v>
      </c>
      <c r="BC76">
        <v>1.8607999999999999E-3</v>
      </c>
      <c r="BD76">
        <v>1.8303E-3</v>
      </c>
      <c r="BE76">
        <v>1.8021999999999999E-3</v>
      </c>
      <c r="BF76">
        <v>1.7799999999999999E-3</v>
      </c>
      <c r="BG76">
        <v>1.7589000000000001E-3</v>
      </c>
      <c r="BH76">
        <v>1.737E-3</v>
      </c>
      <c r="BI76">
        <v>1.7149999999999999E-3</v>
      </c>
      <c r="BJ76">
        <v>1.6919000000000001E-3</v>
      </c>
      <c r="BK76">
        <v>1.6664E-3</v>
      </c>
      <c r="BL76">
        <v>1.6343E-3</v>
      </c>
      <c r="BM76">
        <v>1.5956E-3</v>
      </c>
      <c r="BN76">
        <v>1.5231000000000001E-3</v>
      </c>
      <c r="BO76">
        <v>1.4882000000000001E-3</v>
      </c>
      <c r="BP76">
        <v>1.4522000000000001E-3</v>
      </c>
      <c r="BQ76">
        <v>1.3722000000000001E-3</v>
      </c>
      <c r="BR76">
        <v>1.4335000000000001E-3</v>
      </c>
      <c r="BS76">
        <v>1.4178000000000001E-3</v>
      </c>
      <c r="BT76">
        <v>1.4101999999999999E-3</v>
      </c>
      <c r="BU76">
        <v>1.4013000000000001E-3</v>
      </c>
      <c r="BV76">
        <v>1.3921000000000001E-3</v>
      </c>
      <c r="BW76">
        <v>1.3818999999999999E-3</v>
      </c>
      <c r="BX76">
        <v>1.3711999999999999E-3</v>
      </c>
      <c r="BY76">
        <v>1.3598E-3</v>
      </c>
      <c r="BZ76">
        <v>1.3477000000000001E-3</v>
      </c>
      <c r="CA76">
        <v>1.3351000000000001E-3</v>
      </c>
      <c r="CB76">
        <v>1.322E-3</v>
      </c>
      <c r="CC76">
        <v>1.3085E-3</v>
      </c>
      <c r="CD76">
        <v>1.2947E-3</v>
      </c>
      <c r="CE76">
        <v>1.2806E-3</v>
      </c>
      <c r="CF76">
        <v>1.2664E-3</v>
      </c>
      <c r="CG76">
        <v>1.2519E-3</v>
      </c>
      <c r="CH76">
        <v>1.2373E-3</v>
      </c>
      <c r="CI76">
        <v>1.2227E-3</v>
      </c>
      <c r="CJ76">
        <v>1.2080000000000001E-3</v>
      </c>
      <c r="CK76">
        <v>1.1931999999999999E-3</v>
      </c>
      <c r="CL76">
        <v>1.1784E-3</v>
      </c>
      <c r="CM76">
        <v>1.1636000000000001E-3</v>
      </c>
      <c r="CN76">
        <v>1.1489E-3</v>
      </c>
      <c r="CO76">
        <v>1.1341000000000001E-3</v>
      </c>
      <c r="CP76">
        <v>1.1194E-3</v>
      </c>
      <c r="CQ76">
        <v>1.1048E-3</v>
      </c>
      <c r="CR76">
        <v>1.0903E-3</v>
      </c>
      <c r="CS76">
        <v>1.0758E-3</v>
      </c>
      <c r="CT76">
        <v>1.0614000000000001E-3</v>
      </c>
      <c r="CU76">
        <v>1.047E-3</v>
      </c>
      <c r="CV76">
        <v>1.0328E-3</v>
      </c>
      <c r="CW76">
        <v>1.0187E-3</v>
      </c>
      <c r="CX76">
        <v>1.0046E-3</v>
      </c>
      <c r="CY76">
        <v>9.9069999999999996E-4</v>
      </c>
      <c r="CZ76">
        <v>9.7689999999999995E-4</v>
      </c>
      <c r="DA76">
        <v>9.6319999999999999E-4</v>
      </c>
      <c r="DB76">
        <v>9.4970000000000005E-4</v>
      </c>
      <c r="DC76">
        <v>9.3630000000000004E-4</v>
      </c>
      <c r="DD76">
        <v>9.2299999999999999E-4</v>
      </c>
      <c r="DE76">
        <v>9.0990000000000005E-4</v>
      </c>
      <c r="DF76">
        <v>8.9689999999999995E-4</v>
      </c>
      <c r="DG76">
        <v>8.8400000000000002E-4</v>
      </c>
      <c r="DH76">
        <v>8.7140000000000004E-4</v>
      </c>
      <c r="DI76">
        <v>8.5879999999999995E-4</v>
      </c>
      <c r="DJ76">
        <v>8.4639999999999997E-4</v>
      </c>
      <c r="DK76">
        <v>8.342E-4</v>
      </c>
      <c r="DL76">
        <v>8.2220000000000004E-4</v>
      </c>
      <c r="DM76">
        <v>8.1030000000000002E-4</v>
      </c>
      <c r="DN76">
        <v>7.9849999999999995E-4</v>
      </c>
      <c r="DO76">
        <v>7.8689999999999999E-4</v>
      </c>
      <c r="DP76">
        <v>7.7550000000000004E-4</v>
      </c>
      <c r="DQ76">
        <v>5.3730300000000002E-2</v>
      </c>
      <c r="DR76">
        <v>0</v>
      </c>
      <c r="DS76">
        <v>6.58E-5</v>
      </c>
      <c r="DT76">
        <v>1.6259999999999999E-4</v>
      </c>
      <c r="DU76">
        <v>5.8750000000000002E-4</v>
      </c>
      <c r="DV76">
        <v>5.9069999999999999E-4</v>
      </c>
      <c r="DW76">
        <v>6.5839999999999996E-4</v>
      </c>
      <c r="DX76">
        <v>6.1320000000000005E-4</v>
      </c>
      <c r="DY76">
        <v>5.4909999999999996E-4</v>
      </c>
      <c r="DZ76">
        <v>4.9819999999999997E-4</v>
      </c>
      <c r="EA76">
        <v>4.3530000000000001E-4</v>
      </c>
      <c r="EB76">
        <v>3.8680000000000002E-4</v>
      </c>
      <c r="EC76">
        <v>3.4220000000000002E-4</v>
      </c>
      <c r="ED76">
        <v>3.0610000000000001E-4</v>
      </c>
      <c r="EE76">
        <v>2.7339999999999998E-4</v>
      </c>
      <c r="EF76">
        <v>2.4509999999999999E-4</v>
      </c>
      <c r="EG76">
        <v>2.1910000000000001E-4</v>
      </c>
      <c r="EH76">
        <v>1.9799999999999999E-4</v>
      </c>
      <c r="EI76">
        <v>1.7990000000000001E-4</v>
      </c>
      <c r="EJ76">
        <v>1.649E-4</v>
      </c>
      <c r="EK76">
        <v>1.5029999999999999E-4</v>
      </c>
      <c r="EL76">
        <v>1.381E-4</v>
      </c>
      <c r="EM76">
        <v>1.2740000000000001E-4</v>
      </c>
      <c r="EN76">
        <v>1.1790000000000001E-4</v>
      </c>
      <c r="EO76">
        <v>1.094E-4</v>
      </c>
      <c r="EP76">
        <v>1.019E-4</v>
      </c>
      <c r="EQ76">
        <v>9.5199999999999997E-5</v>
      </c>
      <c r="ER76">
        <v>8.9300000000000002E-5</v>
      </c>
      <c r="ES76">
        <v>8.3999999999999995E-5</v>
      </c>
      <c r="ET76">
        <v>7.8800000000000004E-5</v>
      </c>
      <c r="EU76">
        <v>7.4400000000000006E-5</v>
      </c>
      <c r="EV76">
        <v>7.0500000000000006E-5</v>
      </c>
      <c r="EW76">
        <v>6.6799999999999997E-5</v>
      </c>
      <c r="EX76">
        <v>6.3499999999999999E-5</v>
      </c>
      <c r="EY76">
        <v>6.0399999999999998E-5</v>
      </c>
      <c r="EZ76">
        <v>5.7599999999999997E-5</v>
      </c>
      <c r="FA76">
        <v>5.49E-5</v>
      </c>
      <c r="FB76">
        <v>5.2500000000000002E-5</v>
      </c>
      <c r="FC76">
        <v>5.0300000000000003E-5</v>
      </c>
      <c r="FD76">
        <v>4.8300000000000002E-5</v>
      </c>
      <c r="FE76">
        <v>4.6499999999999999E-5</v>
      </c>
      <c r="FF76">
        <v>4.46E-5</v>
      </c>
      <c r="FG76">
        <v>4.2899999999999999E-5</v>
      </c>
      <c r="FH76">
        <v>4.1300000000000001E-5</v>
      </c>
      <c r="FI76">
        <v>3.9700000000000003E-5</v>
      </c>
      <c r="FJ76">
        <v>3.8300000000000003E-5</v>
      </c>
      <c r="FK76">
        <v>3.65E-5</v>
      </c>
      <c r="FL76">
        <v>3.5200000000000002E-5</v>
      </c>
      <c r="FM76">
        <v>3.4100000000000002E-5</v>
      </c>
      <c r="FN76">
        <v>3.29E-5</v>
      </c>
      <c r="FO76">
        <v>3.1900000000000003E-5</v>
      </c>
      <c r="FP76">
        <v>3.1000000000000001E-5</v>
      </c>
      <c r="FQ76">
        <v>3.0199999999999999E-5</v>
      </c>
      <c r="FR76">
        <v>2.9300000000000001E-5</v>
      </c>
      <c r="FS76">
        <v>2.8500000000000002E-5</v>
      </c>
      <c r="FT76">
        <v>2.7800000000000001E-5</v>
      </c>
      <c r="FU76">
        <v>2.72E-5</v>
      </c>
      <c r="FV76">
        <v>2.6599999999999999E-5</v>
      </c>
      <c r="FW76">
        <v>2.6100000000000001E-5</v>
      </c>
      <c r="FX76">
        <v>2.5599999999999999E-5</v>
      </c>
      <c r="FY76">
        <v>2.51E-5</v>
      </c>
      <c r="FZ76">
        <v>2.4600000000000002E-5</v>
      </c>
      <c r="GA76">
        <v>2.4199999999999999E-5</v>
      </c>
      <c r="GB76">
        <v>2.3600000000000001E-5</v>
      </c>
      <c r="GC76">
        <v>2.2900000000000001E-5</v>
      </c>
      <c r="GD76">
        <v>2.1800000000000001E-5</v>
      </c>
      <c r="GE76">
        <v>2.12E-5</v>
      </c>
      <c r="GF76">
        <v>2.0699999999999998E-5</v>
      </c>
      <c r="GG76">
        <v>1.95E-5</v>
      </c>
      <c r="GH76">
        <v>2.0299999999999999E-5</v>
      </c>
      <c r="GI76">
        <v>2.0000000000000002E-5</v>
      </c>
      <c r="GJ76">
        <v>1.9899999999999999E-5</v>
      </c>
      <c r="GK76">
        <v>1.9700000000000001E-5</v>
      </c>
      <c r="GL76">
        <v>1.9599999999999999E-5</v>
      </c>
      <c r="GM76">
        <v>1.9400000000000001E-5</v>
      </c>
      <c r="GN76">
        <v>1.9300000000000002E-5</v>
      </c>
      <c r="GO76">
        <v>1.91E-5</v>
      </c>
      <c r="GP76">
        <v>1.8899999999999999E-5</v>
      </c>
      <c r="GQ76">
        <v>1.8700000000000001E-5</v>
      </c>
      <c r="GR76">
        <v>1.8499999999999999E-5</v>
      </c>
      <c r="GS76">
        <v>1.8300000000000001E-5</v>
      </c>
      <c r="GT76">
        <v>1.8099999999999999E-5</v>
      </c>
      <c r="GU76">
        <v>1.7900000000000001E-5</v>
      </c>
      <c r="GV76">
        <v>1.77E-5</v>
      </c>
      <c r="GW76">
        <v>1.7499999999999998E-5</v>
      </c>
      <c r="GX76">
        <v>1.73E-5</v>
      </c>
      <c r="GY76">
        <v>1.7099999999999999E-5</v>
      </c>
      <c r="GZ76">
        <v>1.6900000000000001E-5</v>
      </c>
      <c r="HA76">
        <v>1.6699999999999999E-5</v>
      </c>
      <c r="HB76">
        <v>1.6500000000000001E-5</v>
      </c>
      <c r="HC76">
        <v>1.63E-5</v>
      </c>
      <c r="HD76">
        <v>1.6099999999999998E-5</v>
      </c>
      <c r="HE76">
        <v>1.59E-5</v>
      </c>
      <c r="HF76">
        <v>1.5699999999999999E-5</v>
      </c>
      <c r="HG76">
        <v>1.5500000000000001E-5</v>
      </c>
      <c r="HH76">
        <v>1.5299999999999999E-5</v>
      </c>
      <c r="HI76">
        <v>1.5099999999999999E-5</v>
      </c>
      <c r="HJ76">
        <v>1.49E-5</v>
      </c>
      <c r="HK76">
        <v>1.47E-5</v>
      </c>
      <c r="HL76">
        <v>1.45E-5</v>
      </c>
      <c r="HM76">
        <v>1.43E-5</v>
      </c>
      <c r="HN76">
        <v>1.4100000000000001E-5</v>
      </c>
      <c r="HO76">
        <v>1.3900000000000001E-5</v>
      </c>
      <c r="HP76">
        <v>1.38E-5</v>
      </c>
      <c r="HQ76">
        <v>1.36E-5</v>
      </c>
      <c r="HR76">
        <v>1.34E-5</v>
      </c>
      <c r="HS76">
        <v>1.3200000000000001E-5</v>
      </c>
      <c r="HT76">
        <v>1.2999999999999999E-5</v>
      </c>
      <c r="HU76">
        <v>1.2799999999999999E-5</v>
      </c>
      <c r="HV76">
        <v>1.27E-5</v>
      </c>
      <c r="HW76">
        <v>1.2500000000000001E-5</v>
      </c>
      <c r="HX76">
        <v>1.2300000000000001E-5</v>
      </c>
      <c r="HY76">
        <v>1.2099999999999999E-5</v>
      </c>
      <c r="HZ76">
        <v>1.2E-5</v>
      </c>
      <c r="IA76">
        <v>1.1800000000000001E-5</v>
      </c>
      <c r="IB76">
        <v>1.1600000000000001E-5</v>
      </c>
      <c r="IC76">
        <v>1.15E-5</v>
      </c>
      <c r="ID76">
        <v>1.13E-5</v>
      </c>
      <c r="IE76">
        <v>1.11E-5</v>
      </c>
      <c r="IF76">
        <v>1.1E-5</v>
      </c>
      <c r="IG76">
        <v>7.6309999999999995E-4</v>
      </c>
    </row>
    <row r="77" spans="1:258" x14ac:dyDescent="0.35">
      <c r="A77" s="1">
        <v>69</v>
      </c>
      <c r="B77">
        <v>1.0654E-2</v>
      </c>
      <c r="C77">
        <v>1.0654E-2</v>
      </c>
      <c r="D77">
        <v>1.0588200000000001E-2</v>
      </c>
      <c r="E77">
        <v>1.0405599999999999E-2</v>
      </c>
      <c r="F77">
        <v>9.8180999999999997E-3</v>
      </c>
      <c r="G77">
        <v>9.2329999999999999E-3</v>
      </c>
      <c r="H77">
        <v>8.5693999999999996E-3</v>
      </c>
      <c r="I77">
        <v>8.0015999999999993E-3</v>
      </c>
      <c r="J77">
        <v>7.4520999999999997E-3</v>
      </c>
      <c r="K77">
        <v>6.9575000000000001E-3</v>
      </c>
      <c r="L77">
        <v>6.5148000000000003E-3</v>
      </c>
      <c r="M77">
        <v>6.1069999999999996E-3</v>
      </c>
      <c r="N77">
        <v>5.7654000000000004E-3</v>
      </c>
      <c r="O77">
        <v>5.4787000000000004E-3</v>
      </c>
      <c r="P77">
        <v>5.208E-3</v>
      </c>
      <c r="Q77">
        <v>4.9617999999999997E-3</v>
      </c>
      <c r="R77">
        <v>4.7210999999999998E-3</v>
      </c>
      <c r="S77">
        <v>4.5218000000000003E-3</v>
      </c>
      <c r="T77">
        <v>4.3417999999999998E-3</v>
      </c>
      <c r="U77">
        <v>4.1929000000000003E-3</v>
      </c>
      <c r="V77">
        <v>4.0248000000000003E-3</v>
      </c>
      <c r="W77">
        <v>3.8861999999999998E-3</v>
      </c>
      <c r="X77">
        <v>3.7577000000000001E-3</v>
      </c>
      <c r="Y77">
        <v>3.6380000000000002E-3</v>
      </c>
      <c r="Z77">
        <v>3.5262000000000002E-3</v>
      </c>
      <c r="AA77">
        <v>3.4209000000000002E-3</v>
      </c>
      <c r="AB77">
        <v>3.3233999999999998E-3</v>
      </c>
      <c r="AC77">
        <v>3.2336000000000001E-3</v>
      </c>
      <c r="AD77">
        <v>3.1488000000000002E-3</v>
      </c>
      <c r="AE77">
        <v>3.0555999999999999E-3</v>
      </c>
      <c r="AF77">
        <v>2.9788000000000002E-3</v>
      </c>
      <c r="AG77">
        <v>2.9057000000000002E-3</v>
      </c>
      <c r="AH77">
        <v>2.8333E-3</v>
      </c>
      <c r="AI77">
        <v>2.7688999999999999E-3</v>
      </c>
      <c r="AJ77">
        <v>2.7055E-3</v>
      </c>
      <c r="AK77">
        <v>2.6440000000000001E-3</v>
      </c>
      <c r="AL77">
        <v>2.5869999999999999E-3</v>
      </c>
      <c r="AM77">
        <v>2.5336999999999998E-3</v>
      </c>
      <c r="AN77">
        <v>2.4865999999999998E-3</v>
      </c>
      <c r="AO77">
        <v>2.4431000000000001E-3</v>
      </c>
      <c r="AP77">
        <v>2.3993999999999999E-3</v>
      </c>
      <c r="AQ77">
        <v>2.3536E-3</v>
      </c>
      <c r="AR77">
        <v>2.3097E-3</v>
      </c>
      <c r="AS77">
        <v>2.2664999999999999E-3</v>
      </c>
      <c r="AT77">
        <v>2.2187000000000001E-3</v>
      </c>
      <c r="AU77">
        <v>2.1790999999999998E-3</v>
      </c>
      <c r="AV77">
        <v>2.1132999999999998E-3</v>
      </c>
      <c r="AW77">
        <v>2.0725000000000001E-3</v>
      </c>
      <c r="AX77">
        <v>2.0333999999999999E-3</v>
      </c>
      <c r="AY77">
        <v>1.9946999999999999E-3</v>
      </c>
      <c r="AZ77">
        <v>1.9591000000000001E-3</v>
      </c>
      <c r="BA77">
        <v>1.9279E-3</v>
      </c>
      <c r="BB77">
        <v>1.8971999999999999E-3</v>
      </c>
      <c r="BC77">
        <v>1.8644E-3</v>
      </c>
      <c r="BD77">
        <v>1.8322E-3</v>
      </c>
      <c r="BE77">
        <v>1.8025000000000001E-3</v>
      </c>
      <c r="BF77">
        <v>1.7750000000000001E-3</v>
      </c>
      <c r="BG77">
        <v>1.7534E-3</v>
      </c>
      <c r="BH77">
        <v>1.7328000000000001E-3</v>
      </c>
      <c r="BI77">
        <v>1.7114000000000001E-3</v>
      </c>
      <c r="BJ77">
        <v>1.6899E-3</v>
      </c>
      <c r="BK77">
        <v>1.6672E-3</v>
      </c>
      <c r="BL77">
        <v>1.6423E-3</v>
      </c>
      <c r="BM77">
        <v>1.6107999999999999E-3</v>
      </c>
      <c r="BN77">
        <v>1.5727E-3</v>
      </c>
      <c r="BO77">
        <v>1.5012999999999999E-3</v>
      </c>
      <c r="BP77">
        <v>1.467E-3</v>
      </c>
      <c r="BQ77">
        <v>1.4316000000000001E-3</v>
      </c>
      <c r="BR77">
        <v>1.3527999999999999E-3</v>
      </c>
      <c r="BS77">
        <v>1.4131E-3</v>
      </c>
      <c r="BT77">
        <v>1.3977E-3</v>
      </c>
      <c r="BU77">
        <v>1.3902999999999999E-3</v>
      </c>
      <c r="BV77">
        <v>1.3816E-3</v>
      </c>
      <c r="BW77">
        <v>1.3725E-3</v>
      </c>
      <c r="BX77">
        <v>1.3625E-3</v>
      </c>
      <c r="BY77">
        <v>1.3519999999999999E-3</v>
      </c>
      <c r="BZ77">
        <v>1.3407E-3</v>
      </c>
      <c r="CA77">
        <v>1.3288E-3</v>
      </c>
      <c r="CB77">
        <v>1.3163999999999999E-3</v>
      </c>
      <c r="CC77">
        <v>1.3035E-3</v>
      </c>
      <c r="CD77">
        <v>1.2902E-3</v>
      </c>
      <c r="CE77">
        <v>1.2765999999999999E-3</v>
      </c>
      <c r="CF77">
        <v>1.2627000000000001E-3</v>
      </c>
      <c r="CG77">
        <v>1.2486000000000001E-3</v>
      </c>
      <c r="CH77">
        <v>1.2344000000000001E-3</v>
      </c>
      <c r="CI77">
        <v>1.2199999999999999E-3</v>
      </c>
      <c r="CJ77">
        <v>1.2056E-3</v>
      </c>
      <c r="CK77">
        <v>1.191E-3</v>
      </c>
      <c r="CL77">
        <v>1.1765E-3</v>
      </c>
      <c r="CM77">
        <v>1.1619E-3</v>
      </c>
      <c r="CN77">
        <v>1.1473E-3</v>
      </c>
      <c r="CO77">
        <v>1.1326999999999999E-3</v>
      </c>
      <c r="CP77">
        <v>1.1182E-3</v>
      </c>
      <c r="CQ77">
        <v>1.1037E-3</v>
      </c>
      <c r="CR77">
        <v>1.0893000000000001E-3</v>
      </c>
      <c r="CS77">
        <v>1.0748999999999999E-3</v>
      </c>
      <c r="CT77">
        <v>1.0606999999999999E-3</v>
      </c>
      <c r="CU77">
        <v>1.0464000000000001E-3</v>
      </c>
      <c r="CV77">
        <v>1.0323000000000001E-3</v>
      </c>
      <c r="CW77">
        <v>1.0183E-3</v>
      </c>
      <c r="CX77">
        <v>1.0043000000000001E-3</v>
      </c>
      <c r="CY77">
        <v>9.9050000000000006E-4</v>
      </c>
      <c r="CZ77">
        <v>9.7680000000000011E-4</v>
      </c>
      <c r="DA77">
        <v>9.6319999999999999E-4</v>
      </c>
      <c r="DB77">
        <v>9.4970000000000005E-4</v>
      </c>
      <c r="DC77">
        <v>9.3630000000000004E-4</v>
      </c>
      <c r="DD77">
        <v>9.2310000000000005E-4</v>
      </c>
      <c r="DE77">
        <v>9.1E-4</v>
      </c>
      <c r="DF77">
        <v>8.9700000000000001E-4</v>
      </c>
      <c r="DG77">
        <v>8.8420000000000002E-4</v>
      </c>
      <c r="DH77">
        <v>8.7160000000000004E-4</v>
      </c>
      <c r="DI77">
        <v>8.5899999999999995E-4</v>
      </c>
      <c r="DJ77">
        <v>8.4670000000000004E-4</v>
      </c>
      <c r="DK77">
        <v>8.3449999999999996E-4</v>
      </c>
      <c r="DL77">
        <v>8.2240000000000004E-4</v>
      </c>
      <c r="DM77">
        <v>8.1050000000000002E-4</v>
      </c>
      <c r="DN77">
        <v>7.9880000000000001E-4</v>
      </c>
      <c r="DO77">
        <v>7.8720000000000005E-4</v>
      </c>
      <c r="DP77">
        <v>7.7579999999999999E-4</v>
      </c>
      <c r="DQ77">
        <v>5.37317E-2</v>
      </c>
      <c r="DR77">
        <v>0</v>
      </c>
      <c r="DS77">
        <v>6.58E-5</v>
      </c>
      <c r="DT77">
        <v>1.639E-4</v>
      </c>
      <c r="DU77">
        <v>5.8770000000000003E-4</v>
      </c>
      <c r="DV77">
        <v>5.7970000000000005E-4</v>
      </c>
      <c r="DW77">
        <v>6.5490000000000004E-4</v>
      </c>
      <c r="DX77">
        <v>6.0749999999999997E-4</v>
      </c>
      <c r="DY77">
        <v>5.4759999999999997E-4</v>
      </c>
      <c r="DZ77">
        <v>4.9549999999999996E-4</v>
      </c>
      <c r="EA77">
        <v>4.3419999999999998E-4</v>
      </c>
      <c r="EB77">
        <v>3.8660000000000002E-4</v>
      </c>
      <c r="EC77">
        <v>3.4099999999999999E-4</v>
      </c>
      <c r="ED77">
        <v>3.0459999999999998E-4</v>
      </c>
      <c r="EE77">
        <v>2.7320000000000003E-4</v>
      </c>
      <c r="EF77">
        <v>2.4620000000000002E-4</v>
      </c>
      <c r="EG77">
        <v>2.22E-4</v>
      </c>
      <c r="EH77">
        <v>2.0010000000000001E-4</v>
      </c>
      <c r="EI77">
        <v>1.819E-4</v>
      </c>
      <c r="EJ77">
        <v>1.662E-4</v>
      </c>
      <c r="EK77">
        <v>1.5310000000000001E-4</v>
      </c>
      <c r="EL77">
        <v>1.4019999999999999E-4</v>
      </c>
      <c r="EM77">
        <v>1.294E-4</v>
      </c>
      <c r="EN77">
        <v>1.198E-4</v>
      </c>
      <c r="EO77">
        <v>1.1120000000000001E-4</v>
      </c>
      <c r="EP77">
        <v>1.0349999999999999E-4</v>
      </c>
      <c r="EQ77">
        <v>9.6600000000000003E-5</v>
      </c>
      <c r="ER77">
        <v>9.0500000000000004E-5</v>
      </c>
      <c r="ES77">
        <v>8.5099999999999995E-5</v>
      </c>
      <c r="ET77">
        <v>8.0199999999999998E-5</v>
      </c>
      <c r="EU77">
        <v>7.5300000000000001E-5</v>
      </c>
      <c r="EV77">
        <v>7.1199999999999996E-5</v>
      </c>
      <c r="EW77">
        <v>6.7500000000000001E-5</v>
      </c>
      <c r="EX77">
        <v>6.3999999999999997E-5</v>
      </c>
      <c r="EY77">
        <v>6.0900000000000003E-5</v>
      </c>
      <c r="EZ77">
        <v>5.8E-5</v>
      </c>
      <c r="FA77">
        <v>5.5300000000000002E-5</v>
      </c>
      <c r="FB77">
        <v>5.2800000000000003E-5</v>
      </c>
      <c r="FC77">
        <v>5.0500000000000001E-5</v>
      </c>
      <c r="FD77">
        <v>4.8399999999999997E-5</v>
      </c>
      <c r="FE77">
        <v>4.6600000000000001E-5</v>
      </c>
      <c r="FF77">
        <v>4.4799999999999998E-5</v>
      </c>
      <c r="FG77">
        <v>4.3000000000000002E-5</v>
      </c>
      <c r="FH77">
        <v>4.1399999999999997E-5</v>
      </c>
      <c r="FI77">
        <v>3.9900000000000001E-5</v>
      </c>
      <c r="FJ77">
        <v>3.8399999999999998E-5</v>
      </c>
      <c r="FK77">
        <v>3.6999999999999998E-5</v>
      </c>
      <c r="FL77">
        <v>3.5299999999999997E-5</v>
      </c>
      <c r="FM77">
        <v>3.4100000000000002E-5</v>
      </c>
      <c r="FN77">
        <v>3.3000000000000003E-5</v>
      </c>
      <c r="FO77">
        <v>3.1999999999999999E-5</v>
      </c>
      <c r="FP77">
        <v>3.1000000000000001E-5</v>
      </c>
      <c r="FQ77">
        <v>3.0199999999999999E-5</v>
      </c>
      <c r="FR77">
        <v>2.94E-5</v>
      </c>
      <c r="FS77">
        <v>2.8600000000000001E-5</v>
      </c>
      <c r="FT77">
        <v>2.7800000000000001E-5</v>
      </c>
      <c r="FU77">
        <v>2.7100000000000001E-5</v>
      </c>
      <c r="FV77">
        <v>2.65E-5</v>
      </c>
      <c r="FW77">
        <v>2.5999999999999998E-5</v>
      </c>
      <c r="FX77">
        <v>2.55E-5</v>
      </c>
      <c r="FY77">
        <v>2.5000000000000001E-5</v>
      </c>
      <c r="FZ77">
        <v>2.4600000000000002E-5</v>
      </c>
      <c r="GA77">
        <v>2.41E-5</v>
      </c>
      <c r="GB77">
        <v>2.37E-5</v>
      </c>
      <c r="GC77">
        <v>2.3099999999999999E-5</v>
      </c>
      <c r="GD77">
        <v>2.2500000000000001E-5</v>
      </c>
      <c r="GE77">
        <v>2.1399999999999998E-5</v>
      </c>
      <c r="GF77">
        <v>2.0800000000000001E-5</v>
      </c>
      <c r="GG77">
        <v>2.0299999999999999E-5</v>
      </c>
      <c r="GH77">
        <v>1.91E-5</v>
      </c>
      <c r="GI77">
        <v>2.0000000000000002E-5</v>
      </c>
      <c r="GJ77">
        <v>1.9700000000000001E-5</v>
      </c>
      <c r="GK77">
        <v>1.9599999999999999E-5</v>
      </c>
      <c r="GL77">
        <v>1.9400000000000001E-5</v>
      </c>
      <c r="GM77">
        <v>1.9300000000000002E-5</v>
      </c>
      <c r="GN77">
        <v>1.91E-5</v>
      </c>
      <c r="GO77">
        <v>1.8899999999999999E-5</v>
      </c>
      <c r="GP77">
        <v>1.88E-5</v>
      </c>
      <c r="GQ77">
        <v>1.8600000000000001E-5</v>
      </c>
      <c r="GR77">
        <v>1.84E-5</v>
      </c>
      <c r="GS77">
        <v>1.8199999999999999E-5</v>
      </c>
      <c r="GT77">
        <v>1.8E-5</v>
      </c>
      <c r="GU77">
        <v>1.7799999999999999E-5</v>
      </c>
      <c r="GV77">
        <v>1.77E-5</v>
      </c>
      <c r="GW77">
        <v>1.7499999999999998E-5</v>
      </c>
      <c r="GX77">
        <v>1.73E-5</v>
      </c>
      <c r="GY77">
        <v>1.7099999999999999E-5</v>
      </c>
      <c r="GZ77">
        <v>1.6900000000000001E-5</v>
      </c>
      <c r="HA77">
        <v>1.6699999999999999E-5</v>
      </c>
      <c r="HB77">
        <v>1.6500000000000001E-5</v>
      </c>
      <c r="HC77">
        <v>1.63E-5</v>
      </c>
      <c r="HD77">
        <v>1.6099999999999998E-5</v>
      </c>
      <c r="HE77">
        <v>1.59E-5</v>
      </c>
      <c r="HF77">
        <v>1.5699999999999999E-5</v>
      </c>
      <c r="HG77">
        <v>1.5500000000000001E-5</v>
      </c>
      <c r="HH77">
        <v>1.5299999999999999E-5</v>
      </c>
      <c r="HI77">
        <v>1.5099999999999999E-5</v>
      </c>
      <c r="HJ77">
        <v>1.49E-5</v>
      </c>
      <c r="HK77">
        <v>1.47E-5</v>
      </c>
      <c r="HL77">
        <v>1.45E-5</v>
      </c>
      <c r="HM77">
        <v>1.43E-5</v>
      </c>
      <c r="HN77">
        <v>1.4100000000000001E-5</v>
      </c>
      <c r="HO77">
        <v>1.3900000000000001E-5</v>
      </c>
      <c r="HP77">
        <v>1.3699999999999999E-5</v>
      </c>
      <c r="HQ77">
        <v>1.36E-5</v>
      </c>
      <c r="HR77">
        <v>1.34E-5</v>
      </c>
      <c r="HS77">
        <v>1.3200000000000001E-5</v>
      </c>
      <c r="HT77">
        <v>1.2999999999999999E-5</v>
      </c>
      <c r="HU77">
        <v>1.2799999999999999E-5</v>
      </c>
      <c r="HV77">
        <v>1.27E-5</v>
      </c>
      <c r="HW77">
        <v>1.2500000000000001E-5</v>
      </c>
      <c r="HX77">
        <v>1.2300000000000001E-5</v>
      </c>
      <c r="HY77">
        <v>1.2099999999999999E-5</v>
      </c>
      <c r="HZ77">
        <v>1.2E-5</v>
      </c>
      <c r="IA77">
        <v>1.1800000000000001E-5</v>
      </c>
      <c r="IB77">
        <v>1.1600000000000001E-5</v>
      </c>
      <c r="IC77">
        <v>1.15E-5</v>
      </c>
      <c r="ID77">
        <v>1.13E-5</v>
      </c>
      <c r="IE77">
        <v>1.11E-5</v>
      </c>
      <c r="IF77">
        <v>1.1E-5</v>
      </c>
      <c r="IG77">
        <v>7.6309999999999995E-4</v>
      </c>
    </row>
    <row r="78" spans="1:258" x14ac:dyDescent="0.35">
      <c r="A78" s="1">
        <v>70</v>
      </c>
      <c r="B78">
        <v>1.0734799999999999E-2</v>
      </c>
      <c r="C78">
        <v>1.0654E-2</v>
      </c>
      <c r="D78">
        <v>1.0588200000000001E-2</v>
      </c>
      <c r="E78">
        <v>1.0424299999999999E-2</v>
      </c>
      <c r="F78">
        <v>9.8178999999999992E-3</v>
      </c>
      <c r="G78">
        <v>9.2384000000000008E-3</v>
      </c>
      <c r="H78">
        <v>8.5781E-3</v>
      </c>
      <c r="I78">
        <v>7.9618999999999992E-3</v>
      </c>
      <c r="J78">
        <v>7.4539999999999997E-3</v>
      </c>
      <c r="K78">
        <v>6.9566000000000003E-3</v>
      </c>
      <c r="L78">
        <v>6.5233000000000001E-3</v>
      </c>
      <c r="M78">
        <v>6.1282000000000003E-3</v>
      </c>
      <c r="N78">
        <v>5.7660000000000003E-3</v>
      </c>
      <c r="O78">
        <v>5.4608E-3</v>
      </c>
      <c r="P78">
        <v>5.2055000000000001E-3</v>
      </c>
      <c r="Q78">
        <v>4.9617999999999997E-3</v>
      </c>
      <c r="R78">
        <v>4.7399E-3</v>
      </c>
      <c r="S78">
        <v>4.5209999999999998E-3</v>
      </c>
      <c r="T78">
        <v>4.3398999999999998E-3</v>
      </c>
      <c r="U78">
        <v>4.1755999999999998E-3</v>
      </c>
      <c r="V78">
        <v>4.0397999999999996E-3</v>
      </c>
      <c r="W78">
        <v>3.8846000000000002E-3</v>
      </c>
      <c r="X78">
        <v>3.7567999999999998E-3</v>
      </c>
      <c r="Y78">
        <v>3.6378999999999999E-3</v>
      </c>
      <c r="Z78">
        <v>3.5268000000000001E-3</v>
      </c>
      <c r="AA78">
        <v>3.4226999999999999E-3</v>
      </c>
      <c r="AB78">
        <v>3.3243000000000001E-3</v>
      </c>
      <c r="AC78">
        <v>3.2328999999999999E-3</v>
      </c>
      <c r="AD78">
        <v>3.1484999999999998E-3</v>
      </c>
      <c r="AE78">
        <v>3.0685999999999999E-3</v>
      </c>
      <c r="AF78">
        <v>2.9803E-3</v>
      </c>
      <c r="AG78">
        <v>2.9074999999999999E-3</v>
      </c>
      <c r="AH78">
        <v>2.8381000000000001E-3</v>
      </c>
      <c r="AI78">
        <v>2.7693000000000001E-3</v>
      </c>
      <c r="AJ78">
        <v>2.7079999999999999E-3</v>
      </c>
      <c r="AK78">
        <v>2.6475000000000001E-3</v>
      </c>
      <c r="AL78">
        <v>2.5887000000000002E-3</v>
      </c>
      <c r="AM78">
        <v>2.5341999999999999E-3</v>
      </c>
      <c r="AN78">
        <v>2.4832000000000001E-3</v>
      </c>
      <c r="AO78">
        <v>2.4382000000000002E-3</v>
      </c>
      <c r="AP78">
        <v>2.3965000000000002E-3</v>
      </c>
      <c r="AQ78">
        <v>2.3546000000000001E-3</v>
      </c>
      <c r="AR78">
        <v>2.3105000000000001E-3</v>
      </c>
      <c r="AS78">
        <v>2.2683E-3</v>
      </c>
      <c r="AT78">
        <v>2.2266E-3</v>
      </c>
      <c r="AU78">
        <v>2.1803E-3</v>
      </c>
      <c r="AV78">
        <v>2.1421000000000001E-3</v>
      </c>
      <c r="AW78">
        <v>2.0779000000000001E-3</v>
      </c>
      <c r="AX78">
        <v>2.0384000000000001E-3</v>
      </c>
      <c r="AY78">
        <v>2.0003999999999998E-3</v>
      </c>
      <c r="AZ78">
        <v>1.9627999999999998E-3</v>
      </c>
      <c r="BA78">
        <v>1.9281000000000001E-3</v>
      </c>
      <c r="BB78">
        <v>1.8977E-3</v>
      </c>
      <c r="BC78">
        <v>1.8679E-3</v>
      </c>
      <c r="BD78">
        <v>1.8358000000000001E-3</v>
      </c>
      <c r="BE78">
        <v>1.8044000000000001E-3</v>
      </c>
      <c r="BF78">
        <v>1.7753999999999999E-3</v>
      </c>
      <c r="BG78">
        <v>1.7485000000000001E-3</v>
      </c>
      <c r="BH78">
        <v>1.7274E-3</v>
      </c>
      <c r="BI78">
        <v>1.7072999999999999E-3</v>
      </c>
      <c r="BJ78">
        <v>1.6864E-3</v>
      </c>
      <c r="BK78">
        <v>1.6653E-3</v>
      </c>
      <c r="BL78">
        <v>1.6431E-3</v>
      </c>
      <c r="BM78">
        <v>1.6186E-3</v>
      </c>
      <c r="BN78">
        <v>1.5877E-3</v>
      </c>
      <c r="BO78">
        <v>1.5502000000000001E-3</v>
      </c>
      <c r="BP78">
        <v>1.4798999999999999E-3</v>
      </c>
      <c r="BQ78">
        <v>1.4461000000000001E-3</v>
      </c>
      <c r="BR78">
        <v>1.4113000000000001E-3</v>
      </c>
      <c r="BS78">
        <v>1.3336999999999999E-3</v>
      </c>
      <c r="BT78">
        <v>1.3932E-3</v>
      </c>
      <c r="BU78">
        <v>1.3780000000000001E-3</v>
      </c>
      <c r="BV78">
        <v>1.3707999999999999E-3</v>
      </c>
      <c r="BW78">
        <v>1.3621E-3</v>
      </c>
      <c r="BX78">
        <v>1.3531999999999999E-3</v>
      </c>
      <c r="BY78">
        <v>1.3434E-3</v>
      </c>
      <c r="BZ78">
        <v>1.333E-3</v>
      </c>
      <c r="CA78">
        <v>1.3219E-3</v>
      </c>
      <c r="CB78">
        <v>1.3102000000000001E-3</v>
      </c>
      <c r="CC78">
        <v>1.2979000000000001E-3</v>
      </c>
      <c r="CD78">
        <v>1.2852E-3</v>
      </c>
      <c r="CE78">
        <v>1.2721E-3</v>
      </c>
      <c r="CF78">
        <v>1.2587E-3</v>
      </c>
      <c r="CG78">
        <v>1.2451000000000001E-3</v>
      </c>
      <c r="CH78">
        <v>1.2312E-3</v>
      </c>
      <c r="CI78">
        <v>1.2171E-3</v>
      </c>
      <c r="CJ78">
        <v>1.2030000000000001E-3</v>
      </c>
      <c r="CK78">
        <v>1.1887E-3</v>
      </c>
      <c r="CL78">
        <v>1.1743999999999999E-3</v>
      </c>
      <c r="CM78">
        <v>1.16E-3</v>
      </c>
      <c r="CN78">
        <v>1.1456000000000001E-3</v>
      </c>
      <c r="CO78">
        <v>1.1312E-3</v>
      </c>
      <c r="CP78">
        <v>1.1169000000000001E-3</v>
      </c>
      <c r="CQ78">
        <v>1.1025E-3</v>
      </c>
      <c r="CR78">
        <v>1.0882999999999999E-3</v>
      </c>
      <c r="CS78">
        <v>1.0740000000000001E-3</v>
      </c>
      <c r="CT78">
        <v>1.0598999999999999E-3</v>
      </c>
      <c r="CU78">
        <v>1.0457999999999999E-3</v>
      </c>
      <c r="CV78">
        <v>1.0317E-3</v>
      </c>
      <c r="CW78">
        <v>1.0177999999999999E-3</v>
      </c>
      <c r="CX78">
        <v>1.0039999999999999E-3</v>
      </c>
      <c r="CY78">
        <v>9.9020000000000011E-4</v>
      </c>
      <c r="CZ78">
        <v>9.7659999999999999E-4</v>
      </c>
      <c r="DA78">
        <v>9.6299999999999999E-4</v>
      </c>
      <c r="DB78">
        <v>9.4959999999999999E-4</v>
      </c>
      <c r="DC78">
        <v>9.3630000000000004E-4</v>
      </c>
      <c r="DD78">
        <v>9.2310000000000005E-4</v>
      </c>
      <c r="DE78">
        <v>9.1009999999999995E-4</v>
      </c>
      <c r="DF78">
        <v>8.9720000000000002E-4</v>
      </c>
      <c r="DG78">
        <v>8.8440000000000003E-4</v>
      </c>
      <c r="DH78">
        <v>8.7169999999999999E-4</v>
      </c>
      <c r="DI78">
        <v>8.5930000000000002E-4</v>
      </c>
      <c r="DJ78">
        <v>8.4690000000000004E-4</v>
      </c>
      <c r="DK78">
        <v>8.3469999999999996E-4</v>
      </c>
      <c r="DL78">
        <v>8.2269999999999999E-4</v>
      </c>
      <c r="DM78">
        <v>8.1079999999999998E-4</v>
      </c>
      <c r="DN78">
        <v>7.9909999999999996E-4</v>
      </c>
      <c r="DO78">
        <v>7.8750000000000001E-4</v>
      </c>
      <c r="DP78">
        <v>7.7610000000000005E-4</v>
      </c>
      <c r="DQ78">
        <v>5.3733499999999997E-2</v>
      </c>
      <c r="DR78">
        <v>0</v>
      </c>
      <c r="DS78">
        <v>5.3300000000000001E-5</v>
      </c>
      <c r="DT78">
        <v>3.0410000000000002E-4</v>
      </c>
      <c r="DU78">
        <v>6.5620000000000001E-4</v>
      </c>
      <c r="DV78">
        <v>6.5629999999999996E-4</v>
      </c>
      <c r="DW78">
        <v>7.1480000000000003E-4</v>
      </c>
      <c r="DX78">
        <v>6.4930000000000001E-4</v>
      </c>
      <c r="DY78">
        <v>5.733E-4</v>
      </c>
      <c r="DZ78">
        <v>5.1889999999999998E-4</v>
      </c>
      <c r="EA78">
        <v>4.507E-4</v>
      </c>
      <c r="EB78">
        <v>4.0000000000000002E-4</v>
      </c>
      <c r="EC78">
        <v>3.5070000000000001E-4</v>
      </c>
      <c r="ED78">
        <v>3.1050000000000001E-4</v>
      </c>
      <c r="EE78">
        <v>2.7579999999999998E-4</v>
      </c>
      <c r="EF78">
        <v>2.4729999999999999E-4</v>
      </c>
      <c r="EG78">
        <v>2.2230000000000001E-4</v>
      </c>
      <c r="EH78">
        <v>2.0039999999999999E-4</v>
      </c>
      <c r="EI78">
        <v>1.805E-4</v>
      </c>
      <c r="EJ78">
        <v>1.6430000000000001E-4</v>
      </c>
      <c r="EK78">
        <v>1.5029999999999999E-4</v>
      </c>
      <c r="EL78">
        <v>1.3870000000000001E-4</v>
      </c>
      <c r="EM78">
        <v>1.272E-4</v>
      </c>
      <c r="EN78">
        <v>1.177E-4</v>
      </c>
      <c r="EO78">
        <v>1.093E-4</v>
      </c>
      <c r="EP78">
        <v>1.0179999999999999E-4</v>
      </c>
      <c r="EQ78">
        <v>9.5000000000000005E-5</v>
      </c>
      <c r="ER78">
        <v>8.8999999999999995E-5</v>
      </c>
      <c r="ES78">
        <v>8.3700000000000002E-5</v>
      </c>
      <c r="ET78">
        <v>7.8899999999999993E-5</v>
      </c>
      <c r="EU78">
        <v>7.4599999999999997E-5</v>
      </c>
      <c r="EV78">
        <v>7.0300000000000001E-5</v>
      </c>
      <c r="EW78">
        <v>6.6699999999999995E-5</v>
      </c>
      <c r="EX78">
        <v>6.3399999999999996E-5</v>
      </c>
      <c r="EY78">
        <v>6.02E-5</v>
      </c>
      <c r="EZ78">
        <v>5.7399999999999999E-5</v>
      </c>
      <c r="FA78">
        <v>5.4799999999999997E-5</v>
      </c>
      <c r="FB78">
        <v>5.24E-5</v>
      </c>
      <c r="FC78">
        <v>5.0099999999999998E-5</v>
      </c>
      <c r="FD78">
        <v>4.8099999999999997E-5</v>
      </c>
      <c r="FE78">
        <v>4.6199999999999998E-5</v>
      </c>
      <c r="FF78">
        <v>4.4499999999999997E-5</v>
      </c>
      <c r="FG78">
        <v>4.2799999999999997E-5</v>
      </c>
      <c r="FH78">
        <v>4.1199999999999999E-5</v>
      </c>
      <c r="FI78">
        <v>3.9799999999999998E-5</v>
      </c>
      <c r="FJ78">
        <v>3.8399999999999998E-5</v>
      </c>
      <c r="FK78">
        <v>3.6999999999999998E-5</v>
      </c>
      <c r="FL78">
        <v>3.5800000000000003E-5</v>
      </c>
      <c r="FM78">
        <v>3.4100000000000002E-5</v>
      </c>
      <c r="FN78">
        <v>3.3000000000000003E-5</v>
      </c>
      <c r="FO78">
        <v>3.1999999999999999E-5</v>
      </c>
      <c r="FP78">
        <v>3.1000000000000001E-5</v>
      </c>
      <c r="FQ78">
        <v>3.01E-5</v>
      </c>
      <c r="FR78">
        <v>2.9300000000000001E-5</v>
      </c>
      <c r="FS78">
        <v>2.8600000000000001E-5</v>
      </c>
      <c r="FT78">
        <v>2.7800000000000001E-5</v>
      </c>
      <c r="FU78">
        <v>2.7100000000000001E-5</v>
      </c>
      <c r="FV78">
        <v>2.65E-5</v>
      </c>
      <c r="FW78">
        <v>2.5899999999999999E-5</v>
      </c>
      <c r="FX78">
        <v>2.5400000000000001E-5</v>
      </c>
      <c r="FY78">
        <v>2.5000000000000001E-5</v>
      </c>
      <c r="FZ78">
        <v>2.4499999999999999E-5</v>
      </c>
      <c r="GA78">
        <v>2.41E-5</v>
      </c>
      <c r="GB78">
        <v>2.37E-5</v>
      </c>
      <c r="GC78">
        <v>2.3200000000000001E-5</v>
      </c>
      <c r="GD78">
        <v>2.27E-5</v>
      </c>
      <c r="GE78">
        <v>2.2099999999999998E-5</v>
      </c>
      <c r="GF78">
        <v>2.0999999999999999E-5</v>
      </c>
      <c r="GG78">
        <v>2.05E-5</v>
      </c>
      <c r="GH78">
        <v>2.0000000000000002E-5</v>
      </c>
      <c r="GI78">
        <v>1.88E-5</v>
      </c>
      <c r="GJ78">
        <v>1.9599999999999999E-5</v>
      </c>
      <c r="GK78">
        <v>1.9400000000000001E-5</v>
      </c>
      <c r="GL78">
        <v>1.9300000000000002E-5</v>
      </c>
      <c r="GM78">
        <v>1.91E-5</v>
      </c>
      <c r="GN78">
        <v>1.9000000000000001E-5</v>
      </c>
      <c r="GO78">
        <v>1.88E-5</v>
      </c>
      <c r="GP78">
        <v>1.8700000000000001E-5</v>
      </c>
      <c r="GQ78">
        <v>1.8499999999999999E-5</v>
      </c>
      <c r="GR78">
        <v>1.8300000000000001E-5</v>
      </c>
      <c r="GS78">
        <v>1.8199999999999999E-5</v>
      </c>
      <c r="GT78">
        <v>1.8E-5</v>
      </c>
      <c r="GU78">
        <v>1.7799999999999999E-5</v>
      </c>
      <c r="GV78">
        <v>1.7600000000000001E-5</v>
      </c>
      <c r="GW78">
        <v>1.7399999999999999E-5</v>
      </c>
      <c r="GX78">
        <v>1.7200000000000001E-5</v>
      </c>
      <c r="GY78">
        <v>1.7E-5</v>
      </c>
      <c r="GZ78">
        <v>1.6799999999999998E-5</v>
      </c>
      <c r="HA78">
        <v>1.66E-5</v>
      </c>
      <c r="HB78">
        <v>1.6399999999999999E-5</v>
      </c>
      <c r="HC78">
        <v>1.6200000000000001E-5</v>
      </c>
      <c r="HD78">
        <v>1.6099999999999998E-5</v>
      </c>
      <c r="HE78">
        <v>1.59E-5</v>
      </c>
      <c r="HF78">
        <v>1.5699999999999999E-5</v>
      </c>
      <c r="HG78">
        <v>1.5500000000000001E-5</v>
      </c>
      <c r="HH78">
        <v>1.5299999999999999E-5</v>
      </c>
      <c r="HI78">
        <v>1.5099999999999999E-5</v>
      </c>
      <c r="HJ78">
        <v>1.49E-5</v>
      </c>
      <c r="HK78">
        <v>1.47E-5</v>
      </c>
      <c r="HL78">
        <v>1.45E-5</v>
      </c>
      <c r="HM78">
        <v>1.43E-5</v>
      </c>
      <c r="HN78">
        <v>1.4100000000000001E-5</v>
      </c>
      <c r="HO78">
        <v>1.3900000000000001E-5</v>
      </c>
      <c r="HP78">
        <v>1.3699999999999999E-5</v>
      </c>
      <c r="HQ78">
        <v>1.36E-5</v>
      </c>
      <c r="HR78">
        <v>1.34E-5</v>
      </c>
      <c r="HS78">
        <v>1.3200000000000001E-5</v>
      </c>
      <c r="HT78">
        <v>1.2999999999999999E-5</v>
      </c>
      <c r="HU78">
        <v>1.2799999999999999E-5</v>
      </c>
      <c r="HV78">
        <v>1.27E-5</v>
      </c>
      <c r="HW78">
        <v>1.2500000000000001E-5</v>
      </c>
      <c r="HX78">
        <v>1.2300000000000001E-5</v>
      </c>
      <c r="HY78">
        <v>1.2099999999999999E-5</v>
      </c>
      <c r="HZ78">
        <v>1.2E-5</v>
      </c>
      <c r="IA78">
        <v>1.1800000000000001E-5</v>
      </c>
      <c r="IB78">
        <v>1.1600000000000001E-5</v>
      </c>
      <c r="IC78">
        <v>1.15E-5</v>
      </c>
      <c r="ID78">
        <v>1.13E-5</v>
      </c>
      <c r="IE78">
        <v>1.11E-5</v>
      </c>
      <c r="IF78">
        <v>1.1E-5</v>
      </c>
      <c r="IG78">
        <v>7.6309999999999995E-4</v>
      </c>
    </row>
    <row r="79" spans="1:258" x14ac:dyDescent="0.35">
      <c r="A79" s="1">
        <v>71</v>
      </c>
      <c r="B79">
        <v>1.0734799999999999E-2</v>
      </c>
      <c r="C79">
        <v>1.0734799999999999E-2</v>
      </c>
      <c r="D79">
        <v>1.0600699999999999E-2</v>
      </c>
      <c r="E79">
        <v>1.02842E-2</v>
      </c>
      <c r="F79">
        <v>9.7681E-3</v>
      </c>
      <c r="G79">
        <v>9.1616000000000006E-3</v>
      </c>
      <c r="H79">
        <v>8.5235999999999992E-3</v>
      </c>
      <c r="I79">
        <v>7.9288999999999991E-3</v>
      </c>
      <c r="J79">
        <v>7.3886000000000004E-3</v>
      </c>
      <c r="K79">
        <v>6.9350999999999996E-3</v>
      </c>
      <c r="L79">
        <v>6.5058E-3</v>
      </c>
      <c r="M79">
        <v>6.1232999999999999E-3</v>
      </c>
      <c r="N79">
        <v>5.7774999999999996E-3</v>
      </c>
      <c r="O79">
        <v>5.4555000000000003E-3</v>
      </c>
      <c r="P79">
        <v>5.1850000000000004E-3</v>
      </c>
      <c r="Q79">
        <v>4.9582000000000003E-3</v>
      </c>
      <c r="R79">
        <v>4.7394999999999998E-3</v>
      </c>
      <c r="S79">
        <v>4.5395000000000001E-3</v>
      </c>
      <c r="T79">
        <v>4.3404999999999997E-3</v>
      </c>
      <c r="U79">
        <v>4.1757000000000001E-3</v>
      </c>
      <c r="V79">
        <v>4.0252999999999999E-3</v>
      </c>
      <c r="W79">
        <v>3.9010999999999998E-3</v>
      </c>
      <c r="X79">
        <v>3.7574000000000001E-3</v>
      </c>
      <c r="Y79">
        <v>3.6391000000000001E-3</v>
      </c>
      <c r="Z79">
        <v>3.5285999999999998E-3</v>
      </c>
      <c r="AA79">
        <v>3.4250000000000001E-3</v>
      </c>
      <c r="AB79">
        <v>3.3276E-3</v>
      </c>
      <c r="AC79">
        <v>3.2353E-3</v>
      </c>
      <c r="AD79">
        <v>3.1492E-3</v>
      </c>
      <c r="AE79">
        <v>3.0696E-3</v>
      </c>
      <c r="AF79">
        <v>2.9941E-3</v>
      </c>
      <c r="AG79">
        <v>2.9099999999999998E-3</v>
      </c>
      <c r="AH79">
        <v>2.8408999999999999E-3</v>
      </c>
      <c r="AI79">
        <v>2.7748E-3</v>
      </c>
      <c r="AJ79">
        <v>2.7090999999999999E-3</v>
      </c>
      <c r="AK79">
        <v>2.6505999999999999E-3</v>
      </c>
      <c r="AL79">
        <v>2.5926999999999999E-3</v>
      </c>
      <c r="AM79">
        <v>2.5363E-3</v>
      </c>
      <c r="AN79">
        <v>2.4840000000000001E-3</v>
      </c>
      <c r="AO79">
        <v>2.4350999999999999E-3</v>
      </c>
      <c r="AP79">
        <v>2.392E-3</v>
      </c>
      <c r="AQ79">
        <v>2.3519999999999999E-3</v>
      </c>
      <c r="AR79">
        <v>2.3118000000000001E-3</v>
      </c>
      <c r="AS79">
        <v>2.2693000000000001E-3</v>
      </c>
      <c r="AT79">
        <v>2.2285E-3</v>
      </c>
      <c r="AU79">
        <v>2.1882E-3</v>
      </c>
      <c r="AV79">
        <v>2.1434000000000002E-3</v>
      </c>
      <c r="AW79">
        <v>2.1063000000000002E-3</v>
      </c>
      <c r="AX79">
        <v>2.0438000000000001E-3</v>
      </c>
      <c r="AY79">
        <v>2.0052999999999998E-3</v>
      </c>
      <c r="AZ79">
        <v>1.9683999999999999E-3</v>
      </c>
      <c r="BA79">
        <v>1.9317E-3</v>
      </c>
      <c r="BB79">
        <v>1.8979999999999999E-3</v>
      </c>
      <c r="BC79">
        <v>1.8684000000000001E-3</v>
      </c>
      <c r="BD79">
        <v>1.8393000000000001E-3</v>
      </c>
      <c r="BE79">
        <v>1.8079999999999999E-3</v>
      </c>
      <c r="BF79">
        <v>1.7773000000000001E-3</v>
      </c>
      <c r="BG79">
        <v>1.7489000000000001E-3</v>
      </c>
      <c r="BH79">
        <v>1.7225999999999999E-3</v>
      </c>
      <c r="BI79">
        <v>1.702E-3</v>
      </c>
      <c r="BJ79">
        <v>1.6823999999999999E-3</v>
      </c>
      <c r="BK79">
        <v>1.6619E-3</v>
      </c>
      <c r="BL79">
        <v>1.6412E-3</v>
      </c>
      <c r="BM79">
        <v>1.6194E-3</v>
      </c>
      <c r="BN79">
        <v>1.5954000000000001E-3</v>
      </c>
      <c r="BO79">
        <v>1.565E-3</v>
      </c>
      <c r="BP79">
        <v>1.5280999999999999E-3</v>
      </c>
      <c r="BQ79">
        <v>1.4589E-3</v>
      </c>
      <c r="BR79">
        <v>1.4256E-3</v>
      </c>
      <c r="BS79">
        <v>1.3913E-3</v>
      </c>
      <c r="BT79">
        <v>1.3148000000000001E-3</v>
      </c>
      <c r="BU79">
        <v>1.3734999999999999E-3</v>
      </c>
      <c r="BV79">
        <v>1.3586E-3</v>
      </c>
      <c r="BW79">
        <v>1.3515000000000001E-3</v>
      </c>
      <c r="BX79">
        <v>1.343E-3</v>
      </c>
      <c r="BY79">
        <v>1.3342E-3</v>
      </c>
      <c r="BZ79">
        <v>1.3246E-3</v>
      </c>
      <c r="CA79">
        <v>1.3144000000000001E-3</v>
      </c>
      <c r="CB79">
        <v>1.3033999999999999E-3</v>
      </c>
      <c r="CC79">
        <v>1.2918999999999999E-3</v>
      </c>
      <c r="CD79">
        <v>1.2798E-3</v>
      </c>
      <c r="CE79">
        <v>1.2673000000000001E-3</v>
      </c>
      <c r="CF79">
        <v>1.2543000000000001E-3</v>
      </c>
      <c r="CG79">
        <v>1.2411E-3</v>
      </c>
      <c r="CH79">
        <v>1.2275999999999999E-3</v>
      </c>
      <c r="CI79">
        <v>1.214E-3</v>
      </c>
      <c r="CJ79">
        <v>1.2001E-3</v>
      </c>
      <c r="CK79">
        <v>1.1861E-3</v>
      </c>
      <c r="CL79">
        <v>1.1720999999999999E-3</v>
      </c>
      <c r="CM79">
        <v>1.1578999999999999E-3</v>
      </c>
      <c r="CN79">
        <v>1.1437999999999999E-3</v>
      </c>
      <c r="CO79">
        <v>1.1295999999999999E-3</v>
      </c>
      <c r="CP79">
        <v>1.1153999999999999E-3</v>
      </c>
      <c r="CQ79">
        <v>1.1012000000000001E-3</v>
      </c>
      <c r="CR79">
        <v>1.0870999999999999E-3</v>
      </c>
      <c r="CS79">
        <v>1.073E-3</v>
      </c>
      <c r="CT79">
        <v>1.059E-3</v>
      </c>
      <c r="CU79">
        <v>1.0449999999999999E-3</v>
      </c>
      <c r="CV79">
        <v>1.0311000000000001E-3</v>
      </c>
      <c r="CW79">
        <v>1.0172E-3</v>
      </c>
      <c r="CX79">
        <v>1.0035000000000001E-3</v>
      </c>
      <c r="CY79">
        <v>9.898000000000001E-4</v>
      </c>
      <c r="CZ79">
        <v>9.7630000000000004E-4</v>
      </c>
      <c r="DA79">
        <v>9.6279999999999998E-4</v>
      </c>
      <c r="DB79">
        <v>9.4950000000000004E-4</v>
      </c>
      <c r="DC79">
        <v>9.3619999999999999E-4</v>
      </c>
      <c r="DD79">
        <v>9.2310000000000005E-4</v>
      </c>
      <c r="DE79">
        <v>9.1009999999999995E-4</v>
      </c>
      <c r="DF79">
        <v>8.9720000000000002E-4</v>
      </c>
      <c r="DG79">
        <v>8.8449999999999998E-4</v>
      </c>
      <c r="DH79">
        <v>8.719E-4</v>
      </c>
      <c r="DI79">
        <v>8.5939999999999996E-4</v>
      </c>
      <c r="DJ79">
        <v>8.4710000000000004E-4</v>
      </c>
      <c r="DK79">
        <v>8.3500000000000002E-4</v>
      </c>
      <c r="DL79">
        <v>8.229E-4</v>
      </c>
      <c r="DM79">
        <v>8.1110000000000004E-4</v>
      </c>
      <c r="DN79">
        <v>7.9929999999999997E-4</v>
      </c>
      <c r="DO79">
        <v>7.8779999999999996E-4</v>
      </c>
      <c r="DP79">
        <v>7.7640000000000001E-4</v>
      </c>
      <c r="DQ79">
        <v>5.3735499999999999E-2</v>
      </c>
      <c r="DR79">
        <v>0</v>
      </c>
      <c r="DS79">
        <v>5.02E-5</v>
      </c>
      <c r="DT79">
        <v>3.1330000000000003E-4</v>
      </c>
      <c r="DU79">
        <v>5.1869999999999998E-4</v>
      </c>
      <c r="DV79">
        <v>6.1010000000000003E-4</v>
      </c>
      <c r="DW79">
        <v>6.3190000000000002E-4</v>
      </c>
      <c r="DX79">
        <v>5.9619999999999996E-4</v>
      </c>
      <c r="DY79">
        <v>5.3370000000000002E-4</v>
      </c>
      <c r="DZ79">
        <v>4.8480000000000002E-4</v>
      </c>
      <c r="EA79">
        <v>4.2719999999999998E-4</v>
      </c>
      <c r="EB79">
        <v>3.8180000000000001E-4</v>
      </c>
      <c r="EC79">
        <v>3.3799999999999998E-4</v>
      </c>
      <c r="ED79">
        <v>3.0170000000000002E-4</v>
      </c>
      <c r="EE79">
        <v>2.6919999999999998E-4</v>
      </c>
      <c r="EF79">
        <v>2.4230000000000001E-4</v>
      </c>
      <c r="EG79">
        <v>2.196E-4</v>
      </c>
      <c r="EH79">
        <v>1.996E-4</v>
      </c>
      <c r="EI79">
        <v>1.817E-4</v>
      </c>
      <c r="EJ79">
        <v>1.6530000000000001E-4</v>
      </c>
      <c r="EK79">
        <v>1.516E-4</v>
      </c>
      <c r="EL79">
        <v>1.3970000000000001E-4</v>
      </c>
      <c r="EM79">
        <v>1.2960000000000001E-4</v>
      </c>
      <c r="EN79">
        <v>1.1959999999999999E-4</v>
      </c>
      <c r="EO79">
        <v>1.111E-4</v>
      </c>
      <c r="EP79">
        <v>1.036E-4</v>
      </c>
      <c r="EQ79">
        <v>9.6799999999999995E-5</v>
      </c>
      <c r="ER79">
        <v>9.0699999999999996E-5</v>
      </c>
      <c r="ES79">
        <v>8.5199999999999997E-5</v>
      </c>
      <c r="ET79">
        <v>8.03E-5</v>
      </c>
      <c r="EU79">
        <v>7.5900000000000002E-5</v>
      </c>
      <c r="EV79">
        <v>7.1799999999999997E-5</v>
      </c>
      <c r="EW79">
        <v>6.7700000000000006E-5</v>
      </c>
      <c r="EX79">
        <v>6.4300000000000004E-5</v>
      </c>
      <c r="EY79">
        <v>6.1199999999999997E-5</v>
      </c>
      <c r="EZ79">
        <v>5.8199999999999998E-5</v>
      </c>
      <c r="FA79">
        <v>5.5500000000000001E-5</v>
      </c>
      <c r="FB79">
        <v>5.3000000000000001E-5</v>
      </c>
      <c r="FC79">
        <v>5.0699999999999999E-5</v>
      </c>
      <c r="FD79">
        <v>4.85E-5</v>
      </c>
      <c r="FE79">
        <v>4.6499999999999999E-5</v>
      </c>
      <c r="FF79">
        <v>4.4700000000000002E-5</v>
      </c>
      <c r="FG79">
        <v>4.3099999999999997E-5</v>
      </c>
      <c r="FH79">
        <v>4.1499999999999999E-5</v>
      </c>
      <c r="FI79">
        <v>4.0000000000000003E-5</v>
      </c>
      <c r="FJ79">
        <v>3.8600000000000003E-5</v>
      </c>
      <c r="FK79">
        <v>3.7299999999999999E-5</v>
      </c>
      <c r="FL79">
        <v>3.5899999999999998E-5</v>
      </c>
      <c r="FM79">
        <v>3.4799999999999999E-5</v>
      </c>
      <c r="FN79">
        <v>3.3200000000000001E-5</v>
      </c>
      <c r="FO79">
        <v>3.2199999999999997E-5</v>
      </c>
      <c r="FP79">
        <v>3.1199999999999999E-5</v>
      </c>
      <c r="FQ79">
        <v>3.0300000000000001E-5</v>
      </c>
      <c r="FR79">
        <v>2.94E-5</v>
      </c>
      <c r="FS79">
        <v>2.87E-5</v>
      </c>
      <c r="FT79">
        <v>2.7900000000000001E-5</v>
      </c>
      <c r="FU79">
        <v>2.72E-5</v>
      </c>
      <c r="FV79">
        <v>2.6599999999999999E-5</v>
      </c>
      <c r="FW79">
        <v>2.5899999999999999E-5</v>
      </c>
      <c r="FX79">
        <v>2.5400000000000001E-5</v>
      </c>
      <c r="FY79">
        <v>2.4899999999999999E-5</v>
      </c>
      <c r="FZ79">
        <v>2.4499999999999999E-5</v>
      </c>
      <c r="GA79">
        <v>2.41E-5</v>
      </c>
      <c r="GB79">
        <v>2.37E-5</v>
      </c>
      <c r="GC79">
        <v>2.3200000000000001E-5</v>
      </c>
      <c r="GD79">
        <v>2.2799999999999999E-5</v>
      </c>
      <c r="GE79">
        <v>2.23E-5</v>
      </c>
      <c r="GF79">
        <v>2.1699999999999999E-5</v>
      </c>
      <c r="GG79">
        <v>2.0699999999999998E-5</v>
      </c>
      <c r="GH79">
        <v>2.02E-5</v>
      </c>
      <c r="GI79">
        <v>1.9599999999999999E-5</v>
      </c>
      <c r="GJ79">
        <v>1.8499999999999999E-5</v>
      </c>
      <c r="GK79">
        <v>1.9300000000000002E-5</v>
      </c>
      <c r="GL79">
        <v>1.91E-5</v>
      </c>
      <c r="GM79">
        <v>1.9000000000000001E-5</v>
      </c>
      <c r="GN79">
        <v>1.88E-5</v>
      </c>
      <c r="GO79">
        <v>1.8700000000000001E-5</v>
      </c>
      <c r="GP79">
        <v>1.8499999999999999E-5</v>
      </c>
      <c r="GQ79">
        <v>1.84E-5</v>
      </c>
      <c r="GR79">
        <v>1.8199999999999999E-5</v>
      </c>
      <c r="GS79">
        <v>1.8099999999999999E-5</v>
      </c>
      <c r="GT79">
        <v>1.7900000000000001E-5</v>
      </c>
      <c r="GU79">
        <v>1.77E-5</v>
      </c>
      <c r="GV79">
        <v>1.7499999999999998E-5</v>
      </c>
      <c r="GW79">
        <v>1.7399999999999999E-5</v>
      </c>
      <c r="GX79">
        <v>1.7200000000000001E-5</v>
      </c>
      <c r="GY79">
        <v>1.7E-5</v>
      </c>
      <c r="GZ79">
        <v>1.6799999999999998E-5</v>
      </c>
      <c r="HA79">
        <v>1.66E-5</v>
      </c>
      <c r="HB79">
        <v>1.6399999999999999E-5</v>
      </c>
      <c r="HC79">
        <v>1.6200000000000001E-5</v>
      </c>
      <c r="HD79">
        <v>1.5999999999999999E-5</v>
      </c>
      <c r="HE79">
        <v>1.5800000000000001E-5</v>
      </c>
      <c r="HF79">
        <v>1.56E-5</v>
      </c>
      <c r="HG79">
        <v>1.5400000000000002E-5</v>
      </c>
      <c r="HH79">
        <v>1.5299999999999999E-5</v>
      </c>
      <c r="HI79">
        <v>1.5099999999999999E-5</v>
      </c>
      <c r="HJ79">
        <v>1.49E-5</v>
      </c>
      <c r="HK79">
        <v>1.47E-5</v>
      </c>
      <c r="HL79">
        <v>1.45E-5</v>
      </c>
      <c r="HM79">
        <v>1.43E-5</v>
      </c>
      <c r="HN79">
        <v>1.4100000000000001E-5</v>
      </c>
      <c r="HO79">
        <v>1.3900000000000001E-5</v>
      </c>
      <c r="HP79">
        <v>1.3699999999999999E-5</v>
      </c>
      <c r="HQ79">
        <v>1.36E-5</v>
      </c>
      <c r="HR79">
        <v>1.34E-5</v>
      </c>
      <c r="HS79">
        <v>1.3200000000000001E-5</v>
      </c>
      <c r="HT79">
        <v>1.2999999999999999E-5</v>
      </c>
      <c r="HU79">
        <v>1.2799999999999999E-5</v>
      </c>
      <c r="HV79">
        <v>1.27E-5</v>
      </c>
      <c r="HW79">
        <v>1.2500000000000001E-5</v>
      </c>
      <c r="HX79">
        <v>1.2300000000000001E-5</v>
      </c>
      <c r="HY79">
        <v>1.2099999999999999E-5</v>
      </c>
      <c r="HZ79">
        <v>1.2E-5</v>
      </c>
      <c r="IA79">
        <v>1.1800000000000001E-5</v>
      </c>
      <c r="IB79">
        <v>1.1600000000000001E-5</v>
      </c>
      <c r="IC79">
        <v>1.15E-5</v>
      </c>
      <c r="ID79">
        <v>1.13E-5</v>
      </c>
      <c r="IE79">
        <v>1.11E-5</v>
      </c>
      <c r="IF79">
        <v>1.1E-5</v>
      </c>
      <c r="IG79">
        <v>7.6309999999999995E-4</v>
      </c>
    </row>
    <row r="80" spans="1:258" x14ac:dyDescent="0.35">
      <c r="A80" s="1">
        <v>72</v>
      </c>
      <c r="B80">
        <v>1.0734799999999999E-2</v>
      </c>
      <c r="C80">
        <v>1.0734799999999999E-2</v>
      </c>
      <c r="D80">
        <v>1.0684600000000001E-2</v>
      </c>
      <c r="E80">
        <v>1.0287299999999999E-2</v>
      </c>
      <c r="F80">
        <v>9.7654000000000005E-3</v>
      </c>
      <c r="G80">
        <v>9.1579999999999995E-3</v>
      </c>
      <c r="H80">
        <v>8.5296999999999994E-3</v>
      </c>
      <c r="I80">
        <v>7.9273999999999994E-3</v>
      </c>
      <c r="J80">
        <v>7.3952000000000002E-3</v>
      </c>
      <c r="K80">
        <v>6.9037999999999999E-3</v>
      </c>
      <c r="L80">
        <v>6.5078999999999996E-3</v>
      </c>
      <c r="M80">
        <v>6.1241000000000004E-3</v>
      </c>
      <c r="N80">
        <v>5.7853000000000002E-3</v>
      </c>
      <c r="O80">
        <v>5.4757E-3</v>
      </c>
      <c r="P80">
        <v>5.1863999999999999E-3</v>
      </c>
      <c r="Q80">
        <v>4.9427000000000004E-3</v>
      </c>
      <c r="R80">
        <v>4.7385999999999999E-3</v>
      </c>
      <c r="S80">
        <v>4.5399000000000004E-3</v>
      </c>
      <c r="T80">
        <v>4.3578000000000002E-3</v>
      </c>
      <c r="U80">
        <v>4.1751999999999996E-3</v>
      </c>
      <c r="V80">
        <v>4.0239999999999998E-3</v>
      </c>
      <c r="W80">
        <v>3.8855999999999999E-3</v>
      </c>
      <c r="X80">
        <v>3.7715000000000001E-3</v>
      </c>
      <c r="Y80">
        <v>3.6378000000000001E-3</v>
      </c>
      <c r="Z80">
        <v>3.5279999999999999E-3</v>
      </c>
      <c r="AA80">
        <v>3.4250000000000001E-3</v>
      </c>
      <c r="AB80">
        <v>3.3281999999999999E-3</v>
      </c>
      <c r="AC80">
        <v>3.2369E-3</v>
      </c>
      <c r="AD80">
        <v>3.1500999999999999E-3</v>
      </c>
      <c r="AE80">
        <v>3.0688999999999998E-3</v>
      </c>
      <c r="AF80">
        <v>2.9938E-3</v>
      </c>
      <c r="AG80">
        <v>2.9223000000000001E-3</v>
      </c>
      <c r="AH80">
        <v>2.8422999999999999E-3</v>
      </c>
      <c r="AI80">
        <v>2.7766000000000002E-3</v>
      </c>
      <c r="AJ80">
        <v>2.7136E-3</v>
      </c>
      <c r="AK80">
        <v>2.6508999999999999E-3</v>
      </c>
      <c r="AL80">
        <v>2.5950999999999999E-3</v>
      </c>
      <c r="AM80">
        <v>2.5397000000000002E-3</v>
      </c>
      <c r="AN80">
        <v>2.4856000000000001E-3</v>
      </c>
      <c r="AO80">
        <v>2.4355000000000002E-3</v>
      </c>
      <c r="AP80">
        <v>2.3885999999999998E-3</v>
      </c>
      <c r="AQ80">
        <v>2.3473000000000001E-3</v>
      </c>
      <c r="AR80">
        <v>2.3089E-3</v>
      </c>
      <c r="AS80">
        <v>2.2702E-3</v>
      </c>
      <c r="AT80">
        <v>2.2293E-3</v>
      </c>
      <c r="AU80">
        <v>2.1898999999999998E-3</v>
      </c>
      <c r="AV80">
        <v>2.1510000000000001E-3</v>
      </c>
      <c r="AW80">
        <v>2.1075E-3</v>
      </c>
      <c r="AX80">
        <v>2.0715999999999998E-3</v>
      </c>
      <c r="AY80">
        <v>2.0105000000000001E-3</v>
      </c>
      <c r="AZ80">
        <v>1.9732E-3</v>
      </c>
      <c r="BA80">
        <v>1.9372E-3</v>
      </c>
      <c r="BB80">
        <v>1.9015E-3</v>
      </c>
      <c r="BC80">
        <v>1.8686E-3</v>
      </c>
      <c r="BD80">
        <v>1.8397000000000001E-3</v>
      </c>
      <c r="BE80">
        <v>1.8113000000000001E-3</v>
      </c>
      <c r="BF80">
        <v>1.7807000000000001E-3</v>
      </c>
      <c r="BG80">
        <v>1.7507E-3</v>
      </c>
      <c r="BH80">
        <v>1.7229000000000001E-3</v>
      </c>
      <c r="BI80">
        <v>1.6972000000000001E-3</v>
      </c>
      <c r="BJ80">
        <v>1.6770999999999999E-3</v>
      </c>
      <c r="BK80">
        <v>1.6578999999999999E-3</v>
      </c>
      <c r="BL80">
        <v>1.6378E-3</v>
      </c>
      <c r="BM80">
        <v>1.6175E-3</v>
      </c>
      <c r="BN80">
        <v>1.5962000000000001E-3</v>
      </c>
      <c r="BO80">
        <v>1.5726E-3</v>
      </c>
      <c r="BP80">
        <v>1.5426000000000001E-3</v>
      </c>
      <c r="BQ80">
        <v>1.5064E-3</v>
      </c>
      <c r="BR80">
        <v>1.4381999999999999E-3</v>
      </c>
      <c r="BS80">
        <v>1.4055000000000001E-3</v>
      </c>
      <c r="BT80">
        <v>1.3717E-3</v>
      </c>
      <c r="BU80">
        <v>1.2963E-3</v>
      </c>
      <c r="BV80">
        <v>1.3542000000000001E-3</v>
      </c>
      <c r="BW80">
        <v>1.3395E-3</v>
      </c>
      <c r="BX80">
        <v>1.3324999999999999E-3</v>
      </c>
      <c r="BY80">
        <v>1.3242E-3</v>
      </c>
      <c r="BZ80">
        <v>1.3156000000000001E-3</v>
      </c>
      <c r="CA80">
        <v>1.3060000000000001E-3</v>
      </c>
      <c r="CB80">
        <v>1.2960000000000001E-3</v>
      </c>
      <c r="CC80">
        <v>1.2852E-3</v>
      </c>
      <c r="CD80">
        <v>1.2738000000000001E-3</v>
      </c>
      <c r="CE80">
        <v>1.2619E-3</v>
      </c>
      <c r="CF80">
        <v>1.2495E-3</v>
      </c>
      <c r="CG80">
        <v>1.2367999999999999E-3</v>
      </c>
      <c r="CH80">
        <v>1.2237999999999999E-3</v>
      </c>
      <c r="CI80">
        <v>1.2105E-3</v>
      </c>
      <c r="CJ80">
        <v>1.1969999999999999E-3</v>
      </c>
      <c r="CK80">
        <v>1.1833E-3</v>
      </c>
      <c r="CL80">
        <v>1.1695E-3</v>
      </c>
      <c r="CM80">
        <v>1.1557E-3</v>
      </c>
      <c r="CN80">
        <v>1.1417E-3</v>
      </c>
      <c r="CO80">
        <v>1.1276999999999999E-3</v>
      </c>
      <c r="CP80">
        <v>1.1137E-3</v>
      </c>
      <c r="CQ80">
        <v>1.0996999999999999E-3</v>
      </c>
      <c r="CR80">
        <v>1.0858E-3</v>
      </c>
      <c r="CS80">
        <v>1.0717999999999999E-3</v>
      </c>
      <c r="CT80">
        <v>1.0579000000000001E-3</v>
      </c>
      <c r="CU80">
        <v>1.0441000000000001E-3</v>
      </c>
      <c r="CV80">
        <v>1.0303000000000001E-3</v>
      </c>
      <c r="CW80">
        <v>1.0166000000000001E-3</v>
      </c>
      <c r="CX80">
        <v>1.0028999999999999E-3</v>
      </c>
      <c r="CY80">
        <v>9.8940000000000009E-4</v>
      </c>
      <c r="CZ80">
        <v>9.7590000000000003E-4</v>
      </c>
      <c r="DA80">
        <v>9.6250000000000003E-4</v>
      </c>
      <c r="DB80">
        <v>9.4930000000000004E-4</v>
      </c>
      <c r="DC80">
        <v>9.3610000000000004E-4</v>
      </c>
      <c r="DD80">
        <v>9.2299999999999999E-4</v>
      </c>
      <c r="DE80">
        <v>9.1009999999999995E-4</v>
      </c>
      <c r="DF80">
        <v>8.9729999999999996E-4</v>
      </c>
      <c r="DG80">
        <v>8.8460000000000003E-4</v>
      </c>
      <c r="DH80">
        <v>8.7200000000000005E-4</v>
      </c>
      <c r="DI80">
        <v>8.5959999999999997E-4</v>
      </c>
      <c r="DJ80">
        <v>8.4730000000000005E-4</v>
      </c>
      <c r="DK80">
        <v>8.3520000000000003E-4</v>
      </c>
      <c r="DL80">
        <v>8.2319999999999995E-4</v>
      </c>
      <c r="DM80">
        <v>8.1130000000000004E-4</v>
      </c>
      <c r="DN80">
        <v>7.9960000000000003E-4</v>
      </c>
      <c r="DO80">
        <v>7.8799999999999996E-4</v>
      </c>
      <c r="DP80">
        <v>7.7660000000000001E-4</v>
      </c>
      <c r="DQ80">
        <v>5.3737699999999999E-2</v>
      </c>
      <c r="DR80">
        <v>0</v>
      </c>
      <c r="DS80">
        <v>5.02E-5</v>
      </c>
      <c r="DT80">
        <v>3.2509999999999999E-4</v>
      </c>
      <c r="DU80">
        <v>5.1389999999999997E-4</v>
      </c>
      <c r="DV80">
        <v>6.1519999999999999E-4</v>
      </c>
      <c r="DW80">
        <v>6.2870000000000005E-4</v>
      </c>
      <c r="DX80">
        <v>6.0249999999999995E-4</v>
      </c>
      <c r="DY80">
        <v>5.3359999999999996E-4</v>
      </c>
      <c r="DZ80">
        <v>4.8759999999999998E-4</v>
      </c>
      <c r="EA80">
        <v>4.2630000000000001E-4</v>
      </c>
      <c r="EB80">
        <v>3.838E-4</v>
      </c>
      <c r="EC80">
        <v>3.4000000000000002E-4</v>
      </c>
      <c r="ED80">
        <v>3.0469999999999998E-4</v>
      </c>
      <c r="EE80">
        <v>2.7240000000000001E-4</v>
      </c>
      <c r="EF80">
        <v>2.4449999999999998E-4</v>
      </c>
      <c r="EG80">
        <v>2.208E-4</v>
      </c>
      <c r="EH80">
        <v>2.0100000000000001E-4</v>
      </c>
      <c r="EI80">
        <v>1.8310000000000001E-4</v>
      </c>
      <c r="EJ80">
        <v>1.673E-4</v>
      </c>
      <c r="EK80">
        <v>1.526E-4</v>
      </c>
      <c r="EL80">
        <v>1.403E-4</v>
      </c>
      <c r="EM80">
        <v>1.2960000000000001E-4</v>
      </c>
      <c r="EN80">
        <v>1.205E-4</v>
      </c>
      <c r="EO80">
        <v>1.115E-4</v>
      </c>
      <c r="EP80">
        <v>1.038E-4</v>
      </c>
      <c r="EQ80">
        <v>9.7E-5</v>
      </c>
      <c r="ER80">
        <v>9.09E-5</v>
      </c>
      <c r="ES80">
        <v>8.5400000000000002E-5</v>
      </c>
      <c r="ET80">
        <v>8.0400000000000003E-5</v>
      </c>
      <c r="EU80">
        <v>7.5799999999999999E-5</v>
      </c>
      <c r="EV80">
        <v>7.1799999999999997E-5</v>
      </c>
      <c r="EW80">
        <v>6.8100000000000002E-5</v>
      </c>
      <c r="EX80">
        <v>6.4300000000000004E-5</v>
      </c>
      <c r="EY80">
        <v>6.1199999999999997E-5</v>
      </c>
      <c r="EZ80">
        <v>5.8300000000000001E-5</v>
      </c>
      <c r="FA80">
        <v>5.5500000000000001E-5</v>
      </c>
      <c r="FB80">
        <v>5.3000000000000001E-5</v>
      </c>
      <c r="FC80">
        <v>5.0699999999999999E-5</v>
      </c>
      <c r="FD80">
        <v>4.85E-5</v>
      </c>
      <c r="FE80">
        <v>4.6499999999999999E-5</v>
      </c>
      <c r="FF80">
        <v>4.46E-5</v>
      </c>
      <c r="FG80">
        <v>4.3000000000000002E-5</v>
      </c>
      <c r="FH80">
        <v>4.1399999999999997E-5</v>
      </c>
      <c r="FI80">
        <v>4.0000000000000003E-5</v>
      </c>
      <c r="FJ80">
        <v>3.8600000000000003E-5</v>
      </c>
      <c r="FK80">
        <v>3.7200000000000003E-5</v>
      </c>
      <c r="FL80">
        <v>3.6000000000000001E-5</v>
      </c>
      <c r="FM80">
        <v>3.4700000000000003E-5</v>
      </c>
      <c r="FN80">
        <v>3.3699999999999999E-5</v>
      </c>
      <c r="FO80">
        <v>3.2199999999999997E-5</v>
      </c>
      <c r="FP80">
        <v>3.1199999999999999E-5</v>
      </c>
      <c r="FQ80">
        <v>3.0300000000000001E-5</v>
      </c>
      <c r="FR80">
        <v>2.94E-5</v>
      </c>
      <c r="FS80">
        <v>2.8600000000000001E-5</v>
      </c>
      <c r="FT80">
        <v>2.7900000000000001E-5</v>
      </c>
      <c r="FU80">
        <v>2.72E-5</v>
      </c>
      <c r="FV80">
        <v>2.6599999999999999E-5</v>
      </c>
      <c r="FW80">
        <v>2.5899999999999999E-5</v>
      </c>
      <c r="FX80">
        <v>2.5400000000000001E-5</v>
      </c>
      <c r="FY80">
        <v>2.48E-5</v>
      </c>
      <c r="FZ80">
        <v>2.44E-5</v>
      </c>
      <c r="GA80">
        <v>2.4000000000000001E-5</v>
      </c>
      <c r="GB80">
        <v>2.3600000000000001E-5</v>
      </c>
      <c r="GC80">
        <v>2.3200000000000001E-5</v>
      </c>
      <c r="GD80">
        <v>2.2799999999999999E-5</v>
      </c>
      <c r="GE80">
        <v>2.2399999999999999E-5</v>
      </c>
      <c r="GF80">
        <v>2.19E-5</v>
      </c>
      <c r="GG80">
        <v>2.1299999999999999E-5</v>
      </c>
      <c r="GH80">
        <v>2.0299999999999999E-5</v>
      </c>
      <c r="GI80">
        <v>1.98E-5</v>
      </c>
      <c r="GJ80">
        <v>1.9300000000000002E-5</v>
      </c>
      <c r="GK80">
        <v>1.8199999999999999E-5</v>
      </c>
      <c r="GL80">
        <v>1.9000000000000001E-5</v>
      </c>
      <c r="GM80">
        <v>1.88E-5</v>
      </c>
      <c r="GN80">
        <v>1.8700000000000001E-5</v>
      </c>
      <c r="GO80">
        <v>1.8499999999999999E-5</v>
      </c>
      <c r="GP80">
        <v>1.84E-5</v>
      </c>
      <c r="GQ80">
        <v>1.8300000000000001E-5</v>
      </c>
      <c r="GR80">
        <v>1.8099999999999999E-5</v>
      </c>
      <c r="GS80">
        <v>1.8E-5</v>
      </c>
      <c r="GT80">
        <v>1.7799999999999999E-5</v>
      </c>
      <c r="GU80">
        <v>1.7600000000000001E-5</v>
      </c>
      <c r="GV80">
        <v>1.7499999999999998E-5</v>
      </c>
      <c r="GW80">
        <v>1.73E-5</v>
      </c>
      <c r="GX80">
        <v>1.7099999999999999E-5</v>
      </c>
      <c r="GY80">
        <v>1.6900000000000001E-5</v>
      </c>
      <c r="GZ80">
        <v>1.6699999999999999E-5</v>
      </c>
      <c r="HA80">
        <v>1.6500000000000001E-5</v>
      </c>
      <c r="HB80">
        <v>1.6399999999999999E-5</v>
      </c>
      <c r="HC80">
        <v>1.6200000000000001E-5</v>
      </c>
      <c r="HD80">
        <v>1.5999999999999999E-5</v>
      </c>
      <c r="HE80">
        <v>1.5800000000000001E-5</v>
      </c>
      <c r="HF80">
        <v>1.56E-5</v>
      </c>
      <c r="HG80">
        <v>1.5400000000000002E-5</v>
      </c>
      <c r="HH80">
        <v>1.52E-5</v>
      </c>
      <c r="HI80">
        <v>1.5E-5</v>
      </c>
      <c r="HJ80">
        <v>1.4800000000000001E-5</v>
      </c>
      <c r="HK80">
        <v>1.47E-5</v>
      </c>
      <c r="HL80">
        <v>1.45E-5</v>
      </c>
      <c r="HM80">
        <v>1.43E-5</v>
      </c>
      <c r="HN80">
        <v>1.4100000000000001E-5</v>
      </c>
      <c r="HO80">
        <v>1.3900000000000001E-5</v>
      </c>
      <c r="HP80">
        <v>1.3699999999999999E-5</v>
      </c>
      <c r="HQ80">
        <v>1.3499999999999999E-5</v>
      </c>
      <c r="HR80">
        <v>1.34E-5</v>
      </c>
      <c r="HS80">
        <v>1.3200000000000001E-5</v>
      </c>
      <c r="HT80">
        <v>1.2999999999999999E-5</v>
      </c>
      <c r="HU80">
        <v>1.2799999999999999E-5</v>
      </c>
      <c r="HV80">
        <v>1.27E-5</v>
      </c>
      <c r="HW80">
        <v>1.2500000000000001E-5</v>
      </c>
      <c r="HX80">
        <v>1.2300000000000001E-5</v>
      </c>
      <c r="HY80">
        <v>1.2099999999999999E-5</v>
      </c>
      <c r="HZ80">
        <v>1.2E-5</v>
      </c>
      <c r="IA80">
        <v>1.1800000000000001E-5</v>
      </c>
      <c r="IB80">
        <v>1.1600000000000001E-5</v>
      </c>
      <c r="IC80">
        <v>1.15E-5</v>
      </c>
      <c r="ID80">
        <v>1.13E-5</v>
      </c>
      <c r="IE80">
        <v>1.11E-5</v>
      </c>
      <c r="IF80">
        <v>1.1E-5</v>
      </c>
      <c r="IG80">
        <v>7.6309999999999995E-4</v>
      </c>
    </row>
    <row r="81" spans="1:241" x14ac:dyDescent="0.35">
      <c r="A81" s="1">
        <v>73</v>
      </c>
      <c r="B81">
        <v>1.0734799999999999E-2</v>
      </c>
      <c r="C81">
        <v>1.0734799999999999E-2</v>
      </c>
      <c r="D81">
        <v>1.0684600000000001E-2</v>
      </c>
      <c r="E81">
        <v>1.03596E-2</v>
      </c>
      <c r="F81">
        <v>9.7733999999999998E-3</v>
      </c>
      <c r="G81">
        <v>9.1502000000000007E-3</v>
      </c>
      <c r="H81">
        <v>8.5293999999999995E-3</v>
      </c>
      <c r="I81">
        <v>7.9272000000000006E-3</v>
      </c>
      <c r="J81">
        <v>7.3939000000000001E-3</v>
      </c>
      <c r="K81">
        <v>6.9074999999999996E-3</v>
      </c>
      <c r="L81">
        <v>6.4774999999999998E-3</v>
      </c>
      <c r="M81">
        <v>6.1240000000000001E-3</v>
      </c>
      <c r="N81">
        <v>5.7841000000000004E-3</v>
      </c>
      <c r="O81">
        <v>5.4806000000000004E-3</v>
      </c>
      <c r="P81">
        <v>5.2034000000000004E-3</v>
      </c>
      <c r="Q81">
        <v>4.9418999999999999E-3</v>
      </c>
      <c r="R81">
        <v>4.7219000000000002E-3</v>
      </c>
      <c r="S81">
        <v>4.5376000000000001E-3</v>
      </c>
      <c r="T81">
        <v>4.3568000000000001E-3</v>
      </c>
      <c r="U81">
        <v>4.1904999999999998E-3</v>
      </c>
      <c r="V81">
        <v>4.0226999999999997E-3</v>
      </c>
      <c r="W81">
        <v>3.8836999999999999E-3</v>
      </c>
      <c r="X81">
        <v>3.7559999999999998E-3</v>
      </c>
      <c r="Y81">
        <v>3.6510000000000002E-3</v>
      </c>
      <c r="Z81">
        <v>3.5263E-3</v>
      </c>
      <c r="AA81">
        <v>3.4240999999999998E-3</v>
      </c>
      <c r="AB81">
        <v>3.3279999999999998E-3</v>
      </c>
      <c r="AC81">
        <v>3.2372999999999998E-3</v>
      </c>
      <c r="AD81">
        <v>3.1514999999999998E-3</v>
      </c>
      <c r="AE81">
        <v>3.0696999999999999E-3</v>
      </c>
      <c r="AF81">
        <v>2.9930999999999998E-3</v>
      </c>
      <c r="AG81">
        <v>2.9220000000000001E-3</v>
      </c>
      <c r="AH81">
        <v>2.8541999999999999E-3</v>
      </c>
      <c r="AI81">
        <v>2.7778999999999998E-3</v>
      </c>
      <c r="AJ81">
        <v>2.7154000000000002E-3</v>
      </c>
      <c r="AK81">
        <v>2.6553000000000002E-3</v>
      </c>
      <c r="AL81">
        <v>2.5953999999999999E-3</v>
      </c>
      <c r="AM81">
        <v>2.5420999999999998E-3</v>
      </c>
      <c r="AN81">
        <v>2.4889999999999999E-3</v>
      </c>
      <c r="AO81">
        <v>2.4372E-3</v>
      </c>
      <c r="AP81">
        <v>2.3890999999999999E-3</v>
      </c>
      <c r="AQ81">
        <v>2.3440000000000002E-3</v>
      </c>
      <c r="AR81">
        <v>2.3043E-3</v>
      </c>
      <c r="AS81">
        <v>2.2675E-3</v>
      </c>
      <c r="AT81">
        <v>2.2303000000000002E-3</v>
      </c>
      <c r="AU81">
        <v>2.1906999999999999E-3</v>
      </c>
      <c r="AV81">
        <v>2.1527E-3</v>
      </c>
      <c r="AW81">
        <v>2.1150000000000001E-3</v>
      </c>
      <c r="AX81">
        <v>2.0726999999999998E-3</v>
      </c>
      <c r="AY81">
        <v>2.0379E-3</v>
      </c>
      <c r="AZ81">
        <v>1.9783000000000001E-3</v>
      </c>
      <c r="BA81">
        <v>1.9419000000000001E-3</v>
      </c>
      <c r="BB81">
        <v>1.9069E-3</v>
      </c>
      <c r="BC81">
        <v>1.872E-3</v>
      </c>
      <c r="BD81">
        <v>1.8400000000000001E-3</v>
      </c>
      <c r="BE81">
        <v>1.8117999999999999E-3</v>
      </c>
      <c r="BF81">
        <v>1.7841000000000001E-3</v>
      </c>
      <c r="BG81">
        <v>1.7542E-3</v>
      </c>
      <c r="BH81">
        <v>1.7248000000000001E-3</v>
      </c>
      <c r="BI81">
        <v>1.6976000000000001E-3</v>
      </c>
      <c r="BJ81">
        <v>1.6724000000000001E-3</v>
      </c>
      <c r="BK81">
        <v>1.6527E-3</v>
      </c>
      <c r="BL81">
        <v>1.6339E-3</v>
      </c>
      <c r="BM81">
        <v>1.6142000000000001E-3</v>
      </c>
      <c r="BN81">
        <v>1.5943999999999999E-3</v>
      </c>
      <c r="BO81">
        <v>1.5734E-3</v>
      </c>
      <c r="BP81">
        <v>1.5502000000000001E-3</v>
      </c>
      <c r="BQ81">
        <v>1.5207E-3</v>
      </c>
      <c r="BR81">
        <v>1.4851E-3</v>
      </c>
      <c r="BS81">
        <v>1.4178999999999999E-3</v>
      </c>
      <c r="BT81">
        <v>1.3856000000000001E-3</v>
      </c>
      <c r="BU81">
        <v>1.3523999999999999E-3</v>
      </c>
      <c r="BV81">
        <v>1.2780999999999999E-3</v>
      </c>
      <c r="BW81">
        <v>1.3351999999999999E-3</v>
      </c>
      <c r="BX81">
        <v>1.3208E-3</v>
      </c>
      <c r="BY81">
        <v>1.3139E-3</v>
      </c>
      <c r="BZ81">
        <v>1.3056999999999999E-3</v>
      </c>
      <c r="CA81">
        <v>1.2972000000000001E-3</v>
      </c>
      <c r="CB81">
        <v>1.2878E-3</v>
      </c>
      <c r="CC81">
        <v>1.2779E-3</v>
      </c>
      <c r="CD81">
        <v>1.2672E-3</v>
      </c>
      <c r="CE81">
        <v>1.256E-3</v>
      </c>
      <c r="CF81">
        <v>1.2443000000000001E-3</v>
      </c>
      <c r="CG81">
        <v>1.2321000000000001E-3</v>
      </c>
      <c r="CH81">
        <v>1.2195000000000001E-3</v>
      </c>
      <c r="CI81">
        <v>1.2067E-3</v>
      </c>
      <c r="CJ81">
        <v>1.1936E-3</v>
      </c>
      <c r="CK81">
        <v>1.1802E-3</v>
      </c>
      <c r="CL81">
        <v>1.1668E-3</v>
      </c>
      <c r="CM81">
        <v>1.1532000000000001E-3</v>
      </c>
      <c r="CN81">
        <v>1.1395000000000001E-3</v>
      </c>
      <c r="CO81">
        <v>1.1257000000000001E-3</v>
      </c>
      <c r="CP81">
        <v>1.1119000000000001E-3</v>
      </c>
      <c r="CQ81">
        <v>1.0981000000000001E-3</v>
      </c>
      <c r="CR81">
        <v>1.0843000000000001E-3</v>
      </c>
      <c r="CS81">
        <v>1.0705000000000001E-3</v>
      </c>
      <c r="CT81">
        <v>1.0568000000000001E-3</v>
      </c>
      <c r="CU81">
        <v>1.0430999999999999E-3</v>
      </c>
      <c r="CV81">
        <v>1.0294E-3</v>
      </c>
      <c r="CW81">
        <v>1.0158000000000001E-3</v>
      </c>
      <c r="CX81">
        <v>1.0023E-3</v>
      </c>
      <c r="CY81">
        <v>9.8879999999999997E-4</v>
      </c>
      <c r="CZ81">
        <v>9.7550000000000002E-4</v>
      </c>
      <c r="DA81">
        <v>9.6219999999999997E-4</v>
      </c>
      <c r="DB81">
        <v>9.4899999999999997E-4</v>
      </c>
      <c r="DC81">
        <v>9.3590000000000003E-4</v>
      </c>
      <c r="DD81">
        <v>9.2290000000000004E-4</v>
      </c>
      <c r="DE81">
        <v>9.1E-4</v>
      </c>
      <c r="DF81">
        <v>8.9729999999999996E-4</v>
      </c>
      <c r="DG81">
        <v>8.8460000000000003E-4</v>
      </c>
      <c r="DH81">
        <v>8.721E-4</v>
      </c>
      <c r="DI81">
        <v>8.5970000000000003E-4</v>
      </c>
      <c r="DJ81">
        <v>8.4749999999999995E-4</v>
      </c>
      <c r="DK81">
        <v>8.3529999999999997E-4</v>
      </c>
      <c r="DL81">
        <v>8.2339999999999996E-4</v>
      </c>
      <c r="DM81">
        <v>8.1150000000000005E-4</v>
      </c>
      <c r="DN81">
        <v>7.9980000000000003E-4</v>
      </c>
      <c r="DO81">
        <v>7.8830000000000002E-4</v>
      </c>
      <c r="DP81">
        <v>7.7689999999999996E-4</v>
      </c>
      <c r="DQ81">
        <v>5.3740200000000002E-2</v>
      </c>
      <c r="DR81">
        <v>0</v>
      </c>
      <c r="DS81">
        <v>5.02E-5</v>
      </c>
      <c r="DT81">
        <v>3.2509999999999999E-4</v>
      </c>
      <c r="DU81">
        <v>5.2300000000000003E-4</v>
      </c>
      <c r="DV81">
        <v>6.2290000000000002E-4</v>
      </c>
      <c r="DW81">
        <v>6.2419999999999999E-4</v>
      </c>
      <c r="DX81">
        <v>6.0249999999999995E-4</v>
      </c>
      <c r="DY81">
        <v>5.3030000000000004E-4</v>
      </c>
      <c r="DZ81">
        <v>4.861E-4</v>
      </c>
      <c r="EA81">
        <v>4.2470000000000002E-4</v>
      </c>
      <c r="EB81">
        <v>3.7940000000000001E-4</v>
      </c>
      <c r="EC81">
        <v>3.3799999999999998E-4</v>
      </c>
      <c r="ED81">
        <v>3.0239999999999998E-4</v>
      </c>
      <c r="EE81">
        <v>2.7040000000000001E-4</v>
      </c>
      <c r="EF81">
        <v>2.4279999999999999E-4</v>
      </c>
      <c r="EG81">
        <v>2.1819999999999999E-4</v>
      </c>
      <c r="EH81">
        <v>1.9770000000000001E-4</v>
      </c>
      <c r="EI81">
        <v>1.8039999999999999E-4</v>
      </c>
      <c r="EJ81">
        <v>1.649E-4</v>
      </c>
      <c r="EK81">
        <v>1.5109999999999999E-4</v>
      </c>
      <c r="EL81">
        <v>1.383E-4</v>
      </c>
      <c r="EM81">
        <v>1.2769999999999999E-4</v>
      </c>
      <c r="EN81">
        <v>1.183E-4</v>
      </c>
      <c r="EO81">
        <v>1.105E-4</v>
      </c>
      <c r="EP81">
        <v>1.025E-4</v>
      </c>
      <c r="EQ81">
        <v>9.59E-5</v>
      </c>
      <c r="ER81">
        <v>8.9900000000000003E-5</v>
      </c>
      <c r="ES81">
        <v>8.4599999999999996E-5</v>
      </c>
      <c r="ET81">
        <v>7.9699999999999999E-5</v>
      </c>
      <c r="EU81">
        <v>7.5199999999999998E-5</v>
      </c>
      <c r="EV81">
        <v>7.1199999999999996E-5</v>
      </c>
      <c r="EW81">
        <v>6.7600000000000003E-5</v>
      </c>
      <c r="EX81">
        <v>6.4200000000000002E-5</v>
      </c>
      <c r="EY81">
        <v>6.0800000000000001E-5</v>
      </c>
      <c r="EZ81">
        <v>5.8E-5</v>
      </c>
      <c r="FA81">
        <v>5.5300000000000002E-5</v>
      </c>
      <c r="FB81">
        <v>5.2800000000000003E-5</v>
      </c>
      <c r="FC81">
        <v>5.0500000000000001E-5</v>
      </c>
      <c r="FD81">
        <v>4.8399999999999997E-5</v>
      </c>
      <c r="FE81">
        <v>4.6400000000000003E-5</v>
      </c>
      <c r="FF81">
        <v>4.4499999999999997E-5</v>
      </c>
      <c r="FG81">
        <v>4.2799999999999997E-5</v>
      </c>
      <c r="FH81">
        <v>4.1300000000000001E-5</v>
      </c>
      <c r="FI81">
        <v>3.9900000000000001E-5</v>
      </c>
      <c r="FJ81">
        <v>3.8500000000000001E-5</v>
      </c>
      <c r="FK81">
        <v>3.7200000000000003E-5</v>
      </c>
      <c r="FL81">
        <v>3.6000000000000001E-5</v>
      </c>
      <c r="FM81">
        <v>3.4799999999999999E-5</v>
      </c>
      <c r="FN81">
        <v>3.3699999999999999E-5</v>
      </c>
      <c r="FO81">
        <v>3.2700000000000002E-5</v>
      </c>
      <c r="FP81">
        <v>3.1300000000000002E-5</v>
      </c>
      <c r="FQ81">
        <v>3.04E-5</v>
      </c>
      <c r="FR81">
        <v>2.9499999999999999E-5</v>
      </c>
      <c r="FS81">
        <v>2.87E-5</v>
      </c>
      <c r="FT81">
        <v>2.7900000000000001E-5</v>
      </c>
      <c r="FU81">
        <v>2.73E-5</v>
      </c>
      <c r="FV81">
        <v>2.6599999999999999E-5</v>
      </c>
      <c r="FW81">
        <v>2.5999999999999998E-5</v>
      </c>
      <c r="FX81">
        <v>2.5400000000000001E-5</v>
      </c>
      <c r="FY81">
        <v>2.4899999999999999E-5</v>
      </c>
      <c r="FZ81">
        <v>2.4300000000000001E-5</v>
      </c>
      <c r="GA81">
        <v>2.3900000000000002E-5</v>
      </c>
      <c r="GB81">
        <v>2.3600000000000001E-5</v>
      </c>
      <c r="GC81">
        <v>2.3200000000000001E-5</v>
      </c>
      <c r="GD81">
        <v>2.2799999999999999E-5</v>
      </c>
      <c r="GE81">
        <v>2.2399999999999999E-5</v>
      </c>
      <c r="GF81">
        <v>2.1999999999999999E-5</v>
      </c>
      <c r="GG81">
        <v>2.16E-5</v>
      </c>
      <c r="GH81">
        <v>2.0999999999999999E-5</v>
      </c>
      <c r="GI81">
        <v>2.0000000000000002E-5</v>
      </c>
      <c r="GJ81">
        <v>1.95E-5</v>
      </c>
      <c r="GK81">
        <v>1.9000000000000001E-5</v>
      </c>
      <c r="GL81">
        <v>1.8E-5</v>
      </c>
      <c r="GM81">
        <v>1.8700000000000001E-5</v>
      </c>
      <c r="GN81">
        <v>1.8499999999999999E-5</v>
      </c>
      <c r="GO81">
        <v>1.84E-5</v>
      </c>
      <c r="GP81">
        <v>1.8300000000000001E-5</v>
      </c>
      <c r="GQ81">
        <v>1.8199999999999999E-5</v>
      </c>
      <c r="GR81">
        <v>1.8E-5</v>
      </c>
      <c r="GS81">
        <v>1.7900000000000001E-5</v>
      </c>
      <c r="GT81">
        <v>1.77E-5</v>
      </c>
      <c r="GU81">
        <v>1.7600000000000001E-5</v>
      </c>
      <c r="GV81">
        <v>1.7399999999999999E-5</v>
      </c>
      <c r="GW81">
        <v>1.7200000000000001E-5</v>
      </c>
      <c r="GX81">
        <v>1.7099999999999999E-5</v>
      </c>
      <c r="GY81">
        <v>1.6900000000000001E-5</v>
      </c>
      <c r="GZ81">
        <v>1.6699999999999999E-5</v>
      </c>
      <c r="HA81">
        <v>1.6500000000000001E-5</v>
      </c>
      <c r="HB81">
        <v>1.63E-5</v>
      </c>
      <c r="HC81">
        <v>1.6099999999999998E-5</v>
      </c>
      <c r="HD81">
        <v>1.5999999999999999E-5</v>
      </c>
      <c r="HE81">
        <v>1.5800000000000001E-5</v>
      </c>
      <c r="HF81">
        <v>1.56E-5</v>
      </c>
      <c r="HG81">
        <v>1.5400000000000002E-5</v>
      </c>
      <c r="HH81">
        <v>1.52E-5</v>
      </c>
      <c r="HI81">
        <v>1.5E-5</v>
      </c>
      <c r="HJ81">
        <v>1.4800000000000001E-5</v>
      </c>
      <c r="HK81">
        <v>1.47E-5</v>
      </c>
      <c r="HL81">
        <v>1.45E-5</v>
      </c>
      <c r="HM81">
        <v>1.43E-5</v>
      </c>
      <c r="HN81">
        <v>1.4100000000000001E-5</v>
      </c>
      <c r="HO81">
        <v>1.3900000000000001E-5</v>
      </c>
      <c r="HP81">
        <v>1.3699999999999999E-5</v>
      </c>
      <c r="HQ81">
        <v>1.3499999999999999E-5</v>
      </c>
      <c r="HR81">
        <v>1.34E-5</v>
      </c>
      <c r="HS81">
        <v>1.3200000000000001E-5</v>
      </c>
      <c r="HT81">
        <v>1.2999999999999999E-5</v>
      </c>
      <c r="HU81">
        <v>1.2799999999999999E-5</v>
      </c>
      <c r="HV81">
        <v>1.27E-5</v>
      </c>
      <c r="HW81">
        <v>1.2500000000000001E-5</v>
      </c>
      <c r="HX81">
        <v>1.2300000000000001E-5</v>
      </c>
      <c r="HY81">
        <v>1.2099999999999999E-5</v>
      </c>
      <c r="HZ81">
        <v>1.2E-5</v>
      </c>
      <c r="IA81">
        <v>1.1800000000000001E-5</v>
      </c>
      <c r="IB81">
        <v>1.1600000000000001E-5</v>
      </c>
      <c r="IC81">
        <v>1.15E-5</v>
      </c>
      <c r="ID81">
        <v>1.13E-5</v>
      </c>
      <c r="IE81">
        <v>1.11E-5</v>
      </c>
      <c r="IF81">
        <v>1.1E-5</v>
      </c>
      <c r="IG81">
        <v>7.6320000000000001E-4</v>
      </c>
    </row>
    <row r="82" spans="1:241" x14ac:dyDescent="0.35">
      <c r="A82" s="1">
        <v>74</v>
      </c>
      <c r="B82">
        <v>1.0734799999999999E-2</v>
      </c>
      <c r="C82">
        <v>1.0734799999999999E-2</v>
      </c>
      <c r="D82">
        <v>1.0684600000000001E-2</v>
      </c>
      <c r="E82">
        <v>1.0359500000000001E-2</v>
      </c>
      <c r="F82">
        <v>9.8365999999999992E-3</v>
      </c>
      <c r="G82">
        <v>9.1505000000000006E-3</v>
      </c>
      <c r="H82">
        <v>8.5260000000000006E-3</v>
      </c>
      <c r="I82">
        <v>7.9269000000000006E-3</v>
      </c>
      <c r="J82">
        <v>7.3968999999999997E-3</v>
      </c>
      <c r="K82">
        <v>6.9077000000000001E-3</v>
      </c>
      <c r="L82">
        <v>6.4828999999999998E-3</v>
      </c>
      <c r="M82">
        <v>6.0981000000000004E-3</v>
      </c>
      <c r="N82">
        <v>5.7860000000000003E-3</v>
      </c>
      <c r="O82">
        <v>5.4815999999999997E-3</v>
      </c>
      <c r="P82">
        <v>5.2103000000000002E-3</v>
      </c>
      <c r="Q82">
        <v>4.9605999999999999E-3</v>
      </c>
      <c r="R82">
        <v>4.7236999999999999E-3</v>
      </c>
      <c r="S82">
        <v>4.5241999999999999E-3</v>
      </c>
      <c r="T82">
        <v>4.3572000000000003E-3</v>
      </c>
      <c r="U82">
        <v>4.1917999999999999E-3</v>
      </c>
      <c r="V82">
        <v>4.0394000000000003E-3</v>
      </c>
      <c r="W82">
        <v>3.8842999999999998E-3</v>
      </c>
      <c r="X82">
        <v>3.7559999999999998E-3</v>
      </c>
      <c r="Y82">
        <v>3.6376999999999998E-3</v>
      </c>
      <c r="Z82">
        <v>3.5404999999999998E-3</v>
      </c>
      <c r="AA82">
        <v>3.4237999999999998E-3</v>
      </c>
      <c r="AB82">
        <v>3.3281999999999999E-3</v>
      </c>
      <c r="AC82">
        <v>3.2380999999999998E-3</v>
      </c>
      <c r="AD82">
        <v>3.1527E-3</v>
      </c>
      <c r="AE82">
        <v>3.0718999999999998E-3</v>
      </c>
      <c r="AF82">
        <v>2.9945000000000002E-3</v>
      </c>
      <c r="AG82">
        <v>2.9218999999999998E-3</v>
      </c>
      <c r="AH82">
        <v>2.8544E-3</v>
      </c>
      <c r="AI82">
        <v>2.7899999999999999E-3</v>
      </c>
      <c r="AJ82">
        <v>2.7171000000000001E-3</v>
      </c>
      <c r="AK82">
        <v>2.6573999999999999E-3</v>
      </c>
      <c r="AL82">
        <v>2.5999999999999999E-3</v>
      </c>
      <c r="AM82">
        <v>2.5425999999999999E-3</v>
      </c>
      <c r="AN82">
        <v>2.4916000000000001E-3</v>
      </c>
      <c r="AO82">
        <v>2.4405999999999998E-3</v>
      </c>
      <c r="AP82">
        <v>2.3908000000000002E-3</v>
      </c>
      <c r="AQ82">
        <v>2.3444999999999998E-3</v>
      </c>
      <c r="AR82">
        <v>2.3012000000000002E-3</v>
      </c>
      <c r="AS82">
        <v>2.2629999999999998E-3</v>
      </c>
      <c r="AT82">
        <v>2.2276000000000002E-3</v>
      </c>
      <c r="AU82">
        <v>2.1917E-3</v>
      </c>
      <c r="AV82">
        <v>2.1535E-3</v>
      </c>
      <c r="AW82">
        <v>2.1167E-3</v>
      </c>
      <c r="AX82">
        <v>2.0801000000000001E-3</v>
      </c>
      <c r="AY82">
        <v>2.039E-3</v>
      </c>
      <c r="AZ82">
        <v>2.0052E-3</v>
      </c>
      <c r="BA82">
        <v>1.9469999999999999E-3</v>
      </c>
      <c r="BB82">
        <v>1.9115E-3</v>
      </c>
      <c r="BC82">
        <v>1.8772999999999999E-3</v>
      </c>
      <c r="BD82">
        <v>1.8433E-3</v>
      </c>
      <c r="BE82">
        <v>1.812E-3</v>
      </c>
      <c r="BF82">
        <v>1.7845000000000001E-3</v>
      </c>
      <c r="BG82">
        <v>1.7574000000000001E-3</v>
      </c>
      <c r="BH82">
        <v>1.7282E-3</v>
      </c>
      <c r="BI82">
        <v>1.6994E-3</v>
      </c>
      <c r="BJ82">
        <v>1.6727000000000001E-3</v>
      </c>
      <c r="BK82">
        <v>1.6481E-3</v>
      </c>
      <c r="BL82">
        <v>1.6287999999999999E-3</v>
      </c>
      <c r="BM82">
        <v>1.6103000000000001E-3</v>
      </c>
      <c r="BN82">
        <v>1.5911E-3</v>
      </c>
      <c r="BO82">
        <v>1.5716E-3</v>
      </c>
      <c r="BP82">
        <v>1.5509E-3</v>
      </c>
      <c r="BQ82">
        <v>1.5282E-3</v>
      </c>
      <c r="BR82">
        <v>1.4992E-3</v>
      </c>
      <c r="BS82">
        <v>1.4641000000000001E-3</v>
      </c>
      <c r="BT82">
        <v>1.3979000000000001E-3</v>
      </c>
      <c r="BU82">
        <v>1.3661000000000001E-3</v>
      </c>
      <c r="BV82">
        <v>1.3332999999999999E-3</v>
      </c>
      <c r="BW82">
        <v>1.2601999999999999E-3</v>
      </c>
      <c r="BX82">
        <v>1.3165E-3</v>
      </c>
      <c r="BY82">
        <v>1.3022000000000001E-3</v>
      </c>
      <c r="BZ82">
        <v>1.2953999999999999E-3</v>
      </c>
      <c r="CA82">
        <v>1.2874E-3</v>
      </c>
      <c r="CB82">
        <v>1.279E-3</v>
      </c>
      <c r="CC82">
        <v>1.2698E-3</v>
      </c>
      <c r="CD82">
        <v>1.2600000000000001E-3</v>
      </c>
      <c r="CE82">
        <v>1.2495E-3</v>
      </c>
      <c r="CF82">
        <v>1.2384E-3</v>
      </c>
      <c r="CG82">
        <v>1.2269E-3</v>
      </c>
      <c r="CH82">
        <v>1.2148E-3</v>
      </c>
      <c r="CI82">
        <v>1.2025E-3</v>
      </c>
      <c r="CJ82">
        <v>1.1898E-3</v>
      </c>
      <c r="CK82">
        <v>1.1769E-3</v>
      </c>
      <c r="CL82">
        <v>1.1636999999999999E-3</v>
      </c>
      <c r="CM82">
        <v>1.1504E-3</v>
      </c>
      <c r="CN82">
        <v>1.137E-3</v>
      </c>
      <c r="CO82">
        <v>1.1234999999999999E-3</v>
      </c>
      <c r="CP82">
        <v>1.1100000000000001E-3</v>
      </c>
      <c r="CQ82">
        <v>1.0964E-3</v>
      </c>
      <c r="CR82">
        <v>1.0827E-3</v>
      </c>
      <c r="CS82">
        <v>1.0690999999999999E-3</v>
      </c>
      <c r="CT82">
        <v>1.0555E-3</v>
      </c>
      <c r="CU82">
        <v>1.042E-3</v>
      </c>
      <c r="CV82">
        <v>1.0284000000000001E-3</v>
      </c>
      <c r="CW82">
        <v>1.0150000000000001E-3</v>
      </c>
      <c r="CX82">
        <v>1.0015E-3</v>
      </c>
      <c r="CY82">
        <v>9.8820000000000006E-4</v>
      </c>
      <c r="CZ82">
        <v>9.7490000000000001E-4</v>
      </c>
      <c r="DA82">
        <v>9.6170000000000001E-4</v>
      </c>
      <c r="DB82">
        <v>9.4859999999999996E-4</v>
      </c>
      <c r="DC82">
        <v>9.3559999999999997E-4</v>
      </c>
      <c r="DD82">
        <v>9.2270000000000004E-4</v>
      </c>
      <c r="DE82">
        <v>9.0990000000000005E-4</v>
      </c>
      <c r="DF82">
        <v>8.9720000000000002E-4</v>
      </c>
      <c r="DG82">
        <v>8.8460000000000003E-4</v>
      </c>
      <c r="DH82">
        <v>8.721E-4</v>
      </c>
      <c r="DI82">
        <v>8.5979999999999997E-4</v>
      </c>
      <c r="DJ82">
        <v>8.476E-4</v>
      </c>
      <c r="DK82">
        <v>8.3549999999999998E-4</v>
      </c>
      <c r="DL82">
        <v>8.2350000000000001E-4</v>
      </c>
      <c r="DM82">
        <v>8.1170000000000005E-4</v>
      </c>
      <c r="DN82">
        <v>8.0009999999999999E-4</v>
      </c>
      <c r="DO82">
        <v>7.8850000000000003E-4</v>
      </c>
      <c r="DP82">
        <v>7.7709999999999997E-4</v>
      </c>
      <c r="DQ82">
        <v>5.3742999999999999E-2</v>
      </c>
      <c r="DR82">
        <v>0</v>
      </c>
      <c r="DS82">
        <v>5.02E-5</v>
      </c>
      <c r="DT82">
        <v>3.2519999999999999E-4</v>
      </c>
      <c r="DU82">
        <v>5.2329999999999998E-4</v>
      </c>
      <c r="DV82">
        <v>6.3219999999999997E-4</v>
      </c>
      <c r="DW82">
        <v>6.1499999999999999E-4</v>
      </c>
      <c r="DX82">
        <v>5.9809999999999996E-4</v>
      </c>
      <c r="DY82">
        <v>5.2689999999999996E-4</v>
      </c>
      <c r="DZ82">
        <v>4.862E-4</v>
      </c>
      <c r="EA82">
        <v>4.2420000000000001E-4</v>
      </c>
      <c r="EB82">
        <v>3.8089999999999999E-4</v>
      </c>
      <c r="EC82">
        <v>3.3770000000000002E-4</v>
      </c>
      <c r="ED82">
        <v>3.0489999999999998E-4</v>
      </c>
      <c r="EE82">
        <v>2.7320000000000003E-4</v>
      </c>
      <c r="EF82">
        <v>2.4640000000000003E-4</v>
      </c>
      <c r="EG82">
        <v>2.2220000000000001E-4</v>
      </c>
      <c r="EH82">
        <v>2.008E-4</v>
      </c>
      <c r="EI82">
        <v>1.827E-4</v>
      </c>
      <c r="EJ82">
        <v>1.674E-4</v>
      </c>
      <c r="EK82">
        <v>1.5359999999999999E-4</v>
      </c>
      <c r="EL82">
        <v>1.4119999999999999E-4</v>
      </c>
      <c r="EM82">
        <v>1.2960000000000001E-4</v>
      </c>
      <c r="EN82">
        <v>1.199E-4</v>
      </c>
      <c r="EO82">
        <v>1.114E-4</v>
      </c>
      <c r="EP82">
        <v>1.042E-4</v>
      </c>
      <c r="EQ82">
        <v>9.6899999999999997E-5</v>
      </c>
      <c r="ER82">
        <v>9.0799999999999998E-5</v>
      </c>
      <c r="ES82">
        <v>8.5400000000000002E-5</v>
      </c>
      <c r="ET82">
        <v>8.0400000000000003E-5</v>
      </c>
      <c r="EU82">
        <v>7.5900000000000002E-5</v>
      </c>
      <c r="EV82">
        <v>7.1799999999999997E-5</v>
      </c>
      <c r="EW82">
        <v>6.8100000000000002E-5</v>
      </c>
      <c r="EX82">
        <v>6.4700000000000001E-5</v>
      </c>
      <c r="EY82">
        <v>6.1600000000000007E-5</v>
      </c>
      <c r="EZ82">
        <v>5.8400000000000003E-5</v>
      </c>
      <c r="FA82">
        <v>5.5699999999999999E-5</v>
      </c>
      <c r="FB82">
        <v>5.3300000000000001E-5</v>
      </c>
      <c r="FC82">
        <v>5.0899999999999997E-5</v>
      </c>
      <c r="FD82">
        <v>4.88E-5</v>
      </c>
      <c r="FE82">
        <v>4.6799999999999999E-5</v>
      </c>
      <c r="FF82">
        <v>4.49E-5</v>
      </c>
      <c r="FG82">
        <v>4.32E-5</v>
      </c>
      <c r="FH82">
        <v>4.1600000000000002E-5</v>
      </c>
      <c r="FI82">
        <v>4.0099999999999999E-5</v>
      </c>
      <c r="FJ82">
        <v>3.8800000000000001E-5</v>
      </c>
      <c r="FK82">
        <v>3.7599999999999999E-5</v>
      </c>
      <c r="FL82">
        <v>3.6300000000000001E-5</v>
      </c>
      <c r="FM82">
        <v>3.5200000000000002E-5</v>
      </c>
      <c r="FN82">
        <v>3.4100000000000002E-5</v>
      </c>
      <c r="FO82">
        <v>3.3000000000000003E-5</v>
      </c>
      <c r="FP82">
        <v>3.1999999999999999E-5</v>
      </c>
      <c r="FQ82">
        <v>3.0700000000000001E-5</v>
      </c>
      <c r="FR82">
        <v>2.9799999999999999E-5</v>
      </c>
      <c r="FS82">
        <v>2.9E-5</v>
      </c>
      <c r="FT82">
        <v>2.8200000000000001E-5</v>
      </c>
      <c r="FU82">
        <v>2.7500000000000001E-5</v>
      </c>
      <c r="FV82">
        <v>2.69E-5</v>
      </c>
      <c r="FW82">
        <v>2.6299999999999999E-5</v>
      </c>
      <c r="FX82">
        <v>2.5700000000000001E-5</v>
      </c>
      <c r="FY82">
        <v>2.51E-5</v>
      </c>
      <c r="FZ82">
        <v>2.4499999999999999E-5</v>
      </c>
      <c r="GA82">
        <v>2.41E-5</v>
      </c>
      <c r="GB82">
        <v>2.37E-5</v>
      </c>
      <c r="GC82">
        <v>2.3300000000000001E-5</v>
      </c>
      <c r="GD82">
        <v>2.2900000000000001E-5</v>
      </c>
      <c r="GE82">
        <v>2.26E-5</v>
      </c>
      <c r="GF82">
        <v>2.2200000000000001E-5</v>
      </c>
      <c r="GG82">
        <v>2.1800000000000001E-5</v>
      </c>
      <c r="GH82">
        <v>2.1299999999999999E-5</v>
      </c>
      <c r="GI82">
        <v>2.0800000000000001E-5</v>
      </c>
      <c r="GJ82">
        <v>1.98E-5</v>
      </c>
      <c r="GK82">
        <v>1.9300000000000002E-5</v>
      </c>
      <c r="GL82">
        <v>1.88E-5</v>
      </c>
      <c r="GM82">
        <v>1.7799999999999999E-5</v>
      </c>
      <c r="GN82">
        <v>1.8600000000000001E-5</v>
      </c>
      <c r="GO82">
        <v>1.8300000000000001E-5</v>
      </c>
      <c r="GP82">
        <v>1.8199999999999999E-5</v>
      </c>
      <c r="GQ82">
        <v>1.8099999999999999E-5</v>
      </c>
      <c r="GR82">
        <v>1.8E-5</v>
      </c>
      <c r="GS82">
        <v>1.7799999999999999E-5</v>
      </c>
      <c r="GT82">
        <v>1.77E-5</v>
      </c>
      <c r="GU82">
        <v>1.7499999999999998E-5</v>
      </c>
      <c r="GV82">
        <v>1.7399999999999999E-5</v>
      </c>
      <c r="GW82">
        <v>1.7200000000000001E-5</v>
      </c>
      <c r="GX82">
        <v>1.7E-5</v>
      </c>
      <c r="GY82">
        <v>1.6900000000000001E-5</v>
      </c>
      <c r="GZ82">
        <v>1.6699999999999999E-5</v>
      </c>
      <c r="HA82">
        <v>1.6500000000000001E-5</v>
      </c>
      <c r="HB82">
        <v>1.63E-5</v>
      </c>
      <c r="HC82">
        <v>1.6099999999999998E-5</v>
      </c>
      <c r="HD82">
        <v>1.5999999999999999E-5</v>
      </c>
      <c r="HE82">
        <v>1.5800000000000001E-5</v>
      </c>
      <c r="HF82">
        <v>1.56E-5</v>
      </c>
      <c r="HG82">
        <v>1.5400000000000002E-5</v>
      </c>
      <c r="HH82">
        <v>1.52E-5</v>
      </c>
      <c r="HI82">
        <v>1.5E-5</v>
      </c>
      <c r="HJ82">
        <v>1.4800000000000001E-5</v>
      </c>
      <c r="HK82">
        <v>1.47E-5</v>
      </c>
      <c r="HL82">
        <v>1.45E-5</v>
      </c>
      <c r="HM82">
        <v>1.43E-5</v>
      </c>
      <c r="HN82">
        <v>1.4100000000000001E-5</v>
      </c>
      <c r="HO82">
        <v>1.3900000000000001E-5</v>
      </c>
      <c r="HP82">
        <v>1.3699999999999999E-5</v>
      </c>
      <c r="HQ82">
        <v>1.36E-5</v>
      </c>
      <c r="HR82">
        <v>1.34E-5</v>
      </c>
      <c r="HS82">
        <v>1.3200000000000001E-5</v>
      </c>
      <c r="HT82">
        <v>1.2999999999999999E-5</v>
      </c>
      <c r="HU82">
        <v>1.2799999999999999E-5</v>
      </c>
      <c r="HV82">
        <v>1.27E-5</v>
      </c>
      <c r="HW82">
        <v>1.2500000000000001E-5</v>
      </c>
      <c r="HX82">
        <v>1.2300000000000001E-5</v>
      </c>
      <c r="HY82">
        <v>1.2099999999999999E-5</v>
      </c>
      <c r="HZ82">
        <v>1.2E-5</v>
      </c>
      <c r="IA82">
        <v>1.1800000000000001E-5</v>
      </c>
      <c r="IB82">
        <v>1.1600000000000001E-5</v>
      </c>
      <c r="IC82">
        <v>1.15E-5</v>
      </c>
      <c r="ID82">
        <v>1.13E-5</v>
      </c>
      <c r="IE82">
        <v>1.1199999999999999E-5</v>
      </c>
      <c r="IF82">
        <v>1.1E-5</v>
      </c>
      <c r="IG82">
        <v>7.6329999999999996E-4</v>
      </c>
    </row>
    <row r="83" spans="1:241" x14ac:dyDescent="0.35">
      <c r="A83" s="1">
        <v>75</v>
      </c>
      <c r="B83">
        <v>1.0734799999999999E-2</v>
      </c>
      <c r="C83">
        <v>1.0734799999999999E-2</v>
      </c>
      <c r="D83">
        <v>1.0684600000000001E-2</v>
      </c>
      <c r="E83">
        <v>1.0359500000000001E-2</v>
      </c>
      <c r="F83">
        <v>9.8361999999999998E-3</v>
      </c>
      <c r="G83">
        <v>9.2043999999999997E-3</v>
      </c>
      <c r="H83">
        <v>8.5354999999999997E-3</v>
      </c>
      <c r="I83">
        <v>7.9278999999999999E-3</v>
      </c>
      <c r="J83">
        <v>7.4000000000000003E-3</v>
      </c>
      <c r="K83">
        <v>6.9106999999999997E-3</v>
      </c>
      <c r="L83">
        <v>6.4836E-3</v>
      </c>
      <c r="M83">
        <v>6.1019999999999998E-3</v>
      </c>
      <c r="N83">
        <v>5.7603000000000003E-3</v>
      </c>
      <c r="O83">
        <v>5.4811E-3</v>
      </c>
      <c r="P83">
        <v>5.2084000000000002E-3</v>
      </c>
      <c r="Q83">
        <v>4.9639000000000003E-3</v>
      </c>
      <c r="R83">
        <v>4.7384000000000003E-3</v>
      </c>
      <c r="S83">
        <v>4.5230000000000001E-3</v>
      </c>
      <c r="T83">
        <v>4.3416000000000001E-3</v>
      </c>
      <c r="U83">
        <v>4.1897999999999996E-3</v>
      </c>
      <c r="V83">
        <v>4.0382999999999999E-3</v>
      </c>
      <c r="W83">
        <v>3.8982000000000001E-3</v>
      </c>
      <c r="X83">
        <v>3.7548E-3</v>
      </c>
      <c r="Y83">
        <v>3.6361000000000002E-3</v>
      </c>
      <c r="Z83">
        <v>3.5263999999999998E-3</v>
      </c>
      <c r="AA83">
        <v>3.4363000000000002E-3</v>
      </c>
      <c r="AB83">
        <v>3.3268999999999998E-3</v>
      </c>
      <c r="AC83">
        <v>3.2374000000000001E-3</v>
      </c>
      <c r="AD83">
        <v>3.1527E-3</v>
      </c>
      <c r="AE83">
        <v>3.0723E-3</v>
      </c>
      <c r="AF83">
        <v>2.996E-3</v>
      </c>
      <c r="AG83">
        <v>2.9226999999999999E-3</v>
      </c>
      <c r="AH83">
        <v>2.8538000000000001E-3</v>
      </c>
      <c r="AI83">
        <v>2.7897E-3</v>
      </c>
      <c r="AJ83">
        <v>2.7284000000000002E-3</v>
      </c>
      <c r="AK83">
        <v>2.6587E-3</v>
      </c>
      <c r="AL83">
        <v>2.6017000000000002E-3</v>
      </c>
      <c r="AM83">
        <v>2.5468000000000001E-3</v>
      </c>
      <c r="AN83">
        <v>2.4916999999999999E-3</v>
      </c>
      <c r="AO83">
        <v>2.4428000000000002E-3</v>
      </c>
      <c r="AP83">
        <v>2.3939E-3</v>
      </c>
      <c r="AQ83">
        <v>2.3459000000000002E-3</v>
      </c>
      <c r="AR83">
        <v>2.3013999999999999E-3</v>
      </c>
      <c r="AS83">
        <v>2.2596000000000001E-3</v>
      </c>
      <c r="AT83">
        <v>2.2228999999999999E-3</v>
      </c>
      <c r="AU83">
        <v>2.1887999999999999E-3</v>
      </c>
      <c r="AV83">
        <v>2.1542000000000002E-3</v>
      </c>
      <c r="AW83">
        <v>2.1170999999999998E-3</v>
      </c>
      <c r="AX83">
        <v>2.0815E-3</v>
      </c>
      <c r="AY83">
        <v>2.0460000000000001E-3</v>
      </c>
      <c r="AZ83">
        <v>2.006E-3</v>
      </c>
      <c r="BA83">
        <v>1.9732E-3</v>
      </c>
      <c r="BB83">
        <v>1.9162999999999999E-3</v>
      </c>
      <c r="BC83">
        <v>1.8817E-3</v>
      </c>
      <c r="BD83">
        <v>1.8483E-3</v>
      </c>
      <c r="BE83">
        <v>1.8151E-3</v>
      </c>
      <c r="BF83">
        <v>1.7845000000000001E-3</v>
      </c>
      <c r="BG83">
        <v>1.7577000000000001E-3</v>
      </c>
      <c r="BH83">
        <v>1.7311E-3</v>
      </c>
      <c r="BI83">
        <v>1.7025E-3</v>
      </c>
      <c r="BJ83">
        <v>1.6743000000000001E-3</v>
      </c>
      <c r="BK83">
        <v>1.6482000000000001E-3</v>
      </c>
      <c r="BL83">
        <v>1.624E-3</v>
      </c>
      <c r="BM83">
        <v>1.6050999999999999E-3</v>
      </c>
      <c r="BN83">
        <v>1.5870000000000001E-3</v>
      </c>
      <c r="BO83">
        <v>1.5681E-3</v>
      </c>
      <c r="BP83">
        <v>1.549E-3</v>
      </c>
      <c r="BQ83">
        <v>1.5288000000000001E-3</v>
      </c>
      <c r="BR83">
        <v>1.5064E-3</v>
      </c>
      <c r="BS83">
        <v>1.4779000000000001E-3</v>
      </c>
      <c r="BT83">
        <v>1.4433E-3</v>
      </c>
      <c r="BU83">
        <v>1.3780999999999999E-3</v>
      </c>
      <c r="BV83">
        <v>1.3468E-3</v>
      </c>
      <c r="BW83">
        <v>1.3144999999999999E-3</v>
      </c>
      <c r="BX83">
        <v>1.2424000000000001E-3</v>
      </c>
      <c r="BY83">
        <v>1.2979000000000001E-3</v>
      </c>
      <c r="BZ83">
        <v>1.2838999999999999E-3</v>
      </c>
      <c r="CA83">
        <v>1.2772E-3</v>
      </c>
      <c r="CB83">
        <v>1.2692999999999999E-3</v>
      </c>
      <c r="CC83">
        <v>1.261E-3</v>
      </c>
      <c r="CD83">
        <v>1.2519E-3</v>
      </c>
      <c r="CE83">
        <v>1.2423E-3</v>
      </c>
      <c r="CF83">
        <v>1.232E-3</v>
      </c>
      <c r="CG83">
        <v>1.2210999999999999E-3</v>
      </c>
      <c r="CH83">
        <v>1.2097E-3</v>
      </c>
      <c r="CI83">
        <v>1.1977999999999999E-3</v>
      </c>
      <c r="CJ83">
        <v>1.1856E-3</v>
      </c>
      <c r="CK83">
        <v>1.1731000000000001E-3</v>
      </c>
      <c r="CL83">
        <v>1.1603E-3</v>
      </c>
      <c r="CM83">
        <v>1.1474E-3</v>
      </c>
      <c r="CN83">
        <v>1.1343E-3</v>
      </c>
      <c r="CO83">
        <v>1.1211000000000001E-3</v>
      </c>
      <c r="CP83">
        <v>1.1077000000000001E-3</v>
      </c>
      <c r="CQ83">
        <v>1.0943999999999999E-3</v>
      </c>
      <c r="CR83">
        <v>1.0809000000000001E-3</v>
      </c>
      <c r="CS83">
        <v>1.0675000000000001E-3</v>
      </c>
      <c r="CT83">
        <v>1.0541000000000001E-3</v>
      </c>
      <c r="CU83">
        <v>1.0407000000000001E-3</v>
      </c>
      <c r="CV83">
        <v>1.0273000000000001E-3</v>
      </c>
      <c r="CW83">
        <v>1.0139999999999999E-3</v>
      </c>
      <c r="CX83">
        <v>1.0007E-3</v>
      </c>
      <c r="CY83">
        <v>9.8740000000000004E-4</v>
      </c>
      <c r="CZ83">
        <v>9.7429999999999999E-4</v>
      </c>
      <c r="DA83">
        <v>9.6120000000000005E-4</v>
      </c>
      <c r="DB83">
        <v>9.4819999999999995E-4</v>
      </c>
      <c r="DC83">
        <v>9.3530000000000002E-4</v>
      </c>
      <c r="DD83">
        <v>9.2239999999999998E-4</v>
      </c>
      <c r="DE83">
        <v>9.0970000000000005E-4</v>
      </c>
      <c r="DF83">
        <v>8.9700000000000001E-4</v>
      </c>
      <c r="DG83">
        <v>8.8449999999999998E-4</v>
      </c>
      <c r="DH83">
        <v>8.721E-4</v>
      </c>
      <c r="DI83">
        <v>8.5979999999999997E-4</v>
      </c>
      <c r="DJ83">
        <v>8.476E-4</v>
      </c>
      <c r="DK83">
        <v>8.3560000000000004E-4</v>
      </c>
      <c r="DL83">
        <v>8.2370000000000002E-4</v>
      </c>
      <c r="DM83">
        <v>8.1189999999999995E-4</v>
      </c>
      <c r="DN83">
        <v>8.0020000000000004E-4</v>
      </c>
      <c r="DO83">
        <v>7.8870000000000003E-4</v>
      </c>
      <c r="DP83">
        <v>7.7740000000000003E-4</v>
      </c>
      <c r="DQ83">
        <v>5.3745800000000003E-2</v>
      </c>
      <c r="DR83">
        <v>0</v>
      </c>
      <c r="DS83">
        <v>5.02E-5</v>
      </c>
      <c r="DT83">
        <v>3.2519999999999999E-4</v>
      </c>
      <c r="DU83">
        <v>5.2360000000000004E-4</v>
      </c>
      <c r="DV83">
        <v>6.3310000000000005E-4</v>
      </c>
      <c r="DW83">
        <v>6.2040000000000001E-4</v>
      </c>
      <c r="DX83">
        <v>5.9590000000000001E-4</v>
      </c>
      <c r="DY83">
        <v>5.2490000000000002E-4</v>
      </c>
      <c r="DZ83">
        <v>4.816E-4</v>
      </c>
      <c r="EA83">
        <v>4.2010000000000002E-4</v>
      </c>
      <c r="EB83">
        <v>3.7730000000000001E-4</v>
      </c>
      <c r="EC83">
        <v>3.347E-4</v>
      </c>
      <c r="ED83">
        <v>2.9999999999999997E-4</v>
      </c>
      <c r="EE83">
        <v>2.7030000000000001E-4</v>
      </c>
      <c r="EF83">
        <v>2.4360000000000001E-4</v>
      </c>
      <c r="EG83">
        <v>2.1990000000000001E-4</v>
      </c>
      <c r="EH83">
        <v>1.9919999999999999E-4</v>
      </c>
      <c r="EI83">
        <v>1.805E-4</v>
      </c>
      <c r="EJ83">
        <v>1.649E-4</v>
      </c>
      <c r="EK83">
        <v>1.516E-4</v>
      </c>
      <c r="EL83">
        <v>1.3960000000000001E-4</v>
      </c>
      <c r="EM83">
        <v>1.2870000000000001E-4</v>
      </c>
      <c r="EN83">
        <v>1.186E-4</v>
      </c>
      <c r="EO83">
        <v>1.1010000000000001E-4</v>
      </c>
      <c r="EP83">
        <v>1.027E-4</v>
      </c>
      <c r="EQ83">
        <v>9.6399999999999999E-5</v>
      </c>
      <c r="ER83">
        <v>9.0000000000000006E-5</v>
      </c>
      <c r="ES83">
        <v>8.4599999999999996E-5</v>
      </c>
      <c r="ET83">
        <v>7.9800000000000002E-5</v>
      </c>
      <c r="EU83">
        <v>7.5400000000000003E-5</v>
      </c>
      <c r="EV83">
        <v>7.1299999999999998E-5</v>
      </c>
      <c r="EW83">
        <v>6.7600000000000003E-5</v>
      </c>
      <c r="EX83">
        <v>6.4300000000000004E-5</v>
      </c>
      <c r="EY83">
        <v>6.1199999999999997E-5</v>
      </c>
      <c r="EZ83">
        <v>5.8400000000000003E-5</v>
      </c>
      <c r="FA83">
        <v>5.5500000000000001E-5</v>
      </c>
      <c r="FB83">
        <v>5.3000000000000001E-5</v>
      </c>
      <c r="FC83">
        <v>5.0699999999999999E-5</v>
      </c>
      <c r="FD83">
        <v>4.85E-5</v>
      </c>
      <c r="FE83">
        <v>4.6600000000000001E-5</v>
      </c>
      <c r="FF83">
        <v>4.4700000000000002E-5</v>
      </c>
      <c r="FG83">
        <v>4.3000000000000002E-5</v>
      </c>
      <c r="FH83">
        <v>4.1399999999999997E-5</v>
      </c>
      <c r="FI83">
        <v>3.9900000000000001E-5</v>
      </c>
      <c r="FJ83">
        <v>3.8600000000000003E-5</v>
      </c>
      <c r="FK83">
        <v>3.7400000000000001E-5</v>
      </c>
      <c r="FL83">
        <v>3.6199999999999999E-5</v>
      </c>
      <c r="FM83">
        <v>3.5099999999999999E-5</v>
      </c>
      <c r="FN83">
        <v>3.4E-5</v>
      </c>
      <c r="FO83">
        <v>3.3000000000000003E-5</v>
      </c>
      <c r="FP83">
        <v>3.1999999999999999E-5</v>
      </c>
      <c r="FQ83">
        <v>3.1099999999999997E-5</v>
      </c>
      <c r="FR83">
        <v>2.9799999999999999E-5</v>
      </c>
      <c r="FS83">
        <v>2.9E-5</v>
      </c>
      <c r="FT83">
        <v>2.8200000000000001E-5</v>
      </c>
      <c r="FU83">
        <v>2.7500000000000001E-5</v>
      </c>
      <c r="FV83">
        <v>2.6800000000000001E-5</v>
      </c>
      <c r="FW83">
        <v>2.62E-5</v>
      </c>
      <c r="FX83">
        <v>2.5700000000000001E-5</v>
      </c>
      <c r="FY83">
        <v>2.51E-5</v>
      </c>
      <c r="FZ83">
        <v>2.4499999999999999E-5</v>
      </c>
      <c r="GA83">
        <v>2.4000000000000001E-5</v>
      </c>
      <c r="GB83">
        <v>2.3600000000000001E-5</v>
      </c>
      <c r="GC83">
        <v>2.3200000000000001E-5</v>
      </c>
      <c r="GD83">
        <v>2.2799999999999999E-5</v>
      </c>
      <c r="GE83">
        <v>2.2500000000000001E-5</v>
      </c>
      <c r="GF83">
        <v>2.2099999999999998E-5</v>
      </c>
      <c r="GG83">
        <v>2.1800000000000001E-5</v>
      </c>
      <c r="GH83">
        <v>2.1399999999999998E-5</v>
      </c>
      <c r="GI83">
        <v>2.0999999999999999E-5</v>
      </c>
      <c r="GJ83">
        <v>2.0400000000000001E-5</v>
      </c>
      <c r="GK83">
        <v>1.95E-5</v>
      </c>
      <c r="GL83">
        <v>1.9000000000000001E-5</v>
      </c>
      <c r="GM83">
        <v>1.8499999999999999E-5</v>
      </c>
      <c r="GN83">
        <v>1.7499999999999998E-5</v>
      </c>
      <c r="GO83">
        <v>1.8300000000000001E-5</v>
      </c>
      <c r="GP83">
        <v>1.8099999999999999E-5</v>
      </c>
      <c r="GQ83">
        <v>1.7900000000000001E-5</v>
      </c>
      <c r="GR83">
        <v>1.7799999999999999E-5</v>
      </c>
      <c r="GS83">
        <v>1.77E-5</v>
      </c>
      <c r="GT83">
        <v>1.7600000000000001E-5</v>
      </c>
      <c r="GU83">
        <v>1.7399999999999999E-5</v>
      </c>
      <c r="GV83">
        <v>1.73E-5</v>
      </c>
      <c r="GW83">
        <v>1.7099999999999999E-5</v>
      </c>
      <c r="GX83">
        <v>1.7E-5</v>
      </c>
      <c r="GY83">
        <v>1.6799999999999998E-5</v>
      </c>
      <c r="GZ83">
        <v>1.66E-5</v>
      </c>
      <c r="HA83">
        <v>1.6500000000000001E-5</v>
      </c>
      <c r="HB83">
        <v>1.63E-5</v>
      </c>
      <c r="HC83">
        <v>1.6099999999999998E-5</v>
      </c>
      <c r="HD83">
        <v>1.59E-5</v>
      </c>
      <c r="HE83">
        <v>1.5699999999999999E-5</v>
      </c>
      <c r="HF83">
        <v>1.56E-5</v>
      </c>
      <c r="HG83">
        <v>1.5400000000000002E-5</v>
      </c>
      <c r="HH83">
        <v>1.52E-5</v>
      </c>
      <c r="HI83">
        <v>1.5E-5</v>
      </c>
      <c r="HJ83">
        <v>1.4800000000000001E-5</v>
      </c>
      <c r="HK83">
        <v>1.4600000000000001E-5</v>
      </c>
      <c r="HL83">
        <v>1.45E-5</v>
      </c>
      <c r="HM83">
        <v>1.43E-5</v>
      </c>
      <c r="HN83">
        <v>1.4100000000000001E-5</v>
      </c>
      <c r="HO83">
        <v>1.3900000000000001E-5</v>
      </c>
      <c r="HP83">
        <v>1.3699999999999999E-5</v>
      </c>
      <c r="HQ83">
        <v>1.3499999999999999E-5</v>
      </c>
      <c r="HR83">
        <v>1.34E-5</v>
      </c>
      <c r="HS83">
        <v>1.3200000000000001E-5</v>
      </c>
      <c r="HT83">
        <v>1.2999999999999999E-5</v>
      </c>
      <c r="HU83">
        <v>1.2799999999999999E-5</v>
      </c>
      <c r="HV83">
        <v>1.27E-5</v>
      </c>
      <c r="HW83">
        <v>1.2500000000000001E-5</v>
      </c>
      <c r="HX83">
        <v>1.2300000000000001E-5</v>
      </c>
      <c r="HY83">
        <v>1.2099999999999999E-5</v>
      </c>
      <c r="HZ83">
        <v>1.2E-5</v>
      </c>
      <c r="IA83">
        <v>1.1800000000000001E-5</v>
      </c>
      <c r="IB83">
        <v>1.1600000000000001E-5</v>
      </c>
      <c r="IC83">
        <v>1.15E-5</v>
      </c>
      <c r="ID83">
        <v>1.13E-5</v>
      </c>
      <c r="IE83">
        <v>1.1199999999999999E-5</v>
      </c>
      <c r="IF83">
        <v>1.1E-5</v>
      </c>
      <c r="IG83">
        <v>7.6329999999999996E-4</v>
      </c>
    </row>
    <row r="84" spans="1:241" x14ac:dyDescent="0.35">
      <c r="A84" s="1">
        <v>76</v>
      </c>
      <c r="B84">
        <v>1.0734799999999999E-2</v>
      </c>
      <c r="C84">
        <v>1.0734799999999999E-2</v>
      </c>
      <c r="D84">
        <v>1.0684600000000001E-2</v>
      </c>
      <c r="E84">
        <v>1.03594E-2</v>
      </c>
      <c r="F84">
        <v>9.8358000000000004E-3</v>
      </c>
      <c r="G84">
        <v>9.2031000000000005E-3</v>
      </c>
      <c r="H84">
        <v>8.5839999999999996E-3</v>
      </c>
      <c r="I84">
        <v>7.9395999999999998E-3</v>
      </c>
      <c r="J84">
        <v>7.4029999999999999E-3</v>
      </c>
      <c r="K84">
        <v>6.9182999999999996E-3</v>
      </c>
      <c r="L84">
        <v>6.4907000000000003E-3</v>
      </c>
      <c r="M84">
        <v>6.1063000000000003E-3</v>
      </c>
      <c r="N84">
        <v>5.7673000000000004E-3</v>
      </c>
      <c r="O84">
        <v>5.4603000000000004E-3</v>
      </c>
      <c r="P84">
        <v>5.2107999999999998E-3</v>
      </c>
      <c r="Q84">
        <v>4.9648000000000001E-3</v>
      </c>
      <c r="R84">
        <v>4.7438999999999997E-3</v>
      </c>
      <c r="S84">
        <v>4.5392999999999996E-3</v>
      </c>
      <c r="T84">
        <v>4.3423999999999997E-3</v>
      </c>
      <c r="U84">
        <v>4.1767000000000002E-3</v>
      </c>
      <c r="V84">
        <v>4.0381999999999996E-3</v>
      </c>
      <c r="W84">
        <v>3.8987000000000002E-3</v>
      </c>
      <c r="X84">
        <v>3.7694999999999998E-3</v>
      </c>
      <c r="Y84">
        <v>3.6362E-3</v>
      </c>
      <c r="Z84">
        <v>3.5260000000000001E-3</v>
      </c>
      <c r="AA84">
        <v>3.4237E-3</v>
      </c>
      <c r="AB84">
        <v>3.3398999999999998E-3</v>
      </c>
      <c r="AC84">
        <v>3.2369E-3</v>
      </c>
      <c r="AD84">
        <v>3.1527999999999999E-3</v>
      </c>
      <c r="AE84">
        <v>3.0728999999999999E-3</v>
      </c>
      <c r="AF84">
        <v>2.9968999999999998E-3</v>
      </c>
      <c r="AG84">
        <v>2.9245999999999999E-3</v>
      </c>
      <c r="AH84">
        <v>2.8551000000000002E-3</v>
      </c>
      <c r="AI84">
        <v>2.7896000000000002E-3</v>
      </c>
      <c r="AJ84">
        <v>2.7285E-3</v>
      </c>
      <c r="AK84">
        <v>2.6700999999999999E-3</v>
      </c>
      <c r="AL84">
        <v>2.6032E-3</v>
      </c>
      <c r="AM84">
        <v>2.5487000000000001E-3</v>
      </c>
      <c r="AN84">
        <v>2.4960999999999998E-3</v>
      </c>
      <c r="AO84">
        <v>2.4432E-3</v>
      </c>
      <c r="AP84">
        <v>2.3961999999999998E-3</v>
      </c>
      <c r="AQ84">
        <v>2.3492000000000001E-3</v>
      </c>
      <c r="AR84">
        <v>2.3029000000000001E-3</v>
      </c>
      <c r="AS84">
        <v>2.2599999999999999E-3</v>
      </c>
      <c r="AT84">
        <v>2.2196999999999998E-3</v>
      </c>
      <c r="AU84">
        <v>2.1843000000000001E-3</v>
      </c>
      <c r="AV84">
        <v>2.1515000000000002E-3</v>
      </c>
      <c r="AW84">
        <v>2.1178999999999998E-3</v>
      </c>
      <c r="AX84">
        <v>2.0820999999999999E-3</v>
      </c>
      <c r="AY84">
        <v>2.0474999999999998E-3</v>
      </c>
      <c r="AZ84">
        <v>2.013E-3</v>
      </c>
      <c r="BA84">
        <v>1.9740999999999999E-3</v>
      </c>
      <c r="BB84">
        <v>1.9421E-3</v>
      </c>
      <c r="BC84">
        <v>1.8864000000000001E-3</v>
      </c>
      <c r="BD84">
        <v>1.8527000000000001E-3</v>
      </c>
      <c r="BE84">
        <v>1.8201000000000001E-3</v>
      </c>
      <c r="BF84">
        <v>1.7876000000000001E-3</v>
      </c>
      <c r="BG84">
        <v>1.7577000000000001E-3</v>
      </c>
      <c r="BH84">
        <v>1.7313999999999999E-3</v>
      </c>
      <c r="BI84">
        <v>1.7055E-3</v>
      </c>
      <c r="BJ84">
        <v>1.6773999999999999E-3</v>
      </c>
      <c r="BK84">
        <v>1.6498000000000001E-3</v>
      </c>
      <c r="BL84">
        <v>1.6241999999999999E-3</v>
      </c>
      <c r="BM84">
        <v>1.6004000000000001E-3</v>
      </c>
      <c r="BN84">
        <v>1.5819E-3</v>
      </c>
      <c r="BO84">
        <v>1.5642E-3</v>
      </c>
      <c r="BP84">
        <v>1.5456999999999999E-3</v>
      </c>
      <c r="BQ84">
        <v>1.5269000000000001E-3</v>
      </c>
      <c r="BR84">
        <v>1.5070000000000001E-3</v>
      </c>
      <c r="BS84">
        <v>1.4848999999999999E-3</v>
      </c>
      <c r="BT84">
        <v>1.4568999999999999E-3</v>
      </c>
      <c r="BU84">
        <v>1.4228000000000001E-3</v>
      </c>
      <c r="BV84">
        <v>1.3586E-3</v>
      </c>
      <c r="BW84">
        <v>1.3278000000000001E-3</v>
      </c>
      <c r="BX84">
        <v>1.2960000000000001E-3</v>
      </c>
      <c r="BY84">
        <v>1.2248999999999999E-3</v>
      </c>
      <c r="BZ84">
        <v>1.2796000000000001E-3</v>
      </c>
      <c r="CA84">
        <v>1.2658999999999999E-3</v>
      </c>
      <c r="CB84">
        <v>1.2593000000000001E-3</v>
      </c>
      <c r="CC84">
        <v>1.2515E-3</v>
      </c>
      <c r="CD84">
        <v>1.2432999999999999E-3</v>
      </c>
      <c r="CE84">
        <v>1.2344000000000001E-3</v>
      </c>
      <c r="CF84">
        <v>1.2248999999999999E-3</v>
      </c>
      <c r="CG84">
        <v>1.2147E-3</v>
      </c>
      <c r="CH84">
        <v>1.2038999999999999E-3</v>
      </c>
      <c r="CI84">
        <v>1.1927000000000001E-3</v>
      </c>
      <c r="CJ84">
        <v>1.181E-3</v>
      </c>
      <c r="CK84">
        <v>1.1689999999999999E-3</v>
      </c>
      <c r="CL84">
        <v>1.1566E-3</v>
      </c>
      <c r="CM84">
        <v>1.1441000000000001E-3</v>
      </c>
      <c r="CN84">
        <v>1.1313E-3</v>
      </c>
      <c r="CO84">
        <v>1.1184000000000001E-3</v>
      </c>
      <c r="CP84">
        <v>1.1053E-3</v>
      </c>
      <c r="CQ84">
        <v>1.0922E-3</v>
      </c>
      <c r="CR84">
        <v>1.0790000000000001E-3</v>
      </c>
      <c r="CS84">
        <v>1.0658E-3</v>
      </c>
      <c r="CT84">
        <v>1.0525000000000001E-3</v>
      </c>
      <c r="CU84">
        <v>1.0392999999999999E-3</v>
      </c>
      <c r="CV84">
        <v>1.026E-3</v>
      </c>
      <c r="CW84">
        <v>1.0127999999999999E-3</v>
      </c>
      <c r="CX84">
        <v>9.9970000000000007E-4</v>
      </c>
      <c r="CY84">
        <v>9.8660000000000002E-4</v>
      </c>
      <c r="CZ84">
        <v>9.7349999999999997E-4</v>
      </c>
      <c r="DA84">
        <v>9.6049999999999998E-4</v>
      </c>
      <c r="DB84">
        <v>9.4760000000000005E-4</v>
      </c>
      <c r="DC84">
        <v>9.3479999999999995E-4</v>
      </c>
      <c r="DD84">
        <v>9.2210000000000002E-4</v>
      </c>
      <c r="DE84">
        <v>9.0939999999999999E-4</v>
      </c>
      <c r="DF84">
        <v>8.9680000000000001E-4</v>
      </c>
      <c r="DG84">
        <v>8.8440000000000003E-4</v>
      </c>
      <c r="DH84">
        <v>8.7200000000000005E-4</v>
      </c>
      <c r="DI84">
        <v>8.5979999999999997E-4</v>
      </c>
      <c r="DJ84">
        <v>8.4769999999999995E-4</v>
      </c>
      <c r="DK84">
        <v>8.3569999999999998E-4</v>
      </c>
      <c r="DL84">
        <v>8.2379999999999997E-4</v>
      </c>
      <c r="DM84">
        <v>8.12E-4</v>
      </c>
      <c r="DN84">
        <v>8.0040000000000005E-4</v>
      </c>
      <c r="DO84">
        <v>7.8890000000000004E-4</v>
      </c>
      <c r="DP84">
        <v>7.7760000000000004E-4</v>
      </c>
      <c r="DQ84">
        <v>5.3748900000000002E-2</v>
      </c>
      <c r="DR84">
        <v>0</v>
      </c>
      <c r="DS84">
        <v>5.02E-5</v>
      </c>
      <c r="DT84">
        <v>3.2529999999999999E-4</v>
      </c>
      <c r="DU84">
        <v>5.2360000000000004E-4</v>
      </c>
      <c r="DV84">
        <v>6.3369999999999995E-4</v>
      </c>
      <c r="DW84">
        <v>6.1550000000000005E-4</v>
      </c>
      <c r="DX84">
        <v>6.0420000000000005E-4</v>
      </c>
      <c r="DY84">
        <v>5.2959999999999997E-4</v>
      </c>
      <c r="DZ84">
        <v>4.839E-4</v>
      </c>
      <c r="EA84">
        <v>4.2309999999999998E-4</v>
      </c>
      <c r="EB84">
        <v>3.8010000000000002E-4</v>
      </c>
      <c r="EC84">
        <v>3.3609999999999998E-4</v>
      </c>
      <c r="ED84">
        <v>3.0130000000000001E-4</v>
      </c>
      <c r="EE84">
        <v>2.6939999999999999E-4</v>
      </c>
      <c r="EF84">
        <v>2.4399999999999999E-4</v>
      </c>
      <c r="EG84">
        <v>2.2020000000000001E-4</v>
      </c>
      <c r="EH84">
        <v>1.997E-4</v>
      </c>
      <c r="EI84">
        <v>1.8139999999999999E-4</v>
      </c>
      <c r="EJ84">
        <v>1.65E-4</v>
      </c>
      <c r="EK84">
        <v>1.5119999999999999E-4</v>
      </c>
      <c r="EL84">
        <v>1.395E-4</v>
      </c>
      <c r="EM84">
        <v>1.2879999999999999E-4</v>
      </c>
      <c r="EN84">
        <v>1.192E-4</v>
      </c>
      <c r="EO84">
        <v>1.102E-4</v>
      </c>
      <c r="EP84">
        <v>1.026E-4</v>
      </c>
      <c r="EQ84">
        <v>9.59E-5</v>
      </c>
      <c r="ER84">
        <v>9.0299999999999999E-5</v>
      </c>
      <c r="ES84">
        <v>8.4599999999999996E-5</v>
      </c>
      <c r="ET84">
        <v>7.9699999999999999E-5</v>
      </c>
      <c r="EU84">
        <v>7.5300000000000001E-5</v>
      </c>
      <c r="EV84">
        <v>7.1299999999999998E-5</v>
      </c>
      <c r="EW84">
        <v>6.7600000000000003E-5</v>
      </c>
      <c r="EX84">
        <v>6.4200000000000002E-5</v>
      </c>
      <c r="EY84">
        <v>6.1099999999999994E-5</v>
      </c>
      <c r="EZ84">
        <v>5.8300000000000001E-5</v>
      </c>
      <c r="FA84">
        <v>5.5699999999999999E-5</v>
      </c>
      <c r="FB84">
        <v>5.3000000000000001E-5</v>
      </c>
      <c r="FC84">
        <v>5.0699999999999999E-5</v>
      </c>
      <c r="FD84">
        <v>4.85E-5</v>
      </c>
      <c r="FE84">
        <v>4.6499999999999999E-5</v>
      </c>
      <c r="FF84">
        <v>4.4700000000000002E-5</v>
      </c>
      <c r="FG84">
        <v>4.2899999999999999E-5</v>
      </c>
      <c r="FH84">
        <v>4.1300000000000001E-5</v>
      </c>
      <c r="FI84">
        <v>3.9799999999999998E-5</v>
      </c>
      <c r="FJ84">
        <v>3.8399999999999998E-5</v>
      </c>
      <c r="FK84">
        <v>3.7200000000000003E-5</v>
      </c>
      <c r="FL84">
        <v>3.6100000000000003E-5</v>
      </c>
      <c r="FM84">
        <v>3.4999999999999997E-5</v>
      </c>
      <c r="FN84">
        <v>3.3899999999999997E-5</v>
      </c>
      <c r="FO84">
        <v>3.29E-5</v>
      </c>
      <c r="FP84">
        <v>3.1999999999999999E-5</v>
      </c>
      <c r="FQ84">
        <v>3.1000000000000001E-5</v>
      </c>
      <c r="FR84">
        <v>3.0199999999999999E-5</v>
      </c>
      <c r="FS84">
        <v>2.9E-5</v>
      </c>
      <c r="FT84">
        <v>2.8200000000000001E-5</v>
      </c>
      <c r="FU84">
        <v>2.7500000000000001E-5</v>
      </c>
      <c r="FV84">
        <v>2.6800000000000001E-5</v>
      </c>
      <c r="FW84">
        <v>2.6100000000000001E-5</v>
      </c>
      <c r="FX84">
        <v>2.5599999999999999E-5</v>
      </c>
      <c r="FY84">
        <v>2.5000000000000001E-5</v>
      </c>
      <c r="FZ84">
        <v>2.4499999999999999E-5</v>
      </c>
      <c r="GA84">
        <v>2.4000000000000001E-5</v>
      </c>
      <c r="GB84">
        <v>2.3499999999999999E-5</v>
      </c>
      <c r="GC84">
        <v>2.3E-5</v>
      </c>
      <c r="GD84">
        <v>2.27E-5</v>
      </c>
      <c r="GE84">
        <v>2.2399999999999999E-5</v>
      </c>
      <c r="GF84">
        <v>2.1999999999999999E-5</v>
      </c>
      <c r="GG84">
        <v>2.1699999999999999E-5</v>
      </c>
      <c r="GH84">
        <v>2.1399999999999998E-5</v>
      </c>
      <c r="GI84">
        <v>2.0999999999999999E-5</v>
      </c>
      <c r="GJ84">
        <v>2.0599999999999999E-5</v>
      </c>
      <c r="GK84">
        <v>2.0100000000000001E-5</v>
      </c>
      <c r="GL84">
        <v>1.91E-5</v>
      </c>
      <c r="GM84">
        <v>1.8700000000000001E-5</v>
      </c>
      <c r="GN84">
        <v>1.8199999999999999E-5</v>
      </c>
      <c r="GO84">
        <v>1.7200000000000001E-5</v>
      </c>
      <c r="GP84">
        <v>1.7900000000000001E-5</v>
      </c>
      <c r="GQ84">
        <v>1.77E-5</v>
      </c>
      <c r="GR84">
        <v>1.7600000000000001E-5</v>
      </c>
      <c r="GS84">
        <v>1.7499999999999998E-5</v>
      </c>
      <c r="GT84">
        <v>1.7399999999999999E-5</v>
      </c>
      <c r="GU84">
        <v>1.73E-5</v>
      </c>
      <c r="GV84">
        <v>1.7099999999999999E-5</v>
      </c>
      <c r="GW84">
        <v>1.7E-5</v>
      </c>
      <c r="GX84">
        <v>1.6900000000000001E-5</v>
      </c>
      <c r="GY84">
        <v>1.6699999999999999E-5</v>
      </c>
      <c r="GZ84">
        <v>1.6500000000000001E-5</v>
      </c>
      <c r="HA84">
        <v>1.6399999999999999E-5</v>
      </c>
      <c r="HB84">
        <v>1.6200000000000001E-5</v>
      </c>
      <c r="HC84">
        <v>1.5999999999999999E-5</v>
      </c>
      <c r="HD84">
        <v>1.59E-5</v>
      </c>
      <c r="HE84">
        <v>1.5699999999999999E-5</v>
      </c>
      <c r="HF84">
        <v>1.5500000000000001E-5</v>
      </c>
      <c r="HG84">
        <v>1.5299999999999999E-5</v>
      </c>
      <c r="HH84">
        <v>1.5099999999999999E-5</v>
      </c>
      <c r="HI84">
        <v>1.5E-5</v>
      </c>
      <c r="HJ84">
        <v>1.4800000000000001E-5</v>
      </c>
      <c r="HK84">
        <v>1.4600000000000001E-5</v>
      </c>
      <c r="HL84">
        <v>1.4399999999999999E-5</v>
      </c>
      <c r="HM84">
        <v>1.42E-5</v>
      </c>
      <c r="HN84">
        <v>1.4100000000000001E-5</v>
      </c>
      <c r="HO84">
        <v>1.3900000000000001E-5</v>
      </c>
      <c r="HP84">
        <v>1.3699999999999999E-5</v>
      </c>
      <c r="HQ84">
        <v>1.3499999999999999E-5</v>
      </c>
      <c r="HR84">
        <v>1.34E-5</v>
      </c>
      <c r="HS84">
        <v>1.3200000000000001E-5</v>
      </c>
      <c r="HT84">
        <v>1.2999999999999999E-5</v>
      </c>
      <c r="HU84">
        <v>1.2799999999999999E-5</v>
      </c>
      <c r="HV84">
        <v>1.27E-5</v>
      </c>
      <c r="HW84">
        <v>1.2500000000000001E-5</v>
      </c>
      <c r="HX84">
        <v>1.2300000000000001E-5</v>
      </c>
      <c r="HY84">
        <v>1.2099999999999999E-5</v>
      </c>
      <c r="HZ84">
        <v>1.2E-5</v>
      </c>
      <c r="IA84">
        <v>1.1800000000000001E-5</v>
      </c>
      <c r="IB84">
        <v>1.1600000000000001E-5</v>
      </c>
      <c r="IC84">
        <v>1.15E-5</v>
      </c>
      <c r="ID84">
        <v>1.13E-5</v>
      </c>
      <c r="IE84">
        <v>1.1199999999999999E-5</v>
      </c>
      <c r="IF84">
        <v>1.1E-5</v>
      </c>
      <c r="IG84">
        <v>7.6329999999999996E-4</v>
      </c>
    </row>
    <row r="85" spans="1:241" x14ac:dyDescent="0.35">
      <c r="A85" s="1">
        <v>77</v>
      </c>
      <c r="B85">
        <v>1.0734799999999999E-2</v>
      </c>
      <c r="C85">
        <v>1.0734799999999999E-2</v>
      </c>
      <c r="D85">
        <v>1.0684600000000001E-2</v>
      </c>
      <c r="E85">
        <v>1.03594E-2</v>
      </c>
      <c r="F85">
        <v>9.8358000000000004E-3</v>
      </c>
      <c r="G85">
        <v>9.2020999999999995E-3</v>
      </c>
      <c r="H85">
        <v>8.5874999999999996E-3</v>
      </c>
      <c r="I85">
        <v>7.9798000000000004E-3</v>
      </c>
      <c r="J85">
        <v>7.4099999999999999E-3</v>
      </c>
      <c r="K85">
        <v>6.9192000000000004E-3</v>
      </c>
      <c r="L85">
        <v>6.4951999999999996E-3</v>
      </c>
      <c r="M85">
        <v>6.1104999999999996E-3</v>
      </c>
      <c r="N85">
        <v>5.7701999999999996E-3</v>
      </c>
      <c r="O85">
        <v>5.4660000000000004E-3</v>
      </c>
      <c r="P85">
        <v>5.1910000000000003E-3</v>
      </c>
      <c r="Q85">
        <v>4.9668000000000004E-3</v>
      </c>
      <c r="R85">
        <v>4.7445999999999999E-3</v>
      </c>
      <c r="S85">
        <v>4.5443000000000002E-3</v>
      </c>
      <c r="T85">
        <v>4.3578999999999996E-3</v>
      </c>
      <c r="U85">
        <v>4.1774000000000004E-3</v>
      </c>
      <c r="V85">
        <v>4.0255000000000004E-3</v>
      </c>
      <c r="W85">
        <v>3.8987000000000002E-3</v>
      </c>
      <c r="X85">
        <v>3.7699000000000001E-3</v>
      </c>
      <c r="Y85">
        <v>3.6503E-3</v>
      </c>
      <c r="Z85">
        <v>3.5260000000000001E-3</v>
      </c>
      <c r="AA85">
        <v>3.4234000000000001E-3</v>
      </c>
      <c r="AB85">
        <v>3.3278000000000001E-3</v>
      </c>
      <c r="AC85">
        <v>3.2496000000000001E-3</v>
      </c>
      <c r="AD85">
        <v>3.1522999999999998E-3</v>
      </c>
      <c r="AE85">
        <v>3.0730000000000002E-3</v>
      </c>
      <c r="AF85">
        <v>2.9976E-3</v>
      </c>
      <c r="AG85">
        <v>2.9256E-3</v>
      </c>
      <c r="AH85">
        <v>2.8570000000000002E-3</v>
      </c>
      <c r="AI85">
        <v>2.7908E-3</v>
      </c>
      <c r="AJ85">
        <v>2.7284000000000002E-3</v>
      </c>
      <c r="AK85">
        <v>2.6702000000000002E-3</v>
      </c>
      <c r="AL85">
        <v>2.6143999999999998E-3</v>
      </c>
      <c r="AM85">
        <v>2.5503000000000001E-3</v>
      </c>
      <c r="AN85">
        <v>2.4981000000000001E-3</v>
      </c>
      <c r="AO85">
        <v>2.4475E-3</v>
      </c>
      <c r="AP85">
        <v>2.3966999999999999E-3</v>
      </c>
      <c r="AQ85">
        <v>2.3514999999999999E-3</v>
      </c>
      <c r="AR85">
        <v>2.3062E-3</v>
      </c>
      <c r="AS85">
        <v>2.2615999999999999E-3</v>
      </c>
      <c r="AT85">
        <v>2.2201999999999999E-3</v>
      </c>
      <c r="AU85">
        <v>2.1811999999999999E-3</v>
      </c>
      <c r="AV85">
        <v>2.1470999999999999E-3</v>
      </c>
      <c r="AW85">
        <v>2.1153999999999999E-3</v>
      </c>
      <c r="AX85">
        <v>2.0830000000000002E-3</v>
      </c>
      <c r="AY85">
        <v>2.0481000000000002E-3</v>
      </c>
      <c r="AZ85">
        <v>2.0146000000000001E-3</v>
      </c>
      <c r="BA85">
        <v>1.9811E-3</v>
      </c>
      <c r="BB85">
        <v>1.9430999999999999E-3</v>
      </c>
      <c r="BC85">
        <v>1.9119E-3</v>
      </c>
      <c r="BD85">
        <v>1.8573999999999999E-3</v>
      </c>
      <c r="BE85">
        <v>1.8244999999999999E-3</v>
      </c>
      <c r="BF85">
        <v>1.7926000000000001E-3</v>
      </c>
      <c r="BG85">
        <v>1.7608000000000001E-3</v>
      </c>
      <c r="BH85">
        <v>1.7315E-3</v>
      </c>
      <c r="BI85">
        <v>1.7057999999999999E-3</v>
      </c>
      <c r="BJ85">
        <v>1.6804999999999999E-3</v>
      </c>
      <c r="BK85">
        <v>1.6528999999999999E-3</v>
      </c>
      <c r="BL85">
        <v>1.6257999999999999E-3</v>
      </c>
      <c r="BM85">
        <v>1.6007E-3</v>
      </c>
      <c r="BN85">
        <v>1.5774000000000001E-3</v>
      </c>
      <c r="BO85">
        <v>1.5592E-3</v>
      </c>
      <c r="BP85">
        <v>1.5418000000000001E-3</v>
      </c>
      <c r="BQ85">
        <v>1.5236E-3</v>
      </c>
      <c r="BR85">
        <v>1.5051999999999999E-3</v>
      </c>
      <c r="BS85">
        <v>1.4855999999999999E-3</v>
      </c>
      <c r="BT85">
        <v>1.4639E-3</v>
      </c>
      <c r="BU85">
        <v>1.4362999999999999E-3</v>
      </c>
      <c r="BV85">
        <v>1.4028000000000001E-3</v>
      </c>
      <c r="BW85">
        <v>1.3395E-3</v>
      </c>
      <c r="BX85">
        <v>1.3091000000000001E-3</v>
      </c>
      <c r="BY85">
        <v>1.2777999999999999E-3</v>
      </c>
      <c r="BZ85">
        <v>1.2076999999999999E-3</v>
      </c>
      <c r="CA85">
        <v>1.2616999999999999E-3</v>
      </c>
      <c r="CB85">
        <v>1.2481E-3</v>
      </c>
      <c r="CC85">
        <v>1.2416E-3</v>
      </c>
      <c r="CD85">
        <v>1.2339E-3</v>
      </c>
      <c r="CE85">
        <v>1.2259E-3</v>
      </c>
      <c r="CF85">
        <v>1.2171E-3</v>
      </c>
      <c r="CG85">
        <v>1.2076999999999999E-3</v>
      </c>
      <c r="CH85">
        <v>1.1976999999999999E-3</v>
      </c>
      <c r="CI85">
        <v>1.1871E-3</v>
      </c>
      <c r="CJ85">
        <v>1.176E-3</v>
      </c>
      <c r="CK85">
        <v>1.1645E-3</v>
      </c>
      <c r="CL85">
        <v>1.1525999999999999E-3</v>
      </c>
      <c r="CM85">
        <v>1.1404E-3</v>
      </c>
      <c r="CN85">
        <v>1.1280000000000001E-3</v>
      </c>
      <c r="CO85">
        <v>1.1153999999999999E-3</v>
      </c>
      <c r="CP85">
        <v>1.1027000000000001E-3</v>
      </c>
      <c r="CQ85">
        <v>1.0897999999999999E-3</v>
      </c>
      <c r="CR85">
        <v>1.0769E-3</v>
      </c>
      <c r="CS85">
        <v>1.0637999999999999E-3</v>
      </c>
      <c r="CT85">
        <v>1.0508E-3</v>
      </c>
      <c r="CU85">
        <v>1.0376999999999999E-3</v>
      </c>
      <c r="CV85">
        <v>1.0246999999999999E-3</v>
      </c>
      <c r="CW85">
        <v>1.0116000000000001E-3</v>
      </c>
      <c r="CX85">
        <v>9.986000000000001E-4</v>
      </c>
      <c r="CY85">
        <v>9.856000000000001E-4</v>
      </c>
      <c r="CZ85">
        <v>9.7269999999999995E-4</v>
      </c>
      <c r="DA85">
        <v>9.5980000000000002E-4</v>
      </c>
      <c r="DB85">
        <v>9.4700000000000003E-4</v>
      </c>
      <c r="DC85">
        <v>9.343E-4</v>
      </c>
      <c r="DD85">
        <v>9.2159999999999996E-4</v>
      </c>
      <c r="DE85">
        <v>9.0910000000000003E-4</v>
      </c>
      <c r="DF85">
        <v>8.966E-4</v>
      </c>
      <c r="DG85">
        <v>8.8420000000000002E-4</v>
      </c>
      <c r="DH85">
        <v>8.719E-4</v>
      </c>
      <c r="DI85">
        <v>8.5970000000000003E-4</v>
      </c>
      <c r="DJ85">
        <v>8.476E-4</v>
      </c>
      <c r="DK85">
        <v>8.3569999999999998E-4</v>
      </c>
      <c r="DL85">
        <v>8.2379999999999997E-4</v>
      </c>
      <c r="DM85">
        <v>8.1209999999999995E-4</v>
      </c>
      <c r="DN85">
        <v>8.005E-4</v>
      </c>
      <c r="DO85">
        <v>7.8910000000000004E-4</v>
      </c>
      <c r="DP85">
        <v>7.7780000000000004E-4</v>
      </c>
      <c r="DQ85">
        <v>5.3752099999999997E-2</v>
      </c>
      <c r="DR85">
        <v>0</v>
      </c>
      <c r="DS85">
        <v>5.02E-5</v>
      </c>
      <c r="DT85">
        <v>3.2529999999999999E-4</v>
      </c>
      <c r="DU85">
        <v>5.241E-4</v>
      </c>
      <c r="DV85">
        <v>6.288E-4</v>
      </c>
      <c r="DW85">
        <v>6.1309999999999999E-4</v>
      </c>
      <c r="DX85">
        <v>6.0729999999999996E-4</v>
      </c>
      <c r="DY85">
        <v>5.3330000000000001E-4</v>
      </c>
      <c r="DZ85">
        <v>4.8420000000000001E-4</v>
      </c>
      <c r="EA85">
        <v>4.2319999999999999E-4</v>
      </c>
      <c r="EB85">
        <v>3.8039999999999998E-4</v>
      </c>
      <c r="EC85">
        <v>3.368E-4</v>
      </c>
      <c r="ED85">
        <v>3.0210000000000002E-4</v>
      </c>
      <c r="EE85">
        <v>2.7040000000000001E-4</v>
      </c>
      <c r="EF85">
        <v>2.4340000000000001E-4</v>
      </c>
      <c r="EG85">
        <v>2.209E-4</v>
      </c>
      <c r="EH85">
        <v>2.0029999999999999E-4</v>
      </c>
      <c r="EI85">
        <v>1.8220000000000001E-4</v>
      </c>
      <c r="EJ85">
        <v>1.661E-4</v>
      </c>
      <c r="EK85">
        <v>1.516E-4</v>
      </c>
      <c r="EL85">
        <v>1.394E-4</v>
      </c>
      <c r="EM85">
        <v>1.2899999999999999E-4</v>
      </c>
      <c r="EN85">
        <v>1.194E-4</v>
      </c>
      <c r="EO85">
        <v>1.108E-4</v>
      </c>
      <c r="EP85">
        <v>1.027E-4</v>
      </c>
      <c r="EQ85">
        <v>9.6000000000000002E-5</v>
      </c>
      <c r="ER85">
        <v>9.0000000000000006E-5</v>
      </c>
      <c r="ES85">
        <v>8.4900000000000004E-5</v>
      </c>
      <c r="ET85">
        <v>7.9699999999999999E-5</v>
      </c>
      <c r="EU85">
        <v>7.5300000000000001E-5</v>
      </c>
      <c r="EV85">
        <v>7.1299999999999998E-5</v>
      </c>
      <c r="EW85">
        <v>6.7600000000000003E-5</v>
      </c>
      <c r="EX85">
        <v>6.4200000000000002E-5</v>
      </c>
      <c r="EY85">
        <v>6.1099999999999994E-5</v>
      </c>
      <c r="EZ85">
        <v>5.8199999999999998E-5</v>
      </c>
      <c r="FA85">
        <v>5.5600000000000003E-5</v>
      </c>
      <c r="FB85">
        <v>5.3100000000000003E-5</v>
      </c>
      <c r="FC85">
        <v>5.0599999999999997E-5</v>
      </c>
      <c r="FD85">
        <v>4.85E-5</v>
      </c>
      <c r="FE85">
        <v>4.6499999999999999E-5</v>
      </c>
      <c r="FF85">
        <v>4.46E-5</v>
      </c>
      <c r="FG85">
        <v>4.2899999999999999E-5</v>
      </c>
      <c r="FH85">
        <v>4.1300000000000001E-5</v>
      </c>
      <c r="FI85">
        <v>3.9799999999999998E-5</v>
      </c>
      <c r="FJ85">
        <v>3.8399999999999998E-5</v>
      </c>
      <c r="FK85">
        <v>3.7100000000000001E-5</v>
      </c>
      <c r="FL85">
        <v>3.6000000000000001E-5</v>
      </c>
      <c r="FM85">
        <v>3.4900000000000001E-5</v>
      </c>
      <c r="FN85">
        <v>3.3899999999999997E-5</v>
      </c>
      <c r="FO85">
        <v>3.29E-5</v>
      </c>
      <c r="FP85">
        <v>3.1999999999999999E-5</v>
      </c>
      <c r="FQ85">
        <v>3.1099999999999997E-5</v>
      </c>
      <c r="FR85">
        <v>3.0199999999999999E-5</v>
      </c>
      <c r="FS85">
        <v>2.94E-5</v>
      </c>
      <c r="FT85">
        <v>2.83E-5</v>
      </c>
      <c r="FU85">
        <v>2.7500000000000001E-5</v>
      </c>
      <c r="FV85">
        <v>2.6800000000000001E-5</v>
      </c>
      <c r="FW85">
        <v>2.62E-5</v>
      </c>
      <c r="FX85">
        <v>2.5599999999999999E-5</v>
      </c>
      <c r="FY85">
        <v>2.5000000000000001E-5</v>
      </c>
      <c r="FZ85">
        <v>2.4499999999999999E-5</v>
      </c>
      <c r="GA85">
        <v>2.4000000000000001E-5</v>
      </c>
      <c r="GB85">
        <v>2.3499999999999999E-5</v>
      </c>
      <c r="GC85">
        <v>2.3E-5</v>
      </c>
      <c r="GD85">
        <v>2.26E-5</v>
      </c>
      <c r="GE85">
        <v>2.23E-5</v>
      </c>
      <c r="GF85">
        <v>2.1999999999999999E-5</v>
      </c>
      <c r="GG85">
        <v>2.16E-5</v>
      </c>
      <c r="GH85">
        <v>2.1299999999999999E-5</v>
      </c>
      <c r="GI85">
        <v>2.0999999999999999E-5</v>
      </c>
      <c r="GJ85">
        <v>2.0699999999999998E-5</v>
      </c>
      <c r="GK85">
        <v>2.02E-5</v>
      </c>
      <c r="GL85">
        <v>1.9700000000000001E-5</v>
      </c>
      <c r="GM85">
        <v>1.88E-5</v>
      </c>
      <c r="GN85">
        <v>1.84E-5</v>
      </c>
      <c r="GO85">
        <v>1.7900000000000001E-5</v>
      </c>
      <c r="GP85">
        <v>1.6900000000000001E-5</v>
      </c>
      <c r="GQ85">
        <v>1.77E-5</v>
      </c>
      <c r="GR85">
        <v>1.7499999999999998E-5</v>
      </c>
      <c r="GS85">
        <v>1.7399999999999999E-5</v>
      </c>
      <c r="GT85">
        <v>1.73E-5</v>
      </c>
      <c r="GU85">
        <v>1.7200000000000001E-5</v>
      </c>
      <c r="GV85">
        <v>1.7E-5</v>
      </c>
      <c r="GW85">
        <v>1.6900000000000001E-5</v>
      </c>
      <c r="GX85">
        <v>1.6799999999999998E-5</v>
      </c>
      <c r="GY85">
        <v>1.66E-5</v>
      </c>
      <c r="GZ85">
        <v>1.6500000000000001E-5</v>
      </c>
      <c r="HA85">
        <v>1.63E-5</v>
      </c>
      <c r="HB85">
        <v>1.6099999999999998E-5</v>
      </c>
      <c r="HC85">
        <v>1.5999999999999999E-5</v>
      </c>
      <c r="HD85">
        <v>1.5800000000000001E-5</v>
      </c>
      <c r="HE85">
        <v>1.56E-5</v>
      </c>
      <c r="HF85">
        <v>1.5500000000000001E-5</v>
      </c>
      <c r="HG85">
        <v>1.5299999999999999E-5</v>
      </c>
      <c r="HH85">
        <v>1.5099999999999999E-5</v>
      </c>
      <c r="HI85">
        <v>1.49E-5</v>
      </c>
      <c r="HJ85">
        <v>1.4800000000000001E-5</v>
      </c>
      <c r="HK85">
        <v>1.4600000000000001E-5</v>
      </c>
      <c r="HL85">
        <v>1.4399999999999999E-5</v>
      </c>
      <c r="HM85">
        <v>1.42E-5</v>
      </c>
      <c r="HN85">
        <v>1.4E-5</v>
      </c>
      <c r="HO85">
        <v>1.3900000000000001E-5</v>
      </c>
      <c r="HP85">
        <v>1.3699999999999999E-5</v>
      </c>
      <c r="HQ85">
        <v>1.3499999999999999E-5</v>
      </c>
      <c r="HR85">
        <v>1.33E-5</v>
      </c>
      <c r="HS85">
        <v>1.3200000000000001E-5</v>
      </c>
      <c r="HT85">
        <v>1.2999999999999999E-5</v>
      </c>
      <c r="HU85">
        <v>1.2799999999999999E-5</v>
      </c>
      <c r="HV85">
        <v>1.26E-5</v>
      </c>
      <c r="HW85">
        <v>1.2500000000000001E-5</v>
      </c>
      <c r="HX85">
        <v>1.2300000000000001E-5</v>
      </c>
      <c r="HY85">
        <v>1.2099999999999999E-5</v>
      </c>
      <c r="HZ85">
        <v>1.2E-5</v>
      </c>
      <c r="IA85">
        <v>1.1800000000000001E-5</v>
      </c>
      <c r="IB85">
        <v>1.1600000000000001E-5</v>
      </c>
      <c r="IC85">
        <v>1.15E-5</v>
      </c>
      <c r="ID85">
        <v>1.13E-5</v>
      </c>
      <c r="IE85">
        <v>1.1199999999999999E-5</v>
      </c>
      <c r="IF85">
        <v>1.1E-5</v>
      </c>
      <c r="IG85">
        <v>7.6329999999999996E-4</v>
      </c>
    </row>
    <row r="86" spans="1:241" x14ac:dyDescent="0.35">
      <c r="A86" s="1">
        <v>78</v>
      </c>
      <c r="B86">
        <v>1.0734799999999999E-2</v>
      </c>
      <c r="C86">
        <v>1.0734799999999999E-2</v>
      </c>
      <c r="D86">
        <v>1.0684600000000001E-2</v>
      </c>
      <c r="E86">
        <v>1.03593E-2</v>
      </c>
      <c r="F86">
        <v>9.8352999999999999E-3</v>
      </c>
      <c r="G86">
        <v>9.2069999999999999E-3</v>
      </c>
      <c r="H86">
        <v>8.5889E-3</v>
      </c>
      <c r="I86">
        <v>7.9801999999999998E-3</v>
      </c>
      <c r="J86">
        <v>7.4465E-3</v>
      </c>
      <c r="K86">
        <v>6.9258000000000002E-3</v>
      </c>
      <c r="L86">
        <v>6.496E-3</v>
      </c>
      <c r="M86">
        <v>6.1148000000000001E-3</v>
      </c>
      <c r="N86">
        <v>5.7736999999999997E-3</v>
      </c>
      <c r="O86">
        <v>5.4681E-3</v>
      </c>
      <c r="P86">
        <v>5.1955999999999999E-3</v>
      </c>
      <c r="Q86">
        <v>4.9474999999999996E-3</v>
      </c>
      <c r="R86">
        <v>4.7458999999999999E-3</v>
      </c>
      <c r="S86">
        <v>4.5443000000000002E-3</v>
      </c>
      <c r="T86">
        <v>4.3620999999999998E-3</v>
      </c>
      <c r="U86">
        <v>4.1917999999999999E-3</v>
      </c>
      <c r="V86">
        <v>4.0258000000000004E-3</v>
      </c>
      <c r="W86">
        <v>3.8861E-3</v>
      </c>
      <c r="X86">
        <v>3.7697999999999998E-3</v>
      </c>
      <c r="Y86">
        <v>3.6505000000000001E-3</v>
      </c>
      <c r="Z86">
        <v>3.5393999999999998E-3</v>
      </c>
      <c r="AA86">
        <v>3.4233000000000002E-3</v>
      </c>
      <c r="AB86">
        <v>3.3273999999999999E-3</v>
      </c>
      <c r="AC86">
        <v>3.2377999999999999E-3</v>
      </c>
      <c r="AD86">
        <v>3.1646999999999999E-3</v>
      </c>
      <c r="AE86">
        <v>3.0726E-3</v>
      </c>
      <c r="AF86">
        <v>2.9978000000000001E-3</v>
      </c>
      <c r="AG86">
        <v>2.9263000000000002E-3</v>
      </c>
      <c r="AH86">
        <v>2.8579999999999999E-3</v>
      </c>
      <c r="AI86">
        <v>2.7927999999999998E-3</v>
      </c>
      <c r="AJ86">
        <v>2.7298000000000001E-3</v>
      </c>
      <c r="AK86">
        <v>2.6702000000000002E-3</v>
      </c>
      <c r="AL86">
        <v>2.6145999999999999E-3</v>
      </c>
      <c r="AM86">
        <v>2.5612999999999999E-3</v>
      </c>
      <c r="AN86">
        <v>2.4995999999999998E-3</v>
      </c>
      <c r="AO86">
        <v>2.4496000000000001E-3</v>
      </c>
      <c r="AP86">
        <v>2.4009999999999999E-3</v>
      </c>
      <c r="AQ86">
        <v>2.3521000000000002E-3</v>
      </c>
      <c r="AR86">
        <v>2.3086000000000001E-3</v>
      </c>
      <c r="AS86">
        <v>2.2648999999999998E-3</v>
      </c>
      <c r="AT86">
        <v>2.2217999999999999E-3</v>
      </c>
      <c r="AU86">
        <v>2.1817999999999998E-3</v>
      </c>
      <c r="AV86">
        <v>2.1440999999999999E-3</v>
      </c>
      <c r="AW86">
        <v>2.1112000000000001E-3</v>
      </c>
      <c r="AX86">
        <v>2.0804999999999999E-3</v>
      </c>
      <c r="AY86">
        <v>2.0490999999999999E-3</v>
      </c>
      <c r="AZ86">
        <v>2.0152999999999998E-3</v>
      </c>
      <c r="BA86">
        <v>1.9826000000000002E-3</v>
      </c>
      <c r="BB86">
        <v>1.9499999999999999E-3</v>
      </c>
      <c r="BC86">
        <v>1.9128999999999999E-3</v>
      </c>
      <c r="BD86">
        <v>1.8825999999999999E-3</v>
      </c>
      <c r="BE86">
        <v>1.8292E-3</v>
      </c>
      <c r="BF86">
        <v>1.7968999999999999E-3</v>
      </c>
      <c r="BG86">
        <v>1.7657E-3</v>
      </c>
      <c r="BH86">
        <v>1.7346E-3</v>
      </c>
      <c r="BI86">
        <v>1.7060000000000001E-3</v>
      </c>
      <c r="BJ86">
        <v>1.6808000000000001E-3</v>
      </c>
      <c r="BK86">
        <v>1.6559000000000001E-3</v>
      </c>
      <c r="BL86">
        <v>1.6289E-3</v>
      </c>
      <c r="BM86">
        <v>1.6023000000000001E-3</v>
      </c>
      <c r="BN86">
        <v>1.5777E-3</v>
      </c>
      <c r="BO86">
        <v>1.5548000000000001E-3</v>
      </c>
      <c r="BP86">
        <v>1.537E-3</v>
      </c>
      <c r="BQ86">
        <v>1.5199E-3</v>
      </c>
      <c r="BR86">
        <v>1.5020000000000001E-3</v>
      </c>
      <c r="BS86">
        <v>1.4838E-3</v>
      </c>
      <c r="BT86">
        <v>1.4645999999999999E-3</v>
      </c>
      <c r="BU86">
        <v>1.4433E-3</v>
      </c>
      <c r="BV86">
        <v>1.4161E-3</v>
      </c>
      <c r="BW86">
        <v>1.3829999999999999E-3</v>
      </c>
      <c r="BX86">
        <v>1.3205999999999999E-3</v>
      </c>
      <c r="BY86">
        <v>1.2907000000000001E-3</v>
      </c>
      <c r="BZ86">
        <v>1.2599E-3</v>
      </c>
      <c r="CA86">
        <v>1.1908000000000001E-3</v>
      </c>
      <c r="CB86">
        <v>1.2440000000000001E-3</v>
      </c>
      <c r="CC86">
        <v>1.2306000000000001E-3</v>
      </c>
      <c r="CD86">
        <v>1.2243E-3</v>
      </c>
      <c r="CE86">
        <v>1.2167E-3</v>
      </c>
      <c r="CF86">
        <v>1.2087999999999999E-3</v>
      </c>
      <c r="CG86">
        <v>1.2001E-3</v>
      </c>
      <c r="CH86">
        <v>1.1908000000000001E-3</v>
      </c>
      <c r="CI86">
        <v>1.1808999999999999E-3</v>
      </c>
      <c r="CJ86">
        <v>1.1705000000000001E-3</v>
      </c>
      <c r="CK86">
        <v>1.1594999999999999E-3</v>
      </c>
      <c r="CL86">
        <v>1.1482E-3</v>
      </c>
      <c r="CM86">
        <v>1.1364999999999999E-3</v>
      </c>
      <c r="CN86">
        <v>1.1245000000000001E-3</v>
      </c>
      <c r="CO86">
        <v>1.1122E-3</v>
      </c>
      <c r="CP86">
        <v>1.0998E-3</v>
      </c>
      <c r="CQ86">
        <v>1.0872E-3</v>
      </c>
      <c r="CR86">
        <v>1.0744999999999999E-3</v>
      </c>
      <c r="CS86">
        <v>1.0617000000000001E-3</v>
      </c>
      <c r="CT86">
        <v>1.0489E-3</v>
      </c>
      <c r="CU86">
        <v>1.036E-3</v>
      </c>
      <c r="CV86">
        <v>1.0231000000000001E-3</v>
      </c>
      <c r="CW86">
        <v>1.0101999999999999E-3</v>
      </c>
      <c r="CX86">
        <v>9.9740000000000007E-4</v>
      </c>
      <c r="CY86">
        <v>9.8449999999999992E-4</v>
      </c>
      <c r="CZ86">
        <v>9.7170000000000004E-4</v>
      </c>
      <c r="DA86">
        <v>9.59E-4</v>
      </c>
      <c r="DB86">
        <v>9.4629999999999996E-4</v>
      </c>
      <c r="DC86">
        <v>9.3369999999999998E-4</v>
      </c>
      <c r="DD86">
        <v>9.211E-4</v>
      </c>
      <c r="DE86">
        <v>9.0859999999999997E-4</v>
      </c>
      <c r="DF86">
        <v>8.9619999999999999E-4</v>
      </c>
      <c r="DG86">
        <v>8.8389999999999996E-4</v>
      </c>
      <c r="DH86">
        <v>8.7169999999999999E-4</v>
      </c>
      <c r="DI86">
        <v>8.5959999999999997E-4</v>
      </c>
      <c r="DJ86">
        <v>8.476E-4</v>
      </c>
      <c r="DK86">
        <v>8.3569999999999998E-4</v>
      </c>
      <c r="DL86">
        <v>8.2390000000000002E-4</v>
      </c>
      <c r="DM86">
        <v>8.1220000000000001E-4</v>
      </c>
      <c r="DN86">
        <v>8.007E-4</v>
      </c>
      <c r="DO86">
        <v>7.8919999999999999E-4</v>
      </c>
      <c r="DP86">
        <v>7.7789999999999999E-4</v>
      </c>
      <c r="DQ86">
        <v>5.3755600000000001E-2</v>
      </c>
      <c r="DR86">
        <v>0</v>
      </c>
      <c r="DS86">
        <v>5.02E-5</v>
      </c>
      <c r="DT86">
        <v>3.2539999999999999E-4</v>
      </c>
      <c r="DU86">
        <v>5.2459999999999996E-4</v>
      </c>
      <c r="DV86">
        <v>6.2909999999999995E-4</v>
      </c>
      <c r="DW86">
        <v>6.1709999999999998E-4</v>
      </c>
      <c r="DX86">
        <v>6.0849999999999999E-4</v>
      </c>
      <c r="DY86">
        <v>5.3149999999999996E-4</v>
      </c>
      <c r="DZ86">
        <v>4.8769999999999998E-4</v>
      </c>
      <c r="EA86">
        <v>4.2460000000000002E-4</v>
      </c>
      <c r="EB86">
        <v>3.8079999999999999E-4</v>
      </c>
      <c r="EC86">
        <v>3.3740000000000002E-4</v>
      </c>
      <c r="ED86">
        <v>3.0259999999999998E-4</v>
      </c>
      <c r="EE86">
        <v>2.7040000000000001E-4</v>
      </c>
      <c r="EF86">
        <v>2.4340000000000001E-4</v>
      </c>
      <c r="EG86">
        <v>2.1939999999999999E-4</v>
      </c>
      <c r="EH86">
        <v>1.9990000000000001E-4</v>
      </c>
      <c r="EI86">
        <v>1.817E-4</v>
      </c>
      <c r="EJ86">
        <v>1.6589999999999999E-4</v>
      </c>
      <c r="EK86">
        <v>1.518E-4</v>
      </c>
      <c r="EL86">
        <v>1.3899999999999999E-4</v>
      </c>
      <c r="EM86">
        <v>1.282E-4</v>
      </c>
      <c r="EN86">
        <v>1.1909999999999999E-4</v>
      </c>
      <c r="EO86">
        <v>1.106E-4</v>
      </c>
      <c r="EP86">
        <v>1.03E-4</v>
      </c>
      <c r="EQ86">
        <v>9.59E-5</v>
      </c>
      <c r="ER86">
        <v>8.9900000000000003E-5</v>
      </c>
      <c r="ES86">
        <v>8.4499999999999994E-5</v>
      </c>
      <c r="ET86">
        <v>8.0000000000000007E-5</v>
      </c>
      <c r="EU86">
        <v>7.5300000000000001E-5</v>
      </c>
      <c r="EV86">
        <v>7.1299999999999998E-5</v>
      </c>
      <c r="EW86">
        <v>6.7700000000000006E-5</v>
      </c>
      <c r="EX86">
        <v>6.4399999999999993E-5</v>
      </c>
      <c r="EY86">
        <v>6.1199999999999997E-5</v>
      </c>
      <c r="EZ86">
        <v>5.8400000000000003E-5</v>
      </c>
      <c r="FA86">
        <v>5.5699999999999999E-5</v>
      </c>
      <c r="FB86">
        <v>5.3300000000000001E-5</v>
      </c>
      <c r="FC86">
        <v>5.1E-5</v>
      </c>
      <c r="FD86">
        <v>4.8699999999999998E-5</v>
      </c>
      <c r="FE86">
        <v>4.6699999999999997E-5</v>
      </c>
      <c r="FF86">
        <v>4.4799999999999998E-5</v>
      </c>
      <c r="FG86">
        <v>4.3099999999999997E-5</v>
      </c>
      <c r="FH86">
        <v>4.1499999999999999E-5</v>
      </c>
      <c r="FI86">
        <v>4.0000000000000003E-5</v>
      </c>
      <c r="FJ86">
        <v>3.8500000000000001E-5</v>
      </c>
      <c r="FK86">
        <v>3.7200000000000003E-5</v>
      </c>
      <c r="FL86">
        <v>3.6000000000000001E-5</v>
      </c>
      <c r="FM86">
        <v>3.4900000000000001E-5</v>
      </c>
      <c r="FN86">
        <v>3.3899999999999997E-5</v>
      </c>
      <c r="FO86">
        <v>3.3000000000000003E-5</v>
      </c>
      <c r="FP86">
        <v>3.1999999999999999E-5</v>
      </c>
      <c r="FQ86">
        <v>3.1199999999999999E-5</v>
      </c>
      <c r="FR86">
        <v>3.0300000000000001E-5</v>
      </c>
      <c r="FS86">
        <v>2.94E-5</v>
      </c>
      <c r="FT86">
        <v>2.87E-5</v>
      </c>
      <c r="FU86">
        <v>2.76E-5</v>
      </c>
      <c r="FV86">
        <v>2.69E-5</v>
      </c>
      <c r="FW86">
        <v>2.6299999999999999E-5</v>
      </c>
      <c r="FX86">
        <v>2.5599999999999999E-5</v>
      </c>
      <c r="FY86">
        <v>2.51E-5</v>
      </c>
      <c r="FZ86">
        <v>2.4600000000000002E-5</v>
      </c>
      <c r="GA86">
        <v>2.41E-5</v>
      </c>
      <c r="GB86">
        <v>2.3600000000000001E-5</v>
      </c>
      <c r="GC86">
        <v>2.3099999999999999E-5</v>
      </c>
      <c r="GD86">
        <v>2.26E-5</v>
      </c>
      <c r="GE86">
        <v>2.2200000000000001E-5</v>
      </c>
      <c r="GF86">
        <v>2.19E-5</v>
      </c>
      <c r="GG86">
        <v>2.16E-5</v>
      </c>
      <c r="GH86">
        <v>2.1299999999999999E-5</v>
      </c>
      <c r="GI86">
        <v>2.0999999999999999E-5</v>
      </c>
      <c r="GJ86">
        <v>2.0699999999999998E-5</v>
      </c>
      <c r="GK86">
        <v>2.0299999999999999E-5</v>
      </c>
      <c r="GL86">
        <v>1.9899999999999999E-5</v>
      </c>
      <c r="GM86">
        <v>1.9400000000000001E-5</v>
      </c>
      <c r="GN86">
        <v>1.8499999999999999E-5</v>
      </c>
      <c r="GO86">
        <v>1.8099999999999999E-5</v>
      </c>
      <c r="GP86">
        <v>1.77E-5</v>
      </c>
      <c r="GQ86">
        <v>1.6699999999999999E-5</v>
      </c>
      <c r="GR86">
        <v>1.7399999999999999E-5</v>
      </c>
      <c r="GS86">
        <v>1.7200000000000001E-5</v>
      </c>
      <c r="GT86">
        <v>1.7099999999999999E-5</v>
      </c>
      <c r="GU86">
        <v>1.7E-5</v>
      </c>
      <c r="GV86">
        <v>1.6900000000000001E-5</v>
      </c>
      <c r="GW86">
        <v>1.6799999999999998E-5</v>
      </c>
      <c r="GX86">
        <v>1.6699999999999999E-5</v>
      </c>
      <c r="GY86">
        <v>1.6500000000000001E-5</v>
      </c>
      <c r="GZ86">
        <v>1.6399999999999999E-5</v>
      </c>
      <c r="HA86">
        <v>1.6200000000000001E-5</v>
      </c>
      <c r="HB86">
        <v>1.6099999999999998E-5</v>
      </c>
      <c r="HC86">
        <v>1.59E-5</v>
      </c>
      <c r="HD86">
        <v>1.5800000000000001E-5</v>
      </c>
      <c r="HE86">
        <v>1.56E-5</v>
      </c>
      <c r="HF86">
        <v>1.5400000000000002E-5</v>
      </c>
      <c r="HG86">
        <v>1.5299999999999999E-5</v>
      </c>
      <c r="HH86">
        <v>1.5099999999999999E-5</v>
      </c>
      <c r="HI86">
        <v>1.49E-5</v>
      </c>
      <c r="HJ86">
        <v>1.47E-5</v>
      </c>
      <c r="HK86">
        <v>1.4600000000000001E-5</v>
      </c>
      <c r="HL86">
        <v>1.4399999999999999E-5</v>
      </c>
      <c r="HM86">
        <v>1.42E-5</v>
      </c>
      <c r="HN86">
        <v>1.4E-5</v>
      </c>
      <c r="HO86">
        <v>1.3900000000000001E-5</v>
      </c>
      <c r="HP86">
        <v>1.3699999999999999E-5</v>
      </c>
      <c r="HQ86">
        <v>1.3499999999999999E-5</v>
      </c>
      <c r="HR86">
        <v>1.33E-5</v>
      </c>
      <c r="HS86">
        <v>1.3200000000000001E-5</v>
      </c>
      <c r="HT86">
        <v>1.2999999999999999E-5</v>
      </c>
      <c r="HU86">
        <v>1.2799999999999999E-5</v>
      </c>
      <c r="HV86">
        <v>1.26E-5</v>
      </c>
      <c r="HW86">
        <v>1.2500000000000001E-5</v>
      </c>
      <c r="HX86">
        <v>1.2300000000000001E-5</v>
      </c>
      <c r="HY86">
        <v>1.2099999999999999E-5</v>
      </c>
      <c r="HZ86">
        <v>1.2E-5</v>
      </c>
      <c r="IA86">
        <v>1.1800000000000001E-5</v>
      </c>
      <c r="IB86">
        <v>1.1600000000000001E-5</v>
      </c>
      <c r="IC86">
        <v>1.15E-5</v>
      </c>
      <c r="ID86">
        <v>1.13E-5</v>
      </c>
      <c r="IE86">
        <v>1.1199999999999999E-5</v>
      </c>
      <c r="IF86">
        <v>1.1E-5</v>
      </c>
      <c r="IG86">
        <v>7.6340000000000002E-4</v>
      </c>
    </row>
    <row r="87" spans="1:241" x14ac:dyDescent="0.35">
      <c r="A87" s="1">
        <v>79</v>
      </c>
      <c r="B87">
        <v>1.0734799999999999E-2</v>
      </c>
      <c r="C87">
        <v>1.0734799999999999E-2</v>
      </c>
      <c r="D87">
        <v>1.0684600000000001E-2</v>
      </c>
      <c r="E87">
        <v>1.03593E-2</v>
      </c>
      <c r="F87">
        <v>9.8347E-3</v>
      </c>
      <c r="G87">
        <v>9.2061999999999995E-3</v>
      </c>
      <c r="H87">
        <v>8.5898999999999993E-3</v>
      </c>
      <c r="I87">
        <v>7.9804999999999997E-3</v>
      </c>
      <c r="J87">
        <v>7.4486999999999999E-3</v>
      </c>
      <c r="K87">
        <v>6.9588000000000002E-3</v>
      </c>
      <c r="L87">
        <v>6.5012000000000004E-3</v>
      </c>
      <c r="M87">
        <v>6.1152000000000003E-3</v>
      </c>
      <c r="N87">
        <v>5.7774000000000002E-3</v>
      </c>
      <c r="O87">
        <v>5.4710999999999996E-3</v>
      </c>
      <c r="P87">
        <v>5.1976000000000001E-3</v>
      </c>
      <c r="Q87">
        <v>4.9522000000000004E-3</v>
      </c>
      <c r="R87">
        <v>4.7280999999999998E-3</v>
      </c>
      <c r="S87">
        <v>4.5459999999999997E-3</v>
      </c>
      <c r="T87">
        <v>4.3626000000000003E-3</v>
      </c>
      <c r="U87">
        <v>4.1961999999999998E-3</v>
      </c>
      <c r="V87">
        <v>4.0400000000000002E-3</v>
      </c>
      <c r="W87">
        <v>3.8868000000000002E-3</v>
      </c>
      <c r="X87">
        <v>3.7579000000000002E-3</v>
      </c>
      <c r="Y87">
        <v>3.6507000000000002E-3</v>
      </c>
      <c r="Z87">
        <v>3.5398000000000001E-3</v>
      </c>
      <c r="AA87">
        <v>3.4364E-3</v>
      </c>
      <c r="AB87">
        <v>3.3273999999999999E-3</v>
      </c>
      <c r="AC87">
        <v>3.2374999999999999E-3</v>
      </c>
      <c r="AD87">
        <v>3.1532999999999999E-3</v>
      </c>
      <c r="AE87">
        <v>3.0847000000000001E-3</v>
      </c>
      <c r="AF87">
        <v>2.9973000000000001E-3</v>
      </c>
      <c r="AG87">
        <v>2.9264E-3</v>
      </c>
      <c r="AH87">
        <v>2.8586000000000002E-3</v>
      </c>
      <c r="AI87">
        <v>2.7937000000000001E-3</v>
      </c>
      <c r="AJ87">
        <v>2.7315E-3</v>
      </c>
      <c r="AK87">
        <v>2.6714E-3</v>
      </c>
      <c r="AL87">
        <v>2.6145000000000001E-3</v>
      </c>
      <c r="AM87">
        <v>2.5612999999999999E-3</v>
      </c>
      <c r="AN87">
        <v>2.5102000000000002E-3</v>
      </c>
      <c r="AO87">
        <v>2.4509000000000002E-3</v>
      </c>
      <c r="AP87">
        <v>2.4028999999999999E-3</v>
      </c>
      <c r="AQ87">
        <v>2.3562000000000001E-3</v>
      </c>
      <c r="AR87">
        <v>2.3089999999999999E-3</v>
      </c>
      <c r="AS87">
        <v>2.2671000000000002E-3</v>
      </c>
      <c r="AT87">
        <v>2.2249000000000001E-3</v>
      </c>
      <c r="AU87">
        <v>2.1833E-3</v>
      </c>
      <c r="AV87">
        <v>2.1446E-3</v>
      </c>
      <c r="AW87">
        <v>2.1080999999999999E-3</v>
      </c>
      <c r="AX87">
        <v>2.0761999999999998E-3</v>
      </c>
      <c r="AY87">
        <v>2.0465000000000001E-3</v>
      </c>
      <c r="AZ87">
        <v>2.0160999999999998E-3</v>
      </c>
      <c r="BA87">
        <v>1.9832000000000001E-3</v>
      </c>
      <c r="BB87">
        <v>1.9514999999999999E-3</v>
      </c>
      <c r="BC87">
        <v>1.9197000000000001E-3</v>
      </c>
      <c r="BD87">
        <v>1.8835E-3</v>
      </c>
      <c r="BE87">
        <v>1.8538999999999999E-3</v>
      </c>
      <c r="BF87">
        <v>1.8014999999999999E-3</v>
      </c>
      <c r="BG87">
        <v>1.7700000000000001E-3</v>
      </c>
      <c r="BH87">
        <v>1.7394999999999999E-3</v>
      </c>
      <c r="BI87">
        <v>1.709E-3</v>
      </c>
      <c r="BJ87">
        <v>1.6808999999999999E-3</v>
      </c>
      <c r="BK87">
        <v>1.6563000000000001E-3</v>
      </c>
      <c r="BL87">
        <v>1.6318999999999999E-3</v>
      </c>
      <c r="BM87">
        <v>1.6054000000000001E-3</v>
      </c>
      <c r="BN87">
        <v>1.5792E-3</v>
      </c>
      <c r="BO87">
        <v>1.555E-3</v>
      </c>
      <c r="BP87">
        <v>1.5326000000000001E-3</v>
      </c>
      <c r="BQ87">
        <v>1.5150000000000001E-3</v>
      </c>
      <c r="BR87">
        <v>1.4982999999999999E-3</v>
      </c>
      <c r="BS87">
        <v>1.4806999999999999E-3</v>
      </c>
      <c r="BT87">
        <v>1.4628E-3</v>
      </c>
      <c r="BU87">
        <v>1.4438999999999999E-3</v>
      </c>
      <c r="BV87">
        <v>1.4228999999999999E-3</v>
      </c>
      <c r="BW87">
        <v>1.3960999999999999E-3</v>
      </c>
      <c r="BX87">
        <v>1.3636E-3</v>
      </c>
      <c r="BY87">
        <v>1.3021E-3</v>
      </c>
      <c r="BZ87">
        <v>1.2726E-3</v>
      </c>
      <c r="CA87">
        <v>1.2421999999999999E-3</v>
      </c>
      <c r="CB87">
        <v>1.1741E-3</v>
      </c>
      <c r="CC87">
        <v>1.2266E-3</v>
      </c>
      <c r="CD87">
        <v>1.2133999999999999E-3</v>
      </c>
      <c r="CE87">
        <v>1.2071E-3</v>
      </c>
      <c r="CF87">
        <v>1.1996000000000001E-3</v>
      </c>
      <c r="CG87">
        <v>1.1918E-3</v>
      </c>
      <c r="CH87">
        <v>1.1833E-3</v>
      </c>
      <c r="CI87">
        <v>1.1742E-3</v>
      </c>
      <c r="CJ87">
        <v>1.1643999999999999E-3</v>
      </c>
      <c r="CK87">
        <v>1.1540999999999999E-3</v>
      </c>
      <c r="CL87">
        <v>1.1433000000000001E-3</v>
      </c>
      <c r="CM87">
        <v>1.1321E-3</v>
      </c>
      <c r="CN87">
        <v>1.1205E-3</v>
      </c>
      <c r="CO87">
        <v>1.1087E-3</v>
      </c>
      <c r="CP87">
        <v>1.0966000000000001E-3</v>
      </c>
      <c r="CQ87">
        <v>1.0843999999999999E-3</v>
      </c>
      <c r="CR87">
        <v>1.072E-3</v>
      </c>
      <c r="CS87">
        <v>1.0594000000000001E-3</v>
      </c>
      <c r="CT87">
        <v>1.0468000000000001E-3</v>
      </c>
      <c r="CU87">
        <v>1.0342000000000001E-3</v>
      </c>
      <c r="CV87">
        <v>1.0215000000000001E-3</v>
      </c>
      <c r="CW87">
        <v>1.0088E-3</v>
      </c>
      <c r="CX87">
        <v>9.9599999999999992E-4</v>
      </c>
      <c r="CY87">
        <v>9.833000000000001E-4</v>
      </c>
      <c r="CZ87">
        <v>9.7070000000000001E-4</v>
      </c>
      <c r="DA87">
        <v>9.5810000000000003E-4</v>
      </c>
      <c r="DB87">
        <v>9.4550000000000005E-4</v>
      </c>
      <c r="DC87">
        <v>9.3300000000000002E-4</v>
      </c>
      <c r="DD87">
        <v>9.2049999999999999E-4</v>
      </c>
      <c r="DE87">
        <v>9.0810000000000001E-4</v>
      </c>
      <c r="DF87">
        <v>8.9579999999999998E-4</v>
      </c>
      <c r="DG87">
        <v>8.8360000000000001E-4</v>
      </c>
      <c r="DH87">
        <v>8.7149999999999999E-4</v>
      </c>
      <c r="DI87">
        <v>8.5939999999999996E-4</v>
      </c>
      <c r="DJ87">
        <v>8.4749999999999995E-4</v>
      </c>
      <c r="DK87">
        <v>8.3560000000000004E-4</v>
      </c>
      <c r="DL87">
        <v>8.2390000000000002E-4</v>
      </c>
      <c r="DM87">
        <v>8.1220000000000001E-4</v>
      </c>
      <c r="DN87">
        <v>8.007E-4</v>
      </c>
      <c r="DO87">
        <v>7.8930000000000005E-4</v>
      </c>
      <c r="DP87">
        <v>7.7809999999999999E-4</v>
      </c>
      <c r="DQ87">
        <v>5.3759099999999997E-2</v>
      </c>
      <c r="DR87">
        <v>0</v>
      </c>
      <c r="DS87">
        <v>5.02E-5</v>
      </c>
      <c r="DT87">
        <v>3.2539999999999999E-4</v>
      </c>
      <c r="DU87">
        <v>5.2499999999999997E-4</v>
      </c>
      <c r="DV87">
        <v>6.3029999999999998E-4</v>
      </c>
      <c r="DW87">
        <v>6.1729999999999999E-4</v>
      </c>
      <c r="DX87">
        <v>6.0959999999999996E-4</v>
      </c>
      <c r="DY87">
        <v>5.3269999999999999E-4</v>
      </c>
      <c r="DZ87">
        <v>4.8979999999999998E-4</v>
      </c>
      <c r="EA87">
        <v>4.2850000000000001E-4</v>
      </c>
      <c r="EB87">
        <v>3.8190000000000001E-4</v>
      </c>
      <c r="EC87">
        <v>3.3809999999999998E-4</v>
      </c>
      <c r="ED87">
        <v>3.033E-4</v>
      </c>
      <c r="EE87">
        <v>2.7129999999999998E-4</v>
      </c>
      <c r="EF87">
        <v>2.441E-4</v>
      </c>
      <c r="EG87">
        <v>2.2020000000000001E-4</v>
      </c>
      <c r="EH87">
        <v>1.994E-4</v>
      </c>
      <c r="EI87">
        <v>1.8220000000000001E-4</v>
      </c>
      <c r="EJ87">
        <v>1.663E-4</v>
      </c>
      <c r="EK87">
        <v>1.5229999999999999E-4</v>
      </c>
      <c r="EL87">
        <v>1.3990000000000001E-4</v>
      </c>
      <c r="EM87">
        <v>1.2850000000000001E-4</v>
      </c>
      <c r="EN87">
        <v>1.189E-4</v>
      </c>
      <c r="EO87">
        <v>1.1069999999999999E-4</v>
      </c>
      <c r="EP87">
        <v>1.032E-4</v>
      </c>
      <c r="EQ87">
        <v>9.6399999999999999E-5</v>
      </c>
      <c r="ER87">
        <v>9.0000000000000006E-5</v>
      </c>
      <c r="ES87">
        <v>8.4599999999999996E-5</v>
      </c>
      <c r="ET87">
        <v>7.9699999999999999E-5</v>
      </c>
      <c r="EU87">
        <v>7.5699999999999997E-5</v>
      </c>
      <c r="EV87">
        <v>7.1299999999999998E-5</v>
      </c>
      <c r="EW87">
        <v>6.7700000000000006E-5</v>
      </c>
      <c r="EX87">
        <v>6.4399999999999993E-5</v>
      </c>
      <c r="EY87">
        <v>6.1299999999999999E-5</v>
      </c>
      <c r="EZ87">
        <v>5.8400000000000003E-5</v>
      </c>
      <c r="FA87">
        <v>5.5699999999999999E-5</v>
      </c>
      <c r="FB87">
        <v>5.3199999999999999E-5</v>
      </c>
      <c r="FC87">
        <v>5.1E-5</v>
      </c>
      <c r="FD87">
        <v>4.88E-5</v>
      </c>
      <c r="FE87">
        <v>4.6699999999999997E-5</v>
      </c>
      <c r="FF87">
        <v>4.4799999999999998E-5</v>
      </c>
      <c r="FG87">
        <v>4.3099999999999997E-5</v>
      </c>
      <c r="FH87">
        <v>4.1399999999999997E-5</v>
      </c>
      <c r="FI87">
        <v>3.9900000000000001E-5</v>
      </c>
      <c r="FJ87">
        <v>3.8500000000000001E-5</v>
      </c>
      <c r="FK87">
        <v>3.7200000000000003E-5</v>
      </c>
      <c r="FL87">
        <v>3.6000000000000001E-5</v>
      </c>
      <c r="FM87">
        <v>3.4799999999999999E-5</v>
      </c>
      <c r="FN87">
        <v>3.3800000000000002E-5</v>
      </c>
      <c r="FO87">
        <v>3.29E-5</v>
      </c>
      <c r="FP87">
        <v>3.1999999999999999E-5</v>
      </c>
      <c r="FQ87">
        <v>3.1099999999999997E-5</v>
      </c>
      <c r="FR87">
        <v>3.0300000000000001E-5</v>
      </c>
      <c r="FS87">
        <v>2.9499999999999999E-5</v>
      </c>
      <c r="FT87">
        <v>2.87E-5</v>
      </c>
      <c r="FU87">
        <v>2.8E-5</v>
      </c>
      <c r="FV87">
        <v>2.6999999999999999E-5</v>
      </c>
      <c r="FW87">
        <v>2.6299999999999999E-5</v>
      </c>
      <c r="FX87">
        <v>2.5700000000000001E-5</v>
      </c>
      <c r="FY87">
        <v>2.51E-5</v>
      </c>
      <c r="FZ87">
        <v>2.4499999999999999E-5</v>
      </c>
      <c r="GA87">
        <v>2.4000000000000001E-5</v>
      </c>
      <c r="GB87">
        <v>2.3600000000000001E-5</v>
      </c>
      <c r="GC87">
        <v>2.3099999999999999E-5</v>
      </c>
      <c r="GD87">
        <v>2.26E-5</v>
      </c>
      <c r="GE87">
        <v>2.2200000000000001E-5</v>
      </c>
      <c r="GF87">
        <v>2.1800000000000001E-5</v>
      </c>
      <c r="GG87">
        <v>2.1500000000000001E-5</v>
      </c>
      <c r="GH87">
        <v>2.12E-5</v>
      </c>
      <c r="GI87">
        <v>2.09E-5</v>
      </c>
      <c r="GJ87">
        <v>2.0599999999999999E-5</v>
      </c>
      <c r="GK87">
        <v>2.0299999999999999E-5</v>
      </c>
      <c r="GL87">
        <v>2.0000000000000002E-5</v>
      </c>
      <c r="GM87">
        <v>1.9599999999999999E-5</v>
      </c>
      <c r="GN87">
        <v>1.91E-5</v>
      </c>
      <c r="GO87">
        <v>1.8300000000000001E-5</v>
      </c>
      <c r="GP87">
        <v>1.7799999999999999E-5</v>
      </c>
      <c r="GQ87">
        <v>1.7399999999999999E-5</v>
      </c>
      <c r="GR87">
        <v>1.6399999999999999E-5</v>
      </c>
      <c r="GS87">
        <v>1.7200000000000001E-5</v>
      </c>
      <c r="GT87">
        <v>1.7E-5</v>
      </c>
      <c r="GU87">
        <v>1.6900000000000001E-5</v>
      </c>
      <c r="GV87">
        <v>1.6799999999999998E-5</v>
      </c>
      <c r="GW87">
        <v>1.6699999999999999E-5</v>
      </c>
      <c r="GX87">
        <v>1.6500000000000001E-5</v>
      </c>
      <c r="GY87">
        <v>1.6399999999999999E-5</v>
      </c>
      <c r="GZ87">
        <v>1.63E-5</v>
      </c>
      <c r="HA87">
        <v>1.6200000000000001E-5</v>
      </c>
      <c r="HB87">
        <v>1.5999999999999999E-5</v>
      </c>
      <c r="HC87">
        <v>1.59E-5</v>
      </c>
      <c r="HD87">
        <v>1.5699999999999999E-5</v>
      </c>
      <c r="HE87">
        <v>1.5500000000000001E-5</v>
      </c>
      <c r="HF87">
        <v>1.5400000000000002E-5</v>
      </c>
      <c r="HG87">
        <v>1.52E-5</v>
      </c>
      <c r="HH87">
        <v>1.5E-5</v>
      </c>
      <c r="HI87">
        <v>1.49E-5</v>
      </c>
      <c r="HJ87">
        <v>1.47E-5</v>
      </c>
      <c r="HK87">
        <v>1.45E-5</v>
      </c>
      <c r="HL87">
        <v>1.4399999999999999E-5</v>
      </c>
      <c r="HM87">
        <v>1.42E-5</v>
      </c>
      <c r="HN87">
        <v>1.4E-5</v>
      </c>
      <c r="HO87">
        <v>1.38E-5</v>
      </c>
      <c r="HP87">
        <v>1.3699999999999999E-5</v>
      </c>
      <c r="HQ87">
        <v>1.3499999999999999E-5</v>
      </c>
      <c r="HR87">
        <v>1.33E-5</v>
      </c>
      <c r="HS87">
        <v>1.31E-5</v>
      </c>
      <c r="HT87">
        <v>1.2999999999999999E-5</v>
      </c>
      <c r="HU87">
        <v>1.2799999999999999E-5</v>
      </c>
      <c r="HV87">
        <v>1.26E-5</v>
      </c>
      <c r="HW87">
        <v>1.2500000000000001E-5</v>
      </c>
      <c r="HX87">
        <v>1.2300000000000001E-5</v>
      </c>
      <c r="HY87">
        <v>1.2099999999999999E-5</v>
      </c>
      <c r="HZ87">
        <v>1.2E-5</v>
      </c>
      <c r="IA87">
        <v>1.1800000000000001E-5</v>
      </c>
      <c r="IB87">
        <v>1.1600000000000001E-5</v>
      </c>
      <c r="IC87">
        <v>1.15E-5</v>
      </c>
      <c r="ID87">
        <v>1.13E-5</v>
      </c>
      <c r="IE87">
        <v>1.1199999999999999E-5</v>
      </c>
      <c r="IF87">
        <v>1.1E-5</v>
      </c>
      <c r="IG87">
        <v>7.6340000000000002E-4</v>
      </c>
    </row>
    <row r="88" spans="1:241" x14ac:dyDescent="0.35">
      <c r="A88" s="1">
        <v>80</v>
      </c>
      <c r="B88">
        <v>1.0734799999999999E-2</v>
      </c>
      <c r="C88">
        <v>1.0734799999999999E-2</v>
      </c>
      <c r="D88">
        <v>1.0684600000000001E-2</v>
      </c>
      <c r="E88">
        <v>1.0359200000000001E-2</v>
      </c>
      <c r="F88">
        <v>9.8343000000000007E-3</v>
      </c>
      <c r="G88">
        <v>9.2043999999999997E-3</v>
      </c>
      <c r="H88">
        <v>8.5889E-3</v>
      </c>
      <c r="I88">
        <v>7.9802999999999992E-3</v>
      </c>
      <c r="J88">
        <v>7.4476999999999998E-3</v>
      </c>
      <c r="K88">
        <v>6.9588000000000002E-3</v>
      </c>
      <c r="L88">
        <v>6.5303000000000002E-3</v>
      </c>
      <c r="M88">
        <v>6.1193000000000003E-3</v>
      </c>
      <c r="N88">
        <v>5.7771000000000003E-3</v>
      </c>
      <c r="O88">
        <v>5.4739999999999997E-3</v>
      </c>
      <c r="P88">
        <v>5.1999000000000004E-3</v>
      </c>
      <c r="Q88">
        <v>4.9534999999999996E-3</v>
      </c>
      <c r="R88">
        <v>4.7320000000000001E-3</v>
      </c>
      <c r="S88">
        <v>4.5288000000000004E-3</v>
      </c>
      <c r="T88">
        <v>4.3638000000000001E-3</v>
      </c>
      <c r="U88">
        <v>4.1963E-3</v>
      </c>
      <c r="V88">
        <v>4.0438999999999996E-3</v>
      </c>
      <c r="W88">
        <v>3.9001000000000001E-3</v>
      </c>
      <c r="X88">
        <v>3.7583E-3</v>
      </c>
      <c r="Y88">
        <v>3.6389999999999999E-3</v>
      </c>
      <c r="Z88">
        <v>3.5398999999999999E-3</v>
      </c>
      <c r="AA88">
        <v>3.4366000000000002E-3</v>
      </c>
      <c r="AB88">
        <v>3.3398999999999998E-3</v>
      </c>
      <c r="AC88">
        <v>3.2374999999999999E-3</v>
      </c>
      <c r="AD88">
        <v>3.153E-3</v>
      </c>
      <c r="AE88">
        <v>3.0736000000000001E-3</v>
      </c>
      <c r="AF88">
        <v>3.009E-3</v>
      </c>
      <c r="AG88">
        <v>2.9258999999999999E-3</v>
      </c>
      <c r="AH88">
        <v>2.8587E-3</v>
      </c>
      <c r="AI88">
        <v>2.7942000000000002E-3</v>
      </c>
      <c r="AJ88">
        <v>2.7323999999999998E-3</v>
      </c>
      <c r="AK88">
        <v>2.6732000000000001E-3</v>
      </c>
      <c r="AL88">
        <v>2.6156999999999999E-3</v>
      </c>
      <c r="AM88">
        <v>2.5612999999999999E-3</v>
      </c>
      <c r="AN88">
        <v>2.5103E-3</v>
      </c>
      <c r="AO88">
        <v>2.4613999999999999E-3</v>
      </c>
      <c r="AP88">
        <v>2.4042999999999998E-3</v>
      </c>
      <c r="AQ88">
        <v>2.3581000000000001E-3</v>
      </c>
      <c r="AR88">
        <v>2.3130999999999998E-3</v>
      </c>
      <c r="AS88">
        <v>2.2675999999999998E-3</v>
      </c>
      <c r="AT88">
        <v>2.2271999999999999E-3</v>
      </c>
      <c r="AU88">
        <v>2.1863999999999998E-3</v>
      </c>
      <c r="AV88">
        <v>2.1461000000000002E-3</v>
      </c>
      <c r="AW88">
        <v>2.1086E-3</v>
      </c>
      <c r="AX88">
        <v>2.0733000000000001E-3</v>
      </c>
      <c r="AY88">
        <v>2.0424000000000002E-3</v>
      </c>
      <c r="AZ88">
        <v>2.0135999999999999E-3</v>
      </c>
      <c r="BA88">
        <v>1.9840999999999999E-3</v>
      </c>
      <c r="BB88">
        <v>1.9521E-3</v>
      </c>
      <c r="BC88">
        <v>1.9212000000000001E-3</v>
      </c>
      <c r="BD88">
        <v>1.8902000000000001E-3</v>
      </c>
      <c r="BE88">
        <v>1.8548E-3</v>
      </c>
      <c r="BF88">
        <v>1.8259000000000001E-3</v>
      </c>
      <c r="BG88">
        <v>1.7746000000000001E-3</v>
      </c>
      <c r="BH88">
        <v>1.7436999999999999E-3</v>
      </c>
      <c r="BI88">
        <v>1.7137999999999999E-3</v>
      </c>
      <c r="BJ88">
        <v>1.6838999999999999E-3</v>
      </c>
      <c r="BK88">
        <v>1.6563999999999999E-3</v>
      </c>
      <c r="BL88">
        <v>1.6322000000000001E-3</v>
      </c>
      <c r="BM88">
        <v>1.6083E-3</v>
      </c>
      <c r="BN88">
        <v>1.5823E-3</v>
      </c>
      <c r="BO88">
        <v>1.5566E-3</v>
      </c>
      <c r="BP88">
        <v>1.5328E-3</v>
      </c>
      <c r="BQ88">
        <v>1.5107E-3</v>
      </c>
      <c r="BR88">
        <v>1.4935E-3</v>
      </c>
      <c r="BS88">
        <v>1.4771000000000001E-3</v>
      </c>
      <c r="BT88">
        <v>1.4598E-3</v>
      </c>
      <c r="BU88">
        <v>1.4422E-3</v>
      </c>
      <c r="BV88">
        <v>1.4235999999999999E-3</v>
      </c>
      <c r="BW88">
        <v>1.4028999999999999E-3</v>
      </c>
      <c r="BX88">
        <v>1.3764999999999999E-3</v>
      </c>
      <c r="BY88">
        <v>1.3445E-3</v>
      </c>
      <c r="BZ88">
        <v>1.2838000000000001E-3</v>
      </c>
      <c r="CA88">
        <v>1.2547999999999999E-3</v>
      </c>
      <c r="CB88">
        <v>1.2248000000000001E-3</v>
      </c>
      <c r="CC88">
        <v>1.1577E-3</v>
      </c>
      <c r="CD88">
        <v>1.2094E-3</v>
      </c>
      <c r="CE88">
        <v>1.1964E-3</v>
      </c>
      <c r="CF88">
        <v>1.1902E-3</v>
      </c>
      <c r="CG88">
        <v>1.1827999999999999E-3</v>
      </c>
      <c r="CH88">
        <v>1.1751999999999999E-3</v>
      </c>
      <c r="CI88">
        <v>1.1666999999999999E-3</v>
      </c>
      <c r="CJ88">
        <v>1.1577E-3</v>
      </c>
      <c r="CK88">
        <v>1.1481E-3</v>
      </c>
      <c r="CL88">
        <v>1.1379000000000001E-3</v>
      </c>
      <c r="CM88">
        <v>1.1272999999999999E-3</v>
      </c>
      <c r="CN88">
        <v>1.1161999999999999E-3</v>
      </c>
      <c r="CO88">
        <v>1.1048E-3</v>
      </c>
      <c r="CP88">
        <v>1.0931999999999999E-3</v>
      </c>
      <c r="CQ88">
        <v>1.0813000000000001E-3</v>
      </c>
      <c r="CR88">
        <v>1.0692E-3</v>
      </c>
      <c r="CS88">
        <v>1.0568999999999999E-3</v>
      </c>
      <c r="CT88">
        <v>1.0445999999999999E-3</v>
      </c>
      <c r="CU88">
        <v>1.0321E-3</v>
      </c>
      <c r="CV88">
        <v>1.0196000000000001E-3</v>
      </c>
      <c r="CW88">
        <v>1.0070999999999999E-3</v>
      </c>
      <c r="CX88">
        <v>9.946E-4</v>
      </c>
      <c r="CY88">
        <v>9.8200000000000002E-4</v>
      </c>
      <c r="CZ88">
        <v>9.6949999999999998E-4</v>
      </c>
      <c r="DA88">
        <v>9.5699999999999995E-4</v>
      </c>
      <c r="DB88">
        <v>9.4459999999999998E-4</v>
      </c>
      <c r="DC88">
        <v>9.322E-4</v>
      </c>
      <c r="DD88">
        <v>9.1980000000000002E-4</v>
      </c>
      <c r="DE88">
        <v>9.075E-4</v>
      </c>
      <c r="DF88">
        <v>8.9530000000000002E-4</v>
      </c>
      <c r="DG88">
        <v>8.832E-4</v>
      </c>
      <c r="DH88">
        <v>8.7109999999999998E-4</v>
      </c>
      <c r="DI88">
        <v>8.5919999999999996E-4</v>
      </c>
      <c r="DJ88">
        <v>8.4730000000000005E-4</v>
      </c>
      <c r="DK88">
        <v>8.3549999999999998E-4</v>
      </c>
      <c r="DL88">
        <v>8.2379999999999997E-4</v>
      </c>
      <c r="DM88">
        <v>8.1220000000000001E-4</v>
      </c>
      <c r="DN88">
        <v>8.0079999999999995E-4</v>
      </c>
      <c r="DO88">
        <v>7.894E-4</v>
      </c>
      <c r="DP88">
        <v>7.7820000000000005E-4</v>
      </c>
      <c r="DQ88">
        <v>5.3762799999999999E-2</v>
      </c>
      <c r="DR88">
        <v>0</v>
      </c>
      <c r="DS88">
        <v>5.02E-5</v>
      </c>
      <c r="DT88">
        <v>2.856E-4</v>
      </c>
      <c r="DU88">
        <v>5.2530000000000003E-4</v>
      </c>
      <c r="DV88">
        <v>6.3009999999999997E-4</v>
      </c>
      <c r="DW88">
        <v>6.1499999999999999E-4</v>
      </c>
      <c r="DX88">
        <v>6.0979999999999997E-4</v>
      </c>
      <c r="DY88">
        <v>5.3410000000000003E-4</v>
      </c>
      <c r="DZ88">
        <v>4.8990000000000004E-4</v>
      </c>
      <c r="EA88">
        <v>4.283E-4</v>
      </c>
      <c r="EB88">
        <v>3.8430000000000002E-4</v>
      </c>
      <c r="EC88">
        <v>3.388E-4</v>
      </c>
      <c r="ED88">
        <v>3.0360000000000001E-4</v>
      </c>
      <c r="EE88">
        <v>2.719E-4</v>
      </c>
      <c r="EF88">
        <v>2.4499999999999999E-4</v>
      </c>
      <c r="EG88">
        <v>2.2110000000000001E-4</v>
      </c>
      <c r="EH88">
        <v>2.006E-4</v>
      </c>
      <c r="EI88">
        <v>1.8239999999999999E-4</v>
      </c>
      <c r="EJ88">
        <v>1.6760000000000001E-4</v>
      </c>
      <c r="EK88">
        <v>1.5359999999999999E-4</v>
      </c>
      <c r="EL88">
        <v>1.4139999999999999E-4</v>
      </c>
      <c r="EM88">
        <v>1.304E-4</v>
      </c>
      <c r="EN88">
        <v>1.203E-4</v>
      </c>
      <c r="EO88">
        <v>1.117E-4</v>
      </c>
      <c r="EP88">
        <v>1.044E-4</v>
      </c>
      <c r="EQ88">
        <v>9.7700000000000003E-5</v>
      </c>
      <c r="ER88">
        <v>9.1500000000000001E-5</v>
      </c>
      <c r="ES88">
        <v>8.5699999999999996E-5</v>
      </c>
      <c r="ET88">
        <v>8.0699999999999996E-5</v>
      </c>
      <c r="EU88">
        <v>7.6299999999999998E-5</v>
      </c>
      <c r="EV88">
        <v>7.25E-5</v>
      </c>
      <c r="EW88">
        <v>6.8499999999999998E-5</v>
      </c>
      <c r="EX88">
        <v>6.5099999999999997E-5</v>
      </c>
      <c r="EY88">
        <v>6.19E-5</v>
      </c>
      <c r="EZ88">
        <v>5.8999999999999998E-5</v>
      </c>
      <c r="FA88">
        <v>5.63E-5</v>
      </c>
      <c r="FB88">
        <v>5.3699999999999997E-5</v>
      </c>
      <c r="FC88">
        <v>5.1400000000000003E-5</v>
      </c>
      <c r="FD88">
        <v>4.9200000000000003E-5</v>
      </c>
      <c r="FE88">
        <v>4.7200000000000002E-5</v>
      </c>
      <c r="FF88">
        <v>4.5099999999999998E-5</v>
      </c>
      <c r="FG88">
        <v>4.3399999999999998E-5</v>
      </c>
      <c r="FH88">
        <v>4.1699999999999997E-5</v>
      </c>
      <c r="FI88">
        <v>4.0200000000000001E-5</v>
      </c>
      <c r="FJ88">
        <v>3.8699999999999999E-5</v>
      </c>
      <c r="FK88">
        <v>3.7400000000000001E-5</v>
      </c>
      <c r="FL88">
        <v>3.6100000000000003E-5</v>
      </c>
      <c r="FM88">
        <v>3.4999999999999997E-5</v>
      </c>
      <c r="FN88">
        <v>3.3899999999999997E-5</v>
      </c>
      <c r="FO88">
        <v>3.29E-5</v>
      </c>
      <c r="FP88">
        <v>3.2100000000000001E-5</v>
      </c>
      <c r="FQ88">
        <v>3.1199999999999999E-5</v>
      </c>
      <c r="FR88">
        <v>3.04E-5</v>
      </c>
      <c r="FS88">
        <v>2.9600000000000001E-5</v>
      </c>
      <c r="FT88">
        <v>2.8799999999999999E-5</v>
      </c>
      <c r="FU88">
        <v>2.8E-5</v>
      </c>
      <c r="FV88">
        <v>2.7399999999999999E-5</v>
      </c>
      <c r="FW88">
        <v>2.6400000000000001E-5</v>
      </c>
      <c r="FX88">
        <v>2.58E-5</v>
      </c>
      <c r="FY88">
        <v>2.5199999999999999E-5</v>
      </c>
      <c r="FZ88">
        <v>2.4600000000000002E-5</v>
      </c>
      <c r="GA88">
        <v>2.4000000000000001E-5</v>
      </c>
      <c r="GB88">
        <v>2.3600000000000001E-5</v>
      </c>
      <c r="GC88">
        <v>2.3099999999999999E-5</v>
      </c>
      <c r="GD88">
        <v>2.27E-5</v>
      </c>
      <c r="GE88">
        <v>2.2200000000000001E-5</v>
      </c>
      <c r="GF88">
        <v>2.1800000000000001E-5</v>
      </c>
      <c r="GG88">
        <v>2.1399999999999998E-5</v>
      </c>
      <c r="GH88">
        <v>2.12E-5</v>
      </c>
      <c r="GI88">
        <v>2.09E-5</v>
      </c>
      <c r="GJ88">
        <v>2.0599999999999999E-5</v>
      </c>
      <c r="GK88">
        <v>2.0299999999999999E-5</v>
      </c>
      <c r="GL88">
        <v>2.0000000000000002E-5</v>
      </c>
      <c r="GM88">
        <v>1.9700000000000001E-5</v>
      </c>
      <c r="GN88">
        <v>1.9300000000000002E-5</v>
      </c>
      <c r="GO88">
        <v>1.88E-5</v>
      </c>
      <c r="GP88">
        <v>1.8E-5</v>
      </c>
      <c r="GQ88">
        <v>1.7600000000000001E-5</v>
      </c>
      <c r="GR88">
        <v>1.7099999999999999E-5</v>
      </c>
      <c r="GS88">
        <v>1.6200000000000001E-5</v>
      </c>
      <c r="GT88">
        <v>1.6900000000000001E-5</v>
      </c>
      <c r="GU88">
        <v>1.6699999999999999E-5</v>
      </c>
      <c r="GV88">
        <v>1.66E-5</v>
      </c>
      <c r="GW88">
        <v>1.6500000000000001E-5</v>
      </c>
      <c r="GX88">
        <v>1.6399999999999999E-5</v>
      </c>
      <c r="GY88">
        <v>1.63E-5</v>
      </c>
      <c r="GZ88">
        <v>1.6200000000000001E-5</v>
      </c>
      <c r="HA88">
        <v>1.6099999999999998E-5</v>
      </c>
      <c r="HB88">
        <v>1.59E-5</v>
      </c>
      <c r="HC88">
        <v>1.5800000000000001E-5</v>
      </c>
      <c r="HD88">
        <v>1.56E-5</v>
      </c>
      <c r="HE88">
        <v>1.5500000000000001E-5</v>
      </c>
      <c r="HF88">
        <v>1.5299999999999999E-5</v>
      </c>
      <c r="HG88">
        <v>1.52E-5</v>
      </c>
      <c r="HH88">
        <v>1.5E-5</v>
      </c>
      <c r="HI88">
        <v>1.4800000000000001E-5</v>
      </c>
      <c r="HJ88">
        <v>1.47E-5</v>
      </c>
      <c r="HK88">
        <v>1.45E-5</v>
      </c>
      <c r="HL88">
        <v>1.43E-5</v>
      </c>
      <c r="HM88">
        <v>1.42E-5</v>
      </c>
      <c r="HN88">
        <v>1.4E-5</v>
      </c>
      <c r="HO88">
        <v>1.38E-5</v>
      </c>
      <c r="HP88">
        <v>1.36E-5</v>
      </c>
      <c r="HQ88">
        <v>1.3499999999999999E-5</v>
      </c>
      <c r="HR88">
        <v>1.33E-5</v>
      </c>
      <c r="HS88">
        <v>1.31E-5</v>
      </c>
      <c r="HT88">
        <v>1.2999999999999999E-5</v>
      </c>
      <c r="HU88">
        <v>1.2799999999999999E-5</v>
      </c>
      <c r="HV88">
        <v>1.26E-5</v>
      </c>
      <c r="HW88">
        <v>1.2500000000000001E-5</v>
      </c>
      <c r="HX88">
        <v>1.2300000000000001E-5</v>
      </c>
      <c r="HY88">
        <v>1.2099999999999999E-5</v>
      </c>
      <c r="HZ88">
        <v>1.2E-5</v>
      </c>
      <c r="IA88">
        <v>1.1800000000000001E-5</v>
      </c>
      <c r="IB88">
        <v>1.1600000000000001E-5</v>
      </c>
      <c r="IC88">
        <v>1.15E-5</v>
      </c>
      <c r="ID88">
        <v>1.13E-5</v>
      </c>
      <c r="IE88">
        <v>1.1199999999999999E-5</v>
      </c>
      <c r="IF88">
        <v>1.1E-5</v>
      </c>
      <c r="IG88">
        <v>7.6340000000000002E-4</v>
      </c>
    </row>
    <row r="89" spans="1:241" x14ac:dyDescent="0.35">
      <c r="A89" s="1">
        <v>81</v>
      </c>
      <c r="B89">
        <v>1.0734799999999999E-2</v>
      </c>
      <c r="C89">
        <v>1.0734799999999999E-2</v>
      </c>
      <c r="D89">
        <v>1.0684600000000001E-2</v>
      </c>
      <c r="E89">
        <v>1.0399E-2</v>
      </c>
      <c r="F89">
        <v>9.8338999999999996E-3</v>
      </c>
      <c r="G89">
        <v>9.2041999999999992E-3</v>
      </c>
      <c r="H89">
        <v>8.5894000000000005E-3</v>
      </c>
      <c r="I89">
        <v>7.9790999999999994E-3</v>
      </c>
      <c r="J89">
        <v>7.4462E-3</v>
      </c>
      <c r="K89">
        <v>6.9578000000000001E-3</v>
      </c>
      <c r="L89">
        <v>6.5304999999999998E-3</v>
      </c>
      <c r="M89">
        <v>6.1460000000000004E-3</v>
      </c>
      <c r="N89">
        <v>5.7806000000000003E-3</v>
      </c>
      <c r="O89">
        <v>5.4735000000000001E-3</v>
      </c>
      <c r="P89">
        <v>5.2021999999999997E-3</v>
      </c>
      <c r="Q89">
        <v>4.9548999999999999E-3</v>
      </c>
      <c r="R89">
        <v>4.7324000000000003E-3</v>
      </c>
      <c r="S89">
        <v>4.5313999999999997E-3</v>
      </c>
      <c r="T89">
        <v>4.3463E-3</v>
      </c>
      <c r="U89">
        <v>4.1961999999999998E-3</v>
      </c>
      <c r="V89">
        <v>4.0426999999999998E-3</v>
      </c>
      <c r="W89">
        <v>3.9025000000000002E-3</v>
      </c>
      <c r="X89">
        <v>3.7697999999999998E-3</v>
      </c>
      <c r="Y89">
        <v>3.6380000000000002E-3</v>
      </c>
      <c r="Z89">
        <v>3.5273000000000001E-3</v>
      </c>
      <c r="AA89">
        <v>3.4355000000000002E-3</v>
      </c>
      <c r="AB89">
        <v>3.339E-3</v>
      </c>
      <c r="AC89">
        <v>3.2483999999999998E-3</v>
      </c>
      <c r="AD89">
        <v>3.1518000000000002E-3</v>
      </c>
      <c r="AE89">
        <v>3.0723E-3</v>
      </c>
      <c r="AF89">
        <v>2.9973000000000001E-3</v>
      </c>
      <c r="AG89">
        <v>2.9364999999999999E-3</v>
      </c>
      <c r="AH89">
        <v>2.8574E-3</v>
      </c>
      <c r="AI89">
        <v>2.7935999999999998E-3</v>
      </c>
      <c r="AJ89">
        <v>2.7323E-3</v>
      </c>
      <c r="AK89">
        <v>2.6733999999999998E-3</v>
      </c>
      <c r="AL89">
        <v>2.6169000000000001E-3</v>
      </c>
      <c r="AM89">
        <v>2.562E-3</v>
      </c>
      <c r="AN89">
        <v>2.5098999999999998E-3</v>
      </c>
      <c r="AO89">
        <v>2.4610999999999999E-3</v>
      </c>
      <c r="AP89">
        <v>2.4142E-3</v>
      </c>
      <c r="AQ89">
        <v>2.3590999999999998E-3</v>
      </c>
      <c r="AR89">
        <v>2.3146999999999998E-3</v>
      </c>
      <c r="AS89">
        <v>2.2713E-3</v>
      </c>
      <c r="AT89">
        <v>2.2274999999999999E-3</v>
      </c>
      <c r="AU89">
        <v>2.1884999999999999E-3</v>
      </c>
      <c r="AV89">
        <v>2.1489999999999999E-3</v>
      </c>
      <c r="AW89">
        <v>2.1099999999999999E-3</v>
      </c>
      <c r="AX89">
        <v>2.0736000000000001E-3</v>
      </c>
      <c r="AY89">
        <v>2.0393999999999998E-3</v>
      </c>
      <c r="AZ89">
        <v>2.0095E-3</v>
      </c>
      <c r="BA89">
        <v>1.9816E-3</v>
      </c>
      <c r="BB89">
        <v>1.9529E-3</v>
      </c>
      <c r="BC89">
        <v>1.9216999999999999E-3</v>
      </c>
      <c r="BD89">
        <v>1.8916E-3</v>
      </c>
      <c r="BE89">
        <v>1.8613E-3</v>
      </c>
      <c r="BF89">
        <v>1.8268E-3</v>
      </c>
      <c r="BG89">
        <v>1.7985E-3</v>
      </c>
      <c r="BH89">
        <v>1.7482000000000001E-3</v>
      </c>
      <c r="BI89">
        <v>1.7179999999999999E-3</v>
      </c>
      <c r="BJ89">
        <v>1.6886E-3</v>
      </c>
      <c r="BK89">
        <v>1.6593000000000001E-3</v>
      </c>
      <c r="BL89">
        <v>1.6324E-3</v>
      </c>
      <c r="BM89">
        <v>1.6087E-3</v>
      </c>
      <c r="BN89">
        <v>1.5851999999999999E-3</v>
      </c>
      <c r="BO89">
        <v>1.5596E-3</v>
      </c>
      <c r="BP89">
        <v>1.5344E-3</v>
      </c>
      <c r="BQ89">
        <v>1.511E-3</v>
      </c>
      <c r="BR89">
        <v>1.4893E-3</v>
      </c>
      <c r="BS89">
        <v>1.4724E-3</v>
      </c>
      <c r="BT89">
        <v>1.4561999999999999E-3</v>
      </c>
      <c r="BU89">
        <v>1.4392000000000001E-3</v>
      </c>
      <c r="BV89">
        <v>1.4219E-3</v>
      </c>
      <c r="BW89">
        <v>1.4036000000000001E-3</v>
      </c>
      <c r="BX89">
        <v>1.3832E-3</v>
      </c>
      <c r="BY89">
        <v>1.3572E-3</v>
      </c>
      <c r="BZ89">
        <v>1.3255999999999999E-3</v>
      </c>
      <c r="CA89">
        <v>1.2658999999999999E-3</v>
      </c>
      <c r="CB89">
        <v>1.2371999999999999E-3</v>
      </c>
      <c r="CC89">
        <v>1.2076999999999999E-3</v>
      </c>
      <c r="CD89">
        <v>1.1414999999999999E-3</v>
      </c>
      <c r="CE89">
        <v>1.1925E-3</v>
      </c>
      <c r="CF89">
        <v>1.1797000000000001E-3</v>
      </c>
      <c r="CG89">
        <v>1.1735999999999999E-3</v>
      </c>
      <c r="CH89">
        <v>1.1663000000000001E-3</v>
      </c>
      <c r="CI89">
        <v>1.1586999999999999E-3</v>
      </c>
      <c r="CJ89">
        <v>1.1504E-3</v>
      </c>
      <c r="CK89">
        <v>1.1414999999999999E-3</v>
      </c>
      <c r="CL89">
        <v>1.1321E-3</v>
      </c>
      <c r="CM89">
        <v>1.122E-3</v>
      </c>
      <c r="CN89">
        <v>1.1115000000000001E-3</v>
      </c>
      <c r="CO89">
        <v>1.1006E-3</v>
      </c>
      <c r="CP89">
        <v>1.0893999999999999E-3</v>
      </c>
      <c r="CQ89">
        <v>1.0778000000000001E-3</v>
      </c>
      <c r="CR89">
        <v>1.0660999999999999E-3</v>
      </c>
      <c r="CS89">
        <v>1.0541999999999999E-3</v>
      </c>
      <c r="CT89">
        <v>1.0421E-3</v>
      </c>
      <c r="CU89">
        <v>1.0299E-3</v>
      </c>
      <c r="CV89">
        <v>1.0176E-3</v>
      </c>
      <c r="CW89">
        <v>1.0053E-3</v>
      </c>
      <c r="CX89">
        <v>9.9299999999999996E-4</v>
      </c>
      <c r="CY89">
        <v>9.8060000000000009E-4</v>
      </c>
      <c r="CZ89">
        <v>9.6820000000000001E-4</v>
      </c>
      <c r="DA89">
        <v>9.5589999999999998E-4</v>
      </c>
      <c r="DB89">
        <v>9.435E-4</v>
      </c>
      <c r="DC89">
        <v>9.3130000000000003E-4</v>
      </c>
      <c r="DD89">
        <v>9.19E-4</v>
      </c>
      <c r="DE89">
        <v>9.0689999999999998E-4</v>
      </c>
      <c r="DF89">
        <v>8.9470000000000001E-4</v>
      </c>
      <c r="DG89">
        <v>8.8270000000000004E-4</v>
      </c>
      <c r="DH89">
        <v>8.7069999999999997E-4</v>
      </c>
      <c r="DI89">
        <v>8.5879999999999995E-4</v>
      </c>
      <c r="DJ89">
        <v>8.4699999999999999E-4</v>
      </c>
      <c r="DK89">
        <v>8.3529999999999997E-4</v>
      </c>
      <c r="DL89">
        <v>8.2370000000000002E-4</v>
      </c>
      <c r="DM89">
        <v>8.1220000000000001E-4</v>
      </c>
      <c r="DN89">
        <v>8.007E-4</v>
      </c>
      <c r="DO89">
        <v>7.894E-4</v>
      </c>
      <c r="DP89">
        <v>7.7820000000000005E-4</v>
      </c>
      <c r="DQ89">
        <v>5.3766500000000002E-2</v>
      </c>
      <c r="DR89">
        <v>0</v>
      </c>
      <c r="DS89">
        <v>5.02E-5</v>
      </c>
      <c r="DT89">
        <v>2.8570000000000001E-4</v>
      </c>
      <c r="DU89">
        <v>5.7649999999999997E-4</v>
      </c>
      <c r="DV89">
        <v>6.3060000000000004E-4</v>
      </c>
      <c r="DW89">
        <v>6.1580000000000001E-4</v>
      </c>
      <c r="DX89">
        <v>6.1030000000000004E-4</v>
      </c>
      <c r="DY89">
        <v>5.3030000000000004E-4</v>
      </c>
      <c r="DZ89">
        <v>4.8700000000000002E-4</v>
      </c>
      <c r="EA89">
        <v>4.2549999999999999E-4</v>
      </c>
      <c r="EB89">
        <v>3.8259999999999998E-4</v>
      </c>
      <c r="EC89">
        <v>3.3930000000000001E-4</v>
      </c>
      <c r="ED89">
        <v>3.0269999999999999E-4</v>
      </c>
      <c r="EE89">
        <v>2.7090000000000003E-4</v>
      </c>
      <c r="EF89">
        <v>2.4429999999999998E-4</v>
      </c>
      <c r="EG89">
        <v>2.206E-4</v>
      </c>
      <c r="EH89">
        <v>2.0000000000000001E-4</v>
      </c>
      <c r="EI89">
        <v>1.8200000000000001E-4</v>
      </c>
      <c r="EJ89">
        <v>1.661E-4</v>
      </c>
      <c r="EK89">
        <v>1.5300000000000001E-4</v>
      </c>
      <c r="EL89">
        <v>1.407E-4</v>
      </c>
      <c r="EM89">
        <v>1.2990000000000001E-4</v>
      </c>
      <c r="EN89">
        <v>1.2010000000000001E-4</v>
      </c>
      <c r="EO89">
        <v>1.111E-4</v>
      </c>
      <c r="EP89">
        <v>1.0349999999999999E-4</v>
      </c>
      <c r="EQ89">
        <v>9.7100000000000002E-5</v>
      </c>
      <c r="ER89">
        <v>9.1100000000000005E-5</v>
      </c>
      <c r="ES89">
        <v>8.5599999999999994E-5</v>
      </c>
      <c r="ET89">
        <v>8.0400000000000003E-5</v>
      </c>
      <c r="EU89">
        <v>7.5900000000000002E-5</v>
      </c>
      <c r="EV89">
        <v>7.1899999999999999E-5</v>
      </c>
      <c r="EW89">
        <v>6.8499999999999998E-5</v>
      </c>
      <c r="EX89">
        <v>6.4900000000000005E-5</v>
      </c>
      <c r="EY89">
        <v>6.1799999999999998E-5</v>
      </c>
      <c r="EZ89">
        <v>5.8900000000000002E-5</v>
      </c>
      <c r="FA89">
        <v>5.6199999999999997E-5</v>
      </c>
      <c r="FB89">
        <v>5.3699999999999997E-5</v>
      </c>
      <c r="FC89">
        <v>5.1400000000000003E-5</v>
      </c>
      <c r="FD89">
        <v>4.9200000000000003E-5</v>
      </c>
      <c r="FE89">
        <v>4.7200000000000002E-5</v>
      </c>
      <c r="FF89">
        <v>4.5399999999999999E-5</v>
      </c>
      <c r="FG89">
        <v>4.3399999999999998E-5</v>
      </c>
      <c r="FH89">
        <v>4.18E-5</v>
      </c>
      <c r="FI89">
        <v>4.0299999999999997E-5</v>
      </c>
      <c r="FJ89">
        <v>3.8800000000000001E-5</v>
      </c>
      <c r="FK89">
        <v>3.7499999999999997E-5</v>
      </c>
      <c r="FL89">
        <v>3.6199999999999999E-5</v>
      </c>
      <c r="FM89">
        <v>3.4999999999999997E-5</v>
      </c>
      <c r="FN89">
        <v>3.4E-5</v>
      </c>
      <c r="FO89">
        <v>3.3000000000000003E-5</v>
      </c>
      <c r="FP89">
        <v>3.2100000000000001E-5</v>
      </c>
      <c r="FQ89">
        <v>3.1199999999999999E-5</v>
      </c>
      <c r="FR89">
        <v>3.04E-5</v>
      </c>
      <c r="FS89">
        <v>2.97E-5</v>
      </c>
      <c r="FT89">
        <v>2.8900000000000001E-5</v>
      </c>
      <c r="FU89">
        <v>2.8200000000000001E-5</v>
      </c>
      <c r="FV89">
        <v>2.7500000000000001E-5</v>
      </c>
      <c r="FW89">
        <v>2.6800000000000001E-5</v>
      </c>
      <c r="FX89">
        <v>2.5899999999999999E-5</v>
      </c>
      <c r="FY89">
        <v>2.5299999999999998E-5</v>
      </c>
      <c r="FZ89">
        <v>2.4700000000000001E-5</v>
      </c>
      <c r="GA89">
        <v>2.41E-5</v>
      </c>
      <c r="GB89">
        <v>2.3600000000000001E-5</v>
      </c>
      <c r="GC89">
        <v>2.3200000000000001E-5</v>
      </c>
      <c r="GD89">
        <v>2.2799999999999999E-5</v>
      </c>
      <c r="GE89">
        <v>2.23E-5</v>
      </c>
      <c r="GF89">
        <v>2.19E-5</v>
      </c>
      <c r="GG89">
        <v>2.1500000000000001E-5</v>
      </c>
      <c r="GH89">
        <v>2.1100000000000001E-5</v>
      </c>
      <c r="GI89">
        <v>2.0800000000000001E-5</v>
      </c>
      <c r="GJ89">
        <v>2.0599999999999999E-5</v>
      </c>
      <c r="GK89">
        <v>2.0299999999999999E-5</v>
      </c>
      <c r="GL89">
        <v>2.0000000000000002E-5</v>
      </c>
      <c r="GM89">
        <v>1.9700000000000001E-5</v>
      </c>
      <c r="GN89">
        <v>1.9400000000000001E-5</v>
      </c>
      <c r="GO89">
        <v>1.91E-5</v>
      </c>
      <c r="GP89">
        <v>1.8600000000000001E-5</v>
      </c>
      <c r="GQ89">
        <v>1.77E-5</v>
      </c>
      <c r="GR89">
        <v>1.73E-5</v>
      </c>
      <c r="GS89">
        <v>1.6900000000000001E-5</v>
      </c>
      <c r="GT89">
        <v>1.5999999999999999E-5</v>
      </c>
      <c r="GU89">
        <v>1.6699999999999999E-5</v>
      </c>
      <c r="GV89">
        <v>1.6500000000000001E-5</v>
      </c>
      <c r="GW89">
        <v>1.6399999999999999E-5</v>
      </c>
      <c r="GX89">
        <v>1.63E-5</v>
      </c>
      <c r="GY89">
        <v>1.6200000000000001E-5</v>
      </c>
      <c r="GZ89">
        <v>1.6099999999999998E-5</v>
      </c>
      <c r="HA89">
        <v>1.5999999999999999E-5</v>
      </c>
      <c r="HB89">
        <v>1.59E-5</v>
      </c>
      <c r="HC89">
        <v>1.5699999999999999E-5</v>
      </c>
      <c r="HD89">
        <v>1.56E-5</v>
      </c>
      <c r="HE89">
        <v>1.5400000000000002E-5</v>
      </c>
      <c r="HF89">
        <v>1.5299999999999999E-5</v>
      </c>
      <c r="HG89">
        <v>1.5099999999999999E-5</v>
      </c>
      <c r="HH89">
        <v>1.5E-5</v>
      </c>
      <c r="HI89">
        <v>1.4800000000000001E-5</v>
      </c>
      <c r="HJ89">
        <v>1.4600000000000001E-5</v>
      </c>
      <c r="HK89">
        <v>1.45E-5</v>
      </c>
      <c r="HL89">
        <v>1.43E-5</v>
      </c>
      <c r="HM89">
        <v>1.4100000000000001E-5</v>
      </c>
      <c r="HN89">
        <v>1.4E-5</v>
      </c>
      <c r="HO89">
        <v>1.38E-5</v>
      </c>
      <c r="HP89">
        <v>1.36E-5</v>
      </c>
      <c r="HQ89">
        <v>1.3499999999999999E-5</v>
      </c>
      <c r="HR89">
        <v>1.33E-5</v>
      </c>
      <c r="HS89">
        <v>1.31E-5</v>
      </c>
      <c r="HT89">
        <v>1.2999999999999999E-5</v>
      </c>
      <c r="HU89">
        <v>1.2799999999999999E-5</v>
      </c>
      <c r="HV89">
        <v>1.26E-5</v>
      </c>
      <c r="HW89">
        <v>1.2500000000000001E-5</v>
      </c>
      <c r="HX89">
        <v>1.2300000000000001E-5</v>
      </c>
      <c r="HY89">
        <v>1.2099999999999999E-5</v>
      </c>
      <c r="HZ89">
        <v>1.2E-5</v>
      </c>
      <c r="IA89">
        <v>1.1800000000000001E-5</v>
      </c>
      <c r="IB89">
        <v>1.1600000000000001E-5</v>
      </c>
      <c r="IC89">
        <v>1.15E-5</v>
      </c>
      <c r="ID89">
        <v>1.13E-5</v>
      </c>
      <c r="IE89">
        <v>1.1199999999999999E-5</v>
      </c>
      <c r="IF89">
        <v>1.1E-5</v>
      </c>
      <c r="IG89">
        <v>7.6349999999999996E-4</v>
      </c>
    </row>
    <row r="90" spans="1:241" x14ac:dyDescent="0.35">
      <c r="A90" s="1">
        <v>82</v>
      </c>
      <c r="B90">
        <v>1.0734799999999999E-2</v>
      </c>
      <c r="C90">
        <v>1.0734799999999999E-2</v>
      </c>
      <c r="D90">
        <v>1.0684600000000001E-2</v>
      </c>
      <c r="E90">
        <v>1.0399E-2</v>
      </c>
      <c r="F90">
        <v>9.8224999999999996E-3</v>
      </c>
      <c r="G90">
        <v>9.2032999999999993E-3</v>
      </c>
      <c r="H90">
        <v>8.5883999999999995E-3</v>
      </c>
      <c r="I90">
        <v>7.9790999999999994E-3</v>
      </c>
      <c r="J90">
        <v>7.4488000000000002E-3</v>
      </c>
      <c r="K90">
        <v>6.9591999999999996E-3</v>
      </c>
      <c r="L90">
        <v>6.5323000000000004E-3</v>
      </c>
      <c r="M90">
        <v>6.1479000000000004E-3</v>
      </c>
      <c r="N90">
        <v>5.8066999999999997E-3</v>
      </c>
      <c r="O90">
        <v>5.4779E-3</v>
      </c>
      <c r="P90">
        <v>5.2025999999999999E-3</v>
      </c>
      <c r="Q90">
        <v>4.9579000000000003E-3</v>
      </c>
      <c r="R90">
        <v>4.7343000000000003E-3</v>
      </c>
      <c r="S90">
        <v>4.5323999999999998E-3</v>
      </c>
      <c r="T90">
        <v>4.3493999999999998E-3</v>
      </c>
      <c r="U90">
        <v>4.1802000000000002E-3</v>
      </c>
      <c r="V90">
        <v>4.0432000000000003E-3</v>
      </c>
      <c r="W90">
        <v>3.9018999999999998E-3</v>
      </c>
      <c r="X90">
        <v>3.7726000000000001E-3</v>
      </c>
      <c r="Y90">
        <v>3.6497000000000001E-3</v>
      </c>
      <c r="Z90">
        <v>3.5268999999999999E-3</v>
      </c>
      <c r="AA90">
        <v>3.4237999999999998E-3</v>
      </c>
      <c r="AB90">
        <v>3.3384E-3</v>
      </c>
      <c r="AC90">
        <v>3.2479000000000002E-3</v>
      </c>
      <c r="AD90">
        <v>3.1627999999999999E-3</v>
      </c>
      <c r="AE90">
        <v>3.0714000000000002E-3</v>
      </c>
      <c r="AF90">
        <v>2.9962999999999999E-3</v>
      </c>
      <c r="AG90">
        <v>2.9253999999999999E-3</v>
      </c>
      <c r="AH90">
        <v>2.8679E-3</v>
      </c>
      <c r="AI90">
        <v>2.7926000000000001E-3</v>
      </c>
      <c r="AJ90">
        <v>2.7317999999999999E-3</v>
      </c>
      <c r="AK90">
        <v>2.6733999999999998E-3</v>
      </c>
      <c r="AL90">
        <v>2.6172000000000001E-3</v>
      </c>
      <c r="AM90">
        <v>2.5631E-3</v>
      </c>
      <c r="AN90">
        <v>2.5106E-3</v>
      </c>
      <c r="AO90">
        <v>2.4607000000000001E-3</v>
      </c>
      <c r="AP90">
        <v>2.4139000000000001E-3</v>
      </c>
      <c r="AQ90">
        <v>2.3687999999999999E-3</v>
      </c>
      <c r="AR90">
        <v>2.3157E-3</v>
      </c>
      <c r="AS90">
        <v>2.2729E-3</v>
      </c>
      <c r="AT90">
        <v>2.2311000000000002E-3</v>
      </c>
      <c r="AU90">
        <v>2.1887E-3</v>
      </c>
      <c r="AV90">
        <v>2.1510000000000001E-3</v>
      </c>
      <c r="AW90">
        <v>2.1128000000000002E-3</v>
      </c>
      <c r="AX90">
        <v>2.0749000000000002E-3</v>
      </c>
      <c r="AY90">
        <v>2.0397000000000002E-3</v>
      </c>
      <c r="AZ90">
        <v>2.0064000000000002E-3</v>
      </c>
      <c r="BA90">
        <v>1.9773999999999998E-3</v>
      </c>
      <c r="BB90">
        <v>1.9503999999999999E-3</v>
      </c>
      <c r="BC90">
        <v>1.9224000000000001E-3</v>
      </c>
      <c r="BD90">
        <v>1.8921000000000001E-3</v>
      </c>
      <c r="BE90">
        <v>1.8626999999999999E-3</v>
      </c>
      <c r="BF90">
        <v>1.8332000000000001E-3</v>
      </c>
      <c r="BG90">
        <v>1.7993E-3</v>
      </c>
      <c r="BH90">
        <v>1.7717E-3</v>
      </c>
      <c r="BI90">
        <v>1.7223E-3</v>
      </c>
      <c r="BJ90">
        <v>1.6927000000000001E-3</v>
      </c>
      <c r="BK90">
        <v>1.6639000000000001E-3</v>
      </c>
      <c r="BL90">
        <v>1.6352000000000001E-3</v>
      </c>
      <c r="BM90">
        <v>1.6087E-3</v>
      </c>
      <c r="BN90">
        <v>1.5855000000000001E-3</v>
      </c>
      <c r="BO90">
        <v>1.5624E-3</v>
      </c>
      <c r="BP90">
        <v>1.5372999999999999E-3</v>
      </c>
      <c r="BQ90">
        <v>1.5125E-3</v>
      </c>
      <c r="BR90">
        <v>1.4894999999999999E-3</v>
      </c>
      <c r="BS90">
        <v>1.4682E-3</v>
      </c>
      <c r="BT90">
        <v>1.4515000000000001E-3</v>
      </c>
      <c r="BU90">
        <v>1.4356E-3</v>
      </c>
      <c r="BV90">
        <v>1.4189000000000001E-3</v>
      </c>
      <c r="BW90">
        <v>1.4019E-3</v>
      </c>
      <c r="BX90">
        <v>1.3837999999999999E-3</v>
      </c>
      <c r="BY90">
        <v>1.3638000000000001E-3</v>
      </c>
      <c r="BZ90">
        <v>1.3381999999999999E-3</v>
      </c>
      <c r="CA90">
        <v>1.307E-3</v>
      </c>
      <c r="CB90">
        <v>1.2481E-3</v>
      </c>
      <c r="CC90">
        <v>1.2199000000000001E-3</v>
      </c>
      <c r="CD90">
        <v>1.1908000000000001E-3</v>
      </c>
      <c r="CE90">
        <v>1.1255E-3</v>
      </c>
      <c r="CF90">
        <v>1.1758000000000001E-3</v>
      </c>
      <c r="CG90">
        <v>1.1632000000000001E-3</v>
      </c>
      <c r="CH90">
        <v>1.1571999999999999E-3</v>
      </c>
      <c r="CI90">
        <v>1.15E-3</v>
      </c>
      <c r="CJ90">
        <v>1.1425000000000001E-3</v>
      </c>
      <c r="CK90">
        <v>1.1343E-3</v>
      </c>
      <c r="CL90">
        <v>1.1255E-3</v>
      </c>
      <c r="CM90">
        <v>1.1161999999999999E-3</v>
      </c>
      <c r="CN90">
        <v>1.1062999999999999E-3</v>
      </c>
      <c r="CO90">
        <v>1.0958999999999999E-3</v>
      </c>
      <c r="CP90">
        <v>1.0851999999999999E-3</v>
      </c>
      <c r="CQ90">
        <v>1.0740999999999999E-3</v>
      </c>
      <c r="CR90">
        <v>1.0627E-3</v>
      </c>
      <c r="CS90">
        <v>1.0510999999999999E-3</v>
      </c>
      <c r="CT90">
        <v>1.0394E-3</v>
      </c>
      <c r="CU90">
        <v>1.0275E-3</v>
      </c>
      <c r="CV90">
        <v>1.0154000000000001E-3</v>
      </c>
      <c r="CW90">
        <v>1.0032999999999999E-3</v>
      </c>
      <c r="CX90">
        <v>9.9120000000000002E-4</v>
      </c>
      <c r="CY90">
        <v>9.7900000000000005E-4</v>
      </c>
      <c r="CZ90">
        <v>9.6679999999999997E-4</v>
      </c>
      <c r="DA90">
        <v>9.546E-4</v>
      </c>
      <c r="DB90">
        <v>9.4240000000000003E-4</v>
      </c>
      <c r="DC90">
        <v>9.3030000000000001E-4</v>
      </c>
      <c r="DD90">
        <v>9.1810000000000004E-4</v>
      </c>
      <c r="DE90">
        <v>9.0609999999999996E-4</v>
      </c>
      <c r="DF90">
        <v>8.9409999999999999E-4</v>
      </c>
      <c r="DG90">
        <v>8.8210000000000003E-4</v>
      </c>
      <c r="DH90">
        <v>8.7020000000000001E-4</v>
      </c>
      <c r="DI90">
        <v>8.5840000000000005E-4</v>
      </c>
      <c r="DJ90">
        <v>8.4670000000000004E-4</v>
      </c>
      <c r="DK90">
        <v>8.3509999999999997E-4</v>
      </c>
      <c r="DL90">
        <v>8.2350000000000001E-4</v>
      </c>
      <c r="DM90">
        <v>8.12E-4</v>
      </c>
      <c r="DN90">
        <v>8.007E-4</v>
      </c>
      <c r="DO90">
        <v>7.894E-4</v>
      </c>
      <c r="DP90">
        <v>7.783E-4</v>
      </c>
      <c r="DQ90">
        <v>5.3770199999999997E-2</v>
      </c>
      <c r="DR90">
        <v>0</v>
      </c>
      <c r="DS90">
        <v>5.02E-5</v>
      </c>
      <c r="DT90">
        <v>2.8570000000000001E-4</v>
      </c>
      <c r="DU90">
        <v>5.8520000000000002E-4</v>
      </c>
      <c r="DV90">
        <v>6.3049999999999998E-4</v>
      </c>
      <c r="DW90">
        <v>6.1640000000000002E-4</v>
      </c>
      <c r="DX90">
        <v>6.11E-4</v>
      </c>
      <c r="DY90">
        <v>5.2970000000000003E-4</v>
      </c>
      <c r="DZ90">
        <v>4.9039999999999999E-4</v>
      </c>
      <c r="EA90">
        <v>4.282E-4</v>
      </c>
      <c r="EB90">
        <v>3.8529999999999999E-4</v>
      </c>
      <c r="EC90">
        <v>3.412E-4</v>
      </c>
      <c r="ED90">
        <v>3.0640000000000002E-4</v>
      </c>
      <c r="EE90">
        <v>2.7280000000000002E-4</v>
      </c>
      <c r="EF90">
        <v>2.4580000000000001E-4</v>
      </c>
      <c r="EG90">
        <v>2.219E-4</v>
      </c>
      <c r="EH90">
        <v>2.0110000000000001E-4</v>
      </c>
      <c r="EI90">
        <v>1.828E-4</v>
      </c>
      <c r="EJ90">
        <v>1.6689999999999999E-4</v>
      </c>
      <c r="EK90">
        <v>1.527E-4</v>
      </c>
      <c r="EL90">
        <v>1.4100000000000001E-4</v>
      </c>
      <c r="EM90">
        <v>1.2999999999999999E-4</v>
      </c>
      <c r="EN90">
        <v>1.203E-4</v>
      </c>
      <c r="EO90">
        <v>1.115E-4</v>
      </c>
      <c r="EP90">
        <v>1.0340000000000001E-4</v>
      </c>
      <c r="EQ90">
        <v>9.6600000000000003E-5</v>
      </c>
      <c r="ER90">
        <v>9.0799999999999998E-5</v>
      </c>
      <c r="ES90">
        <v>8.5400000000000002E-5</v>
      </c>
      <c r="ET90">
        <v>8.0400000000000003E-5</v>
      </c>
      <c r="EU90">
        <v>7.5599999999999994E-5</v>
      </c>
      <c r="EV90">
        <v>7.1600000000000006E-5</v>
      </c>
      <c r="EW90">
        <v>6.7899999999999997E-5</v>
      </c>
      <c r="EX90">
        <v>6.4800000000000003E-5</v>
      </c>
      <c r="EY90">
        <v>6.1400000000000002E-5</v>
      </c>
      <c r="EZ90">
        <v>5.8600000000000001E-5</v>
      </c>
      <c r="FA90">
        <v>5.5899999999999997E-5</v>
      </c>
      <c r="FB90">
        <v>5.3399999999999997E-5</v>
      </c>
      <c r="FC90">
        <v>5.1100000000000002E-5</v>
      </c>
      <c r="FD90">
        <v>4.8900000000000003E-5</v>
      </c>
      <c r="FE90">
        <v>4.6900000000000002E-5</v>
      </c>
      <c r="FF90">
        <v>4.5099999999999998E-5</v>
      </c>
      <c r="FG90">
        <v>4.3399999999999998E-5</v>
      </c>
      <c r="FH90">
        <v>4.1600000000000002E-5</v>
      </c>
      <c r="FI90">
        <v>4.0099999999999999E-5</v>
      </c>
      <c r="FJ90">
        <v>3.8699999999999999E-5</v>
      </c>
      <c r="FK90">
        <v>3.7299999999999999E-5</v>
      </c>
      <c r="FL90">
        <v>3.6100000000000003E-5</v>
      </c>
      <c r="FM90">
        <v>3.4900000000000001E-5</v>
      </c>
      <c r="FN90">
        <v>3.3800000000000002E-5</v>
      </c>
      <c r="FO90">
        <v>3.2799999999999998E-5</v>
      </c>
      <c r="FP90">
        <v>3.1900000000000003E-5</v>
      </c>
      <c r="FQ90">
        <v>3.1000000000000001E-5</v>
      </c>
      <c r="FR90">
        <v>3.0300000000000001E-5</v>
      </c>
      <c r="FS90">
        <v>2.9600000000000001E-5</v>
      </c>
      <c r="FT90">
        <v>2.8799999999999999E-5</v>
      </c>
      <c r="FU90">
        <v>2.8099999999999999E-5</v>
      </c>
      <c r="FV90">
        <v>2.7500000000000001E-5</v>
      </c>
      <c r="FW90">
        <v>2.6800000000000001E-5</v>
      </c>
      <c r="FX90">
        <v>2.62E-5</v>
      </c>
      <c r="FY90">
        <v>2.5299999999999998E-5</v>
      </c>
      <c r="FZ90">
        <v>2.4700000000000001E-5</v>
      </c>
      <c r="GA90">
        <v>2.4199999999999999E-5</v>
      </c>
      <c r="GB90">
        <v>2.3600000000000001E-5</v>
      </c>
      <c r="GC90">
        <v>2.3099999999999999E-5</v>
      </c>
      <c r="GD90">
        <v>2.27E-5</v>
      </c>
      <c r="GE90">
        <v>2.23E-5</v>
      </c>
      <c r="GF90">
        <v>2.19E-5</v>
      </c>
      <c r="GG90">
        <v>2.1500000000000001E-5</v>
      </c>
      <c r="GH90">
        <v>2.1100000000000001E-5</v>
      </c>
      <c r="GI90">
        <v>2.0800000000000001E-5</v>
      </c>
      <c r="GJ90">
        <v>2.05E-5</v>
      </c>
      <c r="GK90">
        <v>2.02E-5</v>
      </c>
      <c r="GL90">
        <v>2.0000000000000002E-5</v>
      </c>
      <c r="GM90">
        <v>1.9700000000000001E-5</v>
      </c>
      <c r="GN90">
        <v>1.9400000000000001E-5</v>
      </c>
      <c r="GO90">
        <v>1.91E-5</v>
      </c>
      <c r="GP90">
        <v>1.88E-5</v>
      </c>
      <c r="GQ90">
        <v>1.8300000000000001E-5</v>
      </c>
      <c r="GR90">
        <v>1.7499999999999998E-5</v>
      </c>
      <c r="GS90">
        <v>1.7099999999999999E-5</v>
      </c>
      <c r="GT90">
        <v>1.6699999999999999E-5</v>
      </c>
      <c r="GU90">
        <v>1.5699999999999999E-5</v>
      </c>
      <c r="GV90">
        <v>1.6399999999999999E-5</v>
      </c>
      <c r="GW90">
        <v>1.63E-5</v>
      </c>
      <c r="GX90">
        <v>1.6200000000000001E-5</v>
      </c>
      <c r="GY90">
        <v>1.6099999999999998E-5</v>
      </c>
      <c r="GZ90">
        <v>1.5999999999999999E-5</v>
      </c>
      <c r="HA90">
        <v>1.59E-5</v>
      </c>
      <c r="HB90">
        <v>1.5800000000000001E-5</v>
      </c>
      <c r="HC90">
        <v>1.56E-5</v>
      </c>
      <c r="HD90">
        <v>1.5500000000000001E-5</v>
      </c>
      <c r="HE90">
        <v>1.5400000000000002E-5</v>
      </c>
      <c r="HF90">
        <v>1.52E-5</v>
      </c>
      <c r="HG90">
        <v>1.5099999999999999E-5</v>
      </c>
      <c r="HH90">
        <v>1.49E-5</v>
      </c>
      <c r="HI90">
        <v>1.4800000000000001E-5</v>
      </c>
      <c r="HJ90">
        <v>1.4600000000000001E-5</v>
      </c>
      <c r="HK90">
        <v>1.4399999999999999E-5</v>
      </c>
      <c r="HL90">
        <v>1.43E-5</v>
      </c>
      <c r="HM90">
        <v>1.4100000000000001E-5</v>
      </c>
      <c r="HN90">
        <v>1.3900000000000001E-5</v>
      </c>
      <c r="HO90">
        <v>1.38E-5</v>
      </c>
      <c r="HP90">
        <v>1.36E-5</v>
      </c>
      <c r="HQ90">
        <v>1.34E-5</v>
      </c>
      <c r="HR90">
        <v>1.33E-5</v>
      </c>
      <c r="HS90">
        <v>1.31E-5</v>
      </c>
      <c r="HT90">
        <v>1.29E-5</v>
      </c>
      <c r="HU90">
        <v>1.2799999999999999E-5</v>
      </c>
      <c r="HV90">
        <v>1.26E-5</v>
      </c>
      <c r="HW90">
        <v>1.24E-5</v>
      </c>
      <c r="HX90">
        <v>1.2300000000000001E-5</v>
      </c>
      <c r="HY90">
        <v>1.2099999999999999E-5</v>
      </c>
      <c r="HZ90">
        <v>1.2E-5</v>
      </c>
      <c r="IA90">
        <v>1.1800000000000001E-5</v>
      </c>
      <c r="IB90">
        <v>1.1600000000000001E-5</v>
      </c>
      <c r="IC90">
        <v>1.15E-5</v>
      </c>
      <c r="ID90">
        <v>1.13E-5</v>
      </c>
      <c r="IE90">
        <v>1.1199999999999999E-5</v>
      </c>
      <c r="IF90">
        <v>1.1E-5</v>
      </c>
      <c r="IG90">
        <v>7.6360000000000002E-4</v>
      </c>
    </row>
    <row r="91" spans="1:241" x14ac:dyDescent="0.35">
      <c r="A91" s="1">
        <v>83</v>
      </c>
      <c r="B91">
        <v>1.0734799999999999E-2</v>
      </c>
      <c r="C91">
        <v>1.0734799999999999E-2</v>
      </c>
      <c r="D91">
        <v>1.0684600000000001E-2</v>
      </c>
      <c r="E91">
        <v>1.0398900000000001E-2</v>
      </c>
      <c r="F91">
        <v>9.8137999999999993E-3</v>
      </c>
      <c r="G91">
        <v>9.1920000000000005E-3</v>
      </c>
      <c r="H91">
        <v>8.5868999999999997E-3</v>
      </c>
      <c r="I91">
        <v>7.9774000000000008E-3</v>
      </c>
      <c r="J91">
        <v>7.4494000000000001E-3</v>
      </c>
      <c r="K91">
        <v>6.9584E-3</v>
      </c>
      <c r="L91">
        <v>6.5310000000000003E-3</v>
      </c>
      <c r="M91">
        <v>6.1469999999999997E-3</v>
      </c>
      <c r="N91">
        <v>5.8066999999999997E-3</v>
      </c>
      <c r="O91">
        <v>5.5002999999999996E-3</v>
      </c>
      <c r="P91">
        <v>5.2050999999999998E-3</v>
      </c>
      <c r="Q91">
        <v>4.9567999999999999E-3</v>
      </c>
      <c r="R91">
        <v>4.7359999999999998E-3</v>
      </c>
      <c r="S91">
        <v>4.5332000000000003E-3</v>
      </c>
      <c r="T91">
        <v>4.3496000000000003E-3</v>
      </c>
      <c r="U91">
        <v>4.1824999999999996E-3</v>
      </c>
      <c r="V91">
        <v>4.0274999999999998E-3</v>
      </c>
      <c r="W91">
        <v>3.9020999999999999E-3</v>
      </c>
      <c r="X91">
        <v>3.7718999999999999E-3</v>
      </c>
      <c r="Y91">
        <v>3.6522999999999998E-3</v>
      </c>
      <c r="Z91">
        <v>3.5382E-3</v>
      </c>
      <c r="AA91">
        <v>3.4234000000000001E-3</v>
      </c>
      <c r="AB91">
        <v>3.3272000000000002E-3</v>
      </c>
      <c r="AC91">
        <v>3.2475999999999998E-3</v>
      </c>
      <c r="AD91">
        <v>3.1624999999999999E-3</v>
      </c>
      <c r="AE91">
        <v>3.0823000000000001E-3</v>
      </c>
      <c r="AF91">
        <v>2.9957999999999999E-3</v>
      </c>
      <c r="AG91">
        <v>2.9247000000000001E-3</v>
      </c>
      <c r="AH91">
        <v>2.8574E-3</v>
      </c>
      <c r="AI91">
        <v>2.8031000000000002E-3</v>
      </c>
      <c r="AJ91">
        <v>2.7311000000000002E-3</v>
      </c>
      <c r="AK91">
        <v>2.6733E-3</v>
      </c>
      <c r="AL91">
        <v>2.6175E-3</v>
      </c>
      <c r="AM91">
        <v>2.5636999999999999E-3</v>
      </c>
      <c r="AN91">
        <v>2.5119999999999999E-3</v>
      </c>
      <c r="AO91">
        <v>2.4616999999999998E-3</v>
      </c>
      <c r="AP91">
        <v>2.4137999999999998E-3</v>
      </c>
      <c r="AQ91">
        <v>2.3687999999999999E-3</v>
      </c>
      <c r="AR91">
        <v>2.3254E-3</v>
      </c>
      <c r="AS91">
        <v>2.2740999999999998E-3</v>
      </c>
      <c r="AT91">
        <v>2.2328000000000001E-3</v>
      </c>
      <c r="AU91">
        <v>2.1924000000000002E-3</v>
      </c>
      <c r="AV91">
        <v>2.1513999999999999E-3</v>
      </c>
      <c r="AW91">
        <v>2.1148999999999999E-3</v>
      </c>
      <c r="AX91">
        <v>2.0779000000000001E-3</v>
      </c>
      <c r="AY91">
        <v>2.0411000000000001E-3</v>
      </c>
      <c r="AZ91">
        <v>2.0068999999999998E-3</v>
      </c>
      <c r="BA91">
        <v>1.9746E-3</v>
      </c>
      <c r="BB91">
        <v>1.9464E-3</v>
      </c>
      <c r="BC91">
        <v>1.9201000000000001E-3</v>
      </c>
      <c r="BD91">
        <v>1.8929000000000001E-3</v>
      </c>
      <c r="BE91">
        <v>1.8633E-3</v>
      </c>
      <c r="BF91">
        <v>1.8346E-3</v>
      </c>
      <c r="BG91">
        <v>1.8056999999999999E-3</v>
      </c>
      <c r="BH91">
        <v>1.7726E-3</v>
      </c>
      <c r="BI91">
        <v>1.7455000000000001E-3</v>
      </c>
      <c r="BJ91">
        <v>1.6969999999999999E-3</v>
      </c>
      <c r="BK91">
        <v>1.668E-3</v>
      </c>
      <c r="BL91">
        <v>1.6398000000000001E-3</v>
      </c>
      <c r="BM91">
        <v>1.6115999999999999E-3</v>
      </c>
      <c r="BN91">
        <v>1.5855999999999999E-3</v>
      </c>
      <c r="BO91">
        <v>1.5627E-3</v>
      </c>
      <c r="BP91">
        <v>1.5401E-3</v>
      </c>
      <c r="BQ91">
        <v>1.5154000000000001E-3</v>
      </c>
      <c r="BR91">
        <v>1.4909999999999999E-3</v>
      </c>
      <c r="BS91">
        <v>1.4683999999999999E-3</v>
      </c>
      <c r="BT91">
        <v>1.4473999999999999E-3</v>
      </c>
      <c r="BU91">
        <v>1.4311E-3</v>
      </c>
      <c r="BV91">
        <v>1.4154E-3</v>
      </c>
      <c r="BW91">
        <v>1.3989E-3</v>
      </c>
      <c r="BX91">
        <v>1.3822000000000001E-3</v>
      </c>
      <c r="BY91">
        <v>1.3644E-3</v>
      </c>
      <c r="BZ91">
        <v>1.3447000000000001E-3</v>
      </c>
      <c r="CA91">
        <v>1.3194000000000001E-3</v>
      </c>
      <c r="CB91">
        <v>1.2887E-3</v>
      </c>
      <c r="CC91">
        <v>1.2306000000000001E-3</v>
      </c>
      <c r="CD91">
        <v>1.2028E-3</v>
      </c>
      <c r="CE91">
        <v>1.1741E-3</v>
      </c>
      <c r="CF91">
        <v>1.1098E-3</v>
      </c>
      <c r="CG91">
        <v>1.1594000000000001E-3</v>
      </c>
      <c r="CH91">
        <v>1.1469E-3</v>
      </c>
      <c r="CI91">
        <v>1.1410000000000001E-3</v>
      </c>
      <c r="CJ91">
        <v>1.1339E-3</v>
      </c>
      <c r="CK91">
        <v>1.1264999999999999E-3</v>
      </c>
      <c r="CL91">
        <v>1.1184000000000001E-3</v>
      </c>
      <c r="CM91">
        <v>1.1098E-3</v>
      </c>
      <c r="CN91">
        <v>1.1006E-3</v>
      </c>
      <c r="CO91">
        <v>1.0908000000000001E-3</v>
      </c>
      <c r="CP91">
        <v>1.0805999999999999E-3</v>
      </c>
      <c r="CQ91">
        <v>1.07E-3</v>
      </c>
      <c r="CR91">
        <v>1.059E-3</v>
      </c>
      <c r="CS91">
        <v>1.0478E-3</v>
      </c>
      <c r="CT91">
        <v>1.0364E-3</v>
      </c>
      <c r="CU91">
        <v>1.0248E-3</v>
      </c>
      <c r="CV91">
        <v>1.013E-3</v>
      </c>
      <c r="CW91">
        <v>1.0012E-3</v>
      </c>
      <c r="CX91">
        <v>9.8919999999999998E-4</v>
      </c>
      <c r="CY91">
        <v>9.771999999999999E-4</v>
      </c>
      <c r="CZ91">
        <v>9.6520000000000004E-4</v>
      </c>
      <c r="DA91">
        <v>9.5319999999999997E-4</v>
      </c>
      <c r="DB91">
        <v>9.4110000000000005E-4</v>
      </c>
      <c r="DC91">
        <v>9.2909999999999998E-4</v>
      </c>
      <c r="DD91">
        <v>9.1710000000000001E-4</v>
      </c>
      <c r="DE91">
        <v>9.0519999999999999E-4</v>
      </c>
      <c r="DF91">
        <v>8.9329999999999998E-4</v>
      </c>
      <c r="DG91">
        <v>8.8150000000000001E-4</v>
      </c>
      <c r="DH91">
        <v>8.6970000000000005E-4</v>
      </c>
      <c r="DI91">
        <v>8.5800000000000004E-4</v>
      </c>
      <c r="DJ91">
        <v>8.4630000000000003E-4</v>
      </c>
      <c r="DK91">
        <v>8.3469999999999996E-4</v>
      </c>
      <c r="DL91">
        <v>8.2330000000000001E-4</v>
      </c>
      <c r="DM91">
        <v>8.1189999999999995E-4</v>
      </c>
      <c r="DN91">
        <v>8.0060000000000005E-4</v>
      </c>
      <c r="DO91">
        <v>7.894E-4</v>
      </c>
      <c r="DP91">
        <v>7.783E-4</v>
      </c>
      <c r="DQ91">
        <v>5.3773899999999999E-2</v>
      </c>
      <c r="DR91">
        <v>0</v>
      </c>
      <c r="DS91">
        <v>5.02E-5</v>
      </c>
      <c r="DT91">
        <v>2.8580000000000001E-4</v>
      </c>
      <c r="DU91">
        <v>5.8549999999999997E-4</v>
      </c>
      <c r="DV91">
        <v>6.2259999999999995E-4</v>
      </c>
      <c r="DW91">
        <v>6.1149999999999996E-4</v>
      </c>
      <c r="DX91">
        <v>6.0979999999999997E-4</v>
      </c>
      <c r="DY91">
        <v>5.2890000000000001E-4</v>
      </c>
      <c r="DZ91">
        <v>4.9089999999999995E-4</v>
      </c>
      <c r="EA91">
        <v>4.2749999999999998E-4</v>
      </c>
      <c r="EB91">
        <v>3.8440000000000002E-4</v>
      </c>
      <c r="EC91">
        <v>3.4049999999999998E-4</v>
      </c>
      <c r="ED91">
        <v>3.056E-4</v>
      </c>
      <c r="EE91">
        <v>2.7339999999999998E-4</v>
      </c>
      <c r="EF91">
        <v>2.4499999999999999E-4</v>
      </c>
      <c r="EG91">
        <v>2.2110000000000001E-4</v>
      </c>
      <c r="EH91">
        <v>2.0049999999999999E-4</v>
      </c>
      <c r="EI91">
        <v>1.8230000000000001E-4</v>
      </c>
      <c r="EJ91">
        <v>1.6640000000000001E-4</v>
      </c>
      <c r="EK91">
        <v>1.5239999999999999E-4</v>
      </c>
      <c r="EL91">
        <v>1.3999999999999999E-4</v>
      </c>
      <c r="EM91">
        <v>1.2980000000000001E-4</v>
      </c>
      <c r="EN91">
        <v>1.2010000000000001E-4</v>
      </c>
      <c r="EO91">
        <v>1.114E-4</v>
      </c>
      <c r="EP91">
        <v>1.037E-4</v>
      </c>
      <c r="EQ91">
        <v>9.6500000000000001E-5</v>
      </c>
      <c r="ER91">
        <v>9.0400000000000002E-5</v>
      </c>
      <c r="ES91">
        <v>8.53E-5</v>
      </c>
      <c r="ET91">
        <v>8.0400000000000003E-5</v>
      </c>
      <c r="EU91">
        <v>7.5900000000000002E-5</v>
      </c>
      <c r="EV91">
        <v>7.1500000000000003E-5</v>
      </c>
      <c r="EW91">
        <v>6.7899999999999997E-5</v>
      </c>
      <c r="EX91">
        <v>6.4499999999999996E-5</v>
      </c>
      <c r="EY91">
        <v>6.1600000000000007E-5</v>
      </c>
      <c r="EZ91">
        <v>5.8499999999999999E-5</v>
      </c>
      <c r="FA91">
        <v>5.5899999999999997E-5</v>
      </c>
      <c r="FB91">
        <v>5.3399999999999997E-5</v>
      </c>
      <c r="FC91">
        <v>5.1100000000000002E-5</v>
      </c>
      <c r="FD91">
        <v>4.8999999999999998E-5</v>
      </c>
      <c r="FE91">
        <v>4.6999999999999997E-5</v>
      </c>
      <c r="FF91">
        <v>4.5099999999999998E-5</v>
      </c>
      <c r="FG91">
        <v>4.3399999999999998E-5</v>
      </c>
      <c r="FH91">
        <v>4.18E-5</v>
      </c>
      <c r="FI91">
        <v>4.0099999999999999E-5</v>
      </c>
      <c r="FJ91">
        <v>3.8699999999999999E-5</v>
      </c>
      <c r="FK91">
        <v>3.7400000000000001E-5</v>
      </c>
      <c r="FL91">
        <v>3.6100000000000003E-5</v>
      </c>
      <c r="FM91">
        <v>3.4900000000000001E-5</v>
      </c>
      <c r="FN91">
        <v>3.3899999999999997E-5</v>
      </c>
      <c r="FO91">
        <v>3.2799999999999998E-5</v>
      </c>
      <c r="FP91">
        <v>3.1900000000000003E-5</v>
      </c>
      <c r="FQ91">
        <v>3.1000000000000001E-5</v>
      </c>
      <c r="FR91">
        <v>3.0199999999999999E-5</v>
      </c>
      <c r="FS91">
        <v>2.9499999999999999E-5</v>
      </c>
      <c r="FT91">
        <v>2.8799999999999999E-5</v>
      </c>
      <c r="FU91">
        <v>2.8099999999999999E-5</v>
      </c>
      <c r="FV91">
        <v>2.7500000000000001E-5</v>
      </c>
      <c r="FW91">
        <v>2.6800000000000001E-5</v>
      </c>
      <c r="FX91">
        <v>2.62E-5</v>
      </c>
      <c r="FY91">
        <v>2.5599999999999999E-5</v>
      </c>
      <c r="FZ91">
        <v>2.48E-5</v>
      </c>
      <c r="GA91">
        <v>2.4199999999999999E-5</v>
      </c>
      <c r="GB91">
        <v>2.37E-5</v>
      </c>
      <c r="GC91">
        <v>2.3200000000000001E-5</v>
      </c>
      <c r="GD91">
        <v>2.27E-5</v>
      </c>
      <c r="GE91">
        <v>2.23E-5</v>
      </c>
      <c r="GF91">
        <v>2.19E-5</v>
      </c>
      <c r="GG91">
        <v>2.1500000000000001E-5</v>
      </c>
      <c r="GH91">
        <v>2.1100000000000001E-5</v>
      </c>
      <c r="GI91">
        <v>2.0800000000000001E-5</v>
      </c>
      <c r="GJ91">
        <v>2.0400000000000001E-5</v>
      </c>
      <c r="GK91">
        <v>2.02E-5</v>
      </c>
      <c r="GL91">
        <v>1.9899999999999999E-5</v>
      </c>
      <c r="GM91">
        <v>1.9700000000000001E-5</v>
      </c>
      <c r="GN91">
        <v>1.9400000000000001E-5</v>
      </c>
      <c r="GO91">
        <v>1.91E-5</v>
      </c>
      <c r="GP91">
        <v>1.88E-5</v>
      </c>
      <c r="GQ91">
        <v>1.8499999999999999E-5</v>
      </c>
      <c r="GR91">
        <v>1.8E-5</v>
      </c>
      <c r="GS91">
        <v>1.7200000000000001E-5</v>
      </c>
      <c r="GT91">
        <v>1.6799999999999998E-5</v>
      </c>
      <c r="GU91">
        <v>1.6399999999999999E-5</v>
      </c>
      <c r="GV91">
        <v>1.5500000000000001E-5</v>
      </c>
      <c r="GW91">
        <v>1.6200000000000001E-5</v>
      </c>
      <c r="GX91">
        <v>1.5999999999999999E-5</v>
      </c>
      <c r="GY91">
        <v>1.5999999999999999E-5</v>
      </c>
      <c r="GZ91">
        <v>1.59E-5</v>
      </c>
      <c r="HA91">
        <v>1.5800000000000001E-5</v>
      </c>
      <c r="HB91">
        <v>1.5699999999999999E-5</v>
      </c>
      <c r="HC91">
        <v>1.5500000000000001E-5</v>
      </c>
      <c r="HD91">
        <v>1.5400000000000002E-5</v>
      </c>
      <c r="HE91">
        <v>1.5299999999999999E-5</v>
      </c>
      <c r="HF91">
        <v>1.5099999999999999E-5</v>
      </c>
      <c r="HG91">
        <v>1.5E-5</v>
      </c>
      <c r="HH91">
        <v>1.49E-5</v>
      </c>
      <c r="HI91">
        <v>1.47E-5</v>
      </c>
      <c r="HJ91">
        <v>1.4600000000000001E-5</v>
      </c>
      <c r="HK91">
        <v>1.4399999999999999E-5</v>
      </c>
      <c r="HL91">
        <v>1.42E-5</v>
      </c>
      <c r="HM91">
        <v>1.4100000000000001E-5</v>
      </c>
      <c r="HN91">
        <v>1.3900000000000001E-5</v>
      </c>
      <c r="HO91">
        <v>1.38E-5</v>
      </c>
      <c r="HP91">
        <v>1.36E-5</v>
      </c>
      <c r="HQ91">
        <v>1.34E-5</v>
      </c>
      <c r="HR91">
        <v>1.33E-5</v>
      </c>
      <c r="HS91">
        <v>1.31E-5</v>
      </c>
      <c r="HT91">
        <v>1.29E-5</v>
      </c>
      <c r="HU91">
        <v>1.2799999999999999E-5</v>
      </c>
      <c r="HV91">
        <v>1.26E-5</v>
      </c>
      <c r="HW91">
        <v>1.24E-5</v>
      </c>
      <c r="HX91">
        <v>1.2300000000000001E-5</v>
      </c>
      <c r="HY91">
        <v>1.2099999999999999E-5</v>
      </c>
      <c r="HZ91">
        <v>1.2E-5</v>
      </c>
      <c r="IA91">
        <v>1.1800000000000001E-5</v>
      </c>
      <c r="IB91">
        <v>1.1600000000000001E-5</v>
      </c>
      <c r="IC91">
        <v>1.15E-5</v>
      </c>
      <c r="ID91">
        <v>1.13E-5</v>
      </c>
      <c r="IE91">
        <v>1.1199999999999999E-5</v>
      </c>
      <c r="IF91">
        <v>1.1E-5</v>
      </c>
      <c r="IG91">
        <v>7.6369999999999997E-4</v>
      </c>
    </row>
    <row r="92" spans="1:241" x14ac:dyDescent="0.35">
      <c r="A92" s="1">
        <v>84</v>
      </c>
      <c r="B92">
        <v>1.0734799999999999E-2</v>
      </c>
      <c r="C92">
        <v>1.0734799999999999E-2</v>
      </c>
      <c r="D92">
        <v>1.0684600000000001E-2</v>
      </c>
      <c r="E92">
        <v>1.0398900000000001E-2</v>
      </c>
      <c r="F92">
        <v>9.8133999999999999E-3</v>
      </c>
      <c r="G92">
        <v>9.1911000000000007E-3</v>
      </c>
      <c r="H92">
        <v>8.5804999999999996E-3</v>
      </c>
      <c r="I92">
        <v>7.9771000000000009E-3</v>
      </c>
      <c r="J92">
        <v>7.4485000000000003E-3</v>
      </c>
      <c r="K92">
        <v>6.9585000000000003E-3</v>
      </c>
      <c r="L92">
        <v>6.5309000000000001E-3</v>
      </c>
      <c r="M92">
        <v>6.1466000000000003E-3</v>
      </c>
      <c r="N92">
        <v>5.8065E-3</v>
      </c>
      <c r="O92">
        <v>5.5011000000000001E-3</v>
      </c>
      <c r="P92">
        <v>5.2268999999999996E-3</v>
      </c>
      <c r="Q92">
        <v>4.9601000000000003E-3</v>
      </c>
      <c r="R92">
        <v>4.7358000000000001E-3</v>
      </c>
      <c r="S92">
        <v>4.5354999999999996E-3</v>
      </c>
      <c r="T92">
        <v>4.3509000000000004E-3</v>
      </c>
      <c r="U92">
        <v>4.1831999999999998E-3</v>
      </c>
      <c r="V92">
        <v>4.0301E-3</v>
      </c>
      <c r="W92">
        <v>3.8874999999999999E-3</v>
      </c>
      <c r="X92">
        <v>3.7724E-3</v>
      </c>
      <c r="Y92">
        <v>3.6518000000000002E-3</v>
      </c>
      <c r="Z92">
        <v>3.5408000000000002E-3</v>
      </c>
      <c r="AA92">
        <v>3.4345000000000001E-3</v>
      </c>
      <c r="AB92">
        <v>3.3270000000000001E-3</v>
      </c>
      <c r="AC92">
        <v>3.2368000000000002E-3</v>
      </c>
      <c r="AD92">
        <v>3.1622999999999998E-3</v>
      </c>
      <c r="AE92">
        <v>3.0820999999999999E-3</v>
      </c>
      <c r="AF92">
        <v>3.0063999999999998E-3</v>
      </c>
      <c r="AG92">
        <v>2.9242000000000001E-3</v>
      </c>
      <c r="AH92">
        <v>2.8568999999999999E-3</v>
      </c>
      <c r="AI92">
        <v>2.7929000000000001E-3</v>
      </c>
      <c r="AJ92">
        <v>2.7415E-3</v>
      </c>
      <c r="AK92">
        <v>2.6725999999999998E-3</v>
      </c>
      <c r="AL92">
        <v>2.6174000000000002E-3</v>
      </c>
      <c r="AM92">
        <v>2.5641000000000001E-3</v>
      </c>
      <c r="AN92">
        <v>2.5125999999999998E-3</v>
      </c>
      <c r="AO92">
        <v>2.4631000000000002E-3</v>
      </c>
      <c r="AP92">
        <v>2.4147000000000001E-3</v>
      </c>
      <c r="AQ92">
        <v>2.3687000000000001E-3</v>
      </c>
      <c r="AR92">
        <v>2.3254E-3</v>
      </c>
      <c r="AS92">
        <v>2.2837000000000001E-3</v>
      </c>
      <c r="AT92">
        <v>2.2339999999999999E-3</v>
      </c>
      <c r="AU92">
        <v>2.1941E-3</v>
      </c>
      <c r="AV92">
        <v>2.1551000000000001E-3</v>
      </c>
      <c r="AW92">
        <v>2.1153000000000001E-3</v>
      </c>
      <c r="AX92">
        <v>2.0799999999999998E-3</v>
      </c>
      <c r="AY92">
        <v>2.0439999999999998E-3</v>
      </c>
      <c r="AZ92">
        <v>2.0083000000000002E-3</v>
      </c>
      <c r="BA92">
        <v>1.9750000000000002E-3</v>
      </c>
      <c r="BB92">
        <v>1.9436E-3</v>
      </c>
      <c r="BC92">
        <v>1.9161E-3</v>
      </c>
      <c r="BD92">
        <v>1.8905E-3</v>
      </c>
      <c r="BE92">
        <v>1.864E-3</v>
      </c>
      <c r="BF92">
        <v>1.8351000000000001E-3</v>
      </c>
      <c r="BG92">
        <v>1.8071000000000001E-3</v>
      </c>
      <c r="BH92">
        <v>1.7788000000000001E-3</v>
      </c>
      <c r="BI92">
        <v>1.7463999999999999E-3</v>
      </c>
      <c r="BJ92">
        <v>1.7198999999999999E-3</v>
      </c>
      <c r="BK92">
        <v>1.6723E-3</v>
      </c>
      <c r="BL92">
        <v>1.6437999999999999E-3</v>
      </c>
      <c r="BM92">
        <v>1.6161000000000001E-3</v>
      </c>
      <c r="BN92">
        <v>1.5884E-3</v>
      </c>
      <c r="BO92">
        <v>1.5628E-3</v>
      </c>
      <c r="BP92">
        <v>1.5403999999999999E-3</v>
      </c>
      <c r="BQ92">
        <v>1.5181999999999999E-3</v>
      </c>
      <c r="BR92">
        <v>1.4939E-3</v>
      </c>
      <c r="BS92">
        <v>1.4698999999999999E-3</v>
      </c>
      <c r="BT92">
        <v>1.4476000000000001E-3</v>
      </c>
      <c r="BU92">
        <v>1.4270000000000001E-3</v>
      </c>
      <c r="BV92">
        <v>1.4109000000000001E-3</v>
      </c>
      <c r="BW92">
        <v>1.3955E-3</v>
      </c>
      <c r="BX92">
        <v>1.3793E-3</v>
      </c>
      <c r="BY92">
        <v>1.3627999999999999E-3</v>
      </c>
      <c r="BZ92">
        <v>1.3453E-3</v>
      </c>
      <c r="CA92">
        <v>1.3258E-3</v>
      </c>
      <c r="CB92">
        <v>1.3009E-3</v>
      </c>
      <c r="CC92">
        <v>1.2707E-3</v>
      </c>
      <c r="CD92">
        <v>1.2133999999999999E-3</v>
      </c>
      <c r="CE92">
        <v>1.186E-3</v>
      </c>
      <c r="CF92">
        <v>1.1577E-3</v>
      </c>
      <c r="CG92">
        <v>1.0942E-3</v>
      </c>
      <c r="CH92">
        <v>1.1431E-3</v>
      </c>
      <c r="CI92">
        <v>1.1309E-3</v>
      </c>
      <c r="CJ92">
        <v>1.1249999999999999E-3</v>
      </c>
      <c r="CK92">
        <v>1.1180000000000001E-3</v>
      </c>
      <c r="CL92">
        <v>1.1107999999999999E-3</v>
      </c>
      <c r="CM92">
        <v>1.1027999999999999E-3</v>
      </c>
      <c r="CN92">
        <v>1.0942E-3</v>
      </c>
      <c r="CO92">
        <v>1.0851000000000001E-3</v>
      </c>
      <c r="CP92">
        <v>1.0755000000000001E-3</v>
      </c>
      <c r="CQ92">
        <v>1.0654E-3</v>
      </c>
      <c r="CR92">
        <v>1.0549000000000001E-3</v>
      </c>
      <c r="CS92">
        <v>1.0441999999999999E-3</v>
      </c>
      <c r="CT92">
        <v>1.0330999999999999E-3</v>
      </c>
      <c r="CU92">
        <v>1.0218E-3</v>
      </c>
      <c r="CV92">
        <v>1.0104000000000001E-3</v>
      </c>
      <c r="CW92">
        <v>9.9879999999999999E-4</v>
      </c>
      <c r="CX92">
        <v>9.8710000000000009E-4</v>
      </c>
      <c r="CY92">
        <v>9.7530000000000002E-4</v>
      </c>
      <c r="CZ92">
        <v>9.6349999999999995E-4</v>
      </c>
      <c r="DA92">
        <v>9.5160000000000004E-4</v>
      </c>
      <c r="DB92">
        <v>9.3979999999999997E-4</v>
      </c>
      <c r="DC92">
        <v>9.2789999999999995E-4</v>
      </c>
      <c r="DD92">
        <v>9.1600000000000004E-4</v>
      </c>
      <c r="DE92">
        <v>9.0419999999999997E-4</v>
      </c>
      <c r="DF92">
        <v>8.9240000000000001E-4</v>
      </c>
      <c r="DG92">
        <v>8.8069999999999999E-4</v>
      </c>
      <c r="DH92">
        <v>8.6899999999999998E-4</v>
      </c>
      <c r="DI92">
        <v>8.5740000000000002E-4</v>
      </c>
      <c r="DJ92">
        <v>8.4579999999999996E-4</v>
      </c>
      <c r="DK92">
        <v>8.3440000000000001E-4</v>
      </c>
      <c r="DL92">
        <v>8.229E-4</v>
      </c>
      <c r="DM92">
        <v>8.116E-4</v>
      </c>
      <c r="DN92">
        <v>8.0040000000000005E-4</v>
      </c>
      <c r="DO92">
        <v>7.8919999999999999E-4</v>
      </c>
      <c r="DP92">
        <v>7.7820000000000005E-4</v>
      </c>
      <c r="DQ92">
        <v>5.3777400000000003E-2</v>
      </c>
      <c r="DR92">
        <v>0</v>
      </c>
      <c r="DS92">
        <v>5.02E-5</v>
      </c>
      <c r="DT92">
        <v>2.8580000000000001E-4</v>
      </c>
      <c r="DU92">
        <v>5.8569999999999998E-4</v>
      </c>
      <c r="DV92">
        <v>6.2290000000000002E-4</v>
      </c>
      <c r="DW92">
        <v>6.1079999999999999E-4</v>
      </c>
      <c r="DX92">
        <v>6.1149999999999996E-4</v>
      </c>
      <c r="DY92">
        <v>5.2999999999999998E-4</v>
      </c>
      <c r="DZ92">
        <v>4.9169999999999997E-4</v>
      </c>
      <c r="EA92">
        <v>4.2759999999999999E-4</v>
      </c>
      <c r="EB92">
        <v>3.8499999999999998E-4</v>
      </c>
      <c r="EC92">
        <v>3.4049999999999998E-4</v>
      </c>
      <c r="ED92">
        <v>3.0509999999999999E-4</v>
      </c>
      <c r="EE92">
        <v>2.7250000000000001E-4</v>
      </c>
      <c r="EF92">
        <v>2.452E-4</v>
      </c>
      <c r="EG92">
        <v>2.198E-4</v>
      </c>
      <c r="EH92">
        <v>1.9900000000000001E-4</v>
      </c>
      <c r="EI92">
        <v>1.8090000000000001E-4</v>
      </c>
      <c r="EJ92">
        <v>1.65E-4</v>
      </c>
      <c r="EK92">
        <v>1.5100000000000001E-4</v>
      </c>
      <c r="EL92">
        <v>1.3870000000000001E-4</v>
      </c>
      <c r="EM92">
        <v>1.2779999999999999E-4</v>
      </c>
      <c r="EN92">
        <v>1.188E-4</v>
      </c>
      <c r="EO92">
        <v>1.103E-4</v>
      </c>
      <c r="EP92">
        <v>1.027E-4</v>
      </c>
      <c r="EQ92">
        <v>9.59E-5</v>
      </c>
      <c r="ER92">
        <v>8.9499999999999994E-5</v>
      </c>
      <c r="ES92">
        <v>8.4099999999999998E-5</v>
      </c>
      <c r="ET92">
        <v>7.9599999999999997E-5</v>
      </c>
      <c r="EU92">
        <v>7.5199999999999998E-5</v>
      </c>
      <c r="EV92">
        <v>7.1199999999999996E-5</v>
      </c>
      <c r="EW92">
        <v>6.7299999999999996E-5</v>
      </c>
      <c r="EX92">
        <v>6.3999999999999997E-5</v>
      </c>
      <c r="EY92">
        <v>6.0999999999999999E-5</v>
      </c>
      <c r="EZ92">
        <v>5.8400000000000003E-5</v>
      </c>
      <c r="FA92">
        <v>5.5500000000000001E-5</v>
      </c>
      <c r="FB92">
        <v>5.3100000000000003E-5</v>
      </c>
      <c r="FC92">
        <v>5.0800000000000002E-5</v>
      </c>
      <c r="FD92">
        <v>4.8699999999999998E-5</v>
      </c>
      <c r="FE92">
        <v>4.6799999999999999E-5</v>
      </c>
      <c r="FF92">
        <v>4.49E-5</v>
      </c>
      <c r="FG92">
        <v>4.32E-5</v>
      </c>
      <c r="FH92">
        <v>4.1600000000000002E-5</v>
      </c>
      <c r="FI92">
        <v>4.0099999999999999E-5</v>
      </c>
      <c r="FJ92">
        <v>3.8600000000000003E-5</v>
      </c>
      <c r="FK92">
        <v>3.7299999999999999E-5</v>
      </c>
      <c r="FL92">
        <v>3.6000000000000001E-5</v>
      </c>
      <c r="FM92">
        <v>3.4799999999999999E-5</v>
      </c>
      <c r="FN92">
        <v>3.3800000000000002E-5</v>
      </c>
      <c r="FO92">
        <v>3.2799999999999998E-5</v>
      </c>
      <c r="FP92">
        <v>3.18E-5</v>
      </c>
      <c r="FQ92">
        <v>3.0899999999999999E-5</v>
      </c>
      <c r="FR92">
        <v>3.01E-5</v>
      </c>
      <c r="FS92">
        <v>2.94E-5</v>
      </c>
      <c r="FT92">
        <v>2.87E-5</v>
      </c>
      <c r="FU92">
        <v>2.8099999999999999E-5</v>
      </c>
      <c r="FV92">
        <v>2.7399999999999999E-5</v>
      </c>
      <c r="FW92">
        <v>2.6800000000000001E-5</v>
      </c>
      <c r="FX92">
        <v>2.62E-5</v>
      </c>
      <c r="FY92">
        <v>2.5599999999999999E-5</v>
      </c>
      <c r="FZ92">
        <v>2.51E-5</v>
      </c>
      <c r="GA92">
        <v>2.4199999999999999E-5</v>
      </c>
      <c r="GB92">
        <v>2.37E-5</v>
      </c>
      <c r="GC92">
        <v>2.3200000000000001E-5</v>
      </c>
      <c r="GD92">
        <v>2.27E-5</v>
      </c>
      <c r="GE92">
        <v>2.23E-5</v>
      </c>
      <c r="GF92">
        <v>2.19E-5</v>
      </c>
      <c r="GG92">
        <v>2.1500000000000001E-5</v>
      </c>
      <c r="GH92">
        <v>2.1100000000000001E-5</v>
      </c>
      <c r="GI92">
        <v>2.0699999999999998E-5</v>
      </c>
      <c r="GJ92">
        <v>2.0400000000000001E-5</v>
      </c>
      <c r="GK92">
        <v>2.0100000000000001E-5</v>
      </c>
      <c r="GL92">
        <v>1.98E-5</v>
      </c>
      <c r="GM92">
        <v>1.9599999999999999E-5</v>
      </c>
      <c r="GN92">
        <v>1.9300000000000002E-5</v>
      </c>
      <c r="GO92">
        <v>1.91E-5</v>
      </c>
      <c r="GP92">
        <v>1.88E-5</v>
      </c>
      <c r="GQ92">
        <v>1.8499999999999999E-5</v>
      </c>
      <c r="GR92">
        <v>1.8199999999999999E-5</v>
      </c>
      <c r="GS92">
        <v>1.7799999999999999E-5</v>
      </c>
      <c r="GT92">
        <v>1.7E-5</v>
      </c>
      <c r="GU92">
        <v>1.66E-5</v>
      </c>
      <c r="GV92">
        <v>1.6200000000000001E-5</v>
      </c>
      <c r="GW92">
        <v>1.5299999999999999E-5</v>
      </c>
      <c r="GX92">
        <v>1.5999999999999999E-5</v>
      </c>
      <c r="GY92">
        <v>1.5800000000000001E-5</v>
      </c>
      <c r="GZ92">
        <v>1.5699999999999999E-5</v>
      </c>
      <c r="HA92">
        <v>1.56E-5</v>
      </c>
      <c r="HB92">
        <v>1.5500000000000001E-5</v>
      </c>
      <c r="HC92">
        <v>1.5400000000000002E-5</v>
      </c>
      <c r="HD92">
        <v>1.5299999999999999E-5</v>
      </c>
      <c r="HE92">
        <v>1.52E-5</v>
      </c>
      <c r="HF92">
        <v>1.5099999999999999E-5</v>
      </c>
      <c r="HG92">
        <v>1.49E-5</v>
      </c>
      <c r="HH92">
        <v>1.4800000000000001E-5</v>
      </c>
      <c r="HI92">
        <v>1.4600000000000001E-5</v>
      </c>
      <c r="HJ92">
        <v>1.45E-5</v>
      </c>
      <c r="HK92">
        <v>1.43E-5</v>
      </c>
      <c r="HL92">
        <v>1.42E-5</v>
      </c>
      <c r="HM92">
        <v>1.4E-5</v>
      </c>
      <c r="HN92">
        <v>1.3900000000000001E-5</v>
      </c>
      <c r="HO92">
        <v>1.3699999999999999E-5</v>
      </c>
      <c r="HP92">
        <v>1.36E-5</v>
      </c>
      <c r="HQ92">
        <v>1.34E-5</v>
      </c>
      <c r="HR92">
        <v>1.3200000000000001E-5</v>
      </c>
      <c r="HS92">
        <v>1.31E-5</v>
      </c>
      <c r="HT92">
        <v>1.29E-5</v>
      </c>
      <c r="HU92">
        <v>1.27E-5</v>
      </c>
      <c r="HV92">
        <v>1.26E-5</v>
      </c>
      <c r="HW92">
        <v>1.24E-5</v>
      </c>
      <c r="HX92">
        <v>1.2300000000000001E-5</v>
      </c>
      <c r="HY92">
        <v>1.2099999999999999E-5</v>
      </c>
      <c r="HZ92">
        <v>1.19E-5</v>
      </c>
      <c r="IA92">
        <v>1.1800000000000001E-5</v>
      </c>
      <c r="IB92">
        <v>1.1600000000000001E-5</v>
      </c>
      <c r="IC92">
        <v>1.15E-5</v>
      </c>
      <c r="ID92">
        <v>1.13E-5</v>
      </c>
      <c r="IE92">
        <v>1.1199999999999999E-5</v>
      </c>
      <c r="IF92">
        <v>1.1E-5</v>
      </c>
      <c r="IG92">
        <v>7.6360000000000002E-4</v>
      </c>
    </row>
    <row r="93" spans="1:241" x14ac:dyDescent="0.35">
      <c r="A93" s="1">
        <v>85</v>
      </c>
      <c r="B93">
        <v>1.0734799999999999E-2</v>
      </c>
      <c r="C93">
        <v>1.0734799999999999E-2</v>
      </c>
      <c r="D93">
        <v>1.0684600000000001E-2</v>
      </c>
      <c r="E93">
        <v>1.03988E-2</v>
      </c>
      <c r="F93">
        <v>9.8130999999999999E-3</v>
      </c>
      <c r="G93">
        <v>9.1906000000000002E-3</v>
      </c>
      <c r="H93">
        <v>8.5803000000000008E-3</v>
      </c>
      <c r="I93">
        <v>7.9690999999999998E-3</v>
      </c>
      <c r="J93">
        <v>7.4470999999999999E-3</v>
      </c>
      <c r="K93">
        <v>6.9568E-3</v>
      </c>
      <c r="L93">
        <v>6.5307999999999998E-3</v>
      </c>
      <c r="M93">
        <v>6.1459000000000001E-3</v>
      </c>
      <c r="N93">
        <v>5.8062000000000001E-3</v>
      </c>
      <c r="O93">
        <v>5.5014E-3</v>
      </c>
      <c r="P93">
        <v>5.2285999999999999E-3</v>
      </c>
      <c r="Q93">
        <v>4.9817000000000004E-3</v>
      </c>
      <c r="R93">
        <v>4.7403000000000002E-3</v>
      </c>
      <c r="S93">
        <v>4.5367999999999997E-3</v>
      </c>
      <c r="T93">
        <v>4.3546000000000001E-3</v>
      </c>
      <c r="U93">
        <v>4.1859000000000002E-3</v>
      </c>
      <c r="V93">
        <v>4.0321999999999997E-3</v>
      </c>
      <c r="W93">
        <v>3.8914000000000002E-3</v>
      </c>
      <c r="X93">
        <v>3.7596999999999999E-3</v>
      </c>
      <c r="Y93">
        <v>3.6535999999999999E-3</v>
      </c>
      <c r="Z93">
        <v>3.5416000000000002E-3</v>
      </c>
      <c r="AA93">
        <v>3.4382000000000002E-3</v>
      </c>
      <c r="AB93">
        <v>3.3386000000000002E-3</v>
      </c>
      <c r="AC93">
        <v>3.2374000000000001E-3</v>
      </c>
      <c r="AD93">
        <v>3.1526000000000002E-3</v>
      </c>
      <c r="AE93">
        <v>3.0826999999999999E-3</v>
      </c>
      <c r="AF93">
        <v>3.0068999999999999E-3</v>
      </c>
      <c r="AG93">
        <v>2.9351999999999998E-3</v>
      </c>
      <c r="AH93">
        <v>2.8568999999999999E-3</v>
      </c>
      <c r="AI93">
        <v>2.7929000000000001E-3</v>
      </c>
      <c r="AJ93">
        <v>2.7320000000000001E-3</v>
      </c>
      <c r="AK93">
        <v>2.6830999999999999E-3</v>
      </c>
      <c r="AL93">
        <v>2.6170999999999998E-3</v>
      </c>
      <c r="AM93">
        <v>2.5642999999999998E-3</v>
      </c>
      <c r="AN93">
        <v>2.5132000000000002E-3</v>
      </c>
      <c r="AO93">
        <v>2.4639000000000002E-3</v>
      </c>
      <c r="AP93">
        <v>2.4163000000000001E-3</v>
      </c>
      <c r="AQ93">
        <v>2.3698E-3</v>
      </c>
      <c r="AR93">
        <v>2.3254999999999999E-3</v>
      </c>
      <c r="AS93">
        <v>2.2837999999999999E-3</v>
      </c>
      <c r="AT93">
        <v>2.2434999999999998E-3</v>
      </c>
      <c r="AU93">
        <v>2.1955E-3</v>
      </c>
      <c r="AV93">
        <v>2.1568999999999998E-3</v>
      </c>
      <c r="AW93">
        <v>2.1189999999999998E-3</v>
      </c>
      <c r="AX93">
        <v>2.0804999999999999E-3</v>
      </c>
      <c r="AY93">
        <v>2.0462000000000002E-3</v>
      </c>
      <c r="AZ93">
        <v>2.0113000000000002E-3</v>
      </c>
      <c r="BA93">
        <v>1.9765E-3</v>
      </c>
      <c r="BB93">
        <v>1.9441E-3</v>
      </c>
      <c r="BC93">
        <v>1.9134E-3</v>
      </c>
      <c r="BD93">
        <v>1.8867999999999999E-3</v>
      </c>
      <c r="BE93">
        <v>1.8618E-3</v>
      </c>
      <c r="BF93">
        <v>1.836E-3</v>
      </c>
      <c r="BG93">
        <v>1.8077E-3</v>
      </c>
      <c r="BH93">
        <v>1.7803000000000001E-3</v>
      </c>
      <c r="BI93">
        <v>1.7526E-3</v>
      </c>
      <c r="BJ93">
        <v>1.7208E-3</v>
      </c>
      <c r="BK93">
        <v>1.6948E-3</v>
      </c>
      <c r="BL93">
        <v>1.6479999999999999E-3</v>
      </c>
      <c r="BM93">
        <v>1.6201E-3</v>
      </c>
      <c r="BN93">
        <v>1.5929E-3</v>
      </c>
      <c r="BO93">
        <v>1.5656999999999999E-3</v>
      </c>
      <c r="BP93">
        <v>1.5406E-3</v>
      </c>
      <c r="BQ93">
        <v>1.5185000000000001E-3</v>
      </c>
      <c r="BR93">
        <v>1.4966000000000001E-3</v>
      </c>
      <c r="BS93">
        <v>1.4728E-3</v>
      </c>
      <c r="BT93">
        <v>1.4491E-3</v>
      </c>
      <c r="BU93">
        <v>1.4272E-3</v>
      </c>
      <c r="BV93">
        <v>1.4069E-3</v>
      </c>
      <c r="BW93">
        <v>1.3910999999999999E-3</v>
      </c>
      <c r="BX93">
        <v>1.3759E-3</v>
      </c>
      <c r="BY93">
        <v>1.3600000000000001E-3</v>
      </c>
      <c r="BZ93">
        <v>1.3437E-3</v>
      </c>
      <c r="CA93">
        <v>1.3265E-3</v>
      </c>
      <c r="CB93">
        <v>1.3073E-3</v>
      </c>
      <c r="CC93">
        <v>1.2828E-3</v>
      </c>
      <c r="CD93">
        <v>1.2528999999999999E-3</v>
      </c>
      <c r="CE93">
        <v>1.1965000000000001E-3</v>
      </c>
      <c r="CF93">
        <v>1.1693999999999999E-3</v>
      </c>
      <c r="CG93">
        <v>1.1414999999999999E-3</v>
      </c>
      <c r="CH93">
        <v>1.0789E-3</v>
      </c>
      <c r="CI93">
        <v>1.1272000000000001E-3</v>
      </c>
      <c r="CJ93">
        <v>1.1150999999999999E-3</v>
      </c>
      <c r="CK93">
        <v>1.1092999999999999E-3</v>
      </c>
      <c r="CL93">
        <v>1.1023999999999999E-3</v>
      </c>
      <c r="CM93">
        <v>1.0951999999999999E-3</v>
      </c>
      <c r="CN93">
        <v>1.0873E-3</v>
      </c>
      <c r="CO93">
        <v>1.0789E-3</v>
      </c>
      <c r="CP93">
        <v>1.0698999999999999E-3</v>
      </c>
      <c r="CQ93">
        <v>1.0604E-3</v>
      </c>
      <c r="CR93">
        <v>1.0505E-3</v>
      </c>
      <c r="CS93">
        <v>1.0402E-3</v>
      </c>
      <c r="CT93">
        <v>1.0295E-3</v>
      </c>
      <c r="CU93">
        <v>1.0185999999999999E-3</v>
      </c>
      <c r="CV93">
        <v>1.0074999999999999E-3</v>
      </c>
      <c r="CW93">
        <v>9.9620000000000004E-4</v>
      </c>
      <c r="CX93">
        <v>9.8480000000000009E-4</v>
      </c>
      <c r="CY93">
        <v>9.7320000000000002E-4</v>
      </c>
      <c r="CZ93">
        <v>9.6159999999999995E-4</v>
      </c>
      <c r="DA93">
        <v>9.4990000000000005E-4</v>
      </c>
      <c r="DB93">
        <v>9.3820000000000004E-4</v>
      </c>
      <c r="DC93">
        <v>9.2650000000000002E-4</v>
      </c>
      <c r="DD93">
        <v>9.1480000000000001E-4</v>
      </c>
      <c r="DE93">
        <v>9.031E-4</v>
      </c>
      <c r="DF93">
        <v>8.9150000000000004E-4</v>
      </c>
      <c r="DG93">
        <v>8.7980000000000003E-4</v>
      </c>
      <c r="DH93">
        <v>8.6830000000000002E-4</v>
      </c>
      <c r="DI93">
        <v>8.5680000000000001E-4</v>
      </c>
      <c r="DJ93">
        <v>8.453E-4</v>
      </c>
      <c r="DK93">
        <v>8.3390000000000005E-4</v>
      </c>
      <c r="DL93">
        <v>8.2260000000000005E-4</v>
      </c>
      <c r="DM93">
        <v>8.1130000000000004E-4</v>
      </c>
      <c r="DN93">
        <v>8.0020000000000004E-4</v>
      </c>
      <c r="DO93">
        <v>7.8910000000000004E-4</v>
      </c>
      <c r="DP93">
        <v>7.7809999999999999E-4</v>
      </c>
      <c r="DQ93">
        <v>5.3781000000000002E-2</v>
      </c>
      <c r="DR93">
        <v>0</v>
      </c>
      <c r="DS93">
        <v>5.02E-5</v>
      </c>
      <c r="DT93">
        <v>2.8590000000000001E-4</v>
      </c>
      <c r="DU93">
        <v>5.8600000000000004E-4</v>
      </c>
      <c r="DV93">
        <v>6.2359999999999998E-4</v>
      </c>
      <c r="DW93">
        <v>6.1109999999999995E-4</v>
      </c>
      <c r="DX93">
        <v>6.1240000000000003E-4</v>
      </c>
      <c r="DY93">
        <v>5.2970000000000003E-4</v>
      </c>
      <c r="DZ93">
        <v>4.9200000000000003E-4</v>
      </c>
      <c r="EA93">
        <v>4.2789999999999999E-4</v>
      </c>
      <c r="EB93">
        <v>3.8610000000000001E-4</v>
      </c>
      <c r="EC93">
        <v>3.4170000000000001E-4</v>
      </c>
      <c r="ED93">
        <v>3.0709999999999998E-4</v>
      </c>
      <c r="EE93">
        <v>2.7540000000000003E-4</v>
      </c>
      <c r="EF93">
        <v>2.4879999999999998E-4</v>
      </c>
      <c r="EG93">
        <v>2.251E-4</v>
      </c>
      <c r="EH93">
        <v>2.0340000000000001E-4</v>
      </c>
      <c r="EI93">
        <v>1.852E-4</v>
      </c>
      <c r="EJ93">
        <v>1.693E-4</v>
      </c>
      <c r="EK93">
        <v>1.551E-4</v>
      </c>
      <c r="EL93">
        <v>1.426E-4</v>
      </c>
      <c r="EM93">
        <v>1.315E-4</v>
      </c>
      <c r="EN93">
        <v>1.216E-4</v>
      </c>
      <c r="EO93">
        <v>1.133E-4</v>
      </c>
      <c r="EP93">
        <v>1.055E-4</v>
      </c>
      <c r="EQ93">
        <v>9.8499999999999995E-5</v>
      </c>
      <c r="ER93">
        <v>9.2100000000000003E-5</v>
      </c>
      <c r="ES93">
        <v>8.6199999999999995E-5</v>
      </c>
      <c r="ET93">
        <v>8.1100000000000006E-5</v>
      </c>
      <c r="EU93">
        <v>7.6799999999999997E-5</v>
      </c>
      <c r="EV93">
        <v>7.2700000000000005E-5</v>
      </c>
      <c r="EW93">
        <v>6.8899999999999994E-5</v>
      </c>
      <c r="EX93">
        <v>6.5099999999999997E-5</v>
      </c>
      <c r="EY93">
        <v>6.2000000000000003E-5</v>
      </c>
      <c r="EZ93">
        <v>5.8999999999999998E-5</v>
      </c>
      <c r="FA93">
        <v>5.6499999999999998E-5</v>
      </c>
      <c r="FB93">
        <v>5.38E-5</v>
      </c>
      <c r="FC93">
        <v>5.1499999999999998E-5</v>
      </c>
      <c r="FD93">
        <v>4.9299999999999999E-5</v>
      </c>
      <c r="FE93">
        <v>4.7299999999999998E-5</v>
      </c>
      <c r="FF93">
        <v>4.5399999999999999E-5</v>
      </c>
      <c r="FG93">
        <v>4.3600000000000003E-5</v>
      </c>
      <c r="FH93">
        <v>4.1900000000000002E-5</v>
      </c>
      <c r="FI93">
        <v>4.0399999999999999E-5</v>
      </c>
      <c r="FJ93">
        <v>3.8999999999999999E-5</v>
      </c>
      <c r="FK93">
        <v>3.7499999999999997E-5</v>
      </c>
      <c r="FL93">
        <v>3.6199999999999999E-5</v>
      </c>
      <c r="FM93">
        <v>3.5099999999999999E-5</v>
      </c>
      <c r="FN93">
        <v>3.3899999999999997E-5</v>
      </c>
      <c r="FO93">
        <v>3.29E-5</v>
      </c>
      <c r="FP93">
        <v>3.1999999999999999E-5</v>
      </c>
      <c r="FQ93">
        <v>3.1000000000000001E-5</v>
      </c>
      <c r="FR93">
        <v>3.0199999999999999E-5</v>
      </c>
      <c r="FS93">
        <v>2.94E-5</v>
      </c>
      <c r="FT93">
        <v>2.87E-5</v>
      </c>
      <c r="FU93">
        <v>2.8099999999999999E-5</v>
      </c>
      <c r="FV93">
        <v>2.7500000000000001E-5</v>
      </c>
      <c r="FW93">
        <v>2.69E-5</v>
      </c>
      <c r="FX93">
        <v>2.6299999999999999E-5</v>
      </c>
      <c r="FY93">
        <v>2.5700000000000001E-5</v>
      </c>
      <c r="FZ93">
        <v>2.51E-5</v>
      </c>
      <c r="GA93">
        <v>2.4600000000000002E-5</v>
      </c>
      <c r="GB93">
        <v>2.3799999999999999E-5</v>
      </c>
      <c r="GC93">
        <v>2.3300000000000001E-5</v>
      </c>
      <c r="GD93">
        <v>2.2799999999999999E-5</v>
      </c>
      <c r="GE93">
        <v>2.23E-5</v>
      </c>
      <c r="GF93">
        <v>2.19E-5</v>
      </c>
      <c r="GG93">
        <v>2.1500000000000001E-5</v>
      </c>
      <c r="GH93">
        <v>2.12E-5</v>
      </c>
      <c r="GI93">
        <v>2.0800000000000001E-5</v>
      </c>
      <c r="GJ93">
        <v>2.0400000000000001E-5</v>
      </c>
      <c r="GK93">
        <v>2.0100000000000001E-5</v>
      </c>
      <c r="GL93">
        <v>1.98E-5</v>
      </c>
      <c r="GM93">
        <v>1.95E-5</v>
      </c>
      <c r="GN93">
        <v>1.9300000000000002E-5</v>
      </c>
      <c r="GO93">
        <v>1.9000000000000001E-5</v>
      </c>
      <c r="GP93">
        <v>1.88E-5</v>
      </c>
      <c r="GQ93">
        <v>1.8600000000000001E-5</v>
      </c>
      <c r="GR93">
        <v>1.8300000000000001E-5</v>
      </c>
      <c r="GS93">
        <v>1.7900000000000001E-5</v>
      </c>
      <c r="GT93">
        <v>1.7499999999999998E-5</v>
      </c>
      <c r="GU93">
        <v>1.6699999999999999E-5</v>
      </c>
      <c r="GV93">
        <v>1.63E-5</v>
      </c>
      <c r="GW93">
        <v>1.59E-5</v>
      </c>
      <c r="GX93">
        <v>1.5099999999999999E-5</v>
      </c>
      <c r="GY93">
        <v>1.5800000000000001E-5</v>
      </c>
      <c r="GZ93">
        <v>1.56E-5</v>
      </c>
      <c r="HA93">
        <v>1.5500000000000001E-5</v>
      </c>
      <c r="HB93">
        <v>1.5400000000000002E-5</v>
      </c>
      <c r="HC93">
        <v>1.5299999999999999E-5</v>
      </c>
      <c r="HD93">
        <v>1.52E-5</v>
      </c>
      <c r="HE93">
        <v>1.5099999999999999E-5</v>
      </c>
      <c r="HF93">
        <v>1.5E-5</v>
      </c>
      <c r="HG93">
        <v>1.49E-5</v>
      </c>
      <c r="HH93">
        <v>1.47E-5</v>
      </c>
      <c r="HI93">
        <v>1.4600000000000001E-5</v>
      </c>
      <c r="HJ93">
        <v>1.4399999999999999E-5</v>
      </c>
      <c r="HK93">
        <v>1.43E-5</v>
      </c>
      <c r="HL93">
        <v>1.4100000000000001E-5</v>
      </c>
      <c r="HM93">
        <v>1.4E-5</v>
      </c>
      <c r="HN93">
        <v>1.38E-5</v>
      </c>
      <c r="HO93">
        <v>1.3699999999999999E-5</v>
      </c>
      <c r="HP93">
        <v>1.3499999999999999E-5</v>
      </c>
      <c r="HQ93">
        <v>1.34E-5</v>
      </c>
      <c r="HR93">
        <v>1.3200000000000001E-5</v>
      </c>
      <c r="HS93">
        <v>1.2999999999999999E-5</v>
      </c>
      <c r="HT93">
        <v>1.29E-5</v>
      </c>
      <c r="HU93">
        <v>1.27E-5</v>
      </c>
      <c r="HV93">
        <v>1.26E-5</v>
      </c>
      <c r="HW93">
        <v>1.24E-5</v>
      </c>
      <c r="HX93">
        <v>1.2300000000000001E-5</v>
      </c>
      <c r="HY93">
        <v>1.2099999999999999E-5</v>
      </c>
      <c r="HZ93">
        <v>1.19E-5</v>
      </c>
      <c r="IA93">
        <v>1.1800000000000001E-5</v>
      </c>
      <c r="IB93">
        <v>1.1600000000000001E-5</v>
      </c>
      <c r="IC93">
        <v>1.15E-5</v>
      </c>
      <c r="ID93">
        <v>1.13E-5</v>
      </c>
      <c r="IE93">
        <v>1.1199999999999999E-5</v>
      </c>
      <c r="IF93">
        <v>1.1E-5</v>
      </c>
      <c r="IG93">
        <v>7.6369999999999997E-4</v>
      </c>
    </row>
    <row r="94" spans="1:241" x14ac:dyDescent="0.35">
      <c r="A94" s="1">
        <v>86</v>
      </c>
      <c r="B94">
        <v>1.0734799999999999E-2</v>
      </c>
      <c r="C94">
        <v>1.0734799999999999E-2</v>
      </c>
      <c r="D94">
        <v>1.0684600000000001E-2</v>
      </c>
      <c r="E94">
        <v>1.03988E-2</v>
      </c>
      <c r="F94">
        <v>9.8128E-3</v>
      </c>
      <c r="G94">
        <v>9.1895999999999992E-3</v>
      </c>
      <c r="H94">
        <v>8.5795000000000003E-3</v>
      </c>
      <c r="I94">
        <v>7.9679999999999994E-3</v>
      </c>
      <c r="J94">
        <v>7.4393000000000003E-3</v>
      </c>
      <c r="K94">
        <v>6.9550999999999997E-3</v>
      </c>
      <c r="L94">
        <v>6.5288999999999998E-3</v>
      </c>
      <c r="M94">
        <v>6.1447000000000003E-3</v>
      </c>
      <c r="N94">
        <v>5.8043000000000001E-3</v>
      </c>
      <c r="O94">
        <v>5.4990999999999998E-3</v>
      </c>
      <c r="P94">
        <v>5.2259000000000003E-3</v>
      </c>
      <c r="Q94">
        <v>4.9798000000000004E-3</v>
      </c>
      <c r="R94">
        <v>4.7567E-3</v>
      </c>
      <c r="S94">
        <v>4.5369E-3</v>
      </c>
      <c r="T94">
        <v>4.3515000000000003E-3</v>
      </c>
      <c r="U94">
        <v>4.1853000000000003E-3</v>
      </c>
      <c r="V94">
        <v>4.0308000000000002E-3</v>
      </c>
      <c r="W94">
        <v>3.8896E-3</v>
      </c>
      <c r="X94">
        <v>3.7599E-3</v>
      </c>
      <c r="Y94">
        <v>3.6381E-3</v>
      </c>
      <c r="Z94">
        <v>3.5403000000000001E-3</v>
      </c>
      <c r="AA94">
        <v>3.4361000000000001E-3</v>
      </c>
      <c r="AB94">
        <v>3.3397000000000001E-3</v>
      </c>
      <c r="AC94">
        <v>3.2464999999999998E-3</v>
      </c>
      <c r="AD94">
        <v>3.1513000000000001E-3</v>
      </c>
      <c r="AE94">
        <v>3.0715E-3</v>
      </c>
      <c r="AF94">
        <v>3.0059000000000002E-3</v>
      </c>
      <c r="AG94">
        <v>2.9342000000000001E-3</v>
      </c>
      <c r="AH94">
        <v>2.8663E-3</v>
      </c>
      <c r="AI94">
        <v>2.7918000000000001E-3</v>
      </c>
      <c r="AJ94">
        <v>2.7309000000000001E-3</v>
      </c>
      <c r="AK94">
        <v>2.673E-3</v>
      </c>
      <c r="AL94">
        <v>2.6266000000000002E-3</v>
      </c>
      <c r="AM94">
        <v>2.5633000000000001E-3</v>
      </c>
      <c r="AN94">
        <v>2.5127999999999999E-3</v>
      </c>
      <c r="AO94">
        <v>2.4639000000000002E-3</v>
      </c>
      <c r="AP94">
        <v>2.4166000000000001E-3</v>
      </c>
      <c r="AQ94">
        <v>2.3709999999999998E-3</v>
      </c>
      <c r="AR94">
        <v>2.3262000000000001E-3</v>
      </c>
      <c r="AS94">
        <v>2.2836000000000002E-3</v>
      </c>
      <c r="AT94">
        <v>2.2434E-3</v>
      </c>
      <c r="AU94">
        <v>2.2044999999999999E-3</v>
      </c>
      <c r="AV94">
        <v>2.1580000000000002E-3</v>
      </c>
      <c r="AW94">
        <v>2.1205999999999998E-3</v>
      </c>
      <c r="AX94">
        <v>2.0839999999999999E-3</v>
      </c>
      <c r="AY94">
        <v>2.0465000000000001E-3</v>
      </c>
      <c r="AZ94">
        <v>2.0132000000000001E-3</v>
      </c>
      <c r="BA94">
        <v>1.9792999999999998E-3</v>
      </c>
      <c r="BB94">
        <v>1.9453999999999999E-3</v>
      </c>
      <c r="BC94">
        <v>1.9139000000000001E-3</v>
      </c>
      <c r="BD94">
        <v>1.884E-3</v>
      </c>
      <c r="BE94">
        <v>1.8580000000000001E-3</v>
      </c>
      <c r="BF94">
        <v>1.8337E-3</v>
      </c>
      <c r="BG94">
        <v>1.8085E-3</v>
      </c>
      <c r="BH94">
        <v>1.7807999999999999E-3</v>
      </c>
      <c r="BI94">
        <v>1.7539999999999999E-3</v>
      </c>
      <c r="BJ94">
        <v>1.7269E-3</v>
      </c>
      <c r="BK94">
        <v>1.6957000000000001E-3</v>
      </c>
      <c r="BL94">
        <v>1.6703E-3</v>
      </c>
      <c r="BM94">
        <v>1.6243E-3</v>
      </c>
      <c r="BN94">
        <v>1.5968E-3</v>
      </c>
      <c r="BO94">
        <v>1.5701000000000001E-3</v>
      </c>
      <c r="BP94">
        <v>1.5433000000000001E-3</v>
      </c>
      <c r="BQ94">
        <v>1.5187E-3</v>
      </c>
      <c r="BR94">
        <v>1.4970000000000001E-3</v>
      </c>
      <c r="BS94">
        <v>1.4755E-3</v>
      </c>
      <c r="BT94">
        <v>1.4519999999999999E-3</v>
      </c>
      <c r="BU94">
        <v>1.4287E-3</v>
      </c>
      <c r="BV94">
        <v>1.4071999999999999E-3</v>
      </c>
      <c r="BW94">
        <v>1.3872000000000001E-3</v>
      </c>
      <c r="BX94">
        <v>1.3715999999999999E-3</v>
      </c>
      <c r="BY94">
        <v>1.3565999999999999E-3</v>
      </c>
      <c r="BZ94">
        <v>1.3408999999999999E-3</v>
      </c>
      <c r="CA94">
        <v>1.3248999999999999E-3</v>
      </c>
      <c r="CB94">
        <v>1.3079000000000001E-3</v>
      </c>
      <c r="CC94">
        <v>1.289E-3</v>
      </c>
      <c r="CD94">
        <v>1.2648E-3</v>
      </c>
      <c r="CE94">
        <v>1.2354E-3</v>
      </c>
      <c r="CF94">
        <v>1.1797999999999999E-3</v>
      </c>
      <c r="CG94">
        <v>1.1531E-3</v>
      </c>
      <c r="CH94">
        <v>1.1255E-3</v>
      </c>
      <c r="CI94">
        <v>1.0639E-3</v>
      </c>
      <c r="CJ94">
        <v>1.1114E-3</v>
      </c>
      <c r="CK94">
        <v>1.0995E-3</v>
      </c>
      <c r="CL94">
        <v>1.0938E-3</v>
      </c>
      <c r="CM94">
        <v>1.0870000000000001E-3</v>
      </c>
      <c r="CN94">
        <v>1.0799E-3</v>
      </c>
      <c r="CO94">
        <v>1.0721000000000001E-3</v>
      </c>
      <c r="CP94">
        <v>1.0637999999999999E-3</v>
      </c>
      <c r="CQ94">
        <v>1.0549999999999999E-3</v>
      </c>
      <c r="CR94">
        <v>1.0456E-3</v>
      </c>
      <c r="CS94">
        <v>1.0357999999999999E-3</v>
      </c>
      <c r="CT94">
        <v>1.0256E-3</v>
      </c>
      <c r="CU94">
        <v>1.0150999999999999E-3</v>
      </c>
      <c r="CV94">
        <v>1.0043000000000001E-3</v>
      </c>
      <c r="CW94">
        <v>9.9329999999999991E-4</v>
      </c>
      <c r="CX94">
        <v>9.8219999999999991E-4</v>
      </c>
      <c r="CY94">
        <v>9.7090000000000002E-4</v>
      </c>
      <c r="CZ94">
        <v>9.5949999999999996E-4</v>
      </c>
      <c r="DA94">
        <v>9.4810000000000001E-4</v>
      </c>
      <c r="DB94">
        <v>9.366E-4</v>
      </c>
      <c r="DC94">
        <v>9.2500000000000004E-4</v>
      </c>
      <c r="DD94">
        <v>9.1350000000000003E-4</v>
      </c>
      <c r="DE94">
        <v>9.0189999999999997E-4</v>
      </c>
      <c r="DF94">
        <v>8.9039999999999996E-4</v>
      </c>
      <c r="DG94">
        <v>8.7889999999999995E-4</v>
      </c>
      <c r="DH94">
        <v>8.6740000000000005E-4</v>
      </c>
      <c r="DI94">
        <v>8.5599999999999999E-4</v>
      </c>
      <c r="DJ94">
        <v>8.4469999999999999E-4</v>
      </c>
      <c r="DK94">
        <v>8.3339999999999998E-4</v>
      </c>
      <c r="DL94">
        <v>8.2209999999999998E-4</v>
      </c>
      <c r="DM94">
        <v>8.1099999999999998E-4</v>
      </c>
      <c r="DN94">
        <v>7.9989999999999998E-4</v>
      </c>
      <c r="DO94">
        <v>7.8879999999999998E-4</v>
      </c>
      <c r="DP94">
        <v>7.7789999999999999E-4</v>
      </c>
      <c r="DQ94">
        <v>5.3784400000000003E-2</v>
      </c>
      <c r="DR94">
        <v>0</v>
      </c>
      <c r="DS94">
        <v>5.02E-5</v>
      </c>
      <c r="DT94">
        <v>2.8590000000000001E-4</v>
      </c>
      <c r="DU94">
        <v>5.8580000000000004E-4</v>
      </c>
      <c r="DV94">
        <v>6.2029999999999995E-4</v>
      </c>
      <c r="DW94">
        <v>6.0880000000000005E-4</v>
      </c>
      <c r="DX94">
        <v>6.112E-4</v>
      </c>
      <c r="DY94">
        <v>5.2749999999999997E-4</v>
      </c>
      <c r="DZ94">
        <v>4.8899999999999996E-4</v>
      </c>
      <c r="EA94">
        <v>4.2700000000000002E-4</v>
      </c>
      <c r="EB94">
        <v>3.8549999999999999E-4</v>
      </c>
      <c r="EC94">
        <v>3.4069999999999999E-4</v>
      </c>
      <c r="ED94">
        <v>3.0600000000000001E-4</v>
      </c>
      <c r="EE94">
        <v>2.7369999999999998E-4</v>
      </c>
      <c r="EF94">
        <v>2.4679999999999998E-4</v>
      </c>
      <c r="EG94">
        <v>2.2269999999999999E-4</v>
      </c>
      <c r="EH94">
        <v>2.02E-4</v>
      </c>
      <c r="EI94">
        <v>1.828E-4</v>
      </c>
      <c r="EJ94">
        <v>1.6679999999999999E-4</v>
      </c>
      <c r="EK94">
        <v>1.528E-4</v>
      </c>
      <c r="EL94">
        <v>1.404E-4</v>
      </c>
      <c r="EM94">
        <v>1.295E-4</v>
      </c>
      <c r="EN94">
        <v>1.198E-4</v>
      </c>
      <c r="EO94">
        <v>1.1120000000000001E-4</v>
      </c>
      <c r="EP94">
        <v>1.0399999999999999E-4</v>
      </c>
      <c r="EQ94">
        <v>9.7200000000000004E-5</v>
      </c>
      <c r="ER94">
        <v>9.1100000000000005E-5</v>
      </c>
      <c r="ES94">
        <v>8.5599999999999994E-5</v>
      </c>
      <c r="ET94">
        <v>8.03E-5</v>
      </c>
      <c r="EU94">
        <v>7.5900000000000002E-5</v>
      </c>
      <c r="EV94">
        <v>7.2100000000000004E-5</v>
      </c>
      <c r="EW94">
        <v>6.8499999999999998E-5</v>
      </c>
      <c r="EX94">
        <v>6.5099999999999997E-5</v>
      </c>
      <c r="EY94">
        <v>6.1699999999999995E-5</v>
      </c>
      <c r="EZ94">
        <v>5.8799999999999999E-5</v>
      </c>
      <c r="FA94">
        <v>5.6199999999999997E-5</v>
      </c>
      <c r="FB94">
        <v>5.3900000000000002E-5</v>
      </c>
      <c r="FC94">
        <v>5.1400000000000003E-5</v>
      </c>
      <c r="FD94">
        <v>4.9299999999999999E-5</v>
      </c>
      <c r="FE94">
        <v>4.7299999999999998E-5</v>
      </c>
      <c r="FF94">
        <v>4.5399999999999999E-5</v>
      </c>
      <c r="FG94">
        <v>4.3699999999999998E-5</v>
      </c>
      <c r="FH94">
        <v>4.1999999999999998E-5</v>
      </c>
      <c r="FI94">
        <v>4.0500000000000002E-5</v>
      </c>
      <c r="FJ94">
        <v>3.9100000000000002E-5</v>
      </c>
      <c r="FK94">
        <v>3.7799999999999997E-5</v>
      </c>
      <c r="FL94">
        <v>3.6399999999999997E-5</v>
      </c>
      <c r="FM94">
        <v>3.5200000000000002E-5</v>
      </c>
      <c r="FN94">
        <v>3.4100000000000002E-5</v>
      </c>
      <c r="FO94">
        <v>3.3000000000000003E-5</v>
      </c>
      <c r="FP94">
        <v>3.2100000000000001E-5</v>
      </c>
      <c r="FQ94">
        <v>3.1199999999999999E-5</v>
      </c>
      <c r="FR94">
        <v>3.0300000000000001E-5</v>
      </c>
      <c r="FS94">
        <v>2.9499999999999999E-5</v>
      </c>
      <c r="FT94">
        <v>2.8799999999999999E-5</v>
      </c>
      <c r="FU94">
        <v>2.8099999999999999E-5</v>
      </c>
      <c r="FV94">
        <v>2.7500000000000001E-5</v>
      </c>
      <c r="FW94">
        <v>2.6999999999999999E-5</v>
      </c>
      <c r="FX94">
        <v>2.6400000000000001E-5</v>
      </c>
      <c r="FY94">
        <v>2.58E-5</v>
      </c>
      <c r="FZ94">
        <v>2.5199999999999999E-5</v>
      </c>
      <c r="GA94">
        <v>2.4700000000000001E-5</v>
      </c>
      <c r="GB94">
        <v>2.4199999999999999E-5</v>
      </c>
      <c r="GC94">
        <v>2.34E-5</v>
      </c>
      <c r="GD94">
        <v>2.2900000000000001E-5</v>
      </c>
      <c r="GE94">
        <v>2.2399999999999999E-5</v>
      </c>
      <c r="GF94">
        <v>2.1999999999999999E-5</v>
      </c>
      <c r="GG94">
        <v>2.16E-5</v>
      </c>
      <c r="GH94">
        <v>2.12E-5</v>
      </c>
      <c r="GI94">
        <v>2.09E-5</v>
      </c>
      <c r="GJ94">
        <v>2.05E-5</v>
      </c>
      <c r="GK94">
        <v>2.0100000000000001E-5</v>
      </c>
      <c r="GL94">
        <v>1.98E-5</v>
      </c>
      <c r="GM94">
        <v>1.95E-5</v>
      </c>
      <c r="GN94">
        <v>1.9300000000000002E-5</v>
      </c>
      <c r="GO94">
        <v>1.9000000000000001E-5</v>
      </c>
      <c r="GP94">
        <v>1.88E-5</v>
      </c>
      <c r="GQ94">
        <v>1.8600000000000001E-5</v>
      </c>
      <c r="GR94">
        <v>1.8300000000000001E-5</v>
      </c>
      <c r="GS94">
        <v>1.8E-5</v>
      </c>
      <c r="GT94">
        <v>1.77E-5</v>
      </c>
      <c r="GU94">
        <v>1.73E-5</v>
      </c>
      <c r="GV94">
        <v>1.6500000000000001E-5</v>
      </c>
      <c r="GW94">
        <v>1.6099999999999998E-5</v>
      </c>
      <c r="GX94">
        <v>1.5699999999999999E-5</v>
      </c>
      <c r="GY94">
        <v>1.49E-5</v>
      </c>
      <c r="GZ94">
        <v>1.5500000000000001E-5</v>
      </c>
      <c r="HA94">
        <v>1.5400000000000002E-5</v>
      </c>
      <c r="HB94">
        <v>1.5299999999999999E-5</v>
      </c>
      <c r="HC94">
        <v>1.52E-5</v>
      </c>
      <c r="HD94">
        <v>1.5099999999999999E-5</v>
      </c>
      <c r="HE94">
        <v>1.5E-5</v>
      </c>
      <c r="HF94">
        <v>1.49E-5</v>
      </c>
      <c r="HG94">
        <v>1.4800000000000001E-5</v>
      </c>
      <c r="HH94">
        <v>1.47E-5</v>
      </c>
      <c r="HI94">
        <v>1.45E-5</v>
      </c>
      <c r="HJ94">
        <v>1.4399999999999999E-5</v>
      </c>
      <c r="HK94">
        <v>1.43E-5</v>
      </c>
      <c r="HL94">
        <v>1.4100000000000001E-5</v>
      </c>
      <c r="HM94">
        <v>1.4E-5</v>
      </c>
      <c r="HN94">
        <v>1.38E-5</v>
      </c>
      <c r="HO94">
        <v>1.3699999999999999E-5</v>
      </c>
      <c r="HP94">
        <v>1.3499999999999999E-5</v>
      </c>
      <c r="HQ94">
        <v>1.33E-5</v>
      </c>
      <c r="HR94">
        <v>1.3200000000000001E-5</v>
      </c>
      <c r="HS94">
        <v>1.2999999999999999E-5</v>
      </c>
      <c r="HT94">
        <v>1.29E-5</v>
      </c>
      <c r="HU94">
        <v>1.27E-5</v>
      </c>
      <c r="HV94">
        <v>1.26E-5</v>
      </c>
      <c r="HW94">
        <v>1.24E-5</v>
      </c>
      <c r="HX94">
        <v>1.22E-5</v>
      </c>
      <c r="HY94">
        <v>1.2099999999999999E-5</v>
      </c>
      <c r="HZ94">
        <v>1.19E-5</v>
      </c>
      <c r="IA94">
        <v>1.1800000000000001E-5</v>
      </c>
      <c r="IB94">
        <v>1.1600000000000001E-5</v>
      </c>
      <c r="IC94">
        <v>1.15E-5</v>
      </c>
      <c r="ID94">
        <v>1.13E-5</v>
      </c>
      <c r="IE94">
        <v>1.1199999999999999E-5</v>
      </c>
      <c r="IF94">
        <v>1.1E-5</v>
      </c>
      <c r="IG94">
        <v>7.6369999999999997E-4</v>
      </c>
    </row>
    <row r="95" spans="1:241" x14ac:dyDescent="0.35">
      <c r="A95" s="1">
        <v>87</v>
      </c>
      <c r="B95">
        <v>1.0734799999999999E-2</v>
      </c>
      <c r="C95">
        <v>1.0734799999999999E-2</v>
      </c>
      <c r="D95">
        <v>1.0684600000000001E-2</v>
      </c>
      <c r="E95">
        <v>1.03987E-2</v>
      </c>
      <c r="F95">
        <v>9.8128999999999994E-3</v>
      </c>
      <c r="G95">
        <v>9.1924999999999993E-3</v>
      </c>
      <c r="H95">
        <v>8.5807000000000001E-3</v>
      </c>
      <c r="I95">
        <v>7.9682999999999993E-3</v>
      </c>
      <c r="J95">
        <v>7.4405000000000001E-3</v>
      </c>
      <c r="K95">
        <v>6.9503000000000004E-3</v>
      </c>
      <c r="L95">
        <v>6.5281000000000002E-3</v>
      </c>
      <c r="M95">
        <v>6.1434000000000002E-3</v>
      </c>
      <c r="N95">
        <v>5.8041000000000004E-3</v>
      </c>
      <c r="O95">
        <v>5.4983000000000002E-3</v>
      </c>
      <c r="P95">
        <v>5.2253999999999998E-3</v>
      </c>
      <c r="Q95">
        <v>4.9791999999999996E-3</v>
      </c>
      <c r="R95">
        <v>4.7569999999999999E-3</v>
      </c>
      <c r="S95">
        <v>4.5547000000000001E-3</v>
      </c>
      <c r="T95">
        <v>4.3540999999999996E-3</v>
      </c>
      <c r="U95">
        <v>4.1847000000000004E-3</v>
      </c>
      <c r="V95">
        <v>4.0324999999999996E-3</v>
      </c>
      <c r="W95">
        <v>3.8903000000000002E-3</v>
      </c>
      <c r="X95">
        <v>3.7601000000000002E-3</v>
      </c>
      <c r="Y95">
        <v>3.64E-3</v>
      </c>
      <c r="Z95">
        <v>3.5268999999999999E-3</v>
      </c>
      <c r="AA95">
        <v>3.4361999999999999E-3</v>
      </c>
      <c r="AB95">
        <v>3.3389000000000001E-3</v>
      </c>
      <c r="AC95">
        <v>3.2485999999999999E-3</v>
      </c>
      <c r="AD95">
        <v>3.1610000000000002E-3</v>
      </c>
      <c r="AE95">
        <v>3.0709000000000001E-3</v>
      </c>
      <c r="AF95">
        <v>2.9956000000000002E-3</v>
      </c>
      <c r="AG95">
        <v>2.9337999999999999E-3</v>
      </c>
      <c r="AH95">
        <v>2.8657000000000001E-3</v>
      </c>
      <c r="AI95">
        <v>2.8011999999999998E-3</v>
      </c>
      <c r="AJ95">
        <v>2.7301000000000001E-3</v>
      </c>
      <c r="AK95">
        <v>2.6721000000000002E-3</v>
      </c>
      <c r="AL95">
        <v>2.6167999999999999E-3</v>
      </c>
      <c r="AM95">
        <v>2.5726999999999998E-3</v>
      </c>
      <c r="AN95">
        <v>2.5119000000000001E-3</v>
      </c>
      <c r="AO95">
        <v>2.4635E-3</v>
      </c>
      <c r="AP95">
        <v>2.4166000000000001E-3</v>
      </c>
      <c r="AQ95">
        <v>2.3712E-3</v>
      </c>
      <c r="AR95">
        <v>2.3273E-3</v>
      </c>
      <c r="AS95">
        <v>2.2842000000000001E-3</v>
      </c>
      <c r="AT95">
        <v>2.2431E-3</v>
      </c>
      <c r="AU95">
        <v>2.2043000000000002E-3</v>
      </c>
      <c r="AV95">
        <v>2.1668E-3</v>
      </c>
      <c r="AW95">
        <v>2.1216E-3</v>
      </c>
      <c r="AX95">
        <v>2.0853999999999998E-3</v>
      </c>
      <c r="AY95">
        <v>2.0498000000000001E-3</v>
      </c>
      <c r="AZ95">
        <v>2.0135000000000001E-3</v>
      </c>
      <c r="BA95">
        <v>1.9811E-3</v>
      </c>
      <c r="BB95">
        <v>1.9480999999999999E-3</v>
      </c>
      <c r="BC95">
        <v>1.9151000000000001E-3</v>
      </c>
      <c r="BD95">
        <v>1.8843E-3</v>
      </c>
      <c r="BE95">
        <v>1.8552E-3</v>
      </c>
      <c r="BF95">
        <v>1.8299E-3</v>
      </c>
      <c r="BG95">
        <v>1.8062E-3</v>
      </c>
      <c r="BH95">
        <v>1.7815000000000001E-3</v>
      </c>
      <c r="BI95">
        <v>1.7545E-3</v>
      </c>
      <c r="BJ95">
        <v>1.7282E-3</v>
      </c>
      <c r="BK95">
        <v>1.7017E-3</v>
      </c>
      <c r="BL95">
        <v>1.6711E-3</v>
      </c>
      <c r="BM95">
        <v>1.6461E-3</v>
      </c>
      <c r="BN95">
        <v>1.6008999999999999E-3</v>
      </c>
      <c r="BO95">
        <v>1.5739E-3</v>
      </c>
      <c r="BP95">
        <v>1.5476000000000001E-3</v>
      </c>
      <c r="BQ95">
        <v>1.5213E-3</v>
      </c>
      <c r="BR95">
        <v>1.4970999999999999E-3</v>
      </c>
      <c r="BS95">
        <v>1.4758E-3</v>
      </c>
      <c r="BT95">
        <v>1.4545999999999999E-3</v>
      </c>
      <c r="BU95">
        <v>1.4315E-3</v>
      </c>
      <c r="BV95">
        <v>1.4086000000000001E-3</v>
      </c>
      <c r="BW95">
        <v>1.3874E-3</v>
      </c>
      <c r="BX95">
        <v>1.3676999999999999E-3</v>
      </c>
      <c r="BY95">
        <v>1.3523000000000001E-3</v>
      </c>
      <c r="BZ95">
        <v>1.3376E-3</v>
      </c>
      <c r="CA95">
        <v>1.3221000000000001E-3</v>
      </c>
      <c r="CB95">
        <v>1.3063E-3</v>
      </c>
      <c r="CC95">
        <v>1.2895999999999999E-3</v>
      </c>
      <c r="CD95">
        <v>1.271E-3</v>
      </c>
      <c r="CE95">
        <v>1.2470999999999999E-3</v>
      </c>
      <c r="CF95">
        <v>1.2181E-3</v>
      </c>
      <c r="CG95">
        <v>1.1632999999999999E-3</v>
      </c>
      <c r="CH95">
        <v>1.137E-3</v>
      </c>
      <c r="CI95">
        <v>1.1098E-3</v>
      </c>
      <c r="CJ95">
        <v>1.049E-3</v>
      </c>
      <c r="CK95">
        <v>1.0958999999999999E-3</v>
      </c>
      <c r="CL95">
        <v>1.0841E-3</v>
      </c>
      <c r="CM95">
        <v>1.0785E-3</v>
      </c>
      <c r="CN95">
        <v>1.0717999999999999E-3</v>
      </c>
      <c r="CO95">
        <v>1.0648000000000001E-3</v>
      </c>
      <c r="CP95">
        <v>1.0571000000000001E-3</v>
      </c>
      <c r="CQ95">
        <v>1.0489E-3</v>
      </c>
      <c r="CR95">
        <v>1.0402E-3</v>
      </c>
      <c r="CS95">
        <v>1.0309E-3</v>
      </c>
      <c r="CT95">
        <v>1.0212000000000001E-3</v>
      </c>
      <c r="CU95">
        <v>1.0112000000000001E-3</v>
      </c>
      <c r="CV95">
        <v>1.0008E-3</v>
      </c>
      <c r="CW95">
        <v>9.9020000000000011E-4</v>
      </c>
      <c r="CX95">
        <v>9.7940000000000006E-4</v>
      </c>
      <c r="CY95">
        <v>9.6840000000000001E-4</v>
      </c>
      <c r="CZ95">
        <v>9.5730000000000001E-4</v>
      </c>
      <c r="DA95">
        <v>9.4600000000000001E-4</v>
      </c>
      <c r="DB95">
        <v>9.3470000000000001E-4</v>
      </c>
      <c r="DC95">
        <v>9.234E-4</v>
      </c>
      <c r="DD95">
        <v>9.1200000000000005E-4</v>
      </c>
      <c r="DE95">
        <v>9.0059999999999999E-4</v>
      </c>
      <c r="DF95">
        <v>8.8920000000000004E-4</v>
      </c>
      <c r="DG95">
        <v>8.7779999999999998E-4</v>
      </c>
      <c r="DH95">
        <v>8.6649999999999997E-4</v>
      </c>
      <c r="DI95">
        <v>8.5519999999999997E-4</v>
      </c>
      <c r="DJ95">
        <v>8.4389999999999997E-4</v>
      </c>
      <c r="DK95">
        <v>8.3270000000000002E-4</v>
      </c>
      <c r="DL95">
        <v>8.2160000000000002E-4</v>
      </c>
      <c r="DM95">
        <v>8.1050000000000002E-4</v>
      </c>
      <c r="DN95">
        <v>7.9949999999999997E-4</v>
      </c>
      <c r="DO95">
        <v>7.8850000000000003E-4</v>
      </c>
      <c r="DP95">
        <v>7.7769999999999998E-4</v>
      </c>
      <c r="DQ95">
        <v>5.3787599999999998E-2</v>
      </c>
      <c r="DR95">
        <v>0</v>
      </c>
      <c r="DS95">
        <v>5.02E-5</v>
      </c>
      <c r="DT95">
        <v>2.8600000000000001E-4</v>
      </c>
      <c r="DU95">
        <v>5.8600000000000004E-4</v>
      </c>
      <c r="DV95">
        <v>6.2920000000000001E-4</v>
      </c>
      <c r="DW95">
        <v>6.1269999999999999E-4</v>
      </c>
      <c r="DX95">
        <v>6.1359999999999995E-4</v>
      </c>
      <c r="DY95">
        <v>5.2899999999999996E-4</v>
      </c>
      <c r="DZ95">
        <v>4.9120000000000001E-4</v>
      </c>
      <c r="EA95">
        <v>4.2709999999999997E-4</v>
      </c>
      <c r="EB95">
        <v>3.86E-4</v>
      </c>
      <c r="EC95">
        <v>3.4079999999999999E-4</v>
      </c>
      <c r="ED95">
        <v>3.0630000000000002E-4</v>
      </c>
      <c r="EE95">
        <v>2.7379999999999999E-4</v>
      </c>
      <c r="EF95">
        <v>2.4689999999999998E-4</v>
      </c>
      <c r="EG95">
        <v>2.23E-4</v>
      </c>
      <c r="EH95">
        <v>2.0230000000000001E-4</v>
      </c>
      <c r="EI95">
        <v>1.841E-4</v>
      </c>
      <c r="EJ95">
        <v>1.673E-4</v>
      </c>
      <c r="EK95">
        <v>1.5320000000000001E-4</v>
      </c>
      <c r="EL95">
        <v>1.4090000000000001E-4</v>
      </c>
      <c r="EM95">
        <v>1.2990000000000001E-4</v>
      </c>
      <c r="EN95">
        <v>1.2010000000000001E-4</v>
      </c>
      <c r="EO95">
        <v>1.115E-4</v>
      </c>
      <c r="EP95">
        <v>1.038E-4</v>
      </c>
      <c r="EQ95">
        <v>9.7399999999999996E-5</v>
      </c>
      <c r="ER95">
        <v>9.1199999999999994E-5</v>
      </c>
      <c r="ES95">
        <v>8.5699999999999996E-5</v>
      </c>
      <c r="ET95">
        <v>8.0699999999999996E-5</v>
      </c>
      <c r="EU95">
        <v>7.5900000000000002E-5</v>
      </c>
      <c r="EV95">
        <v>7.1899999999999999E-5</v>
      </c>
      <c r="EW95">
        <v>6.8399999999999996E-5</v>
      </c>
      <c r="EX95">
        <v>6.4999999999999994E-5</v>
      </c>
      <c r="EY95">
        <v>6.19E-5</v>
      </c>
      <c r="EZ95">
        <v>5.8699999999999997E-5</v>
      </c>
      <c r="FA95">
        <v>5.6100000000000002E-5</v>
      </c>
      <c r="FB95">
        <v>5.3600000000000002E-5</v>
      </c>
      <c r="FC95">
        <v>5.1499999999999998E-5</v>
      </c>
      <c r="FD95">
        <v>4.9200000000000003E-5</v>
      </c>
      <c r="FE95">
        <v>4.7200000000000002E-5</v>
      </c>
      <c r="FF95">
        <v>4.5300000000000003E-5</v>
      </c>
      <c r="FG95">
        <v>4.3600000000000003E-5</v>
      </c>
      <c r="FH95">
        <v>4.1900000000000002E-5</v>
      </c>
      <c r="FI95">
        <v>4.0399999999999999E-5</v>
      </c>
      <c r="FJ95">
        <v>3.8999999999999999E-5</v>
      </c>
      <c r="FK95">
        <v>3.7700000000000002E-5</v>
      </c>
      <c r="FL95">
        <v>3.65E-5</v>
      </c>
      <c r="FM95">
        <v>3.5099999999999999E-5</v>
      </c>
      <c r="FN95">
        <v>3.4100000000000002E-5</v>
      </c>
      <c r="FO95">
        <v>3.3000000000000003E-5</v>
      </c>
      <c r="FP95">
        <v>3.1999999999999999E-5</v>
      </c>
      <c r="FQ95">
        <v>3.1199999999999999E-5</v>
      </c>
      <c r="FR95">
        <v>3.0300000000000001E-5</v>
      </c>
      <c r="FS95">
        <v>2.9499999999999999E-5</v>
      </c>
      <c r="FT95">
        <v>2.87E-5</v>
      </c>
      <c r="FU95">
        <v>2.8099999999999999E-5</v>
      </c>
      <c r="FV95">
        <v>2.7399999999999999E-5</v>
      </c>
      <c r="FW95">
        <v>2.69E-5</v>
      </c>
      <c r="FX95">
        <v>2.6299999999999999E-5</v>
      </c>
      <c r="FY95">
        <v>2.58E-5</v>
      </c>
      <c r="FZ95">
        <v>2.5199999999999999E-5</v>
      </c>
      <c r="GA95">
        <v>2.4700000000000001E-5</v>
      </c>
      <c r="GB95">
        <v>2.4199999999999999E-5</v>
      </c>
      <c r="GC95">
        <v>2.37E-5</v>
      </c>
      <c r="GD95">
        <v>2.2900000000000001E-5</v>
      </c>
      <c r="GE95">
        <v>2.2500000000000001E-5</v>
      </c>
      <c r="GF95">
        <v>2.1999999999999999E-5</v>
      </c>
      <c r="GG95">
        <v>2.16E-5</v>
      </c>
      <c r="GH95">
        <v>2.12E-5</v>
      </c>
      <c r="GI95">
        <v>2.09E-5</v>
      </c>
      <c r="GJ95">
        <v>2.05E-5</v>
      </c>
      <c r="GK95">
        <v>2.02E-5</v>
      </c>
      <c r="GL95">
        <v>1.98E-5</v>
      </c>
      <c r="GM95">
        <v>1.95E-5</v>
      </c>
      <c r="GN95">
        <v>1.9199999999999999E-5</v>
      </c>
      <c r="GO95">
        <v>1.9000000000000001E-5</v>
      </c>
      <c r="GP95">
        <v>1.8700000000000001E-5</v>
      </c>
      <c r="GQ95">
        <v>1.8499999999999999E-5</v>
      </c>
      <c r="GR95">
        <v>1.8300000000000001E-5</v>
      </c>
      <c r="GS95">
        <v>1.8E-5</v>
      </c>
      <c r="GT95">
        <v>1.7799999999999999E-5</v>
      </c>
      <c r="GU95">
        <v>1.7399999999999999E-5</v>
      </c>
      <c r="GV95">
        <v>1.7E-5</v>
      </c>
      <c r="GW95">
        <v>1.63E-5</v>
      </c>
      <c r="GX95">
        <v>1.59E-5</v>
      </c>
      <c r="GY95">
        <v>1.5500000000000001E-5</v>
      </c>
      <c r="GZ95">
        <v>1.47E-5</v>
      </c>
      <c r="HA95">
        <v>1.5299999999999999E-5</v>
      </c>
      <c r="HB95">
        <v>1.52E-5</v>
      </c>
      <c r="HC95">
        <v>1.5099999999999999E-5</v>
      </c>
      <c r="HD95">
        <v>1.5E-5</v>
      </c>
      <c r="HE95">
        <v>1.49E-5</v>
      </c>
      <c r="HF95">
        <v>1.4800000000000001E-5</v>
      </c>
      <c r="HG95">
        <v>1.47E-5</v>
      </c>
      <c r="HH95">
        <v>1.4600000000000001E-5</v>
      </c>
      <c r="HI95">
        <v>1.45E-5</v>
      </c>
      <c r="HJ95">
        <v>1.43E-5</v>
      </c>
      <c r="HK95">
        <v>1.42E-5</v>
      </c>
      <c r="HL95">
        <v>1.4100000000000001E-5</v>
      </c>
      <c r="HM95">
        <v>1.3900000000000001E-5</v>
      </c>
      <c r="HN95">
        <v>1.38E-5</v>
      </c>
      <c r="HO95">
        <v>1.36E-5</v>
      </c>
      <c r="HP95">
        <v>1.3499999999999999E-5</v>
      </c>
      <c r="HQ95">
        <v>1.33E-5</v>
      </c>
      <c r="HR95">
        <v>1.3200000000000001E-5</v>
      </c>
      <c r="HS95">
        <v>1.2999999999999999E-5</v>
      </c>
      <c r="HT95">
        <v>1.29E-5</v>
      </c>
      <c r="HU95">
        <v>1.27E-5</v>
      </c>
      <c r="HV95">
        <v>1.2500000000000001E-5</v>
      </c>
      <c r="HW95">
        <v>1.24E-5</v>
      </c>
      <c r="HX95">
        <v>1.22E-5</v>
      </c>
      <c r="HY95">
        <v>1.2099999999999999E-5</v>
      </c>
      <c r="HZ95">
        <v>1.19E-5</v>
      </c>
      <c r="IA95">
        <v>1.1800000000000001E-5</v>
      </c>
      <c r="IB95">
        <v>1.1600000000000001E-5</v>
      </c>
      <c r="IC95">
        <v>1.15E-5</v>
      </c>
      <c r="ID95">
        <v>1.13E-5</v>
      </c>
      <c r="IE95">
        <v>1.1199999999999999E-5</v>
      </c>
      <c r="IF95">
        <v>1.1E-5</v>
      </c>
      <c r="IG95">
        <v>7.6380000000000003E-4</v>
      </c>
    </row>
    <row r="96" spans="1:241" x14ac:dyDescent="0.35">
      <c r="A96" s="1">
        <v>88</v>
      </c>
      <c r="B96">
        <v>1.0734799999999999E-2</v>
      </c>
      <c r="C96">
        <v>1.0734799999999999E-2</v>
      </c>
      <c r="D96">
        <v>1.0684600000000001E-2</v>
      </c>
      <c r="E96">
        <v>1.03987E-2</v>
      </c>
      <c r="F96">
        <v>9.8127000000000006E-3</v>
      </c>
      <c r="G96">
        <v>9.1836999999999995E-3</v>
      </c>
      <c r="H96">
        <v>8.5798000000000003E-3</v>
      </c>
      <c r="I96">
        <v>7.9670999999999995E-3</v>
      </c>
      <c r="J96">
        <v>7.4393000000000003E-3</v>
      </c>
      <c r="K96">
        <v>6.9493000000000003E-3</v>
      </c>
      <c r="L96">
        <v>6.5231999999999998E-3</v>
      </c>
      <c r="M96">
        <v>6.1421000000000002E-3</v>
      </c>
      <c r="N96">
        <v>5.8025999999999998E-3</v>
      </c>
      <c r="O96">
        <v>5.4977999999999997E-3</v>
      </c>
      <c r="P96">
        <v>5.2243999999999997E-3</v>
      </c>
      <c r="Q96">
        <v>4.9785000000000003E-3</v>
      </c>
      <c r="R96">
        <v>4.7562000000000004E-3</v>
      </c>
      <c r="S96">
        <v>4.5547000000000001E-3</v>
      </c>
      <c r="T96">
        <v>4.3705999999999997E-3</v>
      </c>
      <c r="U96">
        <v>4.1868000000000001E-3</v>
      </c>
      <c r="V96">
        <v>4.0315000000000004E-3</v>
      </c>
      <c r="W96">
        <v>3.8915999999999998E-3</v>
      </c>
      <c r="X96">
        <v>3.7604000000000001E-3</v>
      </c>
      <c r="Y96">
        <v>3.6399000000000002E-3</v>
      </c>
      <c r="Z96">
        <v>3.5285E-3</v>
      </c>
      <c r="AA96">
        <v>3.4231999999999999E-3</v>
      </c>
      <c r="AB96">
        <v>3.3389000000000001E-3</v>
      </c>
      <c r="AC96">
        <v>3.2477000000000001E-3</v>
      </c>
      <c r="AD96">
        <v>3.1629000000000002E-3</v>
      </c>
      <c r="AE96">
        <v>3.0802999999999998E-3</v>
      </c>
      <c r="AF96">
        <v>2.9949999999999998E-3</v>
      </c>
      <c r="AG96">
        <v>2.9237E-3</v>
      </c>
      <c r="AH96">
        <v>2.8654000000000002E-3</v>
      </c>
      <c r="AI96">
        <v>2.8007000000000002E-3</v>
      </c>
      <c r="AJ96">
        <v>2.7393000000000001E-3</v>
      </c>
      <c r="AK96">
        <v>2.6713000000000002E-3</v>
      </c>
      <c r="AL96">
        <v>2.6159999999999998E-3</v>
      </c>
      <c r="AM96">
        <v>2.5631999999999999E-3</v>
      </c>
      <c r="AN96">
        <v>2.5211999999999999E-3</v>
      </c>
      <c r="AO96">
        <v>2.4627E-3</v>
      </c>
      <c r="AP96">
        <v>2.4164E-3</v>
      </c>
      <c r="AQ96">
        <v>2.3712999999999998E-3</v>
      </c>
      <c r="AR96">
        <v>2.3276E-3</v>
      </c>
      <c r="AS96">
        <v>2.2853000000000001E-3</v>
      </c>
      <c r="AT96">
        <v>2.2437999999999998E-3</v>
      </c>
      <c r="AU96">
        <v>2.2041000000000001E-3</v>
      </c>
      <c r="AV96">
        <v>2.1665999999999999E-3</v>
      </c>
      <c r="AW96">
        <v>2.1302999999999999E-3</v>
      </c>
      <c r="AX96">
        <v>2.0864999999999998E-3</v>
      </c>
      <c r="AY96">
        <v>2.0514000000000001E-3</v>
      </c>
      <c r="AZ96">
        <v>2.0168E-3</v>
      </c>
      <c r="BA96">
        <v>1.9813999999999999E-3</v>
      </c>
      <c r="BB96">
        <v>1.9499999999999999E-3</v>
      </c>
      <c r="BC96">
        <v>1.9178000000000001E-3</v>
      </c>
      <c r="BD96">
        <v>1.8856000000000001E-3</v>
      </c>
      <c r="BE96">
        <v>1.8556E-3</v>
      </c>
      <c r="BF96">
        <v>1.8272E-3</v>
      </c>
      <c r="BG96">
        <v>1.8024E-3</v>
      </c>
      <c r="BH96">
        <v>1.7792999999999999E-3</v>
      </c>
      <c r="BI96">
        <v>1.7551999999999999E-3</v>
      </c>
      <c r="BJ96">
        <v>1.7286999999999999E-3</v>
      </c>
      <c r="BK96">
        <v>1.7030000000000001E-3</v>
      </c>
      <c r="BL96">
        <v>1.6770000000000001E-3</v>
      </c>
      <c r="BM96">
        <v>1.6469E-3</v>
      </c>
      <c r="BN96">
        <v>1.6224E-3</v>
      </c>
      <c r="BO96">
        <v>1.5778999999999999E-3</v>
      </c>
      <c r="BP96">
        <v>1.5514000000000001E-3</v>
      </c>
      <c r="BQ96">
        <v>1.5256E-3</v>
      </c>
      <c r="BR96">
        <v>1.4997000000000001E-3</v>
      </c>
      <c r="BS96">
        <v>1.4759E-3</v>
      </c>
      <c r="BT96">
        <v>1.4549000000000001E-3</v>
      </c>
      <c r="BU96">
        <v>1.4341E-3</v>
      </c>
      <c r="BV96">
        <v>1.4113000000000001E-3</v>
      </c>
      <c r="BW96">
        <v>1.3887999999999999E-3</v>
      </c>
      <c r="BX96">
        <v>1.3679E-3</v>
      </c>
      <c r="BY96">
        <v>1.3485000000000001E-3</v>
      </c>
      <c r="BZ96">
        <v>1.3334E-3</v>
      </c>
      <c r="CA96">
        <v>1.3189E-3</v>
      </c>
      <c r="CB96">
        <v>1.3036E-3</v>
      </c>
      <c r="CC96">
        <v>1.2880999999999999E-3</v>
      </c>
      <c r="CD96">
        <v>1.2715999999999999E-3</v>
      </c>
      <c r="CE96">
        <v>1.2532000000000001E-3</v>
      </c>
      <c r="CF96">
        <v>1.2297E-3</v>
      </c>
      <c r="CG96">
        <v>1.2011000000000001E-3</v>
      </c>
      <c r="CH96">
        <v>1.147E-3</v>
      </c>
      <c r="CI96">
        <v>1.1211000000000001E-3</v>
      </c>
      <c r="CJ96">
        <v>1.0943000000000001E-3</v>
      </c>
      <c r="CK96">
        <v>1.0342999999999999E-3</v>
      </c>
      <c r="CL96">
        <v>1.0805000000000001E-3</v>
      </c>
      <c r="CM96">
        <v>1.0689E-3</v>
      </c>
      <c r="CN96">
        <v>1.0633999999999999E-3</v>
      </c>
      <c r="CO96">
        <v>1.0567E-3</v>
      </c>
      <c r="CP96">
        <v>1.0499000000000001E-3</v>
      </c>
      <c r="CQ96">
        <v>1.0422999999999999E-3</v>
      </c>
      <c r="CR96">
        <v>1.0342000000000001E-3</v>
      </c>
      <c r="CS96">
        <v>1.0256E-3</v>
      </c>
      <c r="CT96">
        <v>1.0164E-3</v>
      </c>
      <c r="CU96">
        <v>1.0069E-3</v>
      </c>
      <c r="CV96">
        <v>9.9700000000000006E-4</v>
      </c>
      <c r="CW96">
        <v>9.8679999999999992E-4</v>
      </c>
      <c r="CX96">
        <v>9.7630000000000004E-4</v>
      </c>
      <c r="CY96">
        <v>9.6560000000000005E-4</v>
      </c>
      <c r="CZ96">
        <v>9.5480000000000001E-4</v>
      </c>
      <c r="DA96">
        <v>9.4379999999999996E-4</v>
      </c>
      <c r="DB96">
        <v>9.3269999999999996E-4</v>
      </c>
      <c r="DC96">
        <v>9.2159999999999996E-4</v>
      </c>
      <c r="DD96">
        <v>9.1040000000000001E-4</v>
      </c>
      <c r="DE96">
        <v>8.9910000000000001E-4</v>
      </c>
      <c r="DF96">
        <v>8.8789999999999995E-4</v>
      </c>
      <c r="DG96">
        <v>8.7670000000000001E-4</v>
      </c>
      <c r="DH96">
        <v>8.6549999999999995E-4</v>
      </c>
      <c r="DI96">
        <v>8.543E-4</v>
      </c>
      <c r="DJ96">
        <v>8.4309999999999995E-4</v>
      </c>
      <c r="DK96">
        <v>8.3199999999999995E-4</v>
      </c>
      <c r="DL96">
        <v>8.2100000000000001E-4</v>
      </c>
      <c r="DM96">
        <v>8.0999999999999996E-4</v>
      </c>
      <c r="DN96">
        <v>7.9900000000000001E-4</v>
      </c>
      <c r="DO96">
        <v>7.8819999999999997E-4</v>
      </c>
      <c r="DP96">
        <v>7.7740000000000003E-4</v>
      </c>
      <c r="DQ96">
        <v>5.3790499999999998E-2</v>
      </c>
      <c r="DR96">
        <v>0</v>
      </c>
      <c r="DS96">
        <v>5.02E-5</v>
      </c>
      <c r="DT96">
        <v>2.8600000000000001E-4</v>
      </c>
      <c r="DU96">
        <v>5.8730000000000002E-4</v>
      </c>
      <c r="DV96">
        <v>6.1720000000000004E-4</v>
      </c>
      <c r="DW96">
        <v>6.066E-4</v>
      </c>
      <c r="DX96">
        <v>6.0979999999999997E-4</v>
      </c>
      <c r="DY96">
        <v>5.2419999999999995E-4</v>
      </c>
      <c r="DZ96">
        <v>4.8720000000000002E-4</v>
      </c>
      <c r="EA96">
        <v>4.2339999999999999E-4</v>
      </c>
      <c r="EB96">
        <v>3.8220000000000002E-4</v>
      </c>
      <c r="EC96">
        <v>3.388E-4</v>
      </c>
      <c r="ED96">
        <v>3.0469999999999998E-4</v>
      </c>
      <c r="EE96">
        <v>2.7260000000000001E-4</v>
      </c>
      <c r="EF96">
        <v>2.4590000000000001E-4</v>
      </c>
      <c r="EG96">
        <v>2.221E-4</v>
      </c>
      <c r="EH96">
        <v>2.017E-4</v>
      </c>
      <c r="EI96">
        <v>1.8359999999999999E-4</v>
      </c>
      <c r="EJ96">
        <v>1.6770000000000001E-4</v>
      </c>
      <c r="EK96">
        <v>1.529E-4</v>
      </c>
      <c r="EL96">
        <v>1.405E-4</v>
      </c>
      <c r="EM96">
        <v>1.2960000000000001E-4</v>
      </c>
      <c r="EN96">
        <v>1.198E-4</v>
      </c>
      <c r="EO96">
        <v>1.111E-4</v>
      </c>
      <c r="EP96">
        <v>1.0340000000000001E-4</v>
      </c>
      <c r="EQ96">
        <v>9.6500000000000001E-5</v>
      </c>
      <c r="ER96">
        <v>9.0699999999999996E-5</v>
      </c>
      <c r="ES96">
        <v>8.5199999999999997E-5</v>
      </c>
      <c r="ET96">
        <v>8.0199999999999998E-5</v>
      </c>
      <c r="EU96">
        <v>7.5699999999999997E-5</v>
      </c>
      <c r="EV96">
        <v>7.1400000000000001E-5</v>
      </c>
      <c r="EW96">
        <v>6.7700000000000006E-5</v>
      </c>
      <c r="EX96">
        <v>6.4499999999999996E-5</v>
      </c>
      <c r="EY96">
        <v>6.1400000000000002E-5</v>
      </c>
      <c r="EZ96">
        <v>5.8499999999999999E-5</v>
      </c>
      <c r="FA96">
        <v>5.5600000000000003E-5</v>
      </c>
      <c r="FB96">
        <v>5.3199999999999999E-5</v>
      </c>
      <c r="FC96">
        <v>5.0899999999999997E-5</v>
      </c>
      <c r="FD96">
        <v>4.8999999999999998E-5</v>
      </c>
      <c r="FE96">
        <v>4.6799999999999999E-5</v>
      </c>
      <c r="FF96">
        <v>4.5000000000000003E-5</v>
      </c>
      <c r="FG96">
        <v>4.3300000000000002E-5</v>
      </c>
      <c r="FH96">
        <v>4.1699999999999997E-5</v>
      </c>
      <c r="FI96">
        <v>4.0200000000000001E-5</v>
      </c>
      <c r="FJ96">
        <v>3.8800000000000001E-5</v>
      </c>
      <c r="FK96">
        <v>3.7499999999999997E-5</v>
      </c>
      <c r="FL96">
        <v>3.6300000000000001E-5</v>
      </c>
      <c r="FM96">
        <v>3.5099999999999999E-5</v>
      </c>
      <c r="FN96">
        <v>3.3899999999999997E-5</v>
      </c>
      <c r="FO96">
        <v>3.29E-5</v>
      </c>
      <c r="FP96">
        <v>3.1999999999999999E-5</v>
      </c>
      <c r="FQ96">
        <v>3.1000000000000001E-5</v>
      </c>
      <c r="FR96">
        <v>3.0199999999999999E-5</v>
      </c>
      <c r="FS96">
        <v>2.94E-5</v>
      </c>
      <c r="FT96">
        <v>2.87E-5</v>
      </c>
      <c r="FU96">
        <v>2.8E-5</v>
      </c>
      <c r="FV96">
        <v>2.73E-5</v>
      </c>
      <c r="FW96">
        <v>2.6800000000000001E-5</v>
      </c>
      <c r="FX96">
        <v>2.62E-5</v>
      </c>
      <c r="FY96">
        <v>2.5700000000000001E-5</v>
      </c>
      <c r="FZ96">
        <v>2.5199999999999999E-5</v>
      </c>
      <c r="GA96">
        <v>2.4700000000000001E-5</v>
      </c>
      <c r="GB96">
        <v>2.4199999999999999E-5</v>
      </c>
      <c r="GC96">
        <v>2.37E-5</v>
      </c>
      <c r="GD96">
        <v>2.3200000000000001E-5</v>
      </c>
      <c r="GE96">
        <v>2.2500000000000001E-5</v>
      </c>
      <c r="GF96">
        <v>2.2099999999999998E-5</v>
      </c>
      <c r="GG96">
        <v>2.16E-5</v>
      </c>
      <c r="GH96">
        <v>2.12E-5</v>
      </c>
      <c r="GI96">
        <v>2.0800000000000001E-5</v>
      </c>
      <c r="GJ96">
        <v>2.05E-5</v>
      </c>
      <c r="GK96">
        <v>2.02E-5</v>
      </c>
      <c r="GL96">
        <v>1.98E-5</v>
      </c>
      <c r="GM96">
        <v>1.95E-5</v>
      </c>
      <c r="GN96">
        <v>1.9199999999999999E-5</v>
      </c>
      <c r="GO96">
        <v>1.8899999999999999E-5</v>
      </c>
      <c r="GP96">
        <v>1.8700000000000001E-5</v>
      </c>
      <c r="GQ96">
        <v>1.8499999999999999E-5</v>
      </c>
      <c r="GR96">
        <v>1.8199999999999999E-5</v>
      </c>
      <c r="GS96">
        <v>1.8E-5</v>
      </c>
      <c r="GT96">
        <v>1.7799999999999999E-5</v>
      </c>
      <c r="GU96">
        <v>1.7499999999999998E-5</v>
      </c>
      <c r="GV96">
        <v>1.7200000000000001E-5</v>
      </c>
      <c r="GW96">
        <v>1.6799999999999998E-5</v>
      </c>
      <c r="GX96">
        <v>1.5999999999999999E-5</v>
      </c>
      <c r="GY96">
        <v>1.5699999999999999E-5</v>
      </c>
      <c r="GZ96">
        <v>1.5299999999999999E-5</v>
      </c>
      <c r="HA96">
        <v>1.45E-5</v>
      </c>
      <c r="HB96">
        <v>1.5099999999999999E-5</v>
      </c>
      <c r="HC96">
        <v>1.5E-5</v>
      </c>
      <c r="HD96">
        <v>1.49E-5</v>
      </c>
      <c r="HE96">
        <v>1.4800000000000001E-5</v>
      </c>
      <c r="HF96">
        <v>1.47E-5</v>
      </c>
      <c r="HG96">
        <v>1.4600000000000001E-5</v>
      </c>
      <c r="HH96">
        <v>1.45E-5</v>
      </c>
      <c r="HI96">
        <v>1.4399999999999999E-5</v>
      </c>
      <c r="HJ96">
        <v>1.43E-5</v>
      </c>
      <c r="HK96">
        <v>1.4100000000000001E-5</v>
      </c>
      <c r="HL96">
        <v>1.4E-5</v>
      </c>
      <c r="HM96">
        <v>1.3900000000000001E-5</v>
      </c>
      <c r="HN96">
        <v>1.3699999999999999E-5</v>
      </c>
      <c r="HO96">
        <v>1.36E-5</v>
      </c>
      <c r="HP96">
        <v>1.34E-5</v>
      </c>
      <c r="HQ96">
        <v>1.33E-5</v>
      </c>
      <c r="HR96">
        <v>1.31E-5</v>
      </c>
      <c r="HS96">
        <v>1.2999999999999999E-5</v>
      </c>
      <c r="HT96">
        <v>1.2799999999999999E-5</v>
      </c>
      <c r="HU96">
        <v>1.27E-5</v>
      </c>
      <c r="HV96">
        <v>1.2500000000000001E-5</v>
      </c>
      <c r="HW96">
        <v>1.24E-5</v>
      </c>
      <c r="HX96">
        <v>1.22E-5</v>
      </c>
      <c r="HY96">
        <v>1.2099999999999999E-5</v>
      </c>
      <c r="HZ96">
        <v>1.19E-5</v>
      </c>
      <c r="IA96">
        <v>1.1800000000000001E-5</v>
      </c>
      <c r="IB96">
        <v>1.1600000000000001E-5</v>
      </c>
      <c r="IC96">
        <v>1.1399999999999999E-5</v>
      </c>
      <c r="ID96">
        <v>1.13E-5</v>
      </c>
      <c r="IE96">
        <v>1.11E-5</v>
      </c>
      <c r="IF96">
        <v>1.1E-5</v>
      </c>
      <c r="IG96">
        <v>7.6380000000000003E-4</v>
      </c>
    </row>
    <row r="97" spans="1:241" x14ac:dyDescent="0.35">
      <c r="A97" s="1">
        <v>89</v>
      </c>
      <c r="B97">
        <v>1.0734799999999999E-2</v>
      </c>
      <c r="C97">
        <v>1.0734799999999999E-2</v>
      </c>
      <c r="D97">
        <v>1.0684600000000001E-2</v>
      </c>
      <c r="E97">
        <v>1.0398599999999999E-2</v>
      </c>
      <c r="F97">
        <v>9.8113000000000002E-3</v>
      </c>
      <c r="G97">
        <v>9.1955000000000005E-3</v>
      </c>
      <c r="H97">
        <v>8.5771000000000007E-3</v>
      </c>
      <c r="I97">
        <v>7.9699999999999997E-3</v>
      </c>
      <c r="J97">
        <v>7.443E-3</v>
      </c>
      <c r="K97">
        <v>6.9519999999999998E-3</v>
      </c>
      <c r="L97">
        <v>6.5259000000000003E-3</v>
      </c>
      <c r="M97">
        <v>6.1409999999999998E-3</v>
      </c>
      <c r="N97">
        <v>5.8033E-3</v>
      </c>
      <c r="O97">
        <v>5.4979E-3</v>
      </c>
      <c r="P97">
        <v>5.2252000000000002E-3</v>
      </c>
      <c r="Q97">
        <v>4.9785000000000003E-3</v>
      </c>
      <c r="R97">
        <v>4.7564E-3</v>
      </c>
      <c r="S97">
        <v>4.5545999999999998E-3</v>
      </c>
      <c r="T97">
        <v>4.3712000000000004E-3</v>
      </c>
      <c r="U97">
        <v>4.2030000000000001E-3</v>
      </c>
      <c r="V97">
        <v>4.0339E-3</v>
      </c>
      <c r="W97">
        <v>3.8909999999999999E-3</v>
      </c>
      <c r="X97">
        <v>3.7620000000000002E-3</v>
      </c>
      <c r="Y97">
        <v>3.6405999999999999E-3</v>
      </c>
      <c r="Z97">
        <v>3.5287999999999999E-3</v>
      </c>
      <c r="AA97">
        <v>3.4250999999999999E-3</v>
      </c>
      <c r="AB97">
        <v>3.3267000000000001E-3</v>
      </c>
      <c r="AC97">
        <v>3.2482000000000001E-3</v>
      </c>
      <c r="AD97">
        <v>3.1624999999999999E-3</v>
      </c>
      <c r="AE97">
        <v>3.0826E-3</v>
      </c>
      <c r="AF97">
        <v>3.0046000000000001E-3</v>
      </c>
      <c r="AG97">
        <v>2.9237E-3</v>
      </c>
      <c r="AH97">
        <v>2.8560999999999999E-3</v>
      </c>
      <c r="AI97">
        <v>2.8008999999999998E-3</v>
      </c>
      <c r="AJ97">
        <v>2.7393000000000001E-3</v>
      </c>
      <c r="AK97">
        <v>2.6808000000000001E-3</v>
      </c>
      <c r="AL97">
        <v>2.6156999999999999E-3</v>
      </c>
      <c r="AM97">
        <v>2.5628000000000001E-3</v>
      </c>
      <c r="AN97">
        <v>2.5122999999999999E-3</v>
      </c>
      <c r="AO97">
        <v>2.4721999999999999E-3</v>
      </c>
      <c r="AP97">
        <v>2.4158999999999999E-3</v>
      </c>
      <c r="AQ97">
        <v>2.3714000000000001E-3</v>
      </c>
      <c r="AR97">
        <v>2.3280000000000002E-3</v>
      </c>
      <c r="AS97">
        <v>2.2859E-3</v>
      </c>
      <c r="AT97">
        <v>2.2452000000000001E-3</v>
      </c>
      <c r="AU97">
        <v>2.2049999999999999E-3</v>
      </c>
      <c r="AV97">
        <v>2.1665999999999999E-3</v>
      </c>
      <c r="AW97">
        <v>2.1302999999999999E-3</v>
      </c>
      <c r="AX97">
        <v>2.0952000000000002E-3</v>
      </c>
      <c r="AY97">
        <v>2.0525999999999999E-3</v>
      </c>
      <c r="AZ97">
        <v>2.0184999999999999E-3</v>
      </c>
      <c r="BA97">
        <v>1.9848999999999999E-3</v>
      </c>
      <c r="BB97">
        <v>1.9503999999999999E-3</v>
      </c>
      <c r="BC97">
        <v>1.9197999999999999E-3</v>
      </c>
      <c r="BD97">
        <v>1.8883999999999999E-3</v>
      </c>
      <c r="BE97">
        <v>1.8569000000000001E-3</v>
      </c>
      <c r="BF97">
        <v>1.8276E-3</v>
      </c>
      <c r="BG97">
        <v>1.7998999999999999E-3</v>
      </c>
      <c r="BH97">
        <v>1.7757000000000001E-3</v>
      </c>
      <c r="BI97">
        <v>1.7531000000000001E-3</v>
      </c>
      <c r="BJ97">
        <v>1.7294999999999999E-3</v>
      </c>
      <c r="BK97">
        <v>1.7034999999999999E-3</v>
      </c>
      <c r="BL97">
        <v>1.6783E-3</v>
      </c>
      <c r="BM97">
        <v>1.6528000000000001E-3</v>
      </c>
      <c r="BN97">
        <v>1.6232E-3</v>
      </c>
      <c r="BO97">
        <v>1.5992000000000001E-3</v>
      </c>
      <c r="BP97">
        <v>1.5554E-3</v>
      </c>
      <c r="BQ97">
        <v>1.5292999999999999E-3</v>
      </c>
      <c r="BR97">
        <v>1.5039000000000001E-3</v>
      </c>
      <c r="BS97">
        <v>1.4785E-3</v>
      </c>
      <c r="BT97">
        <v>1.4549999999999999E-3</v>
      </c>
      <c r="BU97">
        <v>1.4344E-3</v>
      </c>
      <c r="BV97">
        <v>1.4139000000000001E-3</v>
      </c>
      <c r="BW97">
        <v>1.3914999999999999E-3</v>
      </c>
      <c r="BX97">
        <v>1.3692999999999999E-3</v>
      </c>
      <c r="BY97">
        <v>1.3487E-3</v>
      </c>
      <c r="BZ97">
        <v>1.3296E-3</v>
      </c>
      <c r="CA97">
        <v>1.3147E-3</v>
      </c>
      <c r="CB97">
        <v>1.3004E-3</v>
      </c>
      <c r="CC97">
        <v>1.2853999999999999E-3</v>
      </c>
      <c r="CD97">
        <v>1.2700999999999999E-3</v>
      </c>
      <c r="CE97">
        <v>1.2538E-3</v>
      </c>
      <c r="CF97">
        <v>1.2356999999999999E-3</v>
      </c>
      <c r="CG97">
        <v>1.2125E-3</v>
      </c>
      <c r="CH97">
        <v>1.1842999999999999E-3</v>
      </c>
      <c r="CI97">
        <v>1.1310000000000001E-3</v>
      </c>
      <c r="CJ97">
        <v>1.1054000000000001E-3</v>
      </c>
      <c r="CK97">
        <v>1.0790000000000001E-3</v>
      </c>
      <c r="CL97">
        <v>1.0199E-3</v>
      </c>
      <c r="CM97">
        <v>1.0654E-3</v>
      </c>
      <c r="CN97">
        <v>1.054E-3</v>
      </c>
      <c r="CO97">
        <v>1.0485E-3</v>
      </c>
      <c r="CP97">
        <v>1.0418999999999999E-3</v>
      </c>
      <c r="CQ97">
        <v>1.0352E-3</v>
      </c>
      <c r="CR97">
        <v>1.0277000000000001E-3</v>
      </c>
      <c r="CS97">
        <v>1.0196999999999999E-3</v>
      </c>
      <c r="CT97">
        <v>1.0112000000000001E-3</v>
      </c>
      <c r="CU97">
        <v>1.0022E-3</v>
      </c>
      <c r="CV97">
        <v>9.9280000000000006E-4</v>
      </c>
      <c r="CW97">
        <v>9.8299999999999993E-4</v>
      </c>
      <c r="CX97">
        <v>9.7289999999999996E-4</v>
      </c>
      <c r="CY97">
        <v>9.6259999999999998E-4</v>
      </c>
      <c r="CZ97">
        <v>9.5200000000000005E-4</v>
      </c>
      <c r="DA97">
        <v>9.4129999999999995E-4</v>
      </c>
      <c r="DB97">
        <v>9.3050000000000001E-4</v>
      </c>
      <c r="DC97">
        <v>9.1960000000000002E-4</v>
      </c>
      <c r="DD97">
        <v>9.0859999999999997E-4</v>
      </c>
      <c r="DE97">
        <v>8.9749999999999997E-4</v>
      </c>
      <c r="DF97">
        <v>8.8650000000000003E-4</v>
      </c>
      <c r="DG97">
        <v>8.7540000000000003E-4</v>
      </c>
      <c r="DH97">
        <v>8.6430000000000003E-4</v>
      </c>
      <c r="DI97">
        <v>8.5320000000000003E-4</v>
      </c>
      <c r="DJ97">
        <v>8.4219999999999998E-4</v>
      </c>
      <c r="DK97">
        <v>8.3120000000000004E-4</v>
      </c>
      <c r="DL97">
        <v>8.2030000000000004E-4</v>
      </c>
      <c r="DM97">
        <v>8.0940000000000005E-4</v>
      </c>
      <c r="DN97">
        <v>7.9849999999999995E-4</v>
      </c>
      <c r="DO97">
        <v>7.8779999999999996E-4</v>
      </c>
      <c r="DP97">
        <v>7.7700000000000002E-4</v>
      </c>
      <c r="DQ97">
        <v>5.3793100000000003E-2</v>
      </c>
      <c r="DR97">
        <v>0</v>
      </c>
      <c r="DS97">
        <v>5.02E-5</v>
      </c>
      <c r="DT97">
        <v>2.8610000000000002E-4</v>
      </c>
      <c r="DU97">
        <v>5.8770000000000003E-4</v>
      </c>
      <c r="DV97">
        <v>6.1640000000000002E-4</v>
      </c>
      <c r="DW97">
        <v>6.1109999999999995E-4</v>
      </c>
      <c r="DX97">
        <v>6.0959999999999996E-4</v>
      </c>
      <c r="DY97">
        <v>5.2340000000000004E-4</v>
      </c>
      <c r="DZ97">
        <v>4.8690000000000002E-4</v>
      </c>
      <c r="EA97">
        <v>4.2299999999999998E-4</v>
      </c>
      <c r="EB97">
        <v>3.8220000000000002E-4</v>
      </c>
      <c r="EC97">
        <v>3.3799999999999998E-4</v>
      </c>
      <c r="ED97">
        <v>3.0440000000000003E-4</v>
      </c>
      <c r="EE97">
        <v>2.7230000000000001E-4</v>
      </c>
      <c r="EF97">
        <v>2.4580000000000001E-4</v>
      </c>
      <c r="EG97">
        <v>2.22E-4</v>
      </c>
      <c r="EH97">
        <v>2.0149999999999999E-4</v>
      </c>
      <c r="EI97">
        <v>1.8349999999999999E-4</v>
      </c>
      <c r="EJ97">
        <v>1.6770000000000001E-4</v>
      </c>
      <c r="EK97">
        <v>1.537E-4</v>
      </c>
      <c r="EL97">
        <v>1.407E-4</v>
      </c>
      <c r="EM97">
        <v>1.2980000000000001E-4</v>
      </c>
      <c r="EN97">
        <v>1.2010000000000001E-4</v>
      </c>
      <c r="EO97">
        <v>1.114E-4</v>
      </c>
      <c r="EP97">
        <v>1.037E-4</v>
      </c>
      <c r="EQ97">
        <v>9.6899999999999997E-5</v>
      </c>
      <c r="ER97">
        <v>9.0699999999999996E-5</v>
      </c>
      <c r="ES97">
        <v>8.5599999999999994E-5</v>
      </c>
      <c r="ET97">
        <v>8.0599999999999994E-5</v>
      </c>
      <c r="EU97">
        <v>7.6100000000000007E-5</v>
      </c>
      <c r="EV97">
        <v>7.2000000000000002E-5</v>
      </c>
      <c r="EW97">
        <v>6.7999999999999999E-5</v>
      </c>
      <c r="EX97">
        <v>6.4599999999999998E-5</v>
      </c>
      <c r="EY97">
        <v>6.1699999999999995E-5</v>
      </c>
      <c r="EZ97">
        <v>5.8799999999999999E-5</v>
      </c>
      <c r="FA97">
        <v>5.6199999999999997E-5</v>
      </c>
      <c r="FB97">
        <v>5.3499999999999999E-5</v>
      </c>
      <c r="FC97">
        <v>5.1199999999999998E-5</v>
      </c>
      <c r="FD97">
        <v>4.8999999999999998E-5</v>
      </c>
      <c r="FE97">
        <v>4.7200000000000002E-5</v>
      </c>
      <c r="FF97">
        <v>4.5200000000000001E-5</v>
      </c>
      <c r="FG97">
        <v>4.35E-5</v>
      </c>
      <c r="FH97">
        <v>4.1900000000000002E-5</v>
      </c>
      <c r="FI97">
        <v>4.0399999999999999E-5</v>
      </c>
      <c r="FJ97">
        <v>3.8899999999999997E-5</v>
      </c>
      <c r="FK97">
        <v>3.7599999999999999E-5</v>
      </c>
      <c r="FL97">
        <v>3.6399999999999997E-5</v>
      </c>
      <c r="FM97">
        <v>3.5200000000000002E-5</v>
      </c>
      <c r="FN97">
        <v>3.4199999999999998E-5</v>
      </c>
      <c r="FO97">
        <v>3.3000000000000003E-5</v>
      </c>
      <c r="FP97">
        <v>3.2100000000000001E-5</v>
      </c>
      <c r="FQ97">
        <v>3.1199999999999999E-5</v>
      </c>
      <c r="FR97">
        <v>3.0300000000000001E-5</v>
      </c>
      <c r="FS97">
        <v>2.9499999999999999E-5</v>
      </c>
      <c r="FT97">
        <v>2.8799999999999999E-5</v>
      </c>
      <c r="FU97">
        <v>2.8E-5</v>
      </c>
      <c r="FV97">
        <v>2.7399999999999999E-5</v>
      </c>
      <c r="FW97">
        <v>2.6800000000000001E-5</v>
      </c>
      <c r="FX97">
        <v>2.62E-5</v>
      </c>
      <c r="FY97">
        <v>2.5700000000000001E-5</v>
      </c>
      <c r="FZ97">
        <v>2.5199999999999999E-5</v>
      </c>
      <c r="GA97">
        <v>2.4700000000000001E-5</v>
      </c>
      <c r="GB97">
        <v>2.4199999999999999E-5</v>
      </c>
      <c r="GC97">
        <v>2.3799999999999999E-5</v>
      </c>
      <c r="GD97">
        <v>2.3300000000000001E-5</v>
      </c>
      <c r="GE97">
        <v>2.2799999999999999E-5</v>
      </c>
      <c r="GF97">
        <v>2.2099999999999998E-5</v>
      </c>
      <c r="GG97">
        <v>2.1699999999999999E-5</v>
      </c>
      <c r="GH97">
        <v>2.1299999999999999E-5</v>
      </c>
      <c r="GI97">
        <v>2.09E-5</v>
      </c>
      <c r="GJ97">
        <v>2.05E-5</v>
      </c>
      <c r="GK97">
        <v>2.02E-5</v>
      </c>
      <c r="GL97">
        <v>1.9899999999999999E-5</v>
      </c>
      <c r="GM97">
        <v>1.95E-5</v>
      </c>
      <c r="GN97">
        <v>1.9199999999999999E-5</v>
      </c>
      <c r="GO97">
        <v>1.8899999999999999E-5</v>
      </c>
      <c r="GP97">
        <v>1.8600000000000001E-5</v>
      </c>
      <c r="GQ97">
        <v>1.84E-5</v>
      </c>
      <c r="GR97">
        <v>1.8199999999999999E-5</v>
      </c>
      <c r="GS97">
        <v>1.8E-5</v>
      </c>
      <c r="GT97">
        <v>1.7799999999999999E-5</v>
      </c>
      <c r="GU97">
        <v>1.7499999999999998E-5</v>
      </c>
      <c r="GV97">
        <v>1.73E-5</v>
      </c>
      <c r="GW97">
        <v>1.6900000000000001E-5</v>
      </c>
      <c r="GX97">
        <v>1.66E-5</v>
      </c>
      <c r="GY97">
        <v>1.5800000000000001E-5</v>
      </c>
      <c r="GZ97">
        <v>1.5500000000000001E-5</v>
      </c>
      <c r="HA97">
        <v>1.5099999999999999E-5</v>
      </c>
      <c r="HB97">
        <v>1.43E-5</v>
      </c>
      <c r="HC97">
        <v>1.49E-5</v>
      </c>
      <c r="HD97">
        <v>1.4800000000000001E-5</v>
      </c>
      <c r="HE97">
        <v>1.47E-5</v>
      </c>
      <c r="HF97">
        <v>1.4600000000000001E-5</v>
      </c>
      <c r="HG97">
        <v>1.45E-5</v>
      </c>
      <c r="HH97">
        <v>1.4399999999999999E-5</v>
      </c>
      <c r="HI97">
        <v>1.43E-5</v>
      </c>
      <c r="HJ97">
        <v>1.42E-5</v>
      </c>
      <c r="HK97">
        <v>1.4100000000000001E-5</v>
      </c>
      <c r="HL97">
        <v>1.3900000000000001E-5</v>
      </c>
      <c r="HM97">
        <v>1.38E-5</v>
      </c>
      <c r="HN97">
        <v>1.3699999999999999E-5</v>
      </c>
      <c r="HO97">
        <v>1.3499999999999999E-5</v>
      </c>
      <c r="HP97">
        <v>1.34E-5</v>
      </c>
      <c r="HQ97">
        <v>1.3200000000000001E-5</v>
      </c>
      <c r="HR97">
        <v>1.31E-5</v>
      </c>
      <c r="HS97">
        <v>1.2999999999999999E-5</v>
      </c>
      <c r="HT97">
        <v>1.2799999999999999E-5</v>
      </c>
      <c r="HU97">
        <v>1.27E-5</v>
      </c>
      <c r="HV97">
        <v>1.2500000000000001E-5</v>
      </c>
      <c r="HW97">
        <v>1.2300000000000001E-5</v>
      </c>
      <c r="HX97">
        <v>1.22E-5</v>
      </c>
      <c r="HY97">
        <v>1.2E-5</v>
      </c>
      <c r="HZ97">
        <v>1.19E-5</v>
      </c>
      <c r="IA97">
        <v>1.17E-5</v>
      </c>
      <c r="IB97">
        <v>1.1600000000000001E-5</v>
      </c>
      <c r="IC97">
        <v>1.1399999999999999E-5</v>
      </c>
      <c r="ID97">
        <v>1.13E-5</v>
      </c>
      <c r="IE97">
        <v>1.11E-5</v>
      </c>
      <c r="IF97">
        <v>1.1E-5</v>
      </c>
      <c r="IG97">
        <v>7.6380000000000003E-4</v>
      </c>
    </row>
    <row r="98" spans="1:241" x14ac:dyDescent="0.35">
      <c r="A98" s="1">
        <v>90</v>
      </c>
      <c r="B98">
        <v>1.0734799999999999E-2</v>
      </c>
      <c r="C98">
        <v>1.0734799999999999E-2</v>
      </c>
      <c r="D98">
        <v>1.0684600000000001E-2</v>
      </c>
      <c r="E98">
        <v>1.03985E-2</v>
      </c>
      <c r="F98">
        <v>9.8108999999999991E-3</v>
      </c>
      <c r="G98">
        <v>9.1949000000000006E-3</v>
      </c>
      <c r="H98">
        <v>8.5844000000000007E-3</v>
      </c>
      <c r="I98">
        <v>7.9676E-3</v>
      </c>
      <c r="J98">
        <v>7.4466000000000003E-3</v>
      </c>
      <c r="K98">
        <v>6.9560999999999998E-3</v>
      </c>
      <c r="L98">
        <v>6.5290000000000001E-3</v>
      </c>
      <c r="M98">
        <v>6.1437999999999996E-3</v>
      </c>
      <c r="N98">
        <v>5.803E-3</v>
      </c>
      <c r="O98">
        <v>5.4989000000000001E-3</v>
      </c>
      <c r="P98">
        <v>5.2256000000000004E-3</v>
      </c>
      <c r="Q98">
        <v>4.9794000000000001E-3</v>
      </c>
      <c r="R98">
        <v>4.7565000000000003E-3</v>
      </c>
      <c r="S98">
        <v>4.5548999999999997E-3</v>
      </c>
      <c r="T98">
        <v>4.3711000000000002E-3</v>
      </c>
      <c r="U98">
        <v>4.2034999999999998E-3</v>
      </c>
      <c r="V98">
        <v>4.0492999999999996E-3</v>
      </c>
      <c r="W98">
        <v>3.8931999999999999E-3</v>
      </c>
      <c r="X98">
        <v>3.7613E-3</v>
      </c>
      <c r="Y98">
        <v>3.6419E-3</v>
      </c>
      <c r="Z98">
        <v>3.5292000000000001E-3</v>
      </c>
      <c r="AA98">
        <v>3.4250999999999999E-3</v>
      </c>
      <c r="AB98">
        <v>3.3283000000000002E-3</v>
      </c>
      <c r="AC98">
        <v>3.2360000000000002E-3</v>
      </c>
      <c r="AD98">
        <v>3.1625999999999998E-3</v>
      </c>
      <c r="AE98">
        <v>3.0818999999999998E-3</v>
      </c>
      <c r="AF98">
        <v>3.0065000000000001E-3</v>
      </c>
      <c r="AG98">
        <v>2.9326999999999999E-3</v>
      </c>
      <c r="AH98">
        <v>2.8555999999999998E-3</v>
      </c>
      <c r="AI98">
        <v>2.7913999999999999E-3</v>
      </c>
      <c r="AJ98">
        <v>2.7391999999999998E-3</v>
      </c>
      <c r="AK98">
        <v>2.6805000000000002E-3</v>
      </c>
      <c r="AL98">
        <v>2.6247000000000002E-3</v>
      </c>
      <c r="AM98">
        <v>2.5623E-3</v>
      </c>
      <c r="AN98">
        <v>2.5117E-3</v>
      </c>
      <c r="AO98">
        <v>2.4632E-3</v>
      </c>
      <c r="AP98">
        <v>2.4248999999999998E-3</v>
      </c>
      <c r="AQ98">
        <v>2.3706999999999999E-3</v>
      </c>
      <c r="AR98">
        <v>2.3278999999999999E-3</v>
      </c>
      <c r="AS98">
        <v>2.2861000000000001E-3</v>
      </c>
      <c r="AT98">
        <v>2.2455999999999999E-3</v>
      </c>
      <c r="AU98">
        <v>2.2062000000000002E-3</v>
      </c>
      <c r="AV98">
        <v>2.1673999999999999E-3</v>
      </c>
      <c r="AW98">
        <v>2.1302999999999999E-3</v>
      </c>
      <c r="AX98">
        <v>2.0950999999999999E-3</v>
      </c>
      <c r="AY98">
        <v>2.0609999999999999E-3</v>
      </c>
      <c r="AZ98">
        <v>2.0195E-3</v>
      </c>
      <c r="BA98">
        <v>1.9864000000000001E-3</v>
      </c>
      <c r="BB98">
        <v>1.9537000000000001E-3</v>
      </c>
      <c r="BC98">
        <v>1.9201000000000001E-3</v>
      </c>
      <c r="BD98">
        <v>1.8902999999999999E-3</v>
      </c>
      <c r="BE98">
        <v>1.8596000000000001E-3</v>
      </c>
      <c r="BF98">
        <v>1.8289000000000001E-3</v>
      </c>
      <c r="BG98">
        <v>1.8002999999999999E-3</v>
      </c>
      <c r="BH98">
        <v>1.7730999999999999E-3</v>
      </c>
      <c r="BI98">
        <v>1.7495E-3</v>
      </c>
      <c r="BJ98">
        <v>1.7273E-3</v>
      </c>
      <c r="BK98">
        <v>1.7041999999999999E-3</v>
      </c>
      <c r="BL98">
        <v>1.6788E-3</v>
      </c>
      <c r="BM98">
        <v>1.6540999999999999E-3</v>
      </c>
      <c r="BN98">
        <v>1.629E-3</v>
      </c>
      <c r="BO98">
        <v>1.6000000000000001E-3</v>
      </c>
      <c r="BP98">
        <v>1.5763000000000001E-3</v>
      </c>
      <c r="BQ98">
        <v>1.5333E-3</v>
      </c>
      <c r="BR98">
        <v>1.5076E-3</v>
      </c>
      <c r="BS98">
        <v>1.4827E-3</v>
      </c>
      <c r="BT98">
        <v>1.4576000000000001E-3</v>
      </c>
      <c r="BU98">
        <v>1.4345E-3</v>
      </c>
      <c r="BV98">
        <v>1.4142E-3</v>
      </c>
      <c r="BW98">
        <v>1.3940000000000001E-3</v>
      </c>
      <c r="BX98">
        <v>1.3718999999999999E-3</v>
      </c>
      <c r="BY98">
        <v>1.3500999999999999E-3</v>
      </c>
      <c r="BZ98">
        <v>1.3297999999999999E-3</v>
      </c>
      <c r="CA98">
        <v>1.3110000000000001E-3</v>
      </c>
      <c r="CB98">
        <v>1.2963E-3</v>
      </c>
      <c r="CC98">
        <v>1.2822E-3</v>
      </c>
      <c r="CD98">
        <v>1.2673999999999999E-3</v>
      </c>
      <c r="CE98">
        <v>1.2523E-3</v>
      </c>
      <c r="CF98">
        <v>1.2362E-3</v>
      </c>
      <c r="CG98">
        <v>1.2183999999999999E-3</v>
      </c>
      <c r="CH98">
        <v>1.1956E-3</v>
      </c>
      <c r="CI98">
        <v>1.1677E-3</v>
      </c>
      <c r="CJ98">
        <v>1.1150999999999999E-3</v>
      </c>
      <c r="CK98">
        <v>1.0899E-3</v>
      </c>
      <c r="CL98">
        <v>1.0639E-3</v>
      </c>
      <c r="CM98">
        <v>1.0055999999999999E-3</v>
      </c>
      <c r="CN98">
        <v>1.0505E-3</v>
      </c>
      <c r="CO98">
        <v>1.0392000000000001E-3</v>
      </c>
      <c r="CP98">
        <v>1.0338000000000001E-3</v>
      </c>
      <c r="CQ98">
        <v>1.0273000000000001E-3</v>
      </c>
      <c r="CR98">
        <v>1.0207E-3</v>
      </c>
      <c r="CS98">
        <v>1.0133E-3</v>
      </c>
      <c r="CT98">
        <v>1.0054E-3</v>
      </c>
      <c r="CU98">
        <v>9.9700000000000006E-4</v>
      </c>
      <c r="CV98">
        <v>9.881E-4</v>
      </c>
      <c r="CW98">
        <v>9.7879999999999994E-4</v>
      </c>
      <c r="CX98">
        <v>9.6920000000000003E-4</v>
      </c>
      <c r="CY98">
        <v>9.592E-4</v>
      </c>
      <c r="CZ98">
        <v>9.4899999999999997E-4</v>
      </c>
      <c r="DA98">
        <v>9.3860000000000005E-4</v>
      </c>
      <c r="DB98">
        <v>9.2809999999999995E-4</v>
      </c>
      <c r="DC98">
        <v>9.1739999999999996E-4</v>
      </c>
      <c r="DD98">
        <v>9.0660000000000003E-4</v>
      </c>
      <c r="DE98">
        <v>8.9579999999999998E-4</v>
      </c>
      <c r="DF98">
        <v>8.8489999999999999E-4</v>
      </c>
      <c r="DG98">
        <v>8.7399999999999999E-4</v>
      </c>
      <c r="DH98">
        <v>8.6300000000000005E-4</v>
      </c>
      <c r="DI98">
        <v>8.5209999999999995E-4</v>
      </c>
      <c r="DJ98">
        <v>8.4119999999999996E-4</v>
      </c>
      <c r="DK98">
        <v>8.3029999999999996E-4</v>
      </c>
      <c r="DL98">
        <v>8.1950000000000002E-4</v>
      </c>
      <c r="DM98">
        <v>8.0869999999999998E-4</v>
      </c>
      <c r="DN98">
        <v>7.9790000000000004E-4</v>
      </c>
      <c r="DO98">
        <v>7.8720000000000005E-4</v>
      </c>
      <c r="DP98">
        <v>7.7660000000000001E-4</v>
      </c>
      <c r="DQ98">
        <v>5.3795299999999997E-2</v>
      </c>
      <c r="DR98">
        <v>0</v>
      </c>
      <c r="DS98">
        <v>5.02E-5</v>
      </c>
      <c r="DT98">
        <v>2.8620000000000002E-4</v>
      </c>
      <c r="DU98">
        <v>5.8819999999999999E-4</v>
      </c>
      <c r="DV98">
        <v>6.1169999999999996E-4</v>
      </c>
      <c r="DW98">
        <v>6.0729999999999996E-4</v>
      </c>
      <c r="DX98">
        <v>6.043E-4</v>
      </c>
      <c r="DY98">
        <v>5.1909999999999999E-4</v>
      </c>
      <c r="DZ98">
        <v>4.8480000000000002E-4</v>
      </c>
      <c r="EA98">
        <v>4.215E-4</v>
      </c>
      <c r="EB98">
        <v>3.8059999999999998E-4</v>
      </c>
      <c r="EC98">
        <v>3.3589999999999998E-4</v>
      </c>
      <c r="ED98">
        <v>3.0140000000000001E-4</v>
      </c>
      <c r="EE98">
        <v>2.6939999999999999E-4</v>
      </c>
      <c r="EF98">
        <v>2.4259999999999999E-4</v>
      </c>
      <c r="EG98">
        <v>2.186E-4</v>
      </c>
      <c r="EH98">
        <v>1.9809999999999999E-4</v>
      </c>
      <c r="EI98">
        <v>1.8009999999999999E-4</v>
      </c>
      <c r="EJ98">
        <v>1.6440000000000001E-4</v>
      </c>
      <c r="EK98">
        <v>1.506E-4</v>
      </c>
      <c r="EL98">
        <v>1.384E-4</v>
      </c>
      <c r="EM98">
        <v>1.27E-4</v>
      </c>
      <c r="EN98">
        <v>1.1739999999999999E-4</v>
      </c>
      <c r="EO98">
        <v>1.0900000000000001E-4</v>
      </c>
      <c r="EP98">
        <v>1.014E-4</v>
      </c>
      <c r="EQ98">
        <v>9.4699999999999998E-5</v>
      </c>
      <c r="ER98">
        <v>8.8700000000000001E-5</v>
      </c>
      <c r="ES98">
        <v>8.3300000000000005E-5</v>
      </c>
      <c r="ET98">
        <v>7.8899999999999993E-5</v>
      </c>
      <c r="EU98">
        <v>7.4499999999999995E-5</v>
      </c>
      <c r="EV98">
        <v>7.0599999999999995E-5</v>
      </c>
      <c r="EW98">
        <v>6.69E-5</v>
      </c>
      <c r="EX98">
        <v>6.3399999999999996E-5</v>
      </c>
      <c r="EY98">
        <v>6.0300000000000002E-5</v>
      </c>
      <c r="EZ98">
        <v>5.7800000000000002E-5</v>
      </c>
      <c r="FA98">
        <v>5.52E-5</v>
      </c>
      <c r="FB98">
        <v>5.2800000000000003E-5</v>
      </c>
      <c r="FC98">
        <v>5.0399999999999999E-5</v>
      </c>
      <c r="FD98">
        <v>4.8300000000000002E-5</v>
      </c>
      <c r="FE98">
        <v>4.6400000000000003E-5</v>
      </c>
      <c r="FF98">
        <v>4.4799999999999998E-5</v>
      </c>
      <c r="FG98">
        <v>4.2899999999999999E-5</v>
      </c>
      <c r="FH98">
        <v>4.1399999999999997E-5</v>
      </c>
      <c r="FI98">
        <v>3.9900000000000001E-5</v>
      </c>
      <c r="FJ98">
        <v>3.8500000000000001E-5</v>
      </c>
      <c r="FK98">
        <v>3.7299999999999999E-5</v>
      </c>
      <c r="FL98">
        <v>3.6000000000000001E-5</v>
      </c>
      <c r="FM98">
        <v>3.4900000000000001E-5</v>
      </c>
      <c r="FN98">
        <v>3.3899999999999997E-5</v>
      </c>
      <c r="FO98">
        <v>3.29E-5</v>
      </c>
      <c r="FP98">
        <v>3.18E-5</v>
      </c>
      <c r="FQ98">
        <v>3.1000000000000001E-5</v>
      </c>
      <c r="FR98">
        <v>3.01E-5</v>
      </c>
      <c r="FS98">
        <v>2.9300000000000001E-5</v>
      </c>
      <c r="FT98">
        <v>2.8600000000000001E-5</v>
      </c>
      <c r="FU98">
        <v>2.7900000000000001E-5</v>
      </c>
      <c r="FV98">
        <v>2.73E-5</v>
      </c>
      <c r="FW98">
        <v>2.6599999999999999E-5</v>
      </c>
      <c r="FX98">
        <v>2.6100000000000001E-5</v>
      </c>
      <c r="FY98">
        <v>2.5599999999999999E-5</v>
      </c>
      <c r="FZ98">
        <v>2.51E-5</v>
      </c>
      <c r="GA98">
        <v>2.4700000000000001E-5</v>
      </c>
      <c r="GB98">
        <v>2.4199999999999999E-5</v>
      </c>
      <c r="GC98">
        <v>2.37E-5</v>
      </c>
      <c r="GD98">
        <v>2.3300000000000001E-5</v>
      </c>
      <c r="GE98">
        <v>2.2799999999999999E-5</v>
      </c>
      <c r="GF98">
        <v>2.2399999999999999E-5</v>
      </c>
      <c r="GG98">
        <v>2.1699999999999999E-5</v>
      </c>
      <c r="GH98">
        <v>2.1299999999999999E-5</v>
      </c>
      <c r="GI98">
        <v>2.09E-5</v>
      </c>
      <c r="GJ98">
        <v>2.05E-5</v>
      </c>
      <c r="GK98">
        <v>2.02E-5</v>
      </c>
      <c r="GL98">
        <v>1.98E-5</v>
      </c>
      <c r="GM98">
        <v>1.95E-5</v>
      </c>
      <c r="GN98">
        <v>1.9199999999999999E-5</v>
      </c>
      <c r="GO98">
        <v>1.8899999999999999E-5</v>
      </c>
      <c r="GP98">
        <v>1.8600000000000001E-5</v>
      </c>
      <c r="GQ98">
        <v>1.8300000000000001E-5</v>
      </c>
      <c r="GR98">
        <v>1.8099999999999999E-5</v>
      </c>
      <c r="GS98">
        <v>1.7900000000000001E-5</v>
      </c>
      <c r="GT98">
        <v>1.77E-5</v>
      </c>
      <c r="GU98">
        <v>1.7499999999999998E-5</v>
      </c>
      <c r="GV98">
        <v>1.73E-5</v>
      </c>
      <c r="GW98">
        <v>1.7E-5</v>
      </c>
      <c r="GX98">
        <v>1.6699999999999999E-5</v>
      </c>
      <c r="GY98">
        <v>1.63E-5</v>
      </c>
      <c r="GZ98">
        <v>1.56E-5</v>
      </c>
      <c r="HA98">
        <v>1.52E-5</v>
      </c>
      <c r="HB98">
        <v>1.49E-5</v>
      </c>
      <c r="HC98">
        <v>1.4100000000000001E-5</v>
      </c>
      <c r="HD98">
        <v>1.47E-5</v>
      </c>
      <c r="HE98">
        <v>1.45E-5</v>
      </c>
      <c r="HF98">
        <v>1.45E-5</v>
      </c>
      <c r="HG98">
        <v>1.4399999999999999E-5</v>
      </c>
      <c r="HH98">
        <v>1.43E-5</v>
      </c>
      <c r="HI98">
        <v>1.42E-5</v>
      </c>
      <c r="HJ98">
        <v>1.4100000000000001E-5</v>
      </c>
      <c r="HK98">
        <v>1.4E-5</v>
      </c>
      <c r="HL98">
        <v>1.3900000000000001E-5</v>
      </c>
      <c r="HM98">
        <v>1.3699999999999999E-5</v>
      </c>
      <c r="HN98">
        <v>1.36E-5</v>
      </c>
      <c r="HO98">
        <v>1.3499999999999999E-5</v>
      </c>
      <c r="HP98">
        <v>1.33E-5</v>
      </c>
      <c r="HQ98">
        <v>1.3200000000000001E-5</v>
      </c>
      <c r="HR98">
        <v>1.31E-5</v>
      </c>
      <c r="HS98">
        <v>1.29E-5</v>
      </c>
      <c r="HT98">
        <v>1.2799999999999999E-5</v>
      </c>
      <c r="HU98">
        <v>1.26E-5</v>
      </c>
      <c r="HV98">
        <v>1.2500000000000001E-5</v>
      </c>
      <c r="HW98">
        <v>1.2300000000000001E-5</v>
      </c>
      <c r="HX98">
        <v>1.22E-5</v>
      </c>
      <c r="HY98">
        <v>1.2E-5</v>
      </c>
      <c r="HZ98">
        <v>1.19E-5</v>
      </c>
      <c r="IA98">
        <v>1.17E-5</v>
      </c>
      <c r="IB98">
        <v>1.1600000000000001E-5</v>
      </c>
      <c r="IC98">
        <v>1.1399999999999999E-5</v>
      </c>
      <c r="ID98">
        <v>1.13E-5</v>
      </c>
      <c r="IE98">
        <v>1.11E-5</v>
      </c>
      <c r="IF98">
        <v>1.1E-5</v>
      </c>
      <c r="IG98">
        <v>7.6389999999999997E-4</v>
      </c>
    </row>
    <row r="99" spans="1:241" x14ac:dyDescent="0.35">
      <c r="A99" s="1">
        <v>91</v>
      </c>
      <c r="B99">
        <v>1.0734799999999999E-2</v>
      </c>
      <c r="C99">
        <v>1.0734799999999999E-2</v>
      </c>
      <c r="D99">
        <v>1.0684600000000001E-2</v>
      </c>
      <c r="E99">
        <v>1.03984E-2</v>
      </c>
      <c r="F99">
        <v>9.8102999999999992E-3</v>
      </c>
      <c r="G99">
        <v>9.1991999999999994E-3</v>
      </c>
      <c r="H99">
        <v>8.5874999999999996E-3</v>
      </c>
      <c r="I99">
        <v>7.9801000000000004E-3</v>
      </c>
      <c r="J99">
        <v>7.4485000000000003E-3</v>
      </c>
      <c r="K99">
        <v>6.9617999999999998E-3</v>
      </c>
      <c r="L99">
        <v>6.5345999999999998E-3</v>
      </c>
      <c r="M99">
        <v>6.1484E-3</v>
      </c>
      <c r="N99">
        <v>5.8078000000000001E-3</v>
      </c>
      <c r="O99">
        <v>5.5015999999999997E-3</v>
      </c>
      <c r="P99">
        <v>5.2294999999999998E-3</v>
      </c>
      <c r="Q99">
        <v>4.9829999999999996E-3</v>
      </c>
      <c r="R99">
        <v>4.7606999999999997E-3</v>
      </c>
      <c r="S99">
        <v>4.5583999999999998E-3</v>
      </c>
      <c r="T99">
        <v>4.3747999999999999E-3</v>
      </c>
      <c r="U99">
        <v>4.2066999999999998E-3</v>
      </c>
      <c r="V99">
        <v>4.0528999999999999E-3</v>
      </c>
      <c r="W99">
        <v>3.9109000000000001E-3</v>
      </c>
      <c r="X99">
        <v>3.7661999999999999E-3</v>
      </c>
      <c r="Y99">
        <v>3.6438999999999998E-3</v>
      </c>
      <c r="Z99">
        <v>3.5328999999999998E-3</v>
      </c>
      <c r="AA99">
        <v>3.4277999999999999E-3</v>
      </c>
      <c r="AB99">
        <v>3.3303999999999999E-3</v>
      </c>
      <c r="AC99">
        <v>3.2395000000000002E-3</v>
      </c>
      <c r="AD99">
        <v>3.1527E-3</v>
      </c>
      <c r="AE99">
        <v>3.0837E-3</v>
      </c>
      <c r="AF99">
        <v>3.0073999999999999E-3</v>
      </c>
      <c r="AG99">
        <v>2.9359999999999998E-3</v>
      </c>
      <c r="AH99">
        <v>2.8657999999999999E-3</v>
      </c>
      <c r="AI99">
        <v>2.7923000000000002E-3</v>
      </c>
      <c r="AJ99">
        <v>2.7311000000000002E-3</v>
      </c>
      <c r="AK99">
        <v>2.6814E-3</v>
      </c>
      <c r="AL99">
        <v>2.6253000000000001E-3</v>
      </c>
      <c r="AM99">
        <v>2.5718999999999998E-3</v>
      </c>
      <c r="AN99">
        <v>2.5119000000000001E-3</v>
      </c>
      <c r="AO99">
        <v>2.4634000000000001E-3</v>
      </c>
      <c r="AP99">
        <v>2.4168000000000002E-3</v>
      </c>
      <c r="AQ99">
        <v>2.3801999999999999E-3</v>
      </c>
      <c r="AR99">
        <v>2.3276999999999998E-3</v>
      </c>
      <c r="AS99">
        <v>2.2864999999999999E-3</v>
      </c>
      <c r="AT99">
        <v>2.2461999999999998E-3</v>
      </c>
      <c r="AU99">
        <v>2.2070000000000002E-3</v>
      </c>
      <c r="AV99">
        <v>2.1689999999999999E-3</v>
      </c>
      <c r="AW99">
        <v>2.1313999999999999E-3</v>
      </c>
      <c r="AX99">
        <v>2.0953E-3</v>
      </c>
      <c r="AY99">
        <v>2.0612E-3</v>
      </c>
      <c r="AZ99">
        <v>2.0281000000000001E-3</v>
      </c>
      <c r="BA99">
        <v>1.9876999999999998E-3</v>
      </c>
      <c r="BB99">
        <v>1.9555000000000002E-3</v>
      </c>
      <c r="BC99">
        <v>1.9235000000000001E-3</v>
      </c>
      <c r="BD99">
        <v>1.8908E-3</v>
      </c>
      <c r="BE99">
        <v>1.8615999999999999E-3</v>
      </c>
      <c r="BF99">
        <v>1.8316999999999999E-3</v>
      </c>
      <c r="BG99">
        <v>1.8016E-3</v>
      </c>
      <c r="BH99">
        <v>1.7736E-3</v>
      </c>
      <c r="BI99">
        <v>1.7470000000000001E-3</v>
      </c>
      <c r="BJ99">
        <v>1.7239E-3</v>
      </c>
      <c r="BK99">
        <v>1.7022000000000001E-3</v>
      </c>
      <c r="BL99">
        <v>1.6796000000000001E-3</v>
      </c>
      <c r="BM99">
        <v>1.6546E-3</v>
      </c>
      <c r="BN99">
        <v>1.6302999999999999E-3</v>
      </c>
      <c r="BO99">
        <v>1.6057000000000001E-3</v>
      </c>
      <c r="BP99">
        <v>1.5772E-3</v>
      </c>
      <c r="BQ99">
        <v>1.554E-3</v>
      </c>
      <c r="BR99">
        <v>1.5115E-3</v>
      </c>
      <c r="BS99">
        <v>1.4863000000000001E-3</v>
      </c>
      <c r="BT99">
        <v>1.4617E-3</v>
      </c>
      <c r="BU99">
        <v>1.4371E-3</v>
      </c>
      <c r="BV99">
        <v>1.4143000000000001E-3</v>
      </c>
      <c r="BW99">
        <v>1.3944000000000001E-3</v>
      </c>
      <c r="BX99">
        <v>1.3745000000000001E-3</v>
      </c>
      <c r="BY99">
        <v>1.3527000000000001E-3</v>
      </c>
      <c r="BZ99">
        <v>1.3312E-3</v>
      </c>
      <c r="CA99">
        <v>1.3112E-3</v>
      </c>
      <c r="CB99">
        <v>1.2926000000000001E-3</v>
      </c>
      <c r="CC99">
        <v>1.2782E-3</v>
      </c>
      <c r="CD99">
        <v>1.2643000000000001E-3</v>
      </c>
      <c r="CE99">
        <v>1.2497000000000001E-3</v>
      </c>
      <c r="CF99">
        <v>1.2348000000000001E-3</v>
      </c>
      <c r="CG99">
        <v>1.219E-3</v>
      </c>
      <c r="CH99">
        <v>1.2014E-3</v>
      </c>
      <c r="CI99">
        <v>1.1789000000000001E-3</v>
      </c>
      <c r="CJ99">
        <v>1.1513999999999999E-3</v>
      </c>
      <c r="CK99">
        <v>1.0996000000000001E-3</v>
      </c>
      <c r="CL99">
        <v>1.0747E-3</v>
      </c>
      <c r="CM99">
        <v>1.049E-3</v>
      </c>
      <c r="CN99">
        <v>9.9149999999999998E-4</v>
      </c>
      <c r="CO99">
        <v>1.0357999999999999E-3</v>
      </c>
      <c r="CP99">
        <v>1.0246999999999999E-3</v>
      </c>
      <c r="CQ99">
        <v>1.0192999999999999E-3</v>
      </c>
      <c r="CR99">
        <v>1.013E-3</v>
      </c>
      <c r="CS99">
        <v>1.0062999999999999E-3</v>
      </c>
      <c r="CT99">
        <v>9.990000000000001E-4</v>
      </c>
      <c r="CU99">
        <v>9.9130000000000008E-4</v>
      </c>
      <c r="CV99">
        <v>9.8299999999999993E-4</v>
      </c>
      <c r="CW99">
        <v>9.7420000000000004E-4</v>
      </c>
      <c r="CX99">
        <v>9.6509999999999999E-4</v>
      </c>
      <c r="CY99">
        <v>9.5549999999999997E-4</v>
      </c>
      <c r="CZ99">
        <v>9.4569999999999995E-4</v>
      </c>
      <c r="DA99">
        <v>9.3570000000000003E-4</v>
      </c>
      <c r="DB99">
        <v>9.2540000000000005E-4</v>
      </c>
      <c r="DC99">
        <v>9.1500000000000001E-4</v>
      </c>
      <c r="DD99">
        <v>9.0450000000000003E-4</v>
      </c>
      <c r="DE99">
        <v>8.9389999999999999E-4</v>
      </c>
      <c r="DF99">
        <v>8.832E-4</v>
      </c>
      <c r="DG99">
        <v>8.7239999999999996E-4</v>
      </c>
      <c r="DH99">
        <v>8.6160000000000002E-4</v>
      </c>
      <c r="DI99">
        <v>8.5090000000000003E-4</v>
      </c>
      <c r="DJ99">
        <v>8.4009999999999998E-4</v>
      </c>
      <c r="DK99">
        <v>8.2930000000000005E-4</v>
      </c>
      <c r="DL99">
        <v>8.1859999999999995E-4</v>
      </c>
      <c r="DM99">
        <v>8.0789999999999996E-4</v>
      </c>
      <c r="DN99">
        <v>7.9730000000000003E-4</v>
      </c>
      <c r="DO99">
        <v>7.8669999999999999E-4</v>
      </c>
      <c r="DP99">
        <v>7.7610000000000005E-4</v>
      </c>
      <c r="DQ99">
        <v>5.37971E-2</v>
      </c>
      <c r="DR99">
        <v>0</v>
      </c>
      <c r="DS99">
        <v>5.02E-5</v>
      </c>
      <c r="DT99">
        <v>1.717E-4</v>
      </c>
      <c r="DU99">
        <v>5.731E-4</v>
      </c>
      <c r="DV99">
        <v>5.9279999999999999E-4</v>
      </c>
      <c r="DW99">
        <v>5.9230000000000003E-4</v>
      </c>
      <c r="DX99">
        <v>5.9279999999999999E-4</v>
      </c>
      <c r="DY99">
        <v>5.1340000000000001E-4</v>
      </c>
      <c r="DZ99">
        <v>4.7750000000000001E-4</v>
      </c>
      <c r="EA99">
        <v>4.1679999999999999E-4</v>
      </c>
      <c r="EB99">
        <v>3.771E-4</v>
      </c>
      <c r="EC99">
        <v>3.3369999999999998E-4</v>
      </c>
      <c r="ED99">
        <v>3.0029999999999998E-4</v>
      </c>
      <c r="EE99">
        <v>2.6870000000000003E-4</v>
      </c>
      <c r="EF99">
        <v>2.4259999999999999E-4</v>
      </c>
      <c r="EG99">
        <v>2.1880000000000001E-4</v>
      </c>
      <c r="EH99">
        <v>1.9819999999999999E-4</v>
      </c>
      <c r="EI99">
        <v>1.8000000000000001E-4</v>
      </c>
      <c r="EJ99">
        <v>1.641E-4</v>
      </c>
      <c r="EK99">
        <v>1.5009999999999999E-4</v>
      </c>
      <c r="EL99">
        <v>1.3789999999999999E-4</v>
      </c>
      <c r="EM99">
        <v>1.27E-4</v>
      </c>
      <c r="EN99">
        <v>1.1680000000000001E-4</v>
      </c>
      <c r="EO99">
        <v>1.083E-4</v>
      </c>
      <c r="EP99">
        <v>1.008E-4</v>
      </c>
      <c r="EQ99">
        <v>9.4099999999999997E-5</v>
      </c>
      <c r="ER99">
        <v>8.81E-5</v>
      </c>
      <c r="ES99">
        <v>8.2799999999999993E-5</v>
      </c>
      <c r="ET99">
        <v>7.7999999999999999E-5</v>
      </c>
      <c r="EU99">
        <v>7.3999999999999996E-5</v>
      </c>
      <c r="EV99">
        <v>7.0199999999999999E-5</v>
      </c>
      <c r="EW99">
        <v>6.6699999999999995E-5</v>
      </c>
      <c r="EX99">
        <v>6.3399999999999996E-5</v>
      </c>
      <c r="EY99">
        <v>6.02E-5</v>
      </c>
      <c r="EZ99">
        <v>5.7500000000000002E-5</v>
      </c>
      <c r="FA99">
        <v>5.52E-5</v>
      </c>
      <c r="FB99">
        <v>5.2899999999999998E-5</v>
      </c>
      <c r="FC99">
        <v>5.0800000000000002E-5</v>
      </c>
      <c r="FD99">
        <v>4.8600000000000002E-5</v>
      </c>
      <c r="FE99">
        <v>4.6699999999999997E-5</v>
      </c>
      <c r="FF99">
        <v>4.5000000000000003E-5</v>
      </c>
      <c r="FG99">
        <v>4.35E-5</v>
      </c>
      <c r="FH99">
        <v>4.18E-5</v>
      </c>
      <c r="FI99">
        <v>4.0399999999999999E-5</v>
      </c>
      <c r="FJ99">
        <v>3.9100000000000002E-5</v>
      </c>
      <c r="FK99">
        <v>3.7799999999999997E-5</v>
      </c>
      <c r="FL99">
        <v>3.6600000000000002E-5</v>
      </c>
      <c r="FM99">
        <v>3.5500000000000002E-5</v>
      </c>
      <c r="FN99">
        <v>3.4499999999999998E-5</v>
      </c>
      <c r="FO99">
        <v>3.3500000000000001E-5</v>
      </c>
      <c r="FP99">
        <v>3.26E-5</v>
      </c>
      <c r="FQ99">
        <v>3.1600000000000002E-5</v>
      </c>
      <c r="FR99">
        <v>3.0800000000000003E-5</v>
      </c>
      <c r="FS99">
        <v>3.0000000000000001E-5</v>
      </c>
      <c r="FT99">
        <v>2.9200000000000002E-5</v>
      </c>
      <c r="FU99">
        <v>2.8500000000000002E-5</v>
      </c>
      <c r="FV99">
        <v>2.7900000000000001E-5</v>
      </c>
      <c r="FW99">
        <v>2.72E-5</v>
      </c>
      <c r="FX99">
        <v>2.6599999999999999E-5</v>
      </c>
      <c r="FY99">
        <v>2.6100000000000001E-5</v>
      </c>
      <c r="FZ99">
        <v>2.5599999999999999E-5</v>
      </c>
      <c r="GA99">
        <v>2.51E-5</v>
      </c>
      <c r="GB99">
        <v>2.4700000000000001E-5</v>
      </c>
      <c r="GC99">
        <v>2.4199999999999999E-5</v>
      </c>
      <c r="GD99">
        <v>2.37E-5</v>
      </c>
      <c r="GE99">
        <v>2.3300000000000001E-5</v>
      </c>
      <c r="GF99">
        <v>2.2799999999999999E-5</v>
      </c>
      <c r="GG99">
        <v>2.2399999999999999E-5</v>
      </c>
      <c r="GH99">
        <v>2.1699999999999999E-5</v>
      </c>
      <c r="GI99">
        <v>2.1299999999999999E-5</v>
      </c>
      <c r="GJ99">
        <v>2.09E-5</v>
      </c>
      <c r="GK99">
        <v>2.05E-5</v>
      </c>
      <c r="GL99">
        <v>2.02E-5</v>
      </c>
      <c r="GM99">
        <v>1.98E-5</v>
      </c>
      <c r="GN99">
        <v>1.95E-5</v>
      </c>
      <c r="GO99">
        <v>1.9199999999999999E-5</v>
      </c>
      <c r="GP99">
        <v>1.8899999999999999E-5</v>
      </c>
      <c r="GQ99">
        <v>1.8600000000000001E-5</v>
      </c>
      <c r="GR99">
        <v>1.8300000000000001E-5</v>
      </c>
      <c r="GS99">
        <v>1.8099999999999999E-5</v>
      </c>
      <c r="GT99">
        <v>1.7900000000000001E-5</v>
      </c>
      <c r="GU99">
        <v>1.77E-5</v>
      </c>
      <c r="GV99">
        <v>1.7399999999999999E-5</v>
      </c>
      <c r="GW99">
        <v>1.7200000000000001E-5</v>
      </c>
      <c r="GX99">
        <v>1.7E-5</v>
      </c>
      <c r="GY99">
        <v>1.66E-5</v>
      </c>
      <c r="GZ99">
        <v>1.6200000000000001E-5</v>
      </c>
      <c r="HA99">
        <v>1.5500000000000001E-5</v>
      </c>
      <c r="HB99">
        <v>1.52E-5</v>
      </c>
      <c r="HC99">
        <v>1.4800000000000001E-5</v>
      </c>
      <c r="HD99">
        <v>1.4E-5</v>
      </c>
      <c r="HE99">
        <v>1.4600000000000001E-5</v>
      </c>
      <c r="HF99">
        <v>1.45E-5</v>
      </c>
      <c r="HG99">
        <v>1.4399999999999999E-5</v>
      </c>
      <c r="HH99">
        <v>1.43E-5</v>
      </c>
      <c r="HI99">
        <v>1.42E-5</v>
      </c>
      <c r="HJ99">
        <v>1.4100000000000001E-5</v>
      </c>
      <c r="HK99">
        <v>1.4E-5</v>
      </c>
      <c r="HL99">
        <v>1.3900000000000001E-5</v>
      </c>
      <c r="HM99">
        <v>1.38E-5</v>
      </c>
      <c r="HN99">
        <v>1.36E-5</v>
      </c>
      <c r="HO99">
        <v>1.3499999999999999E-5</v>
      </c>
      <c r="HP99">
        <v>1.34E-5</v>
      </c>
      <c r="HQ99">
        <v>1.3200000000000001E-5</v>
      </c>
      <c r="HR99">
        <v>1.31E-5</v>
      </c>
      <c r="HS99">
        <v>1.29E-5</v>
      </c>
      <c r="HT99">
        <v>1.2799999999999999E-5</v>
      </c>
      <c r="HU99">
        <v>1.26E-5</v>
      </c>
      <c r="HV99">
        <v>1.2500000000000001E-5</v>
      </c>
      <c r="HW99">
        <v>1.2300000000000001E-5</v>
      </c>
      <c r="HX99">
        <v>1.22E-5</v>
      </c>
      <c r="HY99">
        <v>1.2E-5</v>
      </c>
      <c r="HZ99">
        <v>1.19E-5</v>
      </c>
      <c r="IA99">
        <v>1.17E-5</v>
      </c>
      <c r="IB99">
        <v>1.1600000000000001E-5</v>
      </c>
      <c r="IC99">
        <v>1.1399999999999999E-5</v>
      </c>
      <c r="ID99">
        <v>1.13E-5</v>
      </c>
      <c r="IE99">
        <v>1.11E-5</v>
      </c>
      <c r="IF99">
        <v>1.1E-5</v>
      </c>
      <c r="IG99">
        <v>7.6420000000000004E-4</v>
      </c>
    </row>
    <row r="100" spans="1:241" x14ac:dyDescent="0.35">
      <c r="A100" s="1">
        <v>92</v>
      </c>
      <c r="B100">
        <v>1.0734799999999999E-2</v>
      </c>
      <c r="C100">
        <v>1.0734799999999999E-2</v>
      </c>
      <c r="D100">
        <v>1.0684600000000001E-2</v>
      </c>
      <c r="E100">
        <v>1.0513E-2</v>
      </c>
      <c r="F100">
        <v>9.8253999999999998E-3</v>
      </c>
      <c r="G100">
        <v>9.2175E-3</v>
      </c>
      <c r="H100">
        <v>8.6067999999999995E-3</v>
      </c>
      <c r="I100">
        <v>7.9947999999999998E-3</v>
      </c>
      <c r="J100">
        <v>7.4666999999999997E-3</v>
      </c>
      <c r="K100">
        <v>6.9709000000000004E-3</v>
      </c>
      <c r="L100">
        <v>6.5449999999999996E-3</v>
      </c>
      <c r="M100">
        <v>6.1574999999999998E-3</v>
      </c>
      <c r="N100">
        <v>5.8148000000000002E-3</v>
      </c>
      <c r="O100">
        <v>5.5075999999999996E-3</v>
      </c>
      <c r="P100">
        <v>5.2329000000000004E-3</v>
      </c>
      <c r="Q100">
        <v>4.9868999999999998E-3</v>
      </c>
      <c r="R100">
        <v>4.7641999999999997E-3</v>
      </c>
      <c r="S100">
        <v>4.5624999999999997E-3</v>
      </c>
      <c r="T100">
        <v>4.3784000000000002E-3</v>
      </c>
      <c r="U100">
        <v>4.2107000000000004E-3</v>
      </c>
      <c r="V100">
        <v>4.0565000000000002E-3</v>
      </c>
      <c r="W100">
        <v>3.9150000000000001E-3</v>
      </c>
      <c r="X100">
        <v>3.7839000000000002E-3</v>
      </c>
      <c r="Y100">
        <v>3.6494000000000001E-3</v>
      </c>
      <c r="Z100">
        <v>3.5355999999999999E-3</v>
      </c>
      <c r="AA100">
        <v>3.4321E-3</v>
      </c>
      <c r="AB100">
        <v>3.3337000000000002E-3</v>
      </c>
      <c r="AC100">
        <v>3.2423E-3</v>
      </c>
      <c r="AD100">
        <v>3.1567000000000001E-3</v>
      </c>
      <c r="AE100">
        <v>3.0747000000000001E-3</v>
      </c>
      <c r="AF100">
        <v>3.0097000000000001E-3</v>
      </c>
      <c r="AG100">
        <v>2.9372999999999999E-3</v>
      </c>
      <c r="AH100">
        <v>2.8693E-3</v>
      </c>
      <c r="AI100">
        <v>2.8024E-3</v>
      </c>
      <c r="AJ100">
        <v>2.7320000000000001E-3</v>
      </c>
      <c r="AK100">
        <v>2.6735999999999999E-3</v>
      </c>
      <c r="AL100">
        <v>2.6262E-3</v>
      </c>
      <c r="AM100">
        <v>2.5723999999999999E-3</v>
      </c>
      <c r="AN100">
        <v>2.5211000000000001E-3</v>
      </c>
      <c r="AO100">
        <v>2.4632999999999999E-3</v>
      </c>
      <c r="AP100">
        <v>2.4166999999999999E-3</v>
      </c>
      <c r="AQ100">
        <v>2.3719000000000001E-3</v>
      </c>
      <c r="AR100">
        <v>2.3365999999999999E-3</v>
      </c>
      <c r="AS100">
        <v>2.2859E-3</v>
      </c>
      <c r="AT100">
        <v>2.2461E-3</v>
      </c>
      <c r="AU100">
        <v>2.2071E-3</v>
      </c>
      <c r="AV100">
        <v>2.1692E-3</v>
      </c>
      <c r="AW100">
        <v>2.1323000000000002E-3</v>
      </c>
      <c r="AX100">
        <v>2.0958999999999999E-3</v>
      </c>
      <c r="AY100">
        <v>2.0609000000000001E-3</v>
      </c>
      <c r="AZ100">
        <v>2.0276999999999999E-3</v>
      </c>
      <c r="BA100">
        <v>1.9954999999999999E-3</v>
      </c>
      <c r="BB100">
        <v>1.9561000000000001E-3</v>
      </c>
      <c r="BC100">
        <v>1.9246999999999999E-3</v>
      </c>
      <c r="BD100">
        <v>1.8936000000000001E-3</v>
      </c>
      <c r="BE100">
        <v>1.8615999999999999E-3</v>
      </c>
      <c r="BF100">
        <v>1.8331000000000001E-3</v>
      </c>
      <c r="BG100">
        <v>1.8037999999999999E-3</v>
      </c>
      <c r="BH100">
        <v>1.7744E-3</v>
      </c>
      <c r="BI100">
        <v>1.7470000000000001E-3</v>
      </c>
      <c r="BJ100">
        <v>1.7210000000000001E-3</v>
      </c>
      <c r="BK100">
        <v>1.6983E-3</v>
      </c>
      <c r="BL100">
        <v>1.6770999999999999E-3</v>
      </c>
      <c r="BM100">
        <v>1.6548999999999999E-3</v>
      </c>
      <c r="BN100">
        <v>1.6303999999999999E-3</v>
      </c>
      <c r="BO100">
        <v>1.6065999999999999E-3</v>
      </c>
      <c r="BP100">
        <v>1.5824000000000001E-3</v>
      </c>
      <c r="BQ100">
        <v>1.5544000000000001E-3</v>
      </c>
      <c r="BR100">
        <v>1.5315000000000001E-3</v>
      </c>
      <c r="BS100">
        <v>1.4897999999999999E-3</v>
      </c>
      <c r="BT100">
        <v>1.4649999999999999E-3</v>
      </c>
      <c r="BU100">
        <v>1.4407999999999999E-3</v>
      </c>
      <c r="BV100">
        <v>1.4166000000000001E-3</v>
      </c>
      <c r="BW100">
        <v>1.3942E-3</v>
      </c>
      <c r="BX100">
        <v>1.3745000000000001E-3</v>
      </c>
      <c r="BY100">
        <v>1.3549E-3</v>
      </c>
      <c r="BZ100">
        <v>1.3335E-3</v>
      </c>
      <c r="CA100">
        <v>1.3123E-3</v>
      </c>
      <c r="CB100">
        <v>1.2926000000000001E-3</v>
      </c>
      <c r="CC100">
        <v>1.2742999999999999E-3</v>
      </c>
      <c r="CD100">
        <v>1.2600999999999999E-3</v>
      </c>
      <c r="CE100">
        <v>1.2463999999999999E-3</v>
      </c>
      <c r="CF100">
        <v>1.232E-3</v>
      </c>
      <c r="CG100">
        <v>1.2174E-3</v>
      </c>
      <c r="CH100">
        <v>1.2018E-3</v>
      </c>
      <c r="CI100">
        <v>1.1843999999999999E-3</v>
      </c>
      <c r="CJ100">
        <v>1.1622E-3</v>
      </c>
      <c r="CK100">
        <v>1.1352000000000001E-3</v>
      </c>
      <c r="CL100">
        <v>1.0841E-3</v>
      </c>
      <c r="CM100">
        <v>1.0596E-3</v>
      </c>
      <c r="CN100">
        <v>1.0342000000000001E-3</v>
      </c>
      <c r="CO100">
        <v>9.7750000000000007E-4</v>
      </c>
      <c r="CP100">
        <v>1.0212000000000001E-3</v>
      </c>
      <c r="CQ100">
        <v>1.0101999999999999E-3</v>
      </c>
      <c r="CR100">
        <v>1.0049E-3</v>
      </c>
      <c r="CS100">
        <v>9.9869999999999994E-4</v>
      </c>
      <c r="CT100">
        <v>9.921000000000001E-4</v>
      </c>
      <c r="CU100">
        <v>9.8489999999999992E-4</v>
      </c>
      <c r="CV100">
        <v>9.7729999999999996E-4</v>
      </c>
      <c r="CW100">
        <v>9.6909999999999997E-4</v>
      </c>
      <c r="CX100">
        <v>9.6049999999999998E-4</v>
      </c>
      <c r="CY100">
        <v>9.5140000000000003E-4</v>
      </c>
      <c r="CZ100">
        <v>9.4200000000000002E-4</v>
      </c>
      <c r="DA100">
        <v>9.324E-4</v>
      </c>
      <c r="DB100">
        <v>9.2250000000000003E-4</v>
      </c>
      <c r="DC100">
        <v>9.123E-4</v>
      </c>
      <c r="DD100">
        <v>9.0209999999999997E-4</v>
      </c>
      <c r="DE100">
        <v>8.9170000000000004E-4</v>
      </c>
      <c r="DF100">
        <v>8.8119999999999995E-4</v>
      </c>
      <c r="DG100">
        <v>8.7069999999999997E-4</v>
      </c>
      <c r="DH100">
        <v>8.6010000000000004E-4</v>
      </c>
      <c r="DI100">
        <v>8.4949999999999999E-4</v>
      </c>
      <c r="DJ100">
        <v>8.3880000000000001E-4</v>
      </c>
      <c r="DK100">
        <v>8.2819999999999996E-4</v>
      </c>
      <c r="DL100">
        <v>8.1760000000000003E-4</v>
      </c>
      <c r="DM100">
        <v>8.0699999999999999E-4</v>
      </c>
      <c r="DN100">
        <v>7.9650000000000001E-4</v>
      </c>
      <c r="DO100">
        <v>7.8600000000000002E-4</v>
      </c>
      <c r="DP100">
        <v>7.7550000000000004E-4</v>
      </c>
      <c r="DQ100">
        <v>5.3798100000000001E-2</v>
      </c>
      <c r="DR100">
        <v>0</v>
      </c>
      <c r="DS100">
        <v>5.02E-5</v>
      </c>
      <c r="DT100">
        <v>1.7210000000000001E-4</v>
      </c>
      <c r="DU100">
        <v>6.8919999999999995E-4</v>
      </c>
      <c r="DV100">
        <v>6.1550000000000005E-4</v>
      </c>
      <c r="DW100">
        <v>5.9690000000000003E-4</v>
      </c>
      <c r="DX100">
        <v>5.8219999999999995E-4</v>
      </c>
      <c r="DY100">
        <v>5.1219999999999998E-4</v>
      </c>
      <c r="DZ100">
        <v>4.7120000000000002E-4</v>
      </c>
      <c r="EA100">
        <v>4.1399999999999998E-4</v>
      </c>
      <c r="EB100">
        <v>3.7270000000000001E-4</v>
      </c>
      <c r="EC100">
        <v>3.2959999999999999E-4</v>
      </c>
      <c r="ED100">
        <v>2.9500000000000001E-4</v>
      </c>
      <c r="EE100">
        <v>2.631E-4</v>
      </c>
      <c r="EF100">
        <v>2.365E-4</v>
      </c>
      <c r="EG100">
        <v>2.1330000000000001E-4</v>
      </c>
      <c r="EH100">
        <v>1.9330000000000001E-4</v>
      </c>
      <c r="EI100">
        <v>1.7579999999999999E-4</v>
      </c>
      <c r="EJ100">
        <v>1.606E-4</v>
      </c>
      <c r="EK100">
        <v>1.472E-4</v>
      </c>
      <c r="EL100">
        <v>1.3559999999999999E-4</v>
      </c>
      <c r="EM100">
        <v>1.2530000000000001E-4</v>
      </c>
      <c r="EN100">
        <v>1.161E-4</v>
      </c>
      <c r="EO100">
        <v>1.075E-4</v>
      </c>
      <c r="EP100">
        <v>1.003E-4</v>
      </c>
      <c r="EQ100">
        <v>9.3900000000000006E-5</v>
      </c>
      <c r="ER100">
        <v>8.81E-5</v>
      </c>
      <c r="ES100">
        <v>8.2999999999999998E-5</v>
      </c>
      <c r="ET100">
        <v>7.8300000000000006E-5</v>
      </c>
      <c r="EU100">
        <v>7.4099999999999999E-5</v>
      </c>
      <c r="EV100">
        <v>7.0599999999999995E-5</v>
      </c>
      <c r="EW100">
        <v>6.7100000000000005E-5</v>
      </c>
      <c r="EX100">
        <v>6.3899999999999995E-5</v>
      </c>
      <c r="EY100">
        <v>6.0800000000000001E-5</v>
      </c>
      <c r="EZ100">
        <v>5.7899999999999998E-5</v>
      </c>
      <c r="FA100">
        <v>5.5399999999999998E-5</v>
      </c>
      <c r="FB100">
        <v>5.3199999999999999E-5</v>
      </c>
      <c r="FC100">
        <v>5.1E-5</v>
      </c>
      <c r="FD100">
        <v>4.8999999999999998E-5</v>
      </c>
      <c r="FE100">
        <v>4.6900000000000002E-5</v>
      </c>
      <c r="FF100">
        <v>4.5099999999999998E-5</v>
      </c>
      <c r="FG100">
        <v>4.3399999999999998E-5</v>
      </c>
      <c r="FH100">
        <v>4.1999999999999998E-5</v>
      </c>
      <c r="FI100">
        <v>4.0399999999999999E-5</v>
      </c>
      <c r="FJ100">
        <v>3.8999999999999999E-5</v>
      </c>
      <c r="FK100">
        <v>3.7700000000000002E-5</v>
      </c>
      <c r="FL100">
        <v>3.65E-5</v>
      </c>
      <c r="FM100">
        <v>3.54E-5</v>
      </c>
      <c r="FN100">
        <v>3.43E-5</v>
      </c>
      <c r="FO100">
        <v>3.3300000000000003E-5</v>
      </c>
      <c r="FP100">
        <v>3.2400000000000001E-5</v>
      </c>
      <c r="FQ100">
        <v>3.15E-5</v>
      </c>
      <c r="FR100">
        <v>3.0599999999999998E-5</v>
      </c>
      <c r="FS100">
        <v>2.9799999999999999E-5</v>
      </c>
      <c r="FT100">
        <v>2.9E-5</v>
      </c>
      <c r="FU100">
        <v>2.83E-5</v>
      </c>
      <c r="FV100">
        <v>2.76E-5</v>
      </c>
      <c r="FW100">
        <v>2.6999999999999999E-5</v>
      </c>
      <c r="FX100">
        <v>2.6400000000000001E-5</v>
      </c>
      <c r="FY100">
        <v>2.58E-5</v>
      </c>
      <c r="FZ100">
        <v>2.5299999999999998E-5</v>
      </c>
      <c r="GA100">
        <v>2.48E-5</v>
      </c>
      <c r="GB100">
        <v>2.44E-5</v>
      </c>
      <c r="GC100">
        <v>2.3900000000000002E-5</v>
      </c>
      <c r="GD100">
        <v>2.3499999999999999E-5</v>
      </c>
      <c r="GE100">
        <v>2.3099999999999999E-5</v>
      </c>
      <c r="GF100">
        <v>2.27E-5</v>
      </c>
      <c r="GG100">
        <v>2.2200000000000001E-5</v>
      </c>
      <c r="GH100">
        <v>2.1800000000000001E-5</v>
      </c>
      <c r="GI100">
        <v>2.12E-5</v>
      </c>
      <c r="GJ100">
        <v>2.0800000000000001E-5</v>
      </c>
      <c r="GK100">
        <v>2.0400000000000001E-5</v>
      </c>
      <c r="GL100">
        <v>2.0000000000000002E-5</v>
      </c>
      <c r="GM100">
        <v>1.9700000000000001E-5</v>
      </c>
      <c r="GN100">
        <v>1.9400000000000001E-5</v>
      </c>
      <c r="GO100">
        <v>1.91E-5</v>
      </c>
      <c r="GP100">
        <v>1.88E-5</v>
      </c>
      <c r="GQ100">
        <v>1.84E-5</v>
      </c>
      <c r="GR100">
        <v>1.8199999999999999E-5</v>
      </c>
      <c r="GS100">
        <v>1.7900000000000001E-5</v>
      </c>
      <c r="GT100">
        <v>1.77E-5</v>
      </c>
      <c r="GU100">
        <v>1.7499999999999998E-5</v>
      </c>
      <c r="GV100">
        <v>1.73E-5</v>
      </c>
      <c r="GW100">
        <v>1.7099999999999999E-5</v>
      </c>
      <c r="GX100">
        <v>1.6900000000000001E-5</v>
      </c>
      <c r="GY100">
        <v>1.66E-5</v>
      </c>
      <c r="GZ100">
        <v>1.63E-5</v>
      </c>
      <c r="HA100">
        <v>1.59E-5</v>
      </c>
      <c r="HB100">
        <v>1.52E-5</v>
      </c>
      <c r="HC100">
        <v>1.49E-5</v>
      </c>
      <c r="HD100">
        <v>1.45E-5</v>
      </c>
      <c r="HE100">
        <v>1.3699999999999999E-5</v>
      </c>
      <c r="HF100">
        <v>1.43E-5</v>
      </c>
      <c r="HG100">
        <v>1.42E-5</v>
      </c>
      <c r="HH100">
        <v>1.4100000000000001E-5</v>
      </c>
      <c r="HI100">
        <v>1.4E-5</v>
      </c>
      <c r="HJ100">
        <v>1.3900000000000001E-5</v>
      </c>
      <c r="HK100">
        <v>1.38E-5</v>
      </c>
      <c r="HL100">
        <v>1.3699999999999999E-5</v>
      </c>
      <c r="HM100">
        <v>1.36E-5</v>
      </c>
      <c r="HN100">
        <v>1.3499999999999999E-5</v>
      </c>
      <c r="HO100">
        <v>1.34E-5</v>
      </c>
      <c r="HP100">
        <v>1.33E-5</v>
      </c>
      <c r="HQ100">
        <v>1.31E-5</v>
      </c>
      <c r="HR100">
        <v>1.2999999999999999E-5</v>
      </c>
      <c r="HS100">
        <v>1.29E-5</v>
      </c>
      <c r="HT100">
        <v>1.27E-5</v>
      </c>
      <c r="HU100">
        <v>1.26E-5</v>
      </c>
      <c r="HV100">
        <v>1.24E-5</v>
      </c>
      <c r="HW100">
        <v>1.2300000000000001E-5</v>
      </c>
      <c r="HX100">
        <v>1.2099999999999999E-5</v>
      </c>
      <c r="HY100">
        <v>1.2E-5</v>
      </c>
      <c r="HZ100">
        <v>1.19E-5</v>
      </c>
      <c r="IA100">
        <v>1.17E-5</v>
      </c>
      <c r="IB100">
        <v>1.1600000000000001E-5</v>
      </c>
      <c r="IC100">
        <v>1.1399999999999999E-5</v>
      </c>
      <c r="ID100">
        <v>1.13E-5</v>
      </c>
      <c r="IE100">
        <v>1.11E-5</v>
      </c>
      <c r="IF100">
        <v>1.1E-5</v>
      </c>
      <c r="IG100">
        <v>7.6400000000000003E-4</v>
      </c>
    </row>
    <row r="101" spans="1:241" x14ac:dyDescent="0.35">
      <c r="A101" s="1">
        <v>93</v>
      </c>
      <c r="B101">
        <v>1.0734799999999999E-2</v>
      </c>
      <c r="C101">
        <v>1.0734799999999999E-2</v>
      </c>
      <c r="D101">
        <v>1.0684600000000001E-2</v>
      </c>
      <c r="E101">
        <v>1.0512499999999999E-2</v>
      </c>
      <c r="F101">
        <v>9.8238000000000006E-3</v>
      </c>
      <c r="G101">
        <v>9.2099E-3</v>
      </c>
      <c r="H101">
        <v>8.6207000000000002E-3</v>
      </c>
      <c r="I101">
        <v>8.0245999999999998E-3</v>
      </c>
      <c r="J101">
        <v>7.4825999999999998E-3</v>
      </c>
      <c r="K101">
        <v>6.9955E-3</v>
      </c>
      <c r="L101">
        <v>6.5570000000000003E-3</v>
      </c>
      <c r="M101">
        <v>6.1723000000000004E-3</v>
      </c>
      <c r="N101">
        <v>5.8278000000000002E-3</v>
      </c>
      <c r="O101">
        <v>5.5198000000000001E-3</v>
      </c>
      <c r="P101">
        <v>5.2445E-3</v>
      </c>
      <c r="Q101">
        <v>4.9965000000000001E-3</v>
      </c>
      <c r="R101">
        <v>4.7736000000000002E-3</v>
      </c>
      <c r="S101">
        <v>4.5710000000000004E-3</v>
      </c>
      <c r="T101">
        <v>4.3867999999999997E-3</v>
      </c>
      <c r="U101">
        <v>4.2177999999999998E-3</v>
      </c>
      <c r="V101">
        <v>4.0634E-3</v>
      </c>
      <c r="W101">
        <v>3.921E-3</v>
      </c>
      <c r="X101">
        <v>3.7897999999999999E-3</v>
      </c>
      <c r="Y101">
        <v>3.6678000000000001E-3</v>
      </c>
      <c r="Z101">
        <v>3.5419000000000002E-3</v>
      </c>
      <c r="AA101">
        <v>3.4353000000000001E-3</v>
      </c>
      <c r="AB101">
        <v>3.3381999999999999E-3</v>
      </c>
      <c r="AC101">
        <v>3.2456E-3</v>
      </c>
      <c r="AD101">
        <v>3.1592999999999999E-3</v>
      </c>
      <c r="AE101">
        <v>3.0783999999999998E-3</v>
      </c>
      <c r="AF101">
        <v>3.0006E-3</v>
      </c>
      <c r="AG101">
        <v>2.9391E-3</v>
      </c>
      <c r="AH101">
        <v>2.8701999999999998E-3</v>
      </c>
      <c r="AI101">
        <v>2.8054999999999998E-3</v>
      </c>
      <c r="AJ101">
        <v>2.7415999999999999E-3</v>
      </c>
      <c r="AK101">
        <v>2.6741E-3</v>
      </c>
      <c r="AL101">
        <v>2.6182000000000002E-3</v>
      </c>
      <c r="AM101">
        <v>2.5730000000000002E-3</v>
      </c>
      <c r="AN101">
        <v>2.5214E-3</v>
      </c>
      <c r="AO101">
        <v>2.4721999999999999E-3</v>
      </c>
      <c r="AP101">
        <v>2.4164999999999998E-3</v>
      </c>
      <c r="AQ101">
        <v>2.3716000000000002E-3</v>
      </c>
      <c r="AR101">
        <v>2.3284999999999998E-3</v>
      </c>
      <c r="AS101">
        <v>2.2945999999999999E-3</v>
      </c>
      <c r="AT101">
        <v>2.2455000000000001E-3</v>
      </c>
      <c r="AU101">
        <v>2.2071E-3</v>
      </c>
      <c r="AV101">
        <v>2.1694000000000001E-3</v>
      </c>
      <c r="AW101">
        <v>2.1327E-3</v>
      </c>
      <c r="AX101">
        <v>2.0969000000000001E-3</v>
      </c>
      <c r="AY101">
        <v>2.0615999999999998E-3</v>
      </c>
      <c r="AZ101">
        <v>2.0276000000000001E-3</v>
      </c>
      <c r="BA101">
        <v>1.9953000000000002E-3</v>
      </c>
      <c r="BB101">
        <v>1.964E-3</v>
      </c>
      <c r="BC101">
        <v>1.9256E-3</v>
      </c>
      <c r="BD101">
        <v>1.8948999999999999E-3</v>
      </c>
      <c r="BE101">
        <v>1.8645000000000001E-3</v>
      </c>
      <c r="BF101">
        <v>1.8332999999999999E-3</v>
      </c>
      <c r="BG101">
        <v>1.8055E-3</v>
      </c>
      <c r="BH101">
        <v>1.7769000000000001E-3</v>
      </c>
      <c r="BI101">
        <v>1.748E-3</v>
      </c>
      <c r="BJ101">
        <v>1.7212E-3</v>
      </c>
      <c r="BK101">
        <v>1.6957000000000001E-3</v>
      </c>
      <c r="BL101">
        <v>1.6735000000000001E-3</v>
      </c>
      <c r="BM101">
        <v>1.6527E-3</v>
      </c>
      <c r="BN101">
        <v>1.6310000000000001E-3</v>
      </c>
      <c r="BO101">
        <v>1.6069000000000001E-3</v>
      </c>
      <c r="BP101">
        <v>1.5835000000000001E-3</v>
      </c>
      <c r="BQ101">
        <v>1.5598000000000001E-3</v>
      </c>
      <c r="BR101">
        <v>1.5322000000000001E-3</v>
      </c>
      <c r="BS101">
        <v>1.5097000000000001E-3</v>
      </c>
      <c r="BT101">
        <v>1.4687000000000001E-3</v>
      </c>
      <c r="BU101">
        <v>1.4442000000000001E-3</v>
      </c>
      <c r="BV101">
        <v>1.4204E-3</v>
      </c>
      <c r="BW101">
        <v>1.3966E-3</v>
      </c>
      <c r="BX101">
        <v>1.3745000000000001E-3</v>
      </c>
      <c r="BY101">
        <v>1.3550999999999999E-3</v>
      </c>
      <c r="BZ101">
        <v>1.3359000000000001E-3</v>
      </c>
      <c r="CA101">
        <v>1.3148000000000001E-3</v>
      </c>
      <c r="CB101">
        <v>1.2939E-3</v>
      </c>
      <c r="CC101">
        <v>1.2745E-3</v>
      </c>
      <c r="CD101">
        <v>1.2565E-3</v>
      </c>
      <c r="CE101">
        <v>1.2424000000000001E-3</v>
      </c>
      <c r="CF101">
        <v>1.2290000000000001E-3</v>
      </c>
      <c r="CG101">
        <v>1.2148E-3</v>
      </c>
      <c r="CH101">
        <v>1.2003000000000001E-3</v>
      </c>
      <c r="CI101">
        <v>1.1849E-3</v>
      </c>
      <c r="CJ101">
        <v>1.1678000000000001E-3</v>
      </c>
      <c r="CK101">
        <v>1.1459E-3</v>
      </c>
      <c r="CL101">
        <v>1.1192999999999999E-3</v>
      </c>
      <c r="CM101">
        <v>1.0688E-3</v>
      </c>
      <c r="CN101">
        <v>1.0447E-3</v>
      </c>
      <c r="CO101">
        <v>1.0196999999999999E-3</v>
      </c>
      <c r="CP101">
        <v>9.6380000000000001E-4</v>
      </c>
      <c r="CQ101">
        <v>1.0069E-3</v>
      </c>
      <c r="CR101">
        <v>9.9599999999999992E-4</v>
      </c>
      <c r="CS101">
        <v>9.9080000000000001E-4</v>
      </c>
      <c r="CT101">
        <v>9.8459999999999997E-4</v>
      </c>
      <c r="CU101">
        <v>9.7820000000000003E-4</v>
      </c>
      <c r="CV101">
        <v>9.7110000000000002E-4</v>
      </c>
      <c r="CW101">
        <v>9.636E-4</v>
      </c>
      <c r="CX101">
        <v>9.5549999999999997E-4</v>
      </c>
      <c r="CY101">
        <v>9.4700000000000003E-4</v>
      </c>
      <c r="CZ101">
        <v>9.3800000000000003E-4</v>
      </c>
      <c r="DA101">
        <v>9.2880000000000002E-4</v>
      </c>
      <c r="DB101">
        <v>9.1920000000000001E-4</v>
      </c>
      <c r="DC101">
        <v>9.0939999999999999E-4</v>
      </c>
      <c r="DD101">
        <v>8.9950000000000002E-4</v>
      </c>
      <c r="DE101">
        <v>8.8940000000000004E-4</v>
      </c>
      <c r="DF101">
        <v>8.7909999999999996E-4</v>
      </c>
      <c r="DG101">
        <v>8.6879999999999998E-4</v>
      </c>
      <c r="DH101">
        <v>8.5840000000000005E-4</v>
      </c>
      <c r="DI101">
        <v>8.4789999999999996E-4</v>
      </c>
      <c r="DJ101">
        <v>8.3750000000000003E-4</v>
      </c>
      <c r="DK101">
        <v>8.2700000000000004E-4</v>
      </c>
      <c r="DL101">
        <v>8.1649999999999995E-4</v>
      </c>
      <c r="DM101">
        <v>8.0599999999999997E-4</v>
      </c>
      <c r="DN101">
        <v>7.9560000000000004E-4</v>
      </c>
      <c r="DO101">
        <v>7.852E-4</v>
      </c>
      <c r="DP101">
        <v>7.7479999999999997E-4</v>
      </c>
      <c r="DQ101">
        <v>5.3798600000000002E-2</v>
      </c>
      <c r="DR101">
        <v>0</v>
      </c>
      <c r="DS101">
        <v>5.02E-5</v>
      </c>
      <c r="DT101">
        <v>1.7249999999999999E-4</v>
      </c>
      <c r="DU101">
        <v>6.9010000000000002E-4</v>
      </c>
      <c r="DV101">
        <v>6.1399999999999996E-4</v>
      </c>
      <c r="DW101">
        <v>5.6860000000000005E-4</v>
      </c>
      <c r="DX101">
        <v>5.8200000000000005E-4</v>
      </c>
      <c r="DY101">
        <v>5.2090000000000003E-4</v>
      </c>
      <c r="DZ101">
        <v>4.729E-4</v>
      </c>
      <c r="EA101">
        <v>4.1889999999999999E-4</v>
      </c>
      <c r="EB101">
        <v>3.7359999999999997E-4</v>
      </c>
      <c r="EC101">
        <v>3.323E-4</v>
      </c>
      <c r="ED101">
        <v>2.9730000000000002E-4</v>
      </c>
      <c r="EE101">
        <v>2.6610000000000002E-4</v>
      </c>
      <c r="EF101">
        <v>2.396E-4</v>
      </c>
      <c r="EG101">
        <v>2.164E-4</v>
      </c>
      <c r="EH101">
        <v>1.9650000000000001E-4</v>
      </c>
      <c r="EI101">
        <v>1.7890000000000001E-4</v>
      </c>
      <c r="EJ101">
        <v>1.6349999999999999E-4</v>
      </c>
      <c r="EK101">
        <v>1.4990000000000001E-4</v>
      </c>
      <c r="EL101">
        <v>1.3789999999999999E-4</v>
      </c>
      <c r="EM101">
        <v>1.273E-4</v>
      </c>
      <c r="EN101">
        <v>1.1790000000000001E-4</v>
      </c>
      <c r="EO101">
        <v>1.0950000000000001E-4</v>
      </c>
      <c r="EP101">
        <v>1.015E-4</v>
      </c>
      <c r="EQ101">
        <v>9.48E-5</v>
      </c>
      <c r="ER101">
        <v>8.8900000000000006E-5</v>
      </c>
      <c r="ES101">
        <v>8.3499999999999997E-5</v>
      </c>
      <c r="ET101">
        <v>7.8700000000000002E-5</v>
      </c>
      <c r="EU101">
        <v>7.4300000000000004E-5</v>
      </c>
      <c r="EV101">
        <v>7.0400000000000004E-5</v>
      </c>
      <c r="EW101">
        <v>6.7000000000000002E-5</v>
      </c>
      <c r="EX101">
        <v>6.3700000000000003E-5</v>
      </c>
      <c r="EY101">
        <v>6.0699999999999998E-5</v>
      </c>
      <c r="EZ101">
        <v>5.7899999999999998E-5</v>
      </c>
      <c r="FA101">
        <v>5.5099999999999998E-5</v>
      </c>
      <c r="FB101">
        <v>5.27E-5</v>
      </c>
      <c r="FC101">
        <v>5.0599999999999997E-5</v>
      </c>
      <c r="FD101">
        <v>4.8600000000000002E-5</v>
      </c>
      <c r="FE101">
        <v>4.6699999999999997E-5</v>
      </c>
      <c r="FF101">
        <v>4.4700000000000002E-5</v>
      </c>
      <c r="FG101">
        <v>4.3000000000000002E-5</v>
      </c>
      <c r="FH101">
        <v>4.1499999999999999E-5</v>
      </c>
      <c r="FI101">
        <v>4.0200000000000001E-5</v>
      </c>
      <c r="FJ101">
        <v>3.8600000000000003E-5</v>
      </c>
      <c r="FK101">
        <v>3.7400000000000001E-5</v>
      </c>
      <c r="FL101">
        <v>3.6199999999999999E-5</v>
      </c>
      <c r="FM101">
        <v>3.5099999999999999E-5</v>
      </c>
      <c r="FN101">
        <v>3.4E-5</v>
      </c>
      <c r="FO101">
        <v>3.3000000000000003E-5</v>
      </c>
      <c r="FP101">
        <v>3.2100000000000001E-5</v>
      </c>
      <c r="FQ101">
        <v>3.1199999999999999E-5</v>
      </c>
      <c r="FR101">
        <v>3.04E-5</v>
      </c>
      <c r="FS101">
        <v>2.9499999999999999E-5</v>
      </c>
      <c r="FT101">
        <v>2.8799999999999999E-5</v>
      </c>
      <c r="FU101">
        <v>2.8099999999999999E-5</v>
      </c>
      <c r="FV101">
        <v>2.7399999999999999E-5</v>
      </c>
      <c r="FW101">
        <v>2.6800000000000001E-5</v>
      </c>
      <c r="FX101">
        <v>2.62E-5</v>
      </c>
      <c r="FY101">
        <v>2.5599999999999999E-5</v>
      </c>
      <c r="FZ101">
        <v>2.51E-5</v>
      </c>
      <c r="GA101">
        <v>2.4600000000000002E-5</v>
      </c>
      <c r="GB101">
        <v>2.4199999999999999E-5</v>
      </c>
      <c r="GC101">
        <v>2.3799999999999999E-5</v>
      </c>
      <c r="GD101">
        <v>2.34E-5</v>
      </c>
      <c r="GE101">
        <v>2.2900000000000001E-5</v>
      </c>
      <c r="GF101">
        <v>2.2500000000000001E-5</v>
      </c>
      <c r="GG101">
        <v>2.2099999999999998E-5</v>
      </c>
      <c r="GH101">
        <v>2.1699999999999999E-5</v>
      </c>
      <c r="GI101">
        <v>2.1299999999999999E-5</v>
      </c>
      <c r="GJ101">
        <v>2.0699999999999998E-5</v>
      </c>
      <c r="GK101">
        <v>2.0299999999999999E-5</v>
      </c>
      <c r="GL101">
        <v>2.0000000000000002E-5</v>
      </c>
      <c r="GM101">
        <v>1.9599999999999999E-5</v>
      </c>
      <c r="GN101">
        <v>1.9300000000000002E-5</v>
      </c>
      <c r="GO101">
        <v>1.9000000000000001E-5</v>
      </c>
      <c r="GP101">
        <v>1.8700000000000001E-5</v>
      </c>
      <c r="GQ101">
        <v>1.84E-5</v>
      </c>
      <c r="GR101">
        <v>1.8099999999999999E-5</v>
      </c>
      <c r="GS101">
        <v>1.7799999999999999E-5</v>
      </c>
      <c r="GT101">
        <v>1.7600000000000001E-5</v>
      </c>
      <c r="GU101">
        <v>1.7399999999999999E-5</v>
      </c>
      <c r="GV101">
        <v>1.7200000000000001E-5</v>
      </c>
      <c r="GW101">
        <v>1.7E-5</v>
      </c>
      <c r="GX101">
        <v>1.6799999999999998E-5</v>
      </c>
      <c r="GY101">
        <v>1.66E-5</v>
      </c>
      <c r="GZ101">
        <v>1.63E-5</v>
      </c>
      <c r="HA101">
        <v>1.5999999999999999E-5</v>
      </c>
      <c r="HB101">
        <v>1.5699999999999999E-5</v>
      </c>
      <c r="HC101">
        <v>1.5E-5</v>
      </c>
      <c r="HD101">
        <v>1.4600000000000001E-5</v>
      </c>
      <c r="HE101">
        <v>1.43E-5</v>
      </c>
      <c r="HF101">
        <v>1.3499999999999999E-5</v>
      </c>
      <c r="HG101">
        <v>1.4100000000000001E-5</v>
      </c>
      <c r="HH101">
        <v>1.4E-5</v>
      </c>
      <c r="HI101">
        <v>1.3900000000000001E-5</v>
      </c>
      <c r="HJ101">
        <v>1.38E-5</v>
      </c>
      <c r="HK101">
        <v>1.3699999999999999E-5</v>
      </c>
      <c r="HL101">
        <v>1.36E-5</v>
      </c>
      <c r="HM101">
        <v>1.3499999999999999E-5</v>
      </c>
      <c r="HN101">
        <v>1.34E-5</v>
      </c>
      <c r="HO101">
        <v>1.33E-5</v>
      </c>
      <c r="HP101">
        <v>1.3200000000000001E-5</v>
      </c>
      <c r="HQ101">
        <v>1.31E-5</v>
      </c>
      <c r="HR101">
        <v>1.29E-5</v>
      </c>
      <c r="HS101">
        <v>1.2799999999999999E-5</v>
      </c>
      <c r="HT101">
        <v>1.27E-5</v>
      </c>
      <c r="HU101">
        <v>1.2500000000000001E-5</v>
      </c>
      <c r="HV101">
        <v>1.24E-5</v>
      </c>
      <c r="HW101">
        <v>1.2300000000000001E-5</v>
      </c>
      <c r="HX101">
        <v>1.2099999999999999E-5</v>
      </c>
      <c r="HY101">
        <v>1.2E-5</v>
      </c>
      <c r="HZ101">
        <v>1.1800000000000001E-5</v>
      </c>
      <c r="IA101">
        <v>1.17E-5</v>
      </c>
      <c r="IB101">
        <v>1.15E-5</v>
      </c>
      <c r="IC101">
        <v>1.1399999999999999E-5</v>
      </c>
      <c r="ID101">
        <v>1.1199999999999999E-5</v>
      </c>
      <c r="IE101">
        <v>1.11E-5</v>
      </c>
      <c r="IF101">
        <v>1.1E-5</v>
      </c>
      <c r="IG101">
        <v>7.6389999999999997E-4</v>
      </c>
    </row>
    <row r="102" spans="1:241" x14ac:dyDescent="0.35">
      <c r="A102" s="1">
        <v>94</v>
      </c>
      <c r="B102">
        <v>1.0734799999999999E-2</v>
      </c>
      <c r="C102">
        <v>1.0734799999999999E-2</v>
      </c>
      <c r="D102">
        <v>1.0684600000000001E-2</v>
      </c>
      <c r="E102">
        <v>1.05121E-2</v>
      </c>
      <c r="F102">
        <v>9.8224000000000002E-3</v>
      </c>
      <c r="G102">
        <v>9.2098000000000006E-3</v>
      </c>
      <c r="H102">
        <v>8.6412999999999993E-3</v>
      </c>
      <c r="I102">
        <v>8.0386999999999993E-3</v>
      </c>
      <c r="J102">
        <v>7.5037000000000003E-3</v>
      </c>
      <c r="K102">
        <v>7.0096999999999998E-3</v>
      </c>
      <c r="L102">
        <v>6.5766000000000002E-3</v>
      </c>
      <c r="M102">
        <v>6.1833000000000001E-3</v>
      </c>
      <c r="N102">
        <v>5.8399999999999997E-3</v>
      </c>
      <c r="O102">
        <v>5.5304999999999998E-3</v>
      </c>
      <c r="P102">
        <v>5.2537E-3</v>
      </c>
      <c r="Q102">
        <v>5.0048999999999996E-3</v>
      </c>
      <c r="R102">
        <v>4.7800999999999998E-3</v>
      </c>
      <c r="S102">
        <v>4.5770000000000003E-3</v>
      </c>
      <c r="T102">
        <v>4.3921000000000003E-3</v>
      </c>
      <c r="U102">
        <v>4.2231999999999999E-3</v>
      </c>
      <c r="V102">
        <v>4.0679000000000002E-3</v>
      </c>
      <c r="W102">
        <v>3.9255000000000002E-3</v>
      </c>
      <c r="X102">
        <v>3.7935999999999998E-3</v>
      </c>
      <c r="Y102">
        <v>3.6719000000000001E-3</v>
      </c>
      <c r="Z102">
        <v>3.5582999999999999E-3</v>
      </c>
      <c r="AA102">
        <v>3.4404000000000001E-3</v>
      </c>
      <c r="AB102">
        <v>3.3405000000000002E-3</v>
      </c>
      <c r="AC102">
        <v>3.2493999999999999E-3</v>
      </c>
      <c r="AD102">
        <v>3.1621000000000002E-3</v>
      </c>
      <c r="AE102">
        <v>3.0806000000000002E-3</v>
      </c>
      <c r="AF102">
        <v>3.0040000000000002E-3</v>
      </c>
      <c r="AG102">
        <v>2.9302E-3</v>
      </c>
      <c r="AH102">
        <v>2.8720999999999998E-3</v>
      </c>
      <c r="AI102">
        <v>2.8065E-3</v>
      </c>
      <c r="AJ102">
        <v>2.7447999999999999E-3</v>
      </c>
      <c r="AK102">
        <v>2.6836999999999998E-3</v>
      </c>
      <c r="AL102">
        <v>2.6191000000000001E-3</v>
      </c>
      <c r="AM102">
        <v>2.5655000000000001E-3</v>
      </c>
      <c r="AN102">
        <v>2.5222999999999999E-3</v>
      </c>
      <c r="AO102">
        <v>2.4727999999999998E-3</v>
      </c>
      <c r="AP102">
        <v>2.4255000000000001E-3</v>
      </c>
      <c r="AQ102">
        <v>2.3717999999999999E-3</v>
      </c>
      <c r="AR102">
        <v>2.3286000000000001E-3</v>
      </c>
      <c r="AS102">
        <v>2.287E-3</v>
      </c>
      <c r="AT102">
        <v>2.2545E-3</v>
      </c>
      <c r="AU102">
        <v>2.2068999999999999E-3</v>
      </c>
      <c r="AV102">
        <v>2.1697000000000001E-3</v>
      </c>
      <c r="AW102">
        <v>2.1332E-3</v>
      </c>
      <c r="AX102">
        <v>2.0975999999999998E-3</v>
      </c>
      <c r="AY102">
        <v>2.0628999999999999E-3</v>
      </c>
      <c r="AZ102">
        <v>2.0286000000000002E-3</v>
      </c>
      <c r="BA102">
        <v>1.9954999999999999E-3</v>
      </c>
      <c r="BB102">
        <v>1.9640999999999999E-3</v>
      </c>
      <c r="BC102">
        <v>1.9335999999999999E-3</v>
      </c>
      <c r="BD102">
        <v>1.8959999999999999E-3</v>
      </c>
      <c r="BE102">
        <v>1.8661000000000001E-3</v>
      </c>
      <c r="BF102">
        <v>1.8365E-3</v>
      </c>
      <c r="BG102">
        <v>1.8059E-3</v>
      </c>
      <c r="BH102">
        <v>1.7787E-3</v>
      </c>
      <c r="BI102">
        <v>1.7507E-3</v>
      </c>
      <c r="BJ102">
        <v>1.7224E-3</v>
      </c>
      <c r="BK102">
        <v>1.6961000000000001E-3</v>
      </c>
      <c r="BL102">
        <v>1.6711E-3</v>
      </c>
      <c r="BM102">
        <v>1.6494000000000001E-3</v>
      </c>
      <c r="BN102">
        <v>1.629E-3</v>
      </c>
      <c r="BO102">
        <v>1.6076E-3</v>
      </c>
      <c r="BP102">
        <v>1.5839999999999999E-3</v>
      </c>
      <c r="BQ102">
        <v>1.5610000000000001E-3</v>
      </c>
      <c r="BR102">
        <v>1.5376000000000001E-3</v>
      </c>
      <c r="BS102">
        <v>1.5104999999999999E-3</v>
      </c>
      <c r="BT102">
        <v>1.4884E-3</v>
      </c>
      <c r="BU102">
        <v>1.4479E-3</v>
      </c>
      <c r="BV102">
        <v>1.4239000000000001E-3</v>
      </c>
      <c r="BW102">
        <v>1.4005000000000001E-3</v>
      </c>
      <c r="BX102">
        <v>1.3768999999999999E-3</v>
      </c>
      <c r="BY102">
        <v>1.3552E-3</v>
      </c>
      <c r="BZ102">
        <v>1.3361E-3</v>
      </c>
      <c r="CA102">
        <v>1.3171999999999999E-3</v>
      </c>
      <c r="CB102">
        <v>1.2964000000000001E-3</v>
      </c>
      <c r="CC102">
        <v>1.2757999999999999E-3</v>
      </c>
      <c r="CD102">
        <v>1.2566000000000001E-3</v>
      </c>
      <c r="CE102">
        <v>1.2389E-3</v>
      </c>
      <c r="CF102">
        <v>1.225E-3</v>
      </c>
      <c r="CG102">
        <v>1.2118000000000001E-3</v>
      </c>
      <c r="CH102">
        <v>1.1977999999999999E-3</v>
      </c>
      <c r="CI102">
        <v>1.1835000000000001E-3</v>
      </c>
      <c r="CJ102">
        <v>1.1684E-3</v>
      </c>
      <c r="CK102">
        <v>1.1515E-3</v>
      </c>
      <c r="CL102">
        <v>1.1299000000000001E-3</v>
      </c>
      <c r="CM102">
        <v>1.1035999999999999E-3</v>
      </c>
      <c r="CN102">
        <v>1.0539E-3</v>
      </c>
      <c r="CO102">
        <v>1.0300999999999999E-3</v>
      </c>
      <c r="CP102">
        <v>1.0054E-3</v>
      </c>
      <c r="CQ102">
        <v>9.5029999999999995E-4</v>
      </c>
      <c r="CR102">
        <v>9.9280000000000006E-4</v>
      </c>
      <c r="CS102">
        <v>9.8210000000000007E-4</v>
      </c>
      <c r="CT102">
        <v>9.7689999999999995E-4</v>
      </c>
      <c r="CU102">
        <v>9.7079999999999996E-4</v>
      </c>
      <c r="CV102">
        <v>9.6449999999999997E-4</v>
      </c>
      <c r="CW102">
        <v>9.5750000000000002E-4</v>
      </c>
      <c r="CX102">
        <v>9.5E-4</v>
      </c>
      <c r="CY102">
        <v>9.4209999999999997E-4</v>
      </c>
      <c r="CZ102">
        <v>9.3369999999999998E-4</v>
      </c>
      <c r="DA102">
        <v>9.2480000000000004E-4</v>
      </c>
      <c r="DB102">
        <v>9.1569999999999998E-4</v>
      </c>
      <c r="DC102">
        <v>9.0629999999999997E-4</v>
      </c>
      <c r="DD102">
        <v>8.966E-4</v>
      </c>
      <c r="DE102">
        <v>8.8679999999999998E-4</v>
      </c>
      <c r="DF102">
        <v>8.7679999999999995E-4</v>
      </c>
      <c r="DG102">
        <v>8.6669999999999998E-4</v>
      </c>
      <c r="DH102">
        <v>8.5649999999999995E-4</v>
      </c>
      <c r="DI102">
        <v>8.4630000000000003E-4</v>
      </c>
      <c r="DJ102">
        <v>8.3600000000000005E-4</v>
      </c>
      <c r="DK102">
        <v>8.2560000000000001E-4</v>
      </c>
      <c r="DL102">
        <v>8.1530000000000003E-4</v>
      </c>
      <c r="DM102">
        <v>8.0500000000000005E-4</v>
      </c>
      <c r="DN102">
        <v>7.9460000000000002E-4</v>
      </c>
      <c r="DO102">
        <v>7.8430000000000004E-4</v>
      </c>
      <c r="DP102">
        <v>7.7410000000000001E-4</v>
      </c>
      <c r="DQ102">
        <v>5.3798600000000002E-2</v>
      </c>
      <c r="DR102">
        <v>0</v>
      </c>
      <c r="DS102">
        <v>5.02E-5</v>
      </c>
      <c r="DT102">
        <v>1.727E-4</v>
      </c>
      <c r="DU102">
        <v>6.9079999999999999E-4</v>
      </c>
      <c r="DV102">
        <v>6.1519999999999999E-4</v>
      </c>
      <c r="DW102">
        <v>5.731E-4</v>
      </c>
      <c r="DX102">
        <v>5.9960000000000005E-4</v>
      </c>
      <c r="DY102">
        <v>5.3019999999999999E-4</v>
      </c>
      <c r="DZ102">
        <v>4.8359999999999999E-4</v>
      </c>
      <c r="EA102">
        <v>4.2470000000000002E-4</v>
      </c>
      <c r="EB102">
        <v>3.8020000000000003E-4</v>
      </c>
      <c r="EC102">
        <v>3.369E-4</v>
      </c>
      <c r="ED102">
        <v>3.0170000000000002E-4</v>
      </c>
      <c r="EE102">
        <v>2.698E-4</v>
      </c>
      <c r="EF102">
        <v>2.4279999999999999E-4</v>
      </c>
      <c r="EG102">
        <v>2.1910000000000001E-4</v>
      </c>
      <c r="EH102">
        <v>1.9870000000000001E-4</v>
      </c>
      <c r="EI102">
        <v>1.8090000000000001E-4</v>
      </c>
      <c r="EJ102">
        <v>1.6530000000000001E-4</v>
      </c>
      <c r="EK102">
        <v>1.515E-4</v>
      </c>
      <c r="EL102">
        <v>1.394E-4</v>
      </c>
      <c r="EM102">
        <v>1.2860000000000001E-4</v>
      </c>
      <c r="EN102">
        <v>1.1900000000000001E-4</v>
      </c>
      <c r="EO102">
        <v>1.105E-4</v>
      </c>
      <c r="EP102">
        <v>1.0289999999999999E-4</v>
      </c>
      <c r="EQ102">
        <v>9.5699999999999995E-5</v>
      </c>
      <c r="ER102">
        <v>8.9599999999999996E-5</v>
      </c>
      <c r="ES102">
        <v>8.42E-5</v>
      </c>
      <c r="ET102">
        <v>7.9300000000000003E-5</v>
      </c>
      <c r="EU102">
        <v>7.4900000000000005E-5</v>
      </c>
      <c r="EV102">
        <v>7.0900000000000002E-5</v>
      </c>
      <c r="EW102">
        <v>6.7199999999999994E-5</v>
      </c>
      <c r="EX102">
        <v>6.4200000000000002E-5</v>
      </c>
      <c r="EY102">
        <v>6.1099999999999994E-5</v>
      </c>
      <c r="EZ102">
        <v>5.8300000000000001E-5</v>
      </c>
      <c r="FA102">
        <v>5.5600000000000003E-5</v>
      </c>
      <c r="FB102">
        <v>5.3000000000000001E-5</v>
      </c>
      <c r="FC102">
        <v>5.0699999999999999E-5</v>
      </c>
      <c r="FD102">
        <v>4.88E-5</v>
      </c>
      <c r="FE102">
        <v>4.6900000000000002E-5</v>
      </c>
      <c r="FF102">
        <v>4.5099999999999998E-5</v>
      </c>
      <c r="FG102">
        <v>4.32E-5</v>
      </c>
      <c r="FH102">
        <v>4.1600000000000002E-5</v>
      </c>
      <c r="FI102">
        <v>4.0099999999999999E-5</v>
      </c>
      <c r="FJ102">
        <v>3.8899999999999997E-5</v>
      </c>
      <c r="FK102">
        <v>3.7499999999999997E-5</v>
      </c>
      <c r="FL102">
        <v>3.6300000000000001E-5</v>
      </c>
      <c r="FM102">
        <v>3.5200000000000002E-5</v>
      </c>
      <c r="FN102">
        <v>3.4100000000000002E-5</v>
      </c>
      <c r="FO102">
        <v>3.3099999999999998E-5</v>
      </c>
      <c r="FP102">
        <v>3.2100000000000001E-5</v>
      </c>
      <c r="FQ102">
        <v>3.1300000000000002E-5</v>
      </c>
      <c r="FR102">
        <v>3.04E-5</v>
      </c>
      <c r="FS102">
        <v>2.97E-5</v>
      </c>
      <c r="FT102">
        <v>2.8799999999999999E-5</v>
      </c>
      <c r="FU102">
        <v>2.8099999999999999E-5</v>
      </c>
      <c r="FV102">
        <v>2.7500000000000001E-5</v>
      </c>
      <c r="FW102">
        <v>2.6800000000000001E-5</v>
      </c>
      <c r="FX102">
        <v>2.62E-5</v>
      </c>
      <c r="FY102">
        <v>2.5700000000000001E-5</v>
      </c>
      <c r="FZ102">
        <v>2.51E-5</v>
      </c>
      <c r="GA102">
        <v>2.4600000000000002E-5</v>
      </c>
      <c r="GB102">
        <v>2.41E-5</v>
      </c>
      <c r="GC102">
        <v>2.37E-5</v>
      </c>
      <c r="GD102">
        <v>2.3300000000000001E-5</v>
      </c>
      <c r="GE102">
        <v>2.2900000000000001E-5</v>
      </c>
      <c r="GF102">
        <v>2.2500000000000001E-5</v>
      </c>
      <c r="GG102">
        <v>2.2200000000000001E-5</v>
      </c>
      <c r="GH102">
        <v>2.1800000000000001E-5</v>
      </c>
      <c r="GI102">
        <v>2.1299999999999999E-5</v>
      </c>
      <c r="GJ102">
        <v>2.0999999999999999E-5</v>
      </c>
      <c r="GK102">
        <v>2.0400000000000001E-5</v>
      </c>
      <c r="GL102">
        <v>2.0000000000000002E-5</v>
      </c>
      <c r="GM102">
        <v>1.9700000000000001E-5</v>
      </c>
      <c r="GN102">
        <v>1.9300000000000002E-5</v>
      </c>
      <c r="GO102">
        <v>1.9000000000000001E-5</v>
      </c>
      <c r="GP102">
        <v>1.8700000000000001E-5</v>
      </c>
      <c r="GQ102">
        <v>1.84E-5</v>
      </c>
      <c r="GR102">
        <v>1.8099999999999999E-5</v>
      </c>
      <c r="GS102">
        <v>1.7799999999999999E-5</v>
      </c>
      <c r="GT102">
        <v>1.7600000000000001E-5</v>
      </c>
      <c r="GU102">
        <v>1.73E-5</v>
      </c>
      <c r="GV102">
        <v>1.7099999999999999E-5</v>
      </c>
      <c r="GW102">
        <v>1.6900000000000001E-5</v>
      </c>
      <c r="GX102">
        <v>1.6699999999999999E-5</v>
      </c>
      <c r="GY102">
        <v>1.6500000000000001E-5</v>
      </c>
      <c r="GZ102">
        <v>1.63E-5</v>
      </c>
      <c r="HA102">
        <v>1.6099999999999998E-5</v>
      </c>
      <c r="HB102">
        <v>1.5800000000000001E-5</v>
      </c>
      <c r="HC102">
        <v>1.5400000000000002E-5</v>
      </c>
      <c r="HD102">
        <v>1.4800000000000001E-5</v>
      </c>
      <c r="HE102">
        <v>1.4399999999999999E-5</v>
      </c>
      <c r="HF102">
        <v>1.4100000000000001E-5</v>
      </c>
      <c r="HG102">
        <v>1.33E-5</v>
      </c>
      <c r="HH102">
        <v>1.3900000000000001E-5</v>
      </c>
      <c r="HI102">
        <v>1.38E-5</v>
      </c>
      <c r="HJ102">
        <v>1.3699999999999999E-5</v>
      </c>
      <c r="HK102">
        <v>1.36E-5</v>
      </c>
      <c r="HL102">
        <v>1.3499999999999999E-5</v>
      </c>
      <c r="HM102">
        <v>1.3499999999999999E-5</v>
      </c>
      <c r="HN102">
        <v>1.34E-5</v>
      </c>
      <c r="HO102">
        <v>1.3200000000000001E-5</v>
      </c>
      <c r="HP102">
        <v>1.31E-5</v>
      </c>
      <c r="HQ102">
        <v>1.2999999999999999E-5</v>
      </c>
      <c r="HR102">
        <v>1.29E-5</v>
      </c>
      <c r="HS102">
        <v>1.2799999999999999E-5</v>
      </c>
      <c r="HT102">
        <v>1.26E-5</v>
      </c>
      <c r="HU102">
        <v>1.2500000000000001E-5</v>
      </c>
      <c r="HV102">
        <v>1.24E-5</v>
      </c>
      <c r="HW102">
        <v>1.22E-5</v>
      </c>
      <c r="HX102">
        <v>1.2099999999999999E-5</v>
      </c>
      <c r="HY102">
        <v>1.19E-5</v>
      </c>
      <c r="HZ102">
        <v>1.1800000000000001E-5</v>
      </c>
      <c r="IA102">
        <v>1.17E-5</v>
      </c>
      <c r="IB102">
        <v>1.15E-5</v>
      </c>
      <c r="IC102">
        <v>1.1399999999999999E-5</v>
      </c>
      <c r="ID102">
        <v>1.1199999999999999E-5</v>
      </c>
      <c r="IE102">
        <v>1.11E-5</v>
      </c>
      <c r="IF102">
        <v>1.0900000000000001E-5</v>
      </c>
      <c r="IG102">
        <v>7.6389999999999997E-4</v>
      </c>
    </row>
    <row r="103" spans="1:241" x14ac:dyDescent="0.35">
      <c r="A103" s="1">
        <v>95</v>
      </c>
      <c r="B103">
        <v>1.0734799999999999E-2</v>
      </c>
      <c r="C103">
        <v>1.0734799999999999E-2</v>
      </c>
      <c r="D103">
        <v>1.0684600000000001E-2</v>
      </c>
      <c r="E103">
        <v>1.0511899999999999E-2</v>
      </c>
      <c r="F103">
        <v>9.8213999999999992E-3</v>
      </c>
      <c r="G103">
        <v>9.2072000000000005E-3</v>
      </c>
      <c r="H103">
        <v>8.6367000000000006E-3</v>
      </c>
      <c r="I103">
        <v>8.0417000000000006E-3</v>
      </c>
      <c r="J103">
        <v>7.5084000000000001E-3</v>
      </c>
      <c r="K103">
        <v>7.0200999999999996E-3</v>
      </c>
      <c r="L103">
        <v>6.5849999999999997E-3</v>
      </c>
      <c r="M103">
        <v>6.1964000000000003E-3</v>
      </c>
      <c r="N103">
        <v>5.8465000000000001E-3</v>
      </c>
      <c r="O103">
        <v>5.5383000000000003E-3</v>
      </c>
      <c r="P103">
        <v>5.2607000000000001E-3</v>
      </c>
      <c r="Q103">
        <v>5.0108000000000001E-3</v>
      </c>
      <c r="R103">
        <v>4.7857999999999998E-3</v>
      </c>
      <c r="S103">
        <v>4.5814000000000002E-3</v>
      </c>
      <c r="T103">
        <v>4.3961E-3</v>
      </c>
      <c r="U103">
        <v>4.2268000000000002E-3</v>
      </c>
      <c r="V103">
        <v>4.0717000000000001E-3</v>
      </c>
      <c r="W103">
        <v>3.9284999999999997E-3</v>
      </c>
      <c r="X103">
        <v>3.7969000000000002E-3</v>
      </c>
      <c r="Y103">
        <v>3.6746000000000001E-3</v>
      </c>
      <c r="Z103">
        <v>3.5614000000000002E-3</v>
      </c>
      <c r="AA103">
        <v>3.4554999999999998E-3</v>
      </c>
      <c r="AB103">
        <v>3.3446999999999999E-3</v>
      </c>
      <c r="AC103">
        <v>3.2509000000000001E-3</v>
      </c>
      <c r="AD103">
        <v>3.1651000000000001E-3</v>
      </c>
      <c r="AE103">
        <v>3.0828000000000001E-3</v>
      </c>
      <c r="AF103">
        <v>3.0057E-3</v>
      </c>
      <c r="AG103">
        <v>2.9331000000000001E-3</v>
      </c>
      <c r="AH103">
        <v>2.8630000000000001E-3</v>
      </c>
      <c r="AI103">
        <v>2.8078999999999999E-3</v>
      </c>
      <c r="AJ103">
        <v>2.7453999999999998E-3</v>
      </c>
      <c r="AK103">
        <v>2.6865000000000001E-3</v>
      </c>
      <c r="AL103">
        <v>2.6281E-3</v>
      </c>
      <c r="AM103">
        <v>2.5661E-3</v>
      </c>
      <c r="AN103">
        <v>2.5148000000000002E-3</v>
      </c>
      <c r="AO103">
        <v>2.4735E-3</v>
      </c>
      <c r="AP103">
        <v>2.4258999999999999E-3</v>
      </c>
      <c r="AQ103">
        <v>2.3804E-3</v>
      </c>
      <c r="AR103">
        <v>2.3286000000000001E-3</v>
      </c>
      <c r="AS103">
        <v>2.287E-3</v>
      </c>
      <c r="AT103">
        <v>2.2469E-3</v>
      </c>
      <c r="AU103">
        <v>2.2155999999999999E-3</v>
      </c>
      <c r="AV103">
        <v>2.1694000000000001E-3</v>
      </c>
      <c r="AW103">
        <v>2.1334000000000001E-3</v>
      </c>
      <c r="AX103">
        <v>2.0980999999999999E-3</v>
      </c>
      <c r="AY103">
        <v>2.0634999999999998E-3</v>
      </c>
      <c r="AZ103">
        <v>2.0298E-3</v>
      </c>
      <c r="BA103">
        <v>1.9964000000000002E-3</v>
      </c>
      <c r="BB103">
        <v>1.9642000000000001E-3</v>
      </c>
      <c r="BC103">
        <v>1.9337E-3</v>
      </c>
      <c r="BD103">
        <v>1.9040000000000001E-3</v>
      </c>
      <c r="BE103">
        <v>1.8672000000000001E-3</v>
      </c>
      <c r="BF103">
        <v>1.838E-3</v>
      </c>
      <c r="BG103">
        <v>1.8090000000000001E-3</v>
      </c>
      <c r="BH103">
        <v>1.7791E-3</v>
      </c>
      <c r="BI103">
        <v>1.7524999999999999E-3</v>
      </c>
      <c r="BJ103">
        <v>1.725E-3</v>
      </c>
      <c r="BK103">
        <v>1.6972999999999999E-3</v>
      </c>
      <c r="BL103">
        <v>1.6715E-3</v>
      </c>
      <c r="BM103">
        <v>1.647E-3</v>
      </c>
      <c r="BN103">
        <v>1.6256E-3</v>
      </c>
      <c r="BO103">
        <v>1.6056E-3</v>
      </c>
      <c r="BP103">
        <v>1.5847000000000001E-3</v>
      </c>
      <c r="BQ103">
        <v>1.5613999999999999E-3</v>
      </c>
      <c r="BR103">
        <v>1.5388000000000001E-3</v>
      </c>
      <c r="BS103">
        <v>1.5158999999999999E-3</v>
      </c>
      <c r="BT103">
        <v>1.4892E-3</v>
      </c>
      <c r="BU103">
        <v>1.4674E-3</v>
      </c>
      <c r="BV103">
        <v>1.4276E-3</v>
      </c>
      <c r="BW103">
        <v>1.4039E-3</v>
      </c>
      <c r="BX103">
        <v>1.3808E-3</v>
      </c>
      <c r="BY103">
        <v>1.3576E-3</v>
      </c>
      <c r="BZ103">
        <v>1.3362000000000001E-3</v>
      </c>
      <c r="CA103">
        <v>1.3174E-3</v>
      </c>
      <c r="CB103">
        <v>1.2987000000000001E-3</v>
      </c>
      <c r="CC103">
        <v>1.2782E-3</v>
      </c>
      <c r="CD103">
        <v>1.2578999999999999E-3</v>
      </c>
      <c r="CE103">
        <v>1.2390999999999999E-3</v>
      </c>
      <c r="CF103">
        <v>1.2216E-3</v>
      </c>
      <c r="CG103">
        <v>1.2079E-3</v>
      </c>
      <c r="CH103">
        <v>1.1948E-3</v>
      </c>
      <c r="CI103">
        <v>1.181E-3</v>
      </c>
      <c r="CJ103">
        <v>1.1670000000000001E-3</v>
      </c>
      <c r="CK103">
        <v>1.152E-3</v>
      </c>
      <c r="CL103">
        <v>1.1354E-3</v>
      </c>
      <c r="CM103">
        <v>1.1141E-3</v>
      </c>
      <c r="CN103">
        <v>1.0882000000000001E-3</v>
      </c>
      <c r="CO103">
        <v>1.0391E-3</v>
      </c>
      <c r="CP103">
        <v>1.0156E-3</v>
      </c>
      <c r="CQ103">
        <v>9.9130000000000008E-4</v>
      </c>
      <c r="CR103">
        <v>9.3700000000000001E-4</v>
      </c>
      <c r="CS103">
        <v>9.7879999999999994E-4</v>
      </c>
      <c r="CT103">
        <v>9.6829999999999996E-4</v>
      </c>
      <c r="CU103">
        <v>9.6319999999999999E-4</v>
      </c>
      <c r="CV103">
        <v>9.5719999999999996E-4</v>
      </c>
      <c r="CW103">
        <v>9.5089999999999997E-4</v>
      </c>
      <c r="CX103">
        <v>9.4399999999999996E-4</v>
      </c>
      <c r="CY103">
        <v>9.3669999999999995E-4</v>
      </c>
      <c r="CZ103">
        <v>9.2880000000000002E-4</v>
      </c>
      <c r="DA103">
        <v>9.2049999999999999E-4</v>
      </c>
      <c r="DB103">
        <v>9.1180000000000005E-4</v>
      </c>
      <c r="DC103">
        <v>9.0280000000000004E-4</v>
      </c>
      <c r="DD103">
        <v>8.9349999999999998E-4</v>
      </c>
      <c r="DE103">
        <v>8.8400000000000002E-4</v>
      </c>
      <c r="DF103">
        <v>8.7429999999999995E-4</v>
      </c>
      <c r="DG103">
        <v>8.6450000000000003E-4</v>
      </c>
      <c r="DH103">
        <v>8.5450000000000001E-4</v>
      </c>
      <c r="DI103">
        <v>8.4440000000000003E-4</v>
      </c>
      <c r="DJ103">
        <v>8.3429999999999995E-4</v>
      </c>
      <c r="DK103">
        <v>8.2419999999999998E-4</v>
      </c>
      <c r="DL103">
        <v>8.1400000000000005E-4</v>
      </c>
      <c r="DM103">
        <v>8.0380000000000002E-4</v>
      </c>
      <c r="DN103">
        <v>7.9359999999999999E-4</v>
      </c>
      <c r="DO103">
        <v>7.8339999999999996E-4</v>
      </c>
      <c r="DP103">
        <v>7.7329999999999999E-4</v>
      </c>
      <c r="DQ103">
        <v>5.37978E-2</v>
      </c>
      <c r="DR103">
        <v>0</v>
      </c>
      <c r="DS103">
        <v>5.02E-5</v>
      </c>
      <c r="DT103">
        <v>1.729E-4</v>
      </c>
      <c r="DU103">
        <v>6.912E-4</v>
      </c>
      <c r="DV103">
        <v>6.1589999999999995E-4</v>
      </c>
      <c r="DW103">
        <v>5.7410000000000002E-4</v>
      </c>
      <c r="DX103">
        <v>5.9659999999999997E-4</v>
      </c>
      <c r="DY103">
        <v>5.239E-4</v>
      </c>
      <c r="DZ103">
        <v>4.8060000000000003E-4</v>
      </c>
      <c r="EA103">
        <v>4.2719999999999998E-4</v>
      </c>
      <c r="EB103">
        <v>3.815E-4</v>
      </c>
      <c r="EC103">
        <v>3.4010000000000003E-4</v>
      </c>
      <c r="ED103">
        <v>3.0430000000000002E-4</v>
      </c>
      <c r="EE103">
        <v>2.7329999999999998E-4</v>
      </c>
      <c r="EF103">
        <v>2.4640000000000003E-4</v>
      </c>
      <c r="EG103">
        <v>2.229E-4</v>
      </c>
      <c r="EH103">
        <v>2.0239999999999999E-4</v>
      </c>
      <c r="EI103">
        <v>1.8450000000000001E-4</v>
      </c>
      <c r="EJ103">
        <v>1.6880000000000001E-4</v>
      </c>
      <c r="EK103">
        <v>1.549E-4</v>
      </c>
      <c r="EL103">
        <v>1.4249999999999999E-4</v>
      </c>
      <c r="EM103">
        <v>1.315E-4</v>
      </c>
      <c r="EN103">
        <v>1.217E-4</v>
      </c>
      <c r="EO103">
        <v>1.1290000000000001E-4</v>
      </c>
      <c r="EP103">
        <v>1.0509999999999999E-4</v>
      </c>
      <c r="EQ103">
        <v>9.8099999999999999E-5</v>
      </c>
      <c r="ER103">
        <v>9.1500000000000001E-5</v>
      </c>
      <c r="ES103">
        <v>8.5799999999999998E-5</v>
      </c>
      <c r="ET103">
        <v>8.0799999999999999E-5</v>
      </c>
      <c r="EU103">
        <v>7.6199999999999995E-5</v>
      </c>
      <c r="EV103">
        <v>7.2100000000000004E-5</v>
      </c>
      <c r="EW103">
        <v>6.8300000000000007E-5</v>
      </c>
      <c r="EX103">
        <v>6.4800000000000003E-5</v>
      </c>
      <c r="EY103">
        <v>6.19E-5</v>
      </c>
      <c r="EZ103">
        <v>5.8999999999999998E-5</v>
      </c>
      <c r="FA103">
        <v>5.63E-5</v>
      </c>
      <c r="FB103">
        <v>5.3699999999999997E-5</v>
      </c>
      <c r="FC103">
        <v>5.1199999999999998E-5</v>
      </c>
      <c r="FD103">
        <v>4.9100000000000001E-5</v>
      </c>
      <c r="FE103">
        <v>4.7200000000000002E-5</v>
      </c>
      <c r="FF103">
        <v>4.5399999999999999E-5</v>
      </c>
      <c r="FG103">
        <v>4.3600000000000003E-5</v>
      </c>
      <c r="FH103">
        <v>4.1900000000000002E-5</v>
      </c>
      <c r="FI103">
        <v>4.0399999999999999E-5</v>
      </c>
      <c r="FJ103">
        <v>3.8999999999999999E-5</v>
      </c>
      <c r="FK103">
        <v>3.7799999999999997E-5</v>
      </c>
      <c r="FL103">
        <v>3.6399999999999997E-5</v>
      </c>
      <c r="FM103">
        <v>3.5299999999999997E-5</v>
      </c>
      <c r="FN103">
        <v>3.4199999999999998E-5</v>
      </c>
      <c r="FO103">
        <v>3.3200000000000001E-5</v>
      </c>
      <c r="FP103">
        <v>3.2199999999999997E-5</v>
      </c>
      <c r="FQ103">
        <v>3.1300000000000002E-5</v>
      </c>
      <c r="FR103">
        <v>3.0499999999999999E-5</v>
      </c>
      <c r="FS103">
        <v>2.97E-5</v>
      </c>
      <c r="FT103">
        <v>2.9E-5</v>
      </c>
      <c r="FU103">
        <v>2.8200000000000001E-5</v>
      </c>
      <c r="FV103">
        <v>2.7500000000000001E-5</v>
      </c>
      <c r="FW103">
        <v>2.69E-5</v>
      </c>
      <c r="FX103">
        <v>2.6299999999999999E-5</v>
      </c>
      <c r="FY103">
        <v>2.5700000000000001E-5</v>
      </c>
      <c r="FZ103">
        <v>2.5199999999999999E-5</v>
      </c>
      <c r="GA103">
        <v>2.4600000000000002E-5</v>
      </c>
      <c r="GB103">
        <v>2.41E-5</v>
      </c>
      <c r="GC103">
        <v>2.37E-5</v>
      </c>
      <c r="GD103">
        <v>2.3300000000000001E-5</v>
      </c>
      <c r="GE103">
        <v>2.2900000000000001E-5</v>
      </c>
      <c r="GF103">
        <v>2.26E-5</v>
      </c>
      <c r="GG103">
        <v>2.2200000000000001E-5</v>
      </c>
      <c r="GH103">
        <v>2.1800000000000001E-5</v>
      </c>
      <c r="GI103">
        <v>2.1399999999999998E-5</v>
      </c>
      <c r="GJ103">
        <v>2.0999999999999999E-5</v>
      </c>
      <c r="GK103">
        <v>2.0699999999999998E-5</v>
      </c>
      <c r="GL103">
        <v>2.0100000000000001E-5</v>
      </c>
      <c r="GM103">
        <v>1.9700000000000001E-5</v>
      </c>
      <c r="GN103">
        <v>1.9400000000000001E-5</v>
      </c>
      <c r="GO103">
        <v>1.9000000000000001E-5</v>
      </c>
      <c r="GP103">
        <v>1.8700000000000001E-5</v>
      </c>
      <c r="GQ103">
        <v>1.84E-5</v>
      </c>
      <c r="GR103">
        <v>1.8199999999999999E-5</v>
      </c>
      <c r="GS103">
        <v>1.7900000000000001E-5</v>
      </c>
      <c r="GT103">
        <v>1.7600000000000001E-5</v>
      </c>
      <c r="GU103">
        <v>1.73E-5</v>
      </c>
      <c r="GV103">
        <v>1.7099999999999999E-5</v>
      </c>
      <c r="GW103">
        <v>1.6900000000000001E-5</v>
      </c>
      <c r="GX103">
        <v>1.6699999999999999E-5</v>
      </c>
      <c r="GY103">
        <v>1.6500000000000001E-5</v>
      </c>
      <c r="GZ103">
        <v>1.63E-5</v>
      </c>
      <c r="HA103">
        <v>1.6099999999999998E-5</v>
      </c>
      <c r="HB103">
        <v>1.59E-5</v>
      </c>
      <c r="HC103">
        <v>1.56E-5</v>
      </c>
      <c r="HD103">
        <v>1.52E-5</v>
      </c>
      <c r="HE103">
        <v>1.45E-5</v>
      </c>
      <c r="HF103">
        <v>1.42E-5</v>
      </c>
      <c r="HG103">
        <v>1.3900000000000001E-5</v>
      </c>
      <c r="HH103">
        <v>1.31E-5</v>
      </c>
      <c r="HI103">
        <v>1.3699999999999999E-5</v>
      </c>
      <c r="HJ103">
        <v>1.36E-5</v>
      </c>
      <c r="HK103">
        <v>1.3499999999999999E-5</v>
      </c>
      <c r="HL103">
        <v>1.34E-5</v>
      </c>
      <c r="HM103">
        <v>1.34E-5</v>
      </c>
      <c r="HN103">
        <v>1.33E-5</v>
      </c>
      <c r="HO103">
        <v>1.3200000000000001E-5</v>
      </c>
      <c r="HP103">
        <v>1.31E-5</v>
      </c>
      <c r="HQ103">
        <v>1.2999999999999999E-5</v>
      </c>
      <c r="HR103">
        <v>1.2799999999999999E-5</v>
      </c>
      <c r="HS103">
        <v>1.27E-5</v>
      </c>
      <c r="HT103">
        <v>1.26E-5</v>
      </c>
      <c r="HU103">
        <v>1.2500000000000001E-5</v>
      </c>
      <c r="HV103">
        <v>1.2300000000000001E-5</v>
      </c>
      <c r="HW103">
        <v>1.22E-5</v>
      </c>
      <c r="HX103">
        <v>1.2099999999999999E-5</v>
      </c>
      <c r="HY103">
        <v>1.19E-5</v>
      </c>
      <c r="HZ103">
        <v>1.1800000000000001E-5</v>
      </c>
      <c r="IA103">
        <v>1.1600000000000001E-5</v>
      </c>
      <c r="IB103">
        <v>1.15E-5</v>
      </c>
      <c r="IC103">
        <v>1.1399999999999999E-5</v>
      </c>
      <c r="ID103">
        <v>1.1199999999999999E-5</v>
      </c>
      <c r="IE103">
        <v>1.11E-5</v>
      </c>
      <c r="IF103">
        <v>1.0900000000000001E-5</v>
      </c>
      <c r="IG103">
        <v>7.6389999999999997E-4</v>
      </c>
    </row>
    <row r="104" spans="1:241" x14ac:dyDescent="0.35">
      <c r="A104" s="1">
        <v>96</v>
      </c>
      <c r="B104">
        <v>1.0734799999999999E-2</v>
      </c>
      <c r="C104">
        <v>1.0734799999999999E-2</v>
      </c>
      <c r="D104">
        <v>1.0684600000000001E-2</v>
      </c>
      <c r="E104">
        <v>1.05118E-2</v>
      </c>
      <c r="F104">
        <v>9.8206999999999999E-3</v>
      </c>
      <c r="G104">
        <v>9.2054000000000007E-3</v>
      </c>
      <c r="H104">
        <v>8.633E-3</v>
      </c>
      <c r="I104">
        <v>8.0400999999999997E-3</v>
      </c>
      <c r="J104">
        <v>7.5177999999999998E-3</v>
      </c>
      <c r="K104">
        <v>7.0277999999999998E-3</v>
      </c>
      <c r="L104">
        <v>6.5928999999999996E-3</v>
      </c>
      <c r="M104">
        <v>6.2036000000000001E-3</v>
      </c>
      <c r="N104">
        <v>5.8563E-3</v>
      </c>
      <c r="O104">
        <v>5.5421999999999997E-3</v>
      </c>
      <c r="P104">
        <v>5.2649999999999997E-3</v>
      </c>
      <c r="Q104">
        <v>5.0141999999999999E-3</v>
      </c>
      <c r="R104">
        <v>4.7879999999999997E-3</v>
      </c>
      <c r="S104">
        <v>4.5833999999999996E-3</v>
      </c>
      <c r="T104">
        <v>4.3969999999999999E-3</v>
      </c>
      <c r="U104">
        <v>4.2272999999999998E-3</v>
      </c>
      <c r="V104">
        <v>4.0718999999999998E-3</v>
      </c>
      <c r="W104">
        <v>3.9291999999999999E-3</v>
      </c>
      <c r="X104">
        <v>3.797E-3</v>
      </c>
      <c r="Y104">
        <v>3.6752E-3</v>
      </c>
      <c r="Z104">
        <v>3.5617000000000001E-3</v>
      </c>
      <c r="AA104">
        <v>3.4562999999999998E-3</v>
      </c>
      <c r="AB104">
        <v>3.3573000000000001E-3</v>
      </c>
      <c r="AC104">
        <v>3.2533000000000002E-3</v>
      </c>
      <c r="AD104">
        <v>3.1649999999999998E-3</v>
      </c>
      <c r="AE104">
        <v>3.0842999999999999E-3</v>
      </c>
      <c r="AF104">
        <v>3.0065000000000001E-3</v>
      </c>
      <c r="AG104">
        <v>2.9336000000000002E-3</v>
      </c>
      <c r="AH104">
        <v>2.8647999999999998E-3</v>
      </c>
      <c r="AI104">
        <v>2.7981999999999998E-3</v>
      </c>
      <c r="AJ104">
        <v>2.7460000000000002E-3</v>
      </c>
      <c r="AK104">
        <v>2.6863999999999998E-3</v>
      </c>
      <c r="AL104">
        <v>2.6302000000000001E-3</v>
      </c>
      <c r="AM104">
        <v>2.5744000000000001E-3</v>
      </c>
      <c r="AN104">
        <v>2.5149E-3</v>
      </c>
      <c r="AO104">
        <v>2.4656999999999999E-3</v>
      </c>
      <c r="AP104">
        <v>2.4263000000000002E-3</v>
      </c>
      <c r="AQ104">
        <v>2.3806000000000001E-3</v>
      </c>
      <c r="AR104">
        <v>2.3368E-3</v>
      </c>
      <c r="AS104">
        <v>2.2867999999999999E-3</v>
      </c>
      <c r="AT104">
        <v>2.2466000000000001E-3</v>
      </c>
      <c r="AU104">
        <v>2.2079000000000001E-3</v>
      </c>
      <c r="AV104">
        <v>2.1778000000000001E-3</v>
      </c>
      <c r="AW104">
        <v>2.1329999999999999E-3</v>
      </c>
      <c r="AX104">
        <v>2.0980999999999999E-3</v>
      </c>
      <c r="AY104">
        <v>2.0639E-3</v>
      </c>
      <c r="AZ104">
        <v>2.0303000000000001E-3</v>
      </c>
      <c r="BA104">
        <v>1.9976E-3</v>
      </c>
      <c r="BB104">
        <v>1.9651E-3</v>
      </c>
      <c r="BC104">
        <v>1.9337E-3</v>
      </c>
      <c r="BD104">
        <v>1.9040000000000001E-3</v>
      </c>
      <c r="BE104">
        <v>1.8749999999999999E-3</v>
      </c>
      <c r="BF104">
        <v>1.8389999999999999E-3</v>
      </c>
      <c r="BG104">
        <v>1.8105E-3</v>
      </c>
      <c r="BH104">
        <v>1.7821E-3</v>
      </c>
      <c r="BI104">
        <v>1.7528000000000001E-3</v>
      </c>
      <c r="BJ104">
        <v>1.7267000000000001E-3</v>
      </c>
      <c r="BK104">
        <v>1.6998E-3</v>
      </c>
      <c r="BL104">
        <v>1.6727000000000001E-3</v>
      </c>
      <c r="BM104">
        <v>1.6474E-3</v>
      </c>
      <c r="BN104">
        <v>1.6233E-3</v>
      </c>
      <c r="BO104">
        <v>1.6023999999999999E-3</v>
      </c>
      <c r="BP104">
        <v>1.5827E-3</v>
      </c>
      <c r="BQ104">
        <v>1.5621000000000001E-3</v>
      </c>
      <c r="BR104">
        <v>1.5393E-3</v>
      </c>
      <c r="BS104">
        <v>1.5171E-3</v>
      </c>
      <c r="BT104">
        <v>1.4943999999999999E-3</v>
      </c>
      <c r="BU104">
        <v>1.4682E-3</v>
      </c>
      <c r="BV104">
        <v>1.4468E-3</v>
      </c>
      <c r="BW104">
        <v>1.4074999999999999E-3</v>
      </c>
      <c r="BX104">
        <v>1.3841999999999999E-3</v>
      </c>
      <c r="BY104">
        <v>1.3614E-3</v>
      </c>
      <c r="BZ104">
        <v>1.3385999999999999E-3</v>
      </c>
      <c r="CA104">
        <v>1.3175000000000001E-3</v>
      </c>
      <c r="CB104">
        <v>1.299E-3</v>
      </c>
      <c r="CC104">
        <v>1.2806E-3</v>
      </c>
      <c r="CD104">
        <v>1.2604000000000001E-3</v>
      </c>
      <c r="CE104">
        <v>1.2403E-3</v>
      </c>
      <c r="CF104">
        <v>1.2218000000000001E-3</v>
      </c>
      <c r="CG104">
        <v>1.2045000000000001E-3</v>
      </c>
      <c r="CH104">
        <v>1.191E-3</v>
      </c>
      <c r="CI104">
        <v>1.1781000000000001E-3</v>
      </c>
      <c r="CJ104">
        <v>1.1645E-3</v>
      </c>
      <c r="CK104">
        <v>1.1506999999999999E-3</v>
      </c>
      <c r="CL104">
        <v>1.1359E-3</v>
      </c>
      <c r="CM104">
        <v>1.1195000000000001E-3</v>
      </c>
      <c r="CN104">
        <v>1.0985000000000001E-3</v>
      </c>
      <c r="CO104">
        <v>1.0728999999999999E-3</v>
      </c>
      <c r="CP104">
        <v>1.0246000000000001E-3</v>
      </c>
      <c r="CQ104">
        <v>1.0013999999999999E-3</v>
      </c>
      <c r="CR104">
        <v>9.7750000000000007E-4</v>
      </c>
      <c r="CS104">
        <v>9.2389999999999996E-4</v>
      </c>
      <c r="CT104">
        <v>9.6509999999999999E-4</v>
      </c>
      <c r="CU104">
        <v>9.5469999999999995E-4</v>
      </c>
      <c r="CV104">
        <v>9.4970000000000005E-4</v>
      </c>
      <c r="CW104">
        <v>9.4379999999999996E-4</v>
      </c>
      <c r="CX104">
        <v>9.3760000000000002E-4</v>
      </c>
      <c r="CY104">
        <v>9.3070000000000002E-4</v>
      </c>
      <c r="CZ104">
        <v>9.2349999999999995E-4</v>
      </c>
      <c r="DA104">
        <v>9.1580000000000003E-4</v>
      </c>
      <c r="DB104">
        <v>9.0760000000000005E-4</v>
      </c>
      <c r="DC104">
        <v>8.9899999999999995E-4</v>
      </c>
      <c r="DD104">
        <v>8.9010000000000001E-4</v>
      </c>
      <c r="DE104">
        <v>8.809E-4</v>
      </c>
      <c r="DF104">
        <v>8.7149999999999999E-4</v>
      </c>
      <c r="DG104">
        <v>8.6200000000000003E-4</v>
      </c>
      <c r="DH104">
        <v>8.5229999999999995E-4</v>
      </c>
      <c r="DI104">
        <v>8.4239999999999998E-4</v>
      </c>
      <c r="DJ104">
        <v>8.3250000000000002E-4</v>
      </c>
      <c r="DK104">
        <v>8.2249999999999999E-4</v>
      </c>
      <c r="DL104">
        <v>8.1249999999999996E-4</v>
      </c>
      <c r="DM104">
        <v>8.0250000000000004E-4</v>
      </c>
      <c r="DN104">
        <v>7.9239999999999996E-4</v>
      </c>
      <c r="DO104">
        <v>7.8240000000000004E-4</v>
      </c>
      <c r="DP104">
        <v>7.7229999999999996E-4</v>
      </c>
      <c r="DQ104">
        <v>5.3796299999999998E-2</v>
      </c>
      <c r="DR104">
        <v>0</v>
      </c>
      <c r="DS104">
        <v>5.02E-5</v>
      </c>
      <c r="DT104">
        <v>1.73E-4</v>
      </c>
      <c r="DU104">
        <v>6.9160000000000001E-4</v>
      </c>
      <c r="DV104">
        <v>6.1640000000000002E-4</v>
      </c>
      <c r="DW104">
        <v>5.7549999999999995E-4</v>
      </c>
      <c r="DX104">
        <v>5.9889999999999997E-4</v>
      </c>
      <c r="DY104">
        <v>5.2990000000000003E-4</v>
      </c>
      <c r="DZ104">
        <v>4.883E-4</v>
      </c>
      <c r="EA104">
        <v>4.3169999999999998E-4</v>
      </c>
      <c r="EB104">
        <v>3.8660000000000002E-4</v>
      </c>
      <c r="EC104">
        <v>3.4370000000000001E-4</v>
      </c>
      <c r="ED104">
        <v>3.0820000000000001E-4</v>
      </c>
      <c r="EE104">
        <v>2.7589999999999998E-4</v>
      </c>
      <c r="EF104">
        <v>2.4869999999999997E-4</v>
      </c>
      <c r="EG104">
        <v>2.2460000000000001E-4</v>
      </c>
      <c r="EH104">
        <v>2.0379999999999999E-4</v>
      </c>
      <c r="EI104">
        <v>1.8540000000000001E-4</v>
      </c>
      <c r="EJ104">
        <v>1.694E-4</v>
      </c>
      <c r="EK104">
        <v>1.5530000000000001E-4</v>
      </c>
      <c r="EL104">
        <v>1.428E-4</v>
      </c>
      <c r="EM104">
        <v>1.317E-4</v>
      </c>
      <c r="EN104">
        <v>1.2180000000000001E-4</v>
      </c>
      <c r="EO104">
        <v>1.13E-4</v>
      </c>
      <c r="EP104">
        <v>1.052E-4</v>
      </c>
      <c r="EQ104">
        <v>9.8200000000000002E-5</v>
      </c>
      <c r="ER104">
        <v>9.1899999999999998E-5</v>
      </c>
      <c r="ES104">
        <v>8.5900000000000001E-5</v>
      </c>
      <c r="ET104">
        <v>8.0799999999999999E-5</v>
      </c>
      <c r="EU104">
        <v>7.6299999999999998E-5</v>
      </c>
      <c r="EV104">
        <v>7.2100000000000004E-5</v>
      </c>
      <c r="EW104">
        <v>6.8300000000000007E-5</v>
      </c>
      <c r="EX104">
        <v>6.4900000000000005E-5</v>
      </c>
      <c r="EY104">
        <v>6.1699999999999995E-5</v>
      </c>
      <c r="EZ104">
        <v>5.8999999999999998E-5</v>
      </c>
      <c r="FA104">
        <v>5.63E-5</v>
      </c>
      <c r="FB104">
        <v>5.38E-5</v>
      </c>
      <c r="FC104">
        <v>5.1400000000000003E-5</v>
      </c>
      <c r="FD104">
        <v>4.9100000000000001E-5</v>
      </c>
      <c r="FE104">
        <v>4.71E-5</v>
      </c>
      <c r="FF104">
        <v>4.5399999999999999E-5</v>
      </c>
      <c r="FG104">
        <v>4.3699999999999998E-5</v>
      </c>
      <c r="FH104">
        <v>4.1999999999999998E-5</v>
      </c>
      <c r="FI104">
        <v>4.0399999999999999E-5</v>
      </c>
      <c r="FJ104">
        <v>3.8999999999999999E-5</v>
      </c>
      <c r="FK104">
        <v>3.7700000000000002E-5</v>
      </c>
      <c r="FL104">
        <v>3.6600000000000002E-5</v>
      </c>
      <c r="FM104">
        <v>3.5299999999999997E-5</v>
      </c>
      <c r="FN104">
        <v>3.4199999999999998E-5</v>
      </c>
      <c r="FO104">
        <v>3.3200000000000001E-5</v>
      </c>
      <c r="FP104">
        <v>3.2299999999999999E-5</v>
      </c>
      <c r="FQ104">
        <v>3.1399999999999998E-5</v>
      </c>
      <c r="FR104">
        <v>3.0499999999999999E-5</v>
      </c>
      <c r="FS104">
        <v>2.97E-5</v>
      </c>
      <c r="FT104">
        <v>2.9E-5</v>
      </c>
      <c r="FU104">
        <v>2.83E-5</v>
      </c>
      <c r="FV104">
        <v>2.7500000000000001E-5</v>
      </c>
      <c r="FW104">
        <v>2.69E-5</v>
      </c>
      <c r="FX104">
        <v>2.6299999999999999E-5</v>
      </c>
      <c r="FY104">
        <v>2.5700000000000001E-5</v>
      </c>
      <c r="FZ104">
        <v>2.5199999999999999E-5</v>
      </c>
      <c r="GA104">
        <v>2.4700000000000001E-5</v>
      </c>
      <c r="GB104">
        <v>2.4199999999999999E-5</v>
      </c>
      <c r="GC104">
        <v>2.37E-5</v>
      </c>
      <c r="GD104">
        <v>2.3300000000000001E-5</v>
      </c>
      <c r="GE104">
        <v>2.2900000000000001E-5</v>
      </c>
      <c r="GF104">
        <v>2.2500000000000001E-5</v>
      </c>
      <c r="GG104">
        <v>2.2200000000000001E-5</v>
      </c>
      <c r="GH104">
        <v>2.1800000000000001E-5</v>
      </c>
      <c r="GI104">
        <v>2.1399999999999998E-5</v>
      </c>
      <c r="GJ104">
        <v>2.1100000000000001E-5</v>
      </c>
      <c r="GK104">
        <v>2.0699999999999998E-5</v>
      </c>
      <c r="GL104">
        <v>2.0299999999999999E-5</v>
      </c>
      <c r="GM104">
        <v>1.98E-5</v>
      </c>
      <c r="GN104">
        <v>1.9400000000000001E-5</v>
      </c>
      <c r="GO104">
        <v>1.91E-5</v>
      </c>
      <c r="GP104">
        <v>1.8700000000000001E-5</v>
      </c>
      <c r="GQ104">
        <v>1.84E-5</v>
      </c>
      <c r="GR104">
        <v>1.8199999999999999E-5</v>
      </c>
      <c r="GS104">
        <v>1.7900000000000001E-5</v>
      </c>
      <c r="GT104">
        <v>1.7600000000000001E-5</v>
      </c>
      <c r="GU104">
        <v>1.73E-5</v>
      </c>
      <c r="GV104">
        <v>1.7099999999999999E-5</v>
      </c>
      <c r="GW104">
        <v>1.6799999999999998E-5</v>
      </c>
      <c r="GX104">
        <v>1.66E-5</v>
      </c>
      <c r="GY104">
        <v>1.6500000000000001E-5</v>
      </c>
      <c r="GZ104">
        <v>1.63E-5</v>
      </c>
      <c r="HA104">
        <v>1.6099999999999998E-5</v>
      </c>
      <c r="HB104">
        <v>1.59E-5</v>
      </c>
      <c r="HC104">
        <v>1.5699999999999999E-5</v>
      </c>
      <c r="HD104">
        <v>1.5400000000000002E-5</v>
      </c>
      <c r="HE104">
        <v>1.5E-5</v>
      </c>
      <c r="HF104">
        <v>1.4399999999999999E-5</v>
      </c>
      <c r="HG104">
        <v>1.4E-5</v>
      </c>
      <c r="HH104">
        <v>1.3699999999999999E-5</v>
      </c>
      <c r="HI104">
        <v>1.2999999999999999E-5</v>
      </c>
      <c r="HJ104">
        <v>1.3499999999999999E-5</v>
      </c>
      <c r="HK104">
        <v>1.34E-5</v>
      </c>
      <c r="HL104">
        <v>1.33E-5</v>
      </c>
      <c r="HM104">
        <v>1.33E-5</v>
      </c>
      <c r="HN104">
        <v>1.3200000000000001E-5</v>
      </c>
      <c r="HO104">
        <v>1.31E-5</v>
      </c>
      <c r="HP104">
        <v>1.2999999999999999E-5</v>
      </c>
      <c r="HQ104">
        <v>1.29E-5</v>
      </c>
      <c r="HR104">
        <v>1.2799999999999999E-5</v>
      </c>
      <c r="HS104">
        <v>1.27E-5</v>
      </c>
      <c r="HT104">
        <v>1.2500000000000001E-5</v>
      </c>
      <c r="HU104">
        <v>1.24E-5</v>
      </c>
      <c r="HV104">
        <v>1.2300000000000001E-5</v>
      </c>
      <c r="HW104">
        <v>1.22E-5</v>
      </c>
      <c r="HX104">
        <v>1.2E-5</v>
      </c>
      <c r="HY104">
        <v>1.19E-5</v>
      </c>
      <c r="HZ104">
        <v>1.1800000000000001E-5</v>
      </c>
      <c r="IA104">
        <v>1.1600000000000001E-5</v>
      </c>
      <c r="IB104">
        <v>1.15E-5</v>
      </c>
      <c r="IC104">
        <v>1.13E-5</v>
      </c>
      <c r="ID104">
        <v>1.1199999999999999E-5</v>
      </c>
      <c r="IE104">
        <v>1.11E-5</v>
      </c>
      <c r="IF104">
        <v>1.0900000000000001E-5</v>
      </c>
      <c r="IG104">
        <v>7.6380000000000003E-4</v>
      </c>
    </row>
    <row r="105" spans="1:241" x14ac:dyDescent="0.35">
      <c r="A105" s="1">
        <v>97</v>
      </c>
      <c r="B105">
        <v>1.0734799999999999E-2</v>
      </c>
      <c r="C105">
        <v>1.0734799999999999E-2</v>
      </c>
      <c r="D105">
        <v>1.0684600000000001E-2</v>
      </c>
      <c r="E105">
        <v>1.0511599999999999E-2</v>
      </c>
      <c r="F105">
        <v>9.8201999999999994E-3</v>
      </c>
      <c r="G105">
        <v>9.2043000000000003E-3</v>
      </c>
      <c r="H105">
        <v>8.6300000000000005E-3</v>
      </c>
      <c r="I105">
        <v>8.0341000000000006E-3</v>
      </c>
      <c r="J105">
        <v>7.5101999999999999E-3</v>
      </c>
      <c r="K105">
        <v>7.0295000000000002E-3</v>
      </c>
      <c r="L105">
        <v>6.5960999999999997E-3</v>
      </c>
      <c r="M105">
        <v>6.2062999999999997E-3</v>
      </c>
      <c r="N105">
        <v>5.8599000000000004E-3</v>
      </c>
      <c r="O105">
        <v>5.5481000000000003E-3</v>
      </c>
      <c r="P105">
        <v>5.2662999999999998E-3</v>
      </c>
      <c r="Q105">
        <v>5.0162999999999996E-3</v>
      </c>
      <c r="R105">
        <v>4.7895999999999998E-3</v>
      </c>
      <c r="S105">
        <v>4.5842000000000001E-3</v>
      </c>
      <c r="T105">
        <v>4.3978999999999997E-3</v>
      </c>
      <c r="U105">
        <v>4.2275999999999998E-3</v>
      </c>
      <c r="V105">
        <v>4.0718999999999998E-3</v>
      </c>
      <c r="W105">
        <v>3.9290999999999996E-3</v>
      </c>
      <c r="X105">
        <v>3.7975000000000001E-3</v>
      </c>
      <c r="Y105">
        <v>3.6752E-3</v>
      </c>
      <c r="Z105">
        <v>3.5622000000000002E-3</v>
      </c>
      <c r="AA105">
        <v>3.4566000000000002E-3</v>
      </c>
      <c r="AB105">
        <v>3.3581000000000001E-3</v>
      </c>
      <c r="AC105">
        <v>3.2655000000000002E-3</v>
      </c>
      <c r="AD105">
        <v>3.1673999999999999E-3</v>
      </c>
      <c r="AE105">
        <v>3.0842E-3</v>
      </c>
      <c r="AF105">
        <v>3.0081000000000001E-3</v>
      </c>
      <c r="AG105">
        <v>2.9344000000000002E-3</v>
      </c>
      <c r="AH105">
        <v>2.8652999999999999E-3</v>
      </c>
      <c r="AI105">
        <v>2.7999000000000001E-3</v>
      </c>
      <c r="AJ105">
        <v>2.7364999999999998E-3</v>
      </c>
      <c r="AK105">
        <v>2.6870000000000002E-3</v>
      </c>
      <c r="AL105">
        <v>2.6300999999999998E-3</v>
      </c>
      <c r="AM105">
        <v>2.5764E-3</v>
      </c>
      <c r="AN105">
        <v>2.5230000000000001E-3</v>
      </c>
      <c r="AO105">
        <v>2.4658000000000002E-3</v>
      </c>
      <c r="AP105">
        <v>2.4185999999999999E-3</v>
      </c>
      <c r="AQ105">
        <v>2.3809E-3</v>
      </c>
      <c r="AR105">
        <v>2.3368999999999998E-3</v>
      </c>
      <c r="AS105">
        <v>2.2948000000000001E-3</v>
      </c>
      <c r="AT105">
        <v>2.2464E-3</v>
      </c>
      <c r="AU105">
        <v>2.2076000000000001E-3</v>
      </c>
      <c r="AV105">
        <v>2.1702000000000002E-3</v>
      </c>
      <c r="AW105">
        <v>2.1411999999999998E-3</v>
      </c>
      <c r="AX105">
        <v>2.0977000000000001E-3</v>
      </c>
      <c r="AY105">
        <v>2.0639E-3</v>
      </c>
      <c r="AZ105">
        <v>2.0306E-3</v>
      </c>
      <c r="BA105">
        <v>1.9980000000000002E-3</v>
      </c>
      <c r="BB105">
        <v>1.9662E-3</v>
      </c>
      <c r="BC105">
        <v>1.9345E-3</v>
      </c>
      <c r="BD105">
        <v>1.9040000000000001E-3</v>
      </c>
      <c r="BE105">
        <v>1.8749000000000001E-3</v>
      </c>
      <c r="BF105">
        <v>1.8466000000000001E-3</v>
      </c>
      <c r="BG105">
        <v>1.8115E-3</v>
      </c>
      <c r="BH105">
        <v>1.7836E-3</v>
      </c>
      <c r="BI105">
        <v>1.7558000000000001E-3</v>
      </c>
      <c r="BJ105">
        <v>1.7271000000000001E-3</v>
      </c>
      <c r="BK105">
        <v>1.7015000000000001E-3</v>
      </c>
      <c r="BL105">
        <v>1.6752E-3</v>
      </c>
      <c r="BM105">
        <v>1.6485E-3</v>
      </c>
      <c r="BN105">
        <v>1.6237000000000001E-3</v>
      </c>
      <c r="BO105">
        <v>1.6000000000000001E-3</v>
      </c>
      <c r="BP105">
        <v>1.5795E-3</v>
      </c>
      <c r="BQ105">
        <v>1.5602000000000001E-3</v>
      </c>
      <c r="BR105">
        <v>1.5399000000000001E-3</v>
      </c>
      <c r="BS105">
        <v>1.5175E-3</v>
      </c>
      <c r="BT105">
        <v>1.4955999999999999E-3</v>
      </c>
      <c r="BU105">
        <v>1.4733999999999999E-3</v>
      </c>
      <c r="BV105">
        <v>1.4475E-3</v>
      </c>
      <c r="BW105">
        <v>1.4264E-3</v>
      </c>
      <c r="BX105">
        <v>1.3877E-3</v>
      </c>
      <c r="BY105">
        <v>1.3648E-3</v>
      </c>
      <c r="BZ105">
        <v>1.3424000000000001E-3</v>
      </c>
      <c r="CA105">
        <v>1.3198999999999999E-3</v>
      </c>
      <c r="CB105">
        <v>1.2991000000000001E-3</v>
      </c>
      <c r="CC105">
        <v>1.2807999999999999E-3</v>
      </c>
      <c r="CD105">
        <v>1.2627000000000001E-3</v>
      </c>
      <c r="CE105">
        <v>1.2427E-3</v>
      </c>
      <c r="CF105">
        <v>1.2229999999999999E-3</v>
      </c>
      <c r="CG105">
        <v>1.2047E-3</v>
      </c>
      <c r="CH105">
        <v>1.1877000000000001E-3</v>
      </c>
      <c r="CI105">
        <v>1.1743999999999999E-3</v>
      </c>
      <c r="CJ105">
        <v>1.1617000000000001E-3</v>
      </c>
      <c r="CK105">
        <v>1.1482E-3</v>
      </c>
      <c r="CL105">
        <v>1.1345999999999999E-3</v>
      </c>
      <c r="CM105">
        <v>1.1199999999999999E-3</v>
      </c>
      <c r="CN105">
        <v>1.1038000000000001E-3</v>
      </c>
      <c r="CO105">
        <v>1.0831E-3</v>
      </c>
      <c r="CP105">
        <v>1.0579000000000001E-3</v>
      </c>
      <c r="CQ105">
        <v>1.0101999999999999E-3</v>
      </c>
      <c r="CR105">
        <v>9.8740000000000004E-4</v>
      </c>
      <c r="CS105">
        <v>9.6380000000000001E-4</v>
      </c>
      <c r="CT105">
        <v>9.1089999999999997E-4</v>
      </c>
      <c r="CU105">
        <v>9.5160000000000004E-4</v>
      </c>
      <c r="CV105">
        <v>9.4129999999999995E-4</v>
      </c>
      <c r="CW105">
        <v>9.3639999999999999E-4</v>
      </c>
      <c r="CX105">
        <v>9.3050000000000001E-4</v>
      </c>
      <c r="CY105">
        <v>9.2440000000000003E-4</v>
      </c>
      <c r="CZ105">
        <v>9.1770000000000003E-4</v>
      </c>
      <c r="DA105">
        <v>9.1049999999999996E-4</v>
      </c>
      <c r="DB105">
        <v>9.0289999999999999E-4</v>
      </c>
      <c r="DC105">
        <v>8.9479999999999996E-4</v>
      </c>
      <c r="DD105">
        <v>8.8630000000000002E-4</v>
      </c>
      <c r="DE105">
        <v>8.7759999999999997E-4</v>
      </c>
      <c r="DF105">
        <v>8.6850000000000002E-4</v>
      </c>
      <c r="DG105">
        <v>8.5930000000000002E-4</v>
      </c>
      <c r="DH105">
        <v>8.4979999999999995E-4</v>
      </c>
      <c r="DI105">
        <v>8.4020000000000004E-4</v>
      </c>
      <c r="DJ105">
        <v>8.3049999999999997E-4</v>
      </c>
      <c r="DK105">
        <v>8.208E-4</v>
      </c>
      <c r="DL105">
        <v>8.1090000000000003E-4</v>
      </c>
      <c r="DM105">
        <v>8.0099999999999995E-4</v>
      </c>
      <c r="DN105">
        <v>7.9109999999999998E-4</v>
      </c>
      <c r="DO105">
        <v>7.8120000000000002E-4</v>
      </c>
      <c r="DP105">
        <v>7.7130000000000005E-4</v>
      </c>
      <c r="DQ105">
        <v>5.3793800000000003E-2</v>
      </c>
      <c r="DR105">
        <v>0</v>
      </c>
      <c r="DS105">
        <v>5.02E-5</v>
      </c>
      <c r="DT105">
        <v>1.7310000000000001E-4</v>
      </c>
      <c r="DU105">
        <v>6.9189999999999996E-4</v>
      </c>
      <c r="DV105">
        <v>6.1660000000000003E-4</v>
      </c>
      <c r="DW105">
        <v>5.7580000000000001E-4</v>
      </c>
      <c r="DX105">
        <v>5.9849999999999997E-4</v>
      </c>
      <c r="DY105">
        <v>5.2930000000000002E-4</v>
      </c>
      <c r="DZ105">
        <v>4.8329999999999998E-4</v>
      </c>
      <c r="EA105">
        <v>4.2860000000000001E-4</v>
      </c>
      <c r="EB105">
        <v>3.8329999999999999E-4</v>
      </c>
      <c r="EC105">
        <v>3.4160000000000001E-4</v>
      </c>
      <c r="ED105">
        <v>3.0600000000000001E-4</v>
      </c>
      <c r="EE105">
        <v>2.744E-4</v>
      </c>
      <c r="EF105">
        <v>2.4669999999999998E-4</v>
      </c>
      <c r="EG105">
        <v>2.229E-4</v>
      </c>
      <c r="EH105">
        <v>2.02E-4</v>
      </c>
      <c r="EI105">
        <v>1.838E-4</v>
      </c>
      <c r="EJ105">
        <v>1.6789999999999999E-4</v>
      </c>
      <c r="EK105">
        <v>1.538E-4</v>
      </c>
      <c r="EL105">
        <v>1.415E-4</v>
      </c>
      <c r="EM105">
        <v>1.305E-4</v>
      </c>
      <c r="EN105">
        <v>1.208E-4</v>
      </c>
      <c r="EO105">
        <v>1.121E-4</v>
      </c>
      <c r="EP105">
        <v>1.044E-4</v>
      </c>
      <c r="EQ105">
        <v>9.7499999999999998E-5</v>
      </c>
      <c r="ER105">
        <v>9.1299999999999997E-5</v>
      </c>
      <c r="ES105">
        <v>8.5699999999999996E-5</v>
      </c>
      <c r="ET105">
        <v>8.0400000000000003E-5</v>
      </c>
      <c r="EU105">
        <v>7.5900000000000002E-5</v>
      </c>
      <c r="EV105">
        <v>7.1799999999999997E-5</v>
      </c>
      <c r="EW105">
        <v>6.8100000000000002E-5</v>
      </c>
      <c r="EX105">
        <v>6.4599999999999998E-5</v>
      </c>
      <c r="EY105">
        <v>6.1500000000000004E-5</v>
      </c>
      <c r="EZ105">
        <v>5.8600000000000001E-5</v>
      </c>
      <c r="FA105">
        <v>5.6100000000000002E-5</v>
      </c>
      <c r="FB105">
        <v>5.3600000000000002E-5</v>
      </c>
      <c r="FC105">
        <v>5.13E-5</v>
      </c>
      <c r="FD105">
        <v>4.9200000000000003E-5</v>
      </c>
      <c r="FE105">
        <v>4.6999999999999997E-5</v>
      </c>
      <c r="FF105">
        <v>4.5200000000000001E-5</v>
      </c>
      <c r="FG105">
        <v>4.3600000000000003E-5</v>
      </c>
      <c r="FH105">
        <v>4.1999999999999998E-5</v>
      </c>
      <c r="FI105">
        <v>4.0500000000000002E-5</v>
      </c>
      <c r="FJ105">
        <v>3.8899999999999997E-5</v>
      </c>
      <c r="FK105">
        <v>3.7599999999999999E-5</v>
      </c>
      <c r="FL105">
        <v>3.6399999999999997E-5</v>
      </c>
      <c r="FM105">
        <v>3.54E-5</v>
      </c>
      <c r="FN105">
        <v>3.4199999999999998E-5</v>
      </c>
      <c r="FO105">
        <v>3.3200000000000001E-5</v>
      </c>
      <c r="FP105">
        <v>3.2299999999999999E-5</v>
      </c>
      <c r="FQ105">
        <v>3.1399999999999998E-5</v>
      </c>
      <c r="FR105">
        <v>3.0499999999999999E-5</v>
      </c>
      <c r="FS105">
        <v>2.97E-5</v>
      </c>
      <c r="FT105">
        <v>2.9E-5</v>
      </c>
      <c r="FU105">
        <v>2.83E-5</v>
      </c>
      <c r="FV105">
        <v>2.7699999999999999E-5</v>
      </c>
      <c r="FW105">
        <v>2.69E-5</v>
      </c>
      <c r="FX105">
        <v>2.6299999999999999E-5</v>
      </c>
      <c r="FY105">
        <v>2.58E-5</v>
      </c>
      <c r="FZ105">
        <v>2.5199999999999999E-5</v>
      </c>
      <c r="GA105">
        <v>2.4700000000000001E-5</v>
      </c>
      <c r="GB105">
        <v>2.4199999999999999E-5</v>
      </c>
      <c r="GC105">
        <v>2.37E-5</v>
      </c>
      <c r="GD105">
        <v>2.3300000000000001E-5</v>
      </c>
      <c r="GE105">
        <v>2.2799999999999999E-5</v>
      </c>
      <c r="GF105">
        <v>2.2500000000000001E-5</v>
      </c>
      <c r="GG105">
        <v>2.2099999999999998E-5</v>
      </c>
      <c r="GH105">
        <v>2.1800000000000001E-5</v>
      </c>
      <c r="GI105">
        <v>2.1399999999999998E-5</v>
      </c>
      <c r="GJ105">
        <v>2.1100000000000001E-5</v>
      </c>
      <c r="GK105">
        <v>2.0699999999999998E-5</v>
      </c>
      <c r="GL105">
        <v>2.0299999999999999E-5</v>
      </c>
      <c r="GM105">
        <v>2.0000000000000002E-5</v>
      </c>
      <c r="GN105">
        <v>1.95E-5</v>
      </c>
      <c r="GO105">
        <v>1.91E-5</v>
      </c>
      <c r="GP105">
        <v>1.88E-5</v>
      </c>
      <c r="GQ105">
        <v>1.8499999999999999E-5</v>
      </c>
      <c r="GR105">
        <v>1.8199999999999999E-5</v>
      </c>
      <c r="GS105">
        <v>1.7900000000000001E-5</v>
      </c>
      <c r="GT105">
        <v>1.7600000000000001E-5</v>
      </c>
      <c r="GU105">
        <v>1.7399999999999999E-5</v>
      </c>
      <c r="GV105">
        <v>1.7099999999999999E-5</v>
      </c>
      <c r="GW105">
        <v>1.6799999999999998E-5</v>
      </c>
      <c r="GX105">
        <v>1.66E-5</v>
      </c>
      <c r="GY105">
        <v>1.6399999999999999E-5</v>
      </c>
      <c r="GZ105">
        <v>1.6200000000000001E-5</v>
      </c>
      <c r="HA105">
        <v>1.6099999999999998E-5</v>
      </c>
      <c r="HB105">
        <v>1.59E-5</v>
      </c>
      <c r="HC105">
        <v>1.5699999999999999E-5</v>
      </c>
      <c r="HD105">
        <v>1.5400000000000002E-5</v>
      </c>
      <c r="HE105">
        <v>1.52E-5</v>
      </c>
      <c r="HF105">
        <v>1.4800000000000001E-5</v>
      </c>
      <c r="HG105">
        <v>1.42E-5</v>
      </c>
      <c r="HH105">
        <v>1.38E-5</v>
      </c>
      <c r="HI105">
        <v>1.3499999999999999E-5</v>
      </c>
      <c r="HJ105">
        <v>1.2799999999999999E-5</v>
      </c>
      <c r="HK105">
        <v>1.34E-5</v>
      </c>
      <c r="HL105">
        <v>1.3200000000000001E-5</v>
      </c>
      <c r="HM105">
        <v>1.31E-5</v>
      </c>
      <c r="HN105">
        <v>1.31E-5</v>
      </c>
      <c r="HO105">
        <v>1.2999999999999999E-5</v>
      </c>
      <c r="HP105">
        <v>1.29E-5</v>
      </c>
      <c r="HQ105">
        <v>1.2799999999999999E-5</v>
      </c>
      <c r="HR105">
        <v>1.27E-5</v>
      </c>
      <c r="HS105">
        <v>1.26E-5</v>
      </c>
      <c r="HT105">
        <v>1.2500000000000001E-5</v>
      </c>
      <c r="HU105">
        <v>1.24E-5</v>
      </c>
      <c r="HV105">
        <v>1.22E-5</v>
      </c>
      <c r="HW105">
        <v>1.2099999999999999E-5</v>
      </c>
      <c r="HX105">
        <v>1.2E-5</v>
      </c>
      <c r="HY105">
        <v>1.19E-5</v>
      </c>
      <c r="HZ105">
        <v>1.17E-5</v>
      </c>
      <c r="IA105">
        <v>1.1600000000000001E-5</v>
      </c>
      <c r="IB105">
        <v>1.15E-5</v>
      </c>
      <c r="IC105">
        <v>1.13E-5</v>
      </c>
      <c r="ID105">
        <v>1.1199999999999999E-5</v>
      </c>
      <c r="IE105">
        <v>1.1E-5</v>
      </c>
      <c r="IF105">
        <v>1.0900000000000001E-5</v>
      </c>
      <c r="IG105">
        <v>7.6380000000000003E-4</v>
      </c>
    </row>
    <row r="106" spans="1:241" x14ac:dyDescent="0.35">
      <c r="A106" s="1">
        <v>98</v>
      </c>
      <c r="B106">
        <v>1.0654E-2</v>
      </c>
      <c r="C106">
        <v>1.0734799999999999E-2</v>
      </c>
      <c r="D106">
        <v>1.0684600000000001E-2</v>
      </c>
      <c r="E106">
        <v>1.05115E-2</v>
      </c>
      <c r="F106">
        <v>9.8197000000000007E-3</v>
      </c>
      <c r="G106">
        <v>9.2035999999999993E-3</v>
      </c>
      <c r="H106">
        <v>8.6283999999999996E-3</v>
      </c>
      <c r="I106">
        <v>8.0315000000000004E-3</v>
      </c>
      <c r="J106">
        <v>7.5047999999999998E-3</v>
      </c>
      <c r="K106">
        <v>7.0269E-3</v>
      </c>
      <c r="L106">
        <v>6.6008999999999998E-3</v>
      </c>
      <c r="M106">
        <v>6.2128000000000001E-3</v>
      </c>
      <c r="N106">
        <v>5.8646999999999996E-3</v>
      </c>
      <c r="O106">
        <v>5.5538999999999996E-3</v>
      </c>
      <c r="P106">
        <v>5.2738000000000004E-3</v>
      </c>
      <c r="Q106">
        <v>5.0195999999999999E-3</v>
      </c>
      <c r="R106">
        <v>4.7933999999999997E-3</v>
      </c>
      <c r="S106">
        <v>4.5875999999999998E-3</v>
      </c>
      <c r="T106">
        <v>4.4003999999999996E-3</v>
      </c>
      <c r="U106">
        <v>4.2300999999999997E-3</v>
      </c>
      <c r="V106">
        <v>4.0737000000000004E-3</v>
      </c>
      <c r="W106">
        <v>3.9303999999999997E-3</v>
      </c>
      <c r="X106">
        <v>3.7986000000000001E-3</v>
      </c>
      <c r="Y106">
        <v>3.6767000000000002E-3</v>
      </c>
      <c r="Z106">
        <v>3.5631E-3</v>
      </c>
      <c r="AA106">
        <v>3.4578999999999999E-3</v>
      </c>
      <c r="AB106">
        <v>3.3590999999999998E-3</v>
      </c>
      <c r="AC106">
        <v>3.2667999999999998E-3</v>
      </c>
      <c r="AD106">
        <v>3.1797000000000001E-3</v>
      </c>
      <c r="AE106">
        <v>3.0869999999999999E-3</v>
      </c>
      <c r="AF106">
        <v>3.0083000000000002E-3</v>
      </c>
      <c r="AG106">
        <v>2.9361999999999999E-3</v>
      </c>
      <c r="AH106">
        <v>2.8663999999999999E-3</v>
      </c>
      <c r="AI106">
        <v>2.8005999999999999E-3</v>
      </c>
      <c r="AJ106">
        <v>2.7384000000000002E-3</v>
      </c>
      <c r="AK106">
        <v>2.6779E-3</v>
      </c>
      <c r="AL106">
        <v>2.6308E-3</v>
      </c>
      <c r="AM106">
        <v>2.5764999999999998E-3</v>
      </c>
      <c r="AN106">
        <v>2.5251000000000002E-3</v>
      </c>
      <c r="AO106">
        <v>2.4738E-3</v>
      </c>
      <c r="AP106">
        <v>2.4188E-3</v>
      </c>
      <c r="AQ106">
        <v>2.3733999999999999E-3</v>
      </c>
      <c r="AR106">
        <v>2.3373000000000001E-3</v>
      </c>
      <c r="AS106">
        <v>2.2948999999999999E-3</v>
      </c>
      <c r="AT106">
        <v>2.2542999999999999E-3</v>
      </c>
      <c r="AU106">
        <v>2.2074999999999998E-3</v>
      </c>
      <c r="AV106">
        <v>2.1700000000000001E-3</v>
      </c>
      <c r="AW106">
        <v>2.1337999999999999E-3</v>
      </c>
      <c r="AX106">
        <v>2.1058000000000001E-3</v>
      </c>
      <c r="AY106">
        <v>2.0634999999999998E-3</v>
      </c>
      <c r="AZ106">
        <v>2.0306999999999999E-3</v>
      </c>
      <c r="BA106">
        <v>1.9984E-3</v>
      </c>
      <c r="BB106">
        <v>1.9667E-3</v>
      </c>
      <c r="BC106">
        <v>1.9357000000000001E-3</v>
      </c>
      <c r="BD106">
        <v>1.9047999999999999E-3</v>
      </c>
      <c r="BE106">
        <v>1.8749999999999999E-3</v>
      </c>
      <c r="BF106">
        <v>1.8466000000000001E-3</v>
      </c>
      <c r="BG106">
        <v>1.8190000000000001E-3</v>
      </c>
      <c r="BH106">
        <v>1.7845999999999999E-3</v>
      </c>
      <c r="BI106">
        <v>1.7573000000000001E-3</v>
      </c>
      <c r="BJ106">
        <v>1.73E-3</v>
      </c>
      <c r="BK106">
        <v>1.7018999999999999E-3</v>
      </c>
      <c r="BL106">
        <v>1.6769E-3</v>
      </c>
      <c r="BM106">
        <v>1.6509999999999999E-3</v>
      </c>
      <c r="BN106">
        <v>1.6248E-3</v>
      </c>
      <c r="BO106">
        <v>1.6004000000000001E-3</v>
      </c>
      <c r="BP106">
        <v>1.5772E-3</v>
      </c>
      <c r="BQ106">
        <v>1.557E-3</v>
      </c>
      <c r="BR106">
        <v>1.5380000000000001E-3</v>
      </c>
      <c r="BS106">
        <v>1.5181000000000001E-3</v>
      </c>
      <c r="BT106">
        <v>1.4959999999999999E-3</v>
      </c>
      <c r="BU106">
        <v>1.4744999999999999E-3</v>
      </c>
      <c r="BV106">
        <v>1.4526000000000001E-3</v>
      </c>
      <c r="BW106">
        <v>1.4272E-3</v>
      </c>
      <c r="BX106">
        <v>1.4063999999999999E-3</v>
      </c>
      <c r="BY106">
        <v>1.3683E-3</v>
      </c>
      <c r="BZ106">
        <v>1.3457E-3</v>
      </c>
      <c r="CA106">
        <v>1.3236000000000001E-3</v>
      </c>
      <c r="CB106">
        <v>1.3014000000000001E-3</v>
      </c>
      <c r="CC106">
        <v>1.2809E-3</v>
      </c>
      <c r="CD106">
        <v>1.2629E-3</v>
      </c>
      <c r="CE106">
        <v>1.245E-3</v>
      </c>
      <c r="CF106">
        <v>1.2254E-3</v>
      </c>
      <c r="CG106">
        <v>1.2059E-3</v>
      </c>
      <c r="CH106">
        <v>1.1879E-3</v>
      </c>
      <c r="CI106">
        <v>1.1711E-3</v>
      </c>
      <c r="CJ106">
        <v>1.158E-3</v>
      </c>
      <c r="CK106">
        <v>1.1454E-3</v>
      </c>
      <c r="CL106">
        <v>1.1322000000000001E-3</v>
      </c>
      <c r="CM106">
        <v>1.1187E-3</v>
      </c>
      <c r="CN106">
        <v>1.1042999999999999E-3</v>
      </c>
      <c r="CO106">
        <v>1.0884E-3</v>
      </c>
      <c r="CP106">
        <v>1.0679999999999999E-3</v>
      </c>
      <c r="CQ106">
        <v>1.0430999999999999E-3</v>
      </c>
      <c r="CR106">
        <v>9.9609999999999998E-4</v>
      </c>
      <c r="CS106">
        <v>9.7349999999999997E-4</v>
      </c>
      <c r="CT106">
        <v>9.502E-4</v>
      </c>
      <c r="CU106">
        <v>8.9809999999999998E-4</v>
      </c>
      <c r="CV106">
        <v>9.3820000000000004E-4</v>
      </c>
      <c r="CW106">
        <v>9.2809999999999995E-4</v>
      </c>
      <c r="CX106">
        <v>9.232E-4</v>
      </c>
      <c r="CY106">
        <v>9.1739999999999996E-4</v>
      </c>
      <c r="CZ106">
        <v>9.1140000000000004E-4</v>
      </c>
      <c r="DA106">
        <v>9.0479999999999998E-4</v>
      </c>
      <c r="DB106">
        <v>8.9769999999999997E-4</v>
      </c>
      <c r="DC106">
        <v>8.9019999999999995E-4</v>
      </c>
      <c r="DD106">
        <v>8.8219999999999998E-4</v>
      </c>
      <c r="DE106">
        <v>8.7390000000000005E-4</v>
      </c>
      <c r="DF106">
        <v>8.652E-4</v>
      </c>
      <c r="DG106">
        <v>8.5630000000000005E-4</v>
      </c>
      <c r="DH106">
        <v>8.4710000000000004E-4</v>
      </c>
      <c r="DI106">
        <v>8.3779999999999998E-4</v>
      </c>
      <c r="DJ106">
        <v>8.2839999999999997E-4</v>
      </c>
      <c r="DK106">
        <v>8.1879999999999995E-4</v>
      </c>
      <c r="DL106">
        <v>8.0920000000000005E-4</v>
      </c>
      <c r="DM106">
        <v>7.9949999999999997E-4</v>
      </c>
      <c r="DN106">
        <v>7.8969999999999995E-4</v>
      </c>
      <c r="DO106">
        <v>7.7999999999999999E-4</v>
      </c>
      <c r="DP106">
        <v>7.7019999999999996E-4</v>
      </c>
      <c r="DQ106">
        <v>5.3790400000000002E-2</v>
      </c>
      <c r="DR106">
        <v>0</v>
      </c>
      <c r="DS106">
        <v>5.02E-5</v>
      </c>
      <c r="DT106">
        <v>1.7320000000000001E-4</v>
      </c>
      <c r="DU106">
        <v>6.9220000000000002E-4</v>
      </c>
      <c r="DV106">
        <v>6.1700000000000004E-4</v>
      </c>
      <c r="DW106">
        <v>5.7609999999999996E-4</v>
      </c>
      <c r="DX106">
        <v>5.9880000000000003E-4</v>
      </c>
      <c r="DY106">
        <v>5.2959999999999997E-4</v>
      </c>
      <c r="DZ106">
        <v>4.84E-4</v>
      </c>
      <c r="EA106">
        <v>4.2910000000000002E-4</v>
      </c>
      <c r="EB106">
        <v>3.8470000000000003E-4</v>
      </c>
      <c r="EC106">
        <v>3.4239999999999997E-4</v>
      </c>
      <c r="ED106">
        <v>3.0669999999999997E-4</v>
      </c>
      <c r="EE106">
        <v>2.7480000000000001E-4</v>
      </c>
      <c r="EF106">
        <v>2.475E-4</v>
      </c>
      <c r="EG106">
        <v>2.231E-4</v>
      </c>
      <c r="EH106">
        <v>2.0239999999999999E-4</v>
      </c>
      <c r="EI106">
        <v>1.841E-4</v>
      </c>
      <c r="EJ106">
        <v>1.6809999999999999E-4</v>
      </c>
      <c r="EK106">
        <v>1.5410000000000001E-4</v>
      </c>
      <c r="EL106">
        <v>1.416E-4</v>
      </c>
      <c r="EM106">
        <v>1.3070000000000001E-4</v>
      </c>
      <c r="EN106">
        <v>1.209E-4</v>
      </c>
      <c r="EO106">
        <v>1.122E-4</v>
      </c>
      <c r="EP106">
        <v>1.0450000000000001E-4</v>
      </c>
      <c r="EQ106">
        <v>9.7600000000000001E-5</v>
      </c>
      <c r="ER106">
        <v>9.1399999999999999E-5</v>
      </c>
      <c r="ES106">
        <v>8.5799999999999998E-5</v>
      </c>
      <c r="ET106">
        <v>8.0799999999999999E-5</v>
      </c>
      <c r="EU106">
        <v>7.6000000000000004E-5</v>
      </c>
      <c r="EV106">
        <v>7.1899999999999999E-5</v>
      </c>
      <c r="EW106">
        <v>6.8200000000000004E-5</v>
      </c>
      <c r="EX106">
        <v>6.4700000000000001E-5</v>
      </c>
      <c r="EY106">
        <v>6.1600000000000007E-5</v>
      </c>
      <c r="EZ106">
        <v>5.8699999999999997E-5</v>
      </c>
      <c r="FA106">
        <v>5.5999999999999999E-5</v>
      </c>
      <c r="FB106">
        <v>5.3699999999999997E-5</v>
      </c>
      <c r="FC106">
        <v>5.1400000000000003E-5</v>
      </c>
      <c r="FD106">
        <v>4.9200000000000003E-5</v>
      </c>
      <c r="FE106">
        <v>4.7200000000000002E-5</v>
      </c>
      <c r="FF106">
        <v>4.5200000000000001E-5</v>
      </c>
      <c r="FG106">
        <v>4.35E-5</v>
      </c>
      <c r="FH106">
        <v>4.1999999999999998E-5</v>
      </c>
      <c r="FI106">
        <v>4.0500000000000002E-5</v>
      </c>
      <c r="FJ106">
        <v>3.9100000000000002E-5</v>
      </c>
      <c r="FK106">
        <v>3.7599999999999999E-5</v>
      </c>
      <c r="FL106">
        <v>3.6399999999999997E-5</v>
      </c>
      <c r="FM106">
        <v>3.5299999999999997E-5</v>
      </c>
      <c r="FN106">
        <v>3.43E-5</v>
      </c>
      <c r="FO106">
        <v>3.3200000000000001E-5</v>
      </c>
      <c r="FP106">
        <v>3.2299999999999999E-5</v>
      </c>
      <c r="FQ106">
        <v>3.1399999999999998E-5</v>
      </c>
      <c r="FR106">
        <v>3.0499999999999999E-5</v>
      </c>
      <c r="FS106">
        <v>2.9799999999999999E-5</v>
      </c>
      <c r="FT106">
        <v>2.9E-5</v>
      </c>
      <c r="FU106">
        <v>2.83E-5</v>
      </c>
      <c r="FV106">
        <v>2.7699999999999999E-5</v>
      </c>
      <c r="FW106">
        <v>2.6999999999999999E-5</v>
      </c>
      <c r="FX106">
        <v>2.6299999999999999E-5</v>
      </c>
      <c r="FY106">
        <v>2.58E-5</v>
      </c>
      <c r="FZ106">
        <v>2.5199999999999999E-5</v>
      </c>
      <c r="GA106">
        <v>2.4700000000000001E-5</v>
      </c>
      <c r="GB106">
        <v>2.4199999999999999E-5</v>
      </c>
      <c r="GC106">
        <v>2.37E-5</v>
      </c>
      <c r="GD106">
        <v>2.3300000000000001E-5</v>
      </c>
      <c r="GE106">
        <v>2.2799999999999999E-5</v>
      </c>
      <c r="GF106">
        <v>2.2399999999999999E-5</v>
      </c>
      <c r="GG106">
        <v>2.2099999999999998E-5</v>
      </c>
      <c r="GH106">
        <v>2.1800000000000001E-5</v>
      </c>
      <c r="GI106">
        <v>2.1399999999999998E-5</v>
      </c>
      <c r="GJ106">
        <v>2.1100000000000001E-5</v>
      </c>
      <c r="GK106">
        <v>2.0699999999999998E-5</v>
      </c>
      <c r="GL106">
        <v>2.0400000000000001E-5</v>
      </c>
      <c r="GM106">
        <v>2.0000000000000002E-5</v>
      </c>
      <c r="GN106">
        <v>1.9700000000000001E-5</v>
      </c>
      <c r="GO106">
        <v>1.9199999999999999E-5</v>
      </c>
      <c r="GP106">
        <v>1.88E-5</v>
      </c>
      <c r="GQ106">
        <v>1.8499999999999999E-5</v>
      </c>
      <c r="GR106">
        <v>1.8199999999999999E-5</v>
      </c>
      <c r="GS106">
        <v>1.7900000000000001E-5</v>
      </c>
      <c r="GT106">
        <v>1.7600000000000001E-5</v>
      </c>
      <c r="GU106">
        <v>1.7399999999999999E-5</v>
      </c>
      <c r="GV106">
        <v>1.7099999999999999E-5</v>
      </c>
      <c r="GW106">
        <v>1.6799999999999998E-5</v>
      </c>
      <c r="GX106">
        <v>1.66E-5</v>
      </c>
      <c r="GY106">
        <v>1.6399999999999999E-5</v>
      </c>
      <c r="GZ106">
        <v>1.6200000000000001E-5</v>
      </c>
      <c r="HA106">
        <v>1.5999999999999999E-5</v>
      </c>
      <c r="HB106">
        <v>1.5800000000000001E-5</v>
      </c>
      <c r="HC106">
        <v>1.56E-5</v>
      </c>
      <c r="HD106">
        <v>1.5500000000000001E-5</v>
      </c>
      <c r="HE106">
        <v>1.52E-5</v>
      </c>
      <c r="HF106">
        <v>1.5E-5</v>
      </c>
      <c r="HG106">
        <v>1.4600000000000001E-5</v>
      </c>
      <c r="HH106">
        <v>1.4E-5</v>
      </c>
      <c r="HI106">
        <v>1.36E-5</v>
      </c>
      <c r="HJ106">
        <v>1.33E-5</v>
      </c>
      <c r="HK106">
        <v>1.26E-5</v>
      </c>
      <c r="HL106">
        <v>1.3200000000000001E-5</v>
      </c>
      <c r="HM106">
        <v>1.2999999999999999E-5</v>
      </c>
      <c r="HN106">
        <v>1.2999999999999999E-5</v>
      </c>
      <c r="HO106">
        <v>1.29E-5</v>
      </c>
      <c r="HP106">
        <v>1.2799999999999999E-5</v>
      </c>
      <c r="HQ106">
        <v>1.27E-5</v>
      </c>
      <c r="HR106">
        <v>1.26E-5</v>
      </c>
      <c r="HS106">
        <v>1.2500000000000001E-5</v>
      </c>
      <c r="HT106">
        <v>1.24E-5</v>
      </c>
      <c r="HU106">
        <v>1.2300000000000001E-5</v>
      </c>
      <c r="HV106">
        <v>1.22E-5</v>
      </c>
      <c r="HW106">
        <v>1.2099999999999999E-5</v>
      </c>
      <c r="HX106">
        <v>1.19E-5</v>
      </c>
      <c r="HY106">
        <v>1.1800000000000001E-5</v>
      </c>
      <c r="HZ106">
        <v>1.17E-5</v>
      </c>
      <c r="IA106">
        <v>1.1600000000000001E-5</v>
      </c>
      <c r="IB106">
        <v>1.1399999999999999E-5</v>
      </c>
      <c r="IC106">
        <v>1.13E-5</v>
      </c>
      <c r="ID106">
        <v>1.1199999999999999E-5</v>
      </c>
      <c r="IE106">
        <v>1.1E-5</v>
      </c>
      <c r="IF106">
        <v>1.0900000000000001E-5</v>
      </c>
      <c r="IG106">
        <v>7.6369999999999997E-4</v>
      </c>
    </row>
    <row r="107" spans="1:241" x14ac:dyDescent="0.35">
      <c r="A107" s="1">
        <v>99</v>
      </c>
      <c r="B107">
        <v>1.0654E-2</v>
      </c>
      <c r="C107">
        <v>1.0654E-2</v>
      </c>
      <c r="D107">
        <v>1.0684600000000001E-2</v>
      </c>
      <c r="E107">
        <v>1.0511400000000001E-2</v>
      </c>
      <c r="F107">
        <v>9.8192999999999996E-3</v>
      </c>
      <c r="G107">
        <v>9.2028000000000006E-3</v>
      </c>
      <c r="H107">
        <v>8.6274000000000003E-3</v>
      </c>
      <c r="I107">
        <v>8.0295999999999996E-3</v>
      </c>
      <c r="J107">
        <v>7.5018999999999997E-3</v>
      </c>
      <c r="K107">
        <v>7.0207999999999998E-3</v>
      </c>
      <c r="L107">
        <v>6.5978E-3</v>
      </c>
      <c r="M107">
        <v>6.2161999999999999E-3</v>
      </c>
      <c r="N107">
        <v>5.8703999999999996E-3</v>
      </c>
      <c r="O107">
        <v>5.5580999999999998E-3</v>
      </c>
      <c r="P107">
        <v>5.2791000000000001E-3</v>
      </c>
      <c r="Q107">
        <v>5.0263E-3</v>
      </c>
      <c r="R107">
        <v>4.7965000000000004E-3</v>
      </c>
      <c r="S107">
        <v>4.5910999999999999E-3</v>
      </c>
      <c r="T107">
        <v>4.4035000000000003E-3</v>
      </c>
      <c r="U107">
        <v>4.2322999999999996E-3</v>
      </c>
      <c r="V107">
        <v>4.0759999999999998E-3</v>
      </c>
      <c r="W107">
        <v>3.9321E-3</v>
      </c>
      <c r="X107">
        <v>3.7997E-3</v>
      </c>
      <c r="Y107">
        <v>3.6776000000000001E-3</v>
      </c>
      <c r="Z107">
        <v>3.5644000000000001E-3</v>
      </c>
      <c r="AA107">
        <v>3.4586E-3</v>
      </c>
      <c r="AB107">
        <v>3.3603000000000001E-3</v>
      </c>
      <c r="AC107">
        <v>3.2677000000000001E-3</v>
      </c>
      <c r="AD107">
        <v>3.1809999999999998E-3</v>
      </c>
      <c r="AE107">
        <v>3.0988999999999999E-3</v>
      </c>
      <c r="AF107">
        <v>3.0109999999999998E-3</v>
      </c>
      <c r="AG107">
        <v>2.9364E-3</v>
      </c>
      <c r="AH107">
        <v>2.8681000000000002E-3</v>
      </c>
      <c r="AI107">
        <v>2.8016E-3</v>
      </c>
      <c r="AJ107">
        <v>2.7391E-3</v>
      </c>
      <c r="AK107">
        <v>2.6797000000000001E-3</v>
      </c>
      <c r="AL107">
        <v>2.6218999999999999E-3</v>
      </c>
      <c r="AM107">
        <v>2.5771000000000001E-3</v>
      </c>
      <c r="AN107">
        <v>2.5251000000000002E-3</v>
      </c>
      <c r="AO107">
        <v>2.4759000000000001E-3</v>
      </c>
      <c r="AP107">
        <v>2.4266000000000001E-3</v>
      </c>
      <c r="AQ107">
        <v>2.3736E-3</v>
      </c>
      <c r="AR107">
        <v>2.33E-3</v>
      </c>
      <c r="AS107">
        <v>2.2953000000000001E-3</v>
      </c>
      <c r="AT107">
        <v>2.2544000000000002E-3</v>
      </c>
      <c r="AU107">
        <v>2.2152000000000001E-3</v>
      </c>
      <c r="AV107">
        <v>2.1697999999999999E-3</v>
      </c>
      <c r="AW107">
        <v>2.1335999999999998E-3</v>
      </c>
      <c r="AX107">
        <v>2.0985999999999999E-3</v>
      </c>
      <c r="AY107">
        <v>2.0715E-3</v>
      </c>
      <c r="AZ107">
        <v>2.0303000000000001E-3</v>
      </c>
      <c r="BA107">
        <v>1.9984E-3</v>
      </c>
      <c r="BB107">
        <v>1.967E-3</v>
      </c>
      <c r="BC107">
        <v>1.9361000000000001E-3</v>
      </c>
      <c r="BD107">
        <v>1.9059000000000001E-3</v>
      </c>
      <c r="BE107">
        <v>1.8758E-3</v>
      </c>
      <c r="BF107">
        <v>1.8466999999999999E-3</v>
      </c>
      <c r="BG107">
        <v>1.8190000000000001E-3</v>
      </c>
      <c r="BH107">
        <v>1.792E-3</v>
      </c>
      <c r="BI107">
        <v>1.7581999999999999E-3</v>
      </c>
      <c r="BJ107">
        <v>1.7315E-3</v>
      </c>
      <c r="BK107">
        <v>1.7048E-3</v>
      </c>
      <c r="BL107">
        <v>1.6772E-3</v>
      </c>
      <c r="BM107">
        <v>1.6525999999999999E-3</v>
      </c>
      <c r="BN107">
        <v>1.6272000000000001E-3</v>
      </c>
      <c r="BO107">
        <v>1.6015000000000001E-3</v>
      </c>
      <c r="BP107">
        <v>1.5776E-3</v>
      </c>
      <c r="BQ107">
        <v>1.5547E-3</v>
      </c>
      <c r="BR107">
        <v>1.5349000000000001E-3</v>
      </c>
      <c r="BS107">
        <v>1.5162999999999999E-3</v>
      </c>
      <c r="BT107">
        <v>1.4966999999999999E-3</v>
      </c>
      <c r="BU107">
        <v>1.475E-3</v>
      </c>
      <c r="BV107">
        <v>1.4538000000000001E-3</v>
      </c>
      <c r="BW107">
        <v>1.4322E-3</v>
      </c>
      <c r="BX107">
        <v>1.4071000000000001E-3</v>
      </c>
      <c r="BY107">
        <v>1.3867E-3</v>
      </c>
      <c r="BZ107">
        <v>1.3491E-3</v>
      </c>
      <c r="CA107">
        <v>1.3267999999999999E-3</v>
      </c>
      <c r="CB107">
        <v>1.3051E-3</v>
      </c>
      <c r="CC107">
        <v>1.2832E-3</v>
      </c>
      <c r="CD107">
        <v>1.263E-3</v>
      </c>
      <c r="CE107">
        <v>1.2453E-3</v>
      </c>
      <c r="CF107">
        <v>1.2275999999999999E-3</v>
      </c>
      <c r="CG107">
        <v>1.2083E-3</v>
      </c>
      <c r="CH107">
        <v>1.1891E-3</v>
      </c>
      <c r="CI107">
        <v>1.1712999999999999E-3</v>
      </c>
      <c r="CJ107">
        <v>1.1547E-3</v>
      </c>
      <c r="CK107">
        <v>1.1418000000000001E-3</v>
      </c>
      <c r="CL107">
        <v>1.1294E-3</v>
      </c>
      <c r="CM107">
        <v>1.1164E-3</v>
      </c>
      <c r="CN107">
        <v>1.103E-3</v>
      </c>
      <c r="CO107">
        <v>1.0889000000000001E-3</v>
      </c>
      <c r="CP107">
        <v>1.0731E-3</v>
      </c>
      <c r="CQ107">
        <v>1.0529999999999999E-3</v>
      </c>
      <c r="CR107">
        <v>1.0284999999999999E-3</v>
      </c>
      <c r="CS107">
        <v>9.8210000000000007E-4</v>
      </c>
      <c r="CT107">
        <v>9.5989999999999997E-4</v>
      </c>
      <c r="CU107">
        <v>9.3689999999999995E-4</v>
      </c>
      <c r="CV107">
        <v>8.855E-4</v>
      </c>
      <c r="CW107">
        <v>9.2509999999999999E-4</v>
      </c>
      <c r="CX107">
        <v>9.1509999999999996E-4</v>
      </c>
      <c r="CY107">
        <v>9.1029999999999995E-4</v>
      </c>
      <c r="CZ107">
        <v>9.0450000000000003E-4</v>
      </c>
      <c r="DA107">
        <v>8.9860000000000005E-4</v>
      </c>
      <c r="DB107">
        <v>8.92E-4</v>
      </c>
      <c r="DC107">
        <v>8.8509999999999999E-4</v>
      </c>
      <c r="DD107">
        <v>8.7759999999999997E-4</v>
      </c>
      <c r="DE107">
        <v>8.698E-4</v>
      </c>
      <c r="DF107">
        <v>8.6149999999999996E-4</v>
      </c>
      <c r="DG107">
        <v>8.5300000000000003E-4</v>
      </c>
      <c r="DH107">
        <v>8.4420000000000003E-4</v>
      </c>
      <c r="DI107">
        <v>8.3520000000000003E-4</v>
      </c>
      <c r="DJ107">
        <v>8.2600000000000002E-4</v>
      </c>
      <c r="DK107">
        <v>8.1669999999999996E-4</v>
      </c>
      <c r="DL107">
        <v>8.0730000000000005E-4</v>
      </c>
      <c r="DM107">
        <v>7.9779999999999998E-4</v>
      </c>
      <c r="DN107">
        <v>7.8819999999999997E-4</v>
      </c>
      <c r="DO107">
        <v>7.7859999999999995E-4</v>
      </c>
      <c r="DP107">
        <v>7.6889999999999999E-4</v>
      </c>
      <c r="DQ107">
        <v>5.3786E-2</v>
      </c>
      <c r="DR107">
        <v>0</v>
      </c>
      <c r="DS107">
        <v>4.8199999999999999E-5</v>
      </c>
      <c r="DT107">
        <v>1.7330000000000001E-4</v>
      </c>
      <c r="DU107">
        <v>6.9240000000000002E-4</v>
      </c>
      <c r="DV107">
        <v>6.1729999999999999E-4</v>
      </c>
      <c r="DW107">
        <v>5.7649999999999997E-4</v>
      </c>
      <c r="DX107">
        <v>5.9909999999999998E-4</v>
      </c>
      <c r="DY107">
        <v>5.2979999999999998E-4</v>
      </c>
      <c r="DZ107">
        <v>4.8420000000000001E-4</v>
      </c>
      <c r="EA107">
        <v>4.2920000000000002E-4</v>
      </c>
      <c r="EB107">
        <v>3.834E-4</v>
      </c>
      <c r="EC107">
        <v>3.4239999999999997E-4</v>
      </c>
      <c r="ED107">
        <v>3.0679999999999998E-4</v>
      </c>
      <c r="EE107">
        <v>2.7510000000000002E-4</v>
      </c>
      <c r="EF107">
        <v>2.4790000000000001E-4</v>
      </c>
      <c r="EG107">
        <v>2.2379999999999999E-4</v>
      </c>
      <c r="EH107">
        <v>2.0269999999999999E-4</v>
      </c>
      <c r="EI107">
        <v>1.8450000000000001E-4</v>
      </c>
      <c r="EJ107">
        <v>1.684E-4</v>
      </c>
      <c r="EK107">
        <v>1.5430000000000001E-4</v>
      </c>
      <c r="EL107">
        <v>1.4190000000000001E-4</v>
      </c>
      <c r="EM107">
        <v>1.3080000000000001E-4</v>
      </c>
      <c r="EN107">
        <v>1.211E-4</v>
      </c>
      <c r="EO107">
        <v>1.1239999999999999E-4</v>
      </c>
      <c r="EP107">
        <v>1.0459999999999999E-4</v>
      </c>
      <c r="EQ107">
        <v>9.7700000000000003E-5</v>
      </c>
      <c r="ER107">
        <v>9.1500000000000001E-5</v>
      </c>
      <c r="ES107">
        <v>8.6000000000000003E-5</v>
      </c>
      <c r="ET107">
        <v>8.1000000000000004E-5</v>
      </c>
      <c r="EU107">
        <v>7.64E-5</v>
      </c>
      <c r="EV107">
        <v>7.2000000000000002E-5</v>
      </c>
      <c r="EW107">
        <v>6.8200000000000004E-5</v>
      </c>
      <c r="EX107">
        <v>6.4800000000000003E-5</v>
      </c>
      <c r="EY107">
        <v>6.1699999999999995E-5</v>
      </c>
      <c r="EZ107">
        <v>5.8699999999999997E-5</v>
      </c>
      <c r="FA107">
        <v>5.6100000000000002E-5</v>
      </c>
      <c r="FB107">
        <v>5.3499999999999999E-5</v>
      </c>
      <c r="FC107">
        <v>5.1400000000000003E-5</v>
      </c>
      <c r="FD107">
        <v>4.9299999999999999E-5</v>
      </c>
      <c r="FE107">
        <v>4.7299999999999998E-5</v>
      </c>
      <c r="FF107">
        <v>4.5399999999999999E-5</v>
      </c>
      <c r="FG107">
        <v>4.35E-5</v>
      </c>
      <c r="FH107">
        <v>4.1900000000000002E-5</v>
      </c>
      <c r="FI107">
        <v>4.0500000000000002E-5</v>
      </c>
      <c r="FJ107">
        <v>3.9100000000000002E-5</v>
      </c>
      <c r="FK107">
        <v>3.7799999999999997E-5</v>
      </c>
      <c r="FL107">
        <v>3.6399999999999997E-5</v>
      </c>
      <c r="FM107">
        <v>3.5299999999999997E-5</v>
      </c>
      <c r="FN107">
        <v>3.4199999999999998E-5</v>
      </c>
      <c r="FO107">
        <v>3.3300000000000003E-5</v>
      </c>
      <c r="FP107">
        <v>3.2199999999999997E-5</v>
      </c>
      <c r="FQ107">
        <v>3.1399999999999998E-5</v>
      </c>
      <c r="FR107">
        <v>3.0499999999999999E-5</v>
      </c>
      <c r="FS107">
        <v>2.97E-5</v>
      </c>
      <c r="FT107">
        <v>2.9E-5</v>
      </c>
      <c r="FU107">
        <v>2.83E-5</v>
      </c>
      <c r="FV107">
        <v>2.76E-5</v>
      </c>
      <c r="FW107">
        <v>2.6999999999999999E-5</v>
      </c>
      <c r="FX107">
        <v>2.6400000000000001E-5</v>
      </c>
      <c r="FY107">
        <v>2.58E-5</v>
      </c>
      <c r="FZ107">
        <v>2.5199999999999999E-5</v>
      </c>
      <c r="GA107">
        <v>2.4700000000000001E-5</v>
      </c>
      <c r="GB107">
        <v>2.4199999999999999E-5</v>
      </c>
      <c r="GC107">
        <v>2.37E-5</v>
      </c>
      <c r="GD107">
        <v>2.3300000000000001E-5</v>
      </c>
      <c r="GE107">
        <v>2.2799999999999999E-5</v>
      </c>
      <c r="GF107">
        <v>2.2399999999999999E-5</v>
      </c>
      <c r="GG107">
        <v>2.1999999999999999E-5</v>
      </c>
      <c r="GH107">
        <v>2.1699999999999999E-5</v>
      </c>
      <c r="GI107">
        <v>2.1399999999999998E-5</v>
      </c>
      <c r="GJ107">
        <v>2.1100000000000001E-5</v>
      </c>
      <c r="GK107">
        <v>2.0699999999999998E-5</v>
      </c>
      <c r="GL107">
        <v>2.0400000000000001E-5</v>
      </c>
      <c r="GM107">
        <v>2.0100000000000001E-5</v>
      </c>
      <c r="GN107">
        <v>1.9700000000000001E-5</v>
      </c>
      <c r="GO107">
        <v>1.9400000000000001E-5</v>
      </c>
      <c r="GP107">
        <v>1.8899999999999999E-5</v>
      </c>
      <c r="GQ107">
        <v>1.8499999999999999E-5</v>
      </c>
      <c r="GR107">
        <v>1.8199999999999999E-5</v>
      </c>
      <c r="GS107">
        <v>1.7900000000000001E-5</v>
      </c>
      <c r="GT107">
        <v>1.7600000000000001E-5</v>
      </c>
      <c r="GU107">
        <v>1.7399999999999999E-5</v>
      </c>
      <c r="GV107">
        <v>1.7099999999999999E-5</v>
      </c>
      <c r="GW107">
        <v>1.6900000000000001E-5</v>
      </c>
      <c r="GX107">
        <v>1.66E-5</v>
      </c>
      <c r="GY107">
        <v>1.6399999999999999E-5</v>
      </c>
      <c r="GZ107">
        <v>1.6099999999999998E-5</v>
      </c>
      <c r="HA107">
        <v>1.5999999999999999E-5</v>
      </c>
      <c r="HB107">
        <v>1.5800000000000001E-5</v>
      </c>
      <c r="HC107">
        <v>1.56E-5</v>
      </c>
      <c r="HD107">
        <v>1.5400000000000002E-5</v>
      </c>
      <c r="HE107">
        <v>1.52E-5</v>
      </c>
      <c r="HF107">
        <v>1.5E-5</v>
      </c>
      <c r="HG107">
        <v>1.47E-5</v>
      </c>
      <c r="HH107">
        <v>1.4399999999999999E-5</v>
      </c>
      <c r="HI107">
        <v>1.38E-5</v>
      </c>
      <c r="HJ107">
        <v>1.3499999999999999E-5</v>
      </c>
      <c r="HK107">
        <v>1.31E-5</v>
      </c>
      <c r="HL107">
        <v>1.24E-5</v>
      </c>
      <c r="HM107">
        <v>1.2999999999999999E-5</v>
      </c>
      <c r="HN107">
        <v>1.29E-5</v>
      </c>
      <c r="HO107">
        <v>1.2799999999999999E-5</v>
      </c>
      <c r="HP107">
        <v>1.27E-5</v>
      </c>
      <c r="HQ107">
        <v>1.26E-5</v>
      </c>
      <c r="HR107">
        <v>1.2500000000000001E-5</v>
      </c>
      <c r="HS107">
        <v>1.2500000000000001E-5</v>
      </c>
      <c r="HT107">
        <v>1.24E-5</v>
      </c>
      <c r="HU107">
        <v>1.2300000000000001E-5</v>
      </c>
      <c r="HV107">
        <v>1.2099999999999999E-5</v>
      </c>
      <c r="HW107">
        <v>1.2E-5</v>
      </c>
      <c r="HX107">
        <v>1.19E-5</v>
      </c>
      <c r="HY107">
        <v>1.1800000000000001E-5</v>
      </c>
      <c r="HZ107">
        <v>1.17E-5</v>
      </c>
      <c r="IA107">
        <v>1.15E-5</v>
      </c>
      <c r="IB107">
        <v>1.1399999999999999E-5</v>
      </c>
      <c r="IC107">
        <v>1.13E-5</v>
      </c>
      <c r="ID107">
        <v>1.11E-5</v>
      </c>
      <c r="IE107">
        <v>1.1E-5</v>
      </c>
      <c r="IF107">
        <v>1.0900000000000001E-5</v>
      </c>
      <c r="IG107">
        <v>7.6369999999999997E-4</v>
      </c>
    </row>
    <row r="108" spans="1:241" x14ac:dyDescent="0.35">
      <c r="A108" s="1">
        <v>100</v>
      </c>
      <c r="B108">
        <v>1.0654E-2</v>
      </c>
      <c r="C108">
        <v>1.0654E-2</v>
      </c>
      <c r="D108">
        <v>1.06058E-2</v>
      </c>
      <c r="E108">
        <v>1.0511299999999999E-2</v>
      </c>
      <c r="F108">
        <v>9.8189999999999996E-3</v>
      </c>
      <c r="G108">
        <v>9.2020000000000001E-3</v>
      </c>
      <c r="H108">
        <v>8.6262999999999999E-3</v>
      </c>
      <c r="I108">
        <v>8.0283999999999998E-3</v>
      </c>
      <c r="J108">
        <v>7.4999000000000003E-3</v>
      </c>
      <c r="K108">
        <v>7.0177E-3</v>
      </c>
      <c r="L108">
        <v>6.5916999999999998E-3</v>
      </c>
      <c r="M108">
        <v>6.2142999999999999E-3</v>
      </c>
      <c r="N108">
        <v>5.8738999999999996E-3</v>
      </c>
      <c r="O108">
        <v>5.5636000000000001E-3</v>
      </c>
      <c r="P108">
        <v>5.2830000000000004E-3</v>
      </c>
      <c r="Q108">
        <v>5.0312000000000004E-3</v>
      </c>
      <c r="R108">
        <v>4.8025000000000003E-3</v>
      </c>
      <c r="S108">
        <v>4.5938000000000003E-3</v>
      </c>
      <c r="T108">
        <v>4.4066000000000001E-3</v>
      </c>
      <c r="U108">
        <v>4.235E-3</v>
      </c>
      <c r="V108">
        <v>4.078E-3</v>
      </c>
      <c r="W108">
        <v>3.9341000000000003E-3</v>
      </c>
      <c r="X108">
        <v>3.8013000000000001E-3</v>
      </c>
      <c r="Y108">
        <v>3.6786000000000002E-3</v>
      </c>
      <c r="Z108">
        <v>3.5653E-3</v>
      </c>
      <c r="AA108">
        <v>3.4597999999999999E-3</v>
      </c>
      <c r="AB108">
        <v>3.3609E-3</v>
      </c>
      <c r="AC108">
        <v>3.2688000000000001E-3</v>
      </c>
      <c r="AD108">
        <v>3.1817999999999998E-3</v>
      </c>
      <c r="AE108">
        <v>3.0999999999999999E-3</v>
      </c>
      <c r="AF108">
        <v>3.0224000000000002E-3</v>
      </c>
      <c r="AG108">
        <v>2.9390000000000002E-3</v>
      </c>
      <c r="AH108">
        <v>2.8682E-3</v>
      </c>
      <c r="AI108">
        <v>2.8032E-3</v>
      </c>
      <c r="AJ108">
        <v>2.7399999999999998E-3</v>
      </c>
      <c r="AK108">
        <v>2.6803E-3</v>
      </c>
      <c r="AL108">
        <v>2.6237000000000001E-3</v>
      </c>
      <c r="AM108">
        <v>2.5684000000000002E-3</v>
      </c>
      <c r="AN108">
        <v>2.5257000000000001E-3</v>
      </c>
      <c r="AO108">
        <v>2.4757999999999998E-3</v>
      </c>
      <c r="AP108">
        <v>2.4285999999999999E-3</v>
      </c>
      <c r="AQ108">
        <v>2.3812E-3</v>
      </c>
      <c r="AR108">
        <v>2.3300999999999999E-3</v>
      </c>
      <c r="AS108">
        <v>2.2880999999999999E-3</v>
      </c>
      <c r="AT108">
        <v>2.2547999999999999E-3</v>
      </c>
      <c r="AU108">
        <v>2.2152999999999999E-3</v>
      </c>
      <c r="AV108">
        <v>2.1773999999999999E-3</v>
      </c>
      <c r="AW108">
        <v>2.1334000000000001E-3</v>
      </c>
      <c r="AX108">
        <v>2.0983E-3</v>
      </c>
      <c r="AY108">
        <v>2.0644000000000001E-3</v>
      </c>
      <c r="AZ108">
        <v>2.0382E-3</v>
      </c>
      <c r="BA108">
        <v>1.9981E-3</v>
      </c>
      <c r="BB108">
        <v>1.9670999999999998E-3</v>
      </c>
      <c r="BC108">
        <v>1.9365000000000001E-3</v>
      </c>
      <c r="BD108">
        <v>1.9063999999999999E-3</v>
      </c>
      <c r="BE108">
        <v>1.8768999999999999E-3</v>
      </c>
      <c r="BF108">
        <v>1.8475E-3</v>
      </c>
      <c r="BG108">
        <v>1.8190999999999999E-3</v>
      </c>
      <c r="BH108">
        <v>1.792E-3</v>
      </c>
      <c r="BI108">
        <v>1.7654999999999999E-3</v>
      </c>
      <c r="BJ108">
        <v>1.7325000000000001E-3</v>
      </c>
      <c r="BK108">
        <v>1.7061999999999999E-3</v>
      </c>
      <c r="BL108">
        <v>1.6800999999999999E-3</v>
      </c>
      <c r="BM108">
        <v>1.653E-3</v>
      </c>
      <c r="BN108">
        <v>1.6289E-3</v>
      </c>
      <c r="BO108">
        <v>1.6038999999999999E-3</v>
      </c>
      <c r="BP108">
        <v>1.5786999999999999E-3</v>
      </c>
      <c r="BQ108">
        <v>1.5551E-3</v>
      </c>
      <c r="BR108">
        <v>1.5326999999999999E-3</v>
      </c>
      <c r="BS108">
        <v>1.5131999999999999E-3</v>
      </c>
      <c r="BT108">
        <v>1.4949E-3</v>
      </c>
      <c r="BU108">
        <v>1.4756000000000001E-3</v>
      </c>
      <c r="BV108">
        <v>1.4541999999999999E-3</v>
      </c>
      <c r="BW108">
        <v>1.4334E-3</v>
      </c>
      <c r="BX108">
        <v>1.4120999999999999E-3</v>
      </c>
      <c r="BY108">
        <v>1.3874E-3</v>
      </c>
      <c r="BZ108">
        <v>1.3672999999999999E-3</v>
      </c>
      <c r="CA108">
        <v>1.3303E-3</v>
      </c>
      <c r="CB108">
        <v>1.3083000000000001E-3</v>
      </c>
      <c r="CC108">
        <v>1.2868000000000001E-3</v>
      </c>
      <c r="CD108">
        <v>1.2653E-3</v>
      </c>
      <c r="CE108">
        <v>1.2454E-3</v>
      </c>
      <c r="CF108">
        <v>1.2279000000000001E-3</v>
      </c>
      <c r="CG108">
        <v>1.2105E-3</v>
      </c>
      <c r="CH108">
        <v>1.1914E-3</v>
      </c>
      <c r="CI108">
        <v>1.1724999999999999E-3</v>
      </c>
      <c r="CJ108">
        <v>1.1548999999999999E-3</v>
      </c>
      <c r="CK108">
        <v>1.1386E-3</v>
      </c>
      <c r="CL108">
        <v>1.1257999999999999E-3</v>
      </c>
      <c r="CM108">
        <v>1.1136E-3</v>
      </c>
      <c r="CN108">
        <v>1.1007E-3</v>
      </c>
      <c r="CO108">
        <v>1.0876E-3</v>
      </c>
      <c r="CP108">
        <v>1.0736999999999999E-3</v>
      </c>
      <c r="CQ108">
        <v>1.0581E-3</v>
      </c>
      <c r="CR108">
        <v>1.0383E-3</v>
      </c>
      <c r="CS108">
        <v>1.0141E-3</v>
      </c>
      <c r="CT108">
        <v>9.6840000000000001E-4</v>
      </c>
      <c r="CU108">
        <v>9.4640000000000002E-4</v>
      </c>
      <c r="CV108">
        <v>9.2380000000000001E-4</v>
      </c>
      <c r="CW108">
        <v>8.7310000000000003E-4</v>
      </c>
      <c r="CX108">
        <v>9.121E-4</v>
      </c>
      <c r="CY108">
        <v>9.0220000000000003E-4</v>
      </c>
      <c r="CZ108">
        <v>8.9749999999999997E-4</v>
      </c>
      <c r="DA108">
        <v>8.9179999999999999E-4</v>
      </c>
      <c r="DB108">
        <v>8.8599999999999996E-4</v>
      </c>
      <c r="DC108">
        <v>8.7949999999999996E-4</v>
      </c>
      <c r="DD108">
        <v>8.7259999999999996E-4</v>
      </c>
      <c r="DE108">
        <v>8.6530000000000005E-4</v>
      </c>
      <c r="DF108">
        <v>8.5749999999999997E-4</v>
      </c>
      <c r="DG108">
        <v>8.4940000000000005E-4</v>
      </c>
      <c r="DH108">
        <v>8.4099999999999995E-4</v>
      </c>
      <c r="DI108">
        <v>8.3230000000000001E-4</v>
      </c>
      <c r="DJ108">
        <v>8.2339999999999996E-4</v>
      </c>
      <c r="DK108">
        <v>8.1439999999999995E-4</v>
      </c>
      <c r="DL108">
        <v>8.0519999999999995E-4</v>
      </c>
      <c r="DM108">
        <v>7.9589999999999999E-4</v>
      </c>
      <c r="DN108">
        <v>7.8649999999999998E-4</v>
      </c>
      <c r="DO108">
        <v>7.7700000000000002E-4</v>
      </c>
      <c r="DP108">
        <v>7.6760000000000001E-4</v>
      </c>
      <c r="DQ108">
        <v>5.3780399999999999E-2</v>
      </c>
      <c r="DR108">
        <v>0</v>
      </c>
      <c r="DS108">
        <v>4.8199999999999999E-5</v>
      </c>
      <c r="DT108">
        <v>1.6890000000000001E-4</v>
      </c>
      <c r="DU108">
        <v>6.9269999999999998E-4</v>
      </c>
      <c r="DV108">
        <v>6.1760000000000005E-4</v>
      </c>
      <c r="DW108">
        <v>5.7680000000000003E-4</v>
      </c>
      <c r="DX108">
        <v>5.9940000000000004E-4</v>
      </c>
      <c r="DY108">
        <v>5.3019999999999999E-4</v>
      </c>
      <c r="DZ108">
        <v>4.8450000000000001E-4</v>
      </c>
      <c r="EA108">
        <v>4.2939999999999997E-4</v>
      </c>
      <c r="EB108">
        <v>3.837E-4</v>
      </c>
      <c r="EC108">
        <v>3.4230000000000003E-4</v>
      </c>
      <c r="ED108">
        <v>3.0729999999999999E-4</v>
      </c>
      <c r="EE108">
        <v>2.7559999999999998E-4</v>
      </c>
      <c r="EF108">
        <v>2.4810000000000001E-4</v>
      </c>
      <c r="EG108">
        <v>2.242E-4</v>
      </c>
      <c r="EH108">
        <v>2.0320000000000001E-4</v>
      </c>
      <c r="EI108">
        <v>1.8469999999999999E-4</v>
      </c>
      <c r="EJ108">
        <v>1.6870000000000001E-4</v>
      </c>
      <c r="EK108">
        <v>1.5449999999999999E-4</v>
      </c>
      <c r="EL108">
        <v>1.4210000000000001E-4</v>
      </c>
      <c r="EM108">
        <v>1.3100000000000001E-4</v>
      </c>
      <c r="EN108">
        <v>1.2120000000000001E-4</v>
      </c>
      <c r="EO108">
        <v>1.125E-4</v>
      </c>
      <c r="EP108">
        <v>1.047E-4</v>
      </c>
      <c r="EQ108">
        <v>9.7800000000000006E-5</v>
      </c>
      <c r="ER108">
        <v>9.1600000000000004E-5</v>
      </c>
      <c r="ES108">
        <v>8.6100000000000006E-5</v>
      </c>
      <c r="ET108">
        <v>8.1000000000000004E-5</v>
      </c>
      <c r="EU108">
        <v>7.6500000000000003E-5</v>
      </c>
      <c r="EV108">
        <v>7.2399999999999998E-5</v>
      </c>
      <c r="EW108">
        <v>6.8399999999999996E-5</v>
      </c>
      <c r="EX108">
        <v>6.4900000000000005E-5</v>
      </c>
      <c r="EY108">
        <v>6.1799999999999998E-5</v>
      </c>
      <c r="EZ108">
        <v>5.8799999999999999E-5</v>
      </c>
      <c r="FA108">
        <v>5.6100000000000002E-5</v>
      </c>
      <c r="FB108">
        <v>5.3600000000000002E-5</v>
      </c>
      <c r="FC108">
        <v>5.13E-5</v>
      </c>
      <c r="FD108">
        <v>4.9299999999999999E-5</v>
      </c>
      <c r="FE108">
        <v>4.7299999999999998E-5</v>
      </c>
      <c r="FF108">
        <v>4.5399999999999999E-5</v>
      </c>
      <c r="FG108">
        <v>4.3699999999999998E-5</v>
      </c>
      <c r="FH108">
        <v>4.1900000000000002E-5</v>
      </c>
      <c r="FI108">
        <v>4.0399999999999999E-5</v>
      </c>
      <c r="FJ108">
        <v>3.9100000000000002E-5</v>
      </c>
      <c r="FK108">
        <v>3.7799999999999997E-5</v>
      </c>
      <c r="FL108">
        <v>3.6600000000000002E-5</v>
      </c>
      <c r="FM108">
        <v>3.5299999999999997E-5</v>
      </c>
      <c r="FN108">
        <v>3.4199999999999998E-5</v>
      </c>
      <c r="FO108">
        <v>3.3200000000000001E-5</v>
      </c>
      <c r="FP108">
        <v>3.2400000000000001E-5</v>
      </c>
      <c r="FQ108">
        <v>3.1399999999999998E-5</v>
      </c>
      <c r="FR108">
        <v>3.0499999999999999E-5</v>
      </c>
      <c r="FS108">
        <v>2.9799999999999999E-5</v>
      </c>
      <c r="FT108">
        <v>2.9E-5</v>
      </c>
      <c r="FU108">
        <v>2.83E-5</v>
      </c>
      <c r="FV108">
        <v>2.76E-5</v>
      </c>
      <c r="FW108">
        <v>2.6999999999999999E-5</v>
      </c>
      <c r="FX108">
        <v>2.6400000000000001E-5</v>
      </c>
      <c r="FY108">
        <v>2.5899999999999999E-5</v>
      </c>
      <c r="FZ108">
        <v>2.5199999999999999E-5</v>
      </c>
      <c r="GA108">
        <v>2.4700000000000001E-5</v>
      </c>
      <c r="GB108">
        <v>2.4199999999999999E-5</v>
      </c>
      <c r="GC108">
        <v>2.37E-5</v>
      </c>
      <c r="GD108">
        <v>2.3300000000000001E-5</v>
      </c>
      <c r="GE108">
        <v>2.2900000000000001E-5</v>
      </c>
      <c r="GF108">
        <v>2.2399999999999999E-5</v>
      </c>
      <c r="GG108">
        <v>2.1999999999999999E-5</v>
      </c>
      <c r="GH108">
        <v>2.1699999999999999E-5</v>
      </c>
      <c r="GI108">
        <v>2.1399999999999998E-5</v>
      </c>
      <c r="GJ108">
        <v>2.1100000000000001E-5</v>
      </c>
      <c r="GK108">
        <v>2.0699999999999998E-5</v>
      </c>
      <c r="GL108">
        <v>2.0400000000000001E-5</v>
      </c>
      <c r="GM108">
        <v>2.0100000000000001E-5</v>
      </c>
      <c r="GN108">
        <v>1.98E-5</v>
      </c>
      <c r="GO108">
        <v>1.9400000000000001E-5</v>
      </c>
      <c r="GP108">
        <v>1.91E-5</v>
      </c>
      <c r="GQ108">
        <v>1.8600000000000001E-5</v>
      </c>
      <c r="GR108">
        <v>1.8300000000000001E-5</v>
      </c>
      <c r="GS108">
        <v>1.8E-5</v>
      </c>
      <c r="GT108">
        <v>1.77E-5</v>
      </c>
      <c r="GU108">
        <v>1.7399999999999999E-5</v>
      </c>
      <c r="GV108">
        <v>1.7099999999999999E-5</v>
      </c>
      <c r="GW108">
        <v>1.6900000000000001E-5</v>
      </c>
      <c r="GX108">
        <v>1.66E-5</v>
      </c>
      <c r="GY108">
        <v>1.6399999999999999E-5</v>
      </c>
      <c r="GZ108">
        <v>1.6099999999999998E-5</v>
      </c>
      <c r="HA108">
        <v>1.59E-5</v>
      </c>
      <c r="HB108">
        <v>1.5699999999999999E-5</v>
      </c>
      <c r="HC108">
        <v>1.56E-5</v>
      </c>
      <c r="HD108">
        <v>1.5400000000000002E-5</v>
      </c>
      <c r="HE108">
        <v>1.52E-5</v>
      </c>
      <c r="HF108">
        <v>1.5E-5</v>
      </c>
      <c r="HG108">
        <v>1.4800000000000001E-5</v>
      </c>
      <c r="HH108">
        <v>1.45E-5</v>
      </c>
      <c r="HI108">
        <v>1.42E-5</v>
      </c>
      <c r="HJ108">
        <v>1.36E-5</v>
      </c>
      <c r="HK108">
        <v>1.33E-5</v>
      </c>
      <c r="HL108">
        <v>1.2999999999999999E-5</v>
      </c>
      <c r="HM108">
        <v>1.2300000000000001E-5</v>
      </c>
      <c r="HN108">
        <v>1.2799999999999999E-5</v>
      </c>
      <c r="HO108">
        <v>1.27E-5</v>
      </c>
      <c r="HP108">
        <v>1.26E-5</v>
      </c>
      <c r="HQ108">
        <v>1.2500000000000001E-5</v>
      </c>
      <c r="HR108">
        <v>1.2500000000000001E-5</v>
      </c>
      <c r="HS108">
        <v>1.24E-5</v>
      </c>
      <c r="HT108">
        <v>1.2300000000000001E-5</v>
      </c>
      <c r="HU108">
        <v>1.22E-5</v>
      </c>
      <c r="HV108">
        <v>1.2099999999999999E-5</v>
      </c>
      <c r="HW108">
        <v>1.2E-5</v>
      </c>
      <c r="HX108">
        <v>1.19E-5</v>
      </c>
      <c r="HY108">
        <v>1.17E-5</v>
      </c>
      <c r="HZ108">
        <v>1.1600000000000001E-5</v>
      </c>
      <c r="IA108">
        <v>1.15E-5</v>
      </c>
      <c r="IB108">
        <v>1.1399999999999999E-5</v>
      </c>
      <c r="IC108">
        <v>1.1199999999999999E-5</v>
      </c>
      <c r="ID108">
        <v>1.11E-5</v>
      </c>
      <c r="IE108">
        <v>1.1E-5</v>
      </c>
      <c r="IF108">
        <v>1.0900000000000001E-5</v>
      </c>
      <c r="IG108">
        <v>7.6360000000000002E-4</v>
      </c>
    </row>
    <row r="109" spans="1:241" x14ac:dyDescent="0.35">
      <c r="A109" s="1">
        <v>101</v>
      </c>
      <c r="B109">
        <v>1.0654E-2</v>
      </c>
      <c r="C109">
        <v>1.0654E-2</v>
      </c>
      <c r="D109">
        <v>1.06058E-2</v>
      </c>
      <c r="E109">
        <v>1.0436900000000001E-2</v>
      </c>
      <c r="F109">
        <v>9.8186000000000002E-3</v>
      </c>
      <c r="G109">
        <v>9.2013000000000008E-3</v>
      </c>
      <c r="H109">
        <v>8.6251999999999995E-3</v>
      </c>
      <c r="I109">
        <v>8.0269E-3</v>
      </c>
      <c r="J109">
        <v>7.4982E-3</v>
      </c>
      <c r="K109">
        <v>7.0153000000000004E-3</v>
      </c>
      <c r="L109">
        <v>6.5883000000000001E-3</v>
      </c>
      <c r="M109">
        <v>6.2078999999999997E-3</v>
      </c>
      <c r="N109">
        <v>5.8719999999999996E-3</v>
      </c>
      <c r="O109">
        <v>5.5665999999999997E-3</v>
      </c>
      <c r="P109">
        <v>5.2880000000000002E-3</v>
      </c>
      <c r="Q109">
        <v>5.0349000000000001E-3</v>
      </c>
      <c r="R109">
        <v>4.8069999999999996E-3</v>
      </c>
      <c r="S109">
        <v>4.5992000000000003E-3</v>
      </c>
      <c r="T109">
        <v>4.4091E-3</v>
      </c>
      <c r="U109">
        <v>4.2379000000000002E-3</v>
      </c>
      <c r="V109">
        <v>4.0804999999999999E-3</v>
      </c>
      <c r="W109">
        <v>3.9359E-3</v>
      </c>
      <c r="X109">
        <v>3.8030999999999998E-3</v>
      </c>
      <c r="Y109">
        <v>3.6801E-3</v>
      </c>
      <c r="Z109">
        <v>3.5661E-3</v>
      </c>
      <c r="AA109">
        <v>3.4605E-3</v>
      </c>
      <c r="AB109">
        <v>3.362E-3</v>
      </c>
      <c r="AC109">
        <v>3.2693000000000002E-3</v>
      </c>
      <c r="AD109">
        <v>3.1827000000000001E-3</v>
      </c>
      <c r="AE109">
        <v>3.1007000000000001E-3</v>
      </c>
      <c r="AF109">
        <v>3.0235000000000001E-3</v>
      </c>
      <c r="AG109">
        <v>2.9501000000000002E-3</v>
      </c>
      <c r="AH109">
        <v>2.8706000000000001E-3</v>
      </c>
      <c r="AI109">
        <v>2.8032999999999999E-3</v>
      </c>
      <c r="AJ109">
        <v>2.7415E-3</v>
      </c>
      <c r="AK109">
        <v>2.6811000000000001E-3</v>
      </c>
      <c r="AL109">
        <v>2.6242000000000001E-3</v>
      </c>
      <c r="AM109">
        <v>2.5701000000000001E-3</v>
      </c>
      <c r="AN109">
        <v>2.5171E-3</v>
      </c>
      <c r="AO109">
        <v>2.4764000000000001E-3</v>
      </c>
      <c r="AP109">
        <v>2.4285000000000001E-3</v>
      </c>
      <c r="AQ109">
        <v>2.3831999999999998E-3</v>
      </c>
      <c r="AR109">
        <v>2.3376E-3</v>
      </c>
      <c r="AS109">
        <v>2.2882000000000002E-3</v>
      </c>
      <c r="AT109">
        <v>2.2477E-3</v>
      </c>
      <c r="AU109">
        <v>2.2157000000000001E-3</v>
      </c>
      <c r="AV109">
        <v>2.1776E-3</v>
      </c>
      <c r="AW109">
        <v>2.1408999999999998E-3</v>
      </c>
      <c r="AX109">
        <v>2.0980999999999999E-3</v>
      </c>
      <c r="AY109">
        <v>2.0641000000000001E-3</v>
      </c>
      <c r="AZ109">
        <v>2.0311999999999999E-3</v>
      </c>
      <c r="BA109">
        <v>2.0057999999999999E-3</v>
      </c>
      <c r="BB109">
        <v>1.9667E-3</v>
      </c>
      <c r="BC109">
        <v>1.9365000000000001E-3</v>
      </c>
      <c r="BD109">
        <v>1.9067000000000001E-3</v>
      </c>
      <c r="BE109">
        <v>1.8774E-3</v>
      </c>
      <c r="BF109">
        <v>1.8485999999999999E-3</v>
      </c>
      <c r="BG109">
        <v>1.8198000000000001E-3</v>
      </c>
      <c r="BH109">
        <v>1.792E-3</v>
      </c>
      <c r="BI109">
        <v>1.7654999999999999E-3</v>
      </c>
      <c r="BJ109">
        <v>1.7396E-3</v>
      </c>
      <c r="BK109">
        <v>1.7072000000000001E-3</v>
      </c>
      <c r="BL109">
        <v>1.6815000000000001E-3</v>
      </c>
      <c r="BM109">
        <v>1.6558E-3</v>
      </c>
      <c r="BN109">
        <v>1.6293E-3</v>
      </c>
      <c r="BO109">
        <v>1.6056E-3</v>
      </c>
      <c r="BP109">
        <v>1.5811E-3</v>
      </c>
      <c r="BQ109">
        <v>1.5563E-3</v>
      </c>
      <c r="BR109">
        <v>1.5330999999999999E-3</v>
      </c>
      <c r="BS109">
        <v>1.511E-3</v>
      </c>
      <c r="BT109">
        <v>1.4917999999999999E-3</v>
      </c>
      <c r="BU109">
        <v>1.4737999999999999E-3</v>
      </c>
      <c r="BV109">
        <v>1.4549000000000001E-3</v>
      </c>
      <c r="BW109">
        <v>1.4338E-3</v>
      </c>
      <c r="BX109">
        <v>1.4132999999999999E-3</v>
      </c>
      <c r="BY109">
        <v>1.3924E-3</v>
      </c>
      <c r="BZ109">
        <v>1.3680000000000001E-3</v>
      </c>
      <c r="CA109">
        <v>1.3481999999999999E-3</v>
      </c>
      <c r="CB109">
        <v>1.3117000000000001E-3</v>
      </c>
      <c r="CC109">
        <v>1.2899999999999999E-3</v>
      </c>
      <c r="CD109">
        <v>1.2689000000000001E-3</v>
      </c>
      <c r="CE109">
        <v>1.2476E-3</v>
      </c>
      <c r="CF109">
        <v>1.2279999999999999E-3</v>
      </c>
      <c r="CG109">
        <v>1.2107999999999999E-3</v>
      </c>
      <c r="CH109">
        <v>1.1936E-3</v>
      </c>
      <c r="CI109">
        <v>1.1747999999999999E-3</v>
      </c>
      <c r="CJ109">
        <v>1.1561E-3</v>
      </c>
      <c r="CK109">
        <v>1.1387999999999999E-3</v>
      </c>
      <c r="CL109">
        <v>1.1226999999999999E-3</v>
      </c>
      <c r="CM109">
        <v>1.1100999999999999E-3</v>
      </c>
      <c r="CN109">
        <v>1.0981000000000001E-3</v>
      </c>
      <c r="CO109">
        <v>1.0854E-3</v>
      </c>
      <c r="CP109">
        <v>1.0724E-3</v>
      </c>
      <c r="CQ109">
        <v>1.0586E-3</v>
      </c>
      <c r="CR109">
        <v>1.0433E-3</v>
      </c>
      <c r="CS109">
        <v>1.0237E-3</v>
      </c>
      <c r="CT109">
        <v>9.9989999999999996E-4</v>
      </c>
      <c r="CU109">
        <v>9.5480000000000001E-4</v>
      </c>
      <c r="CV109">
        <v>9.3320000000000002E-4</v>
      </c>
      <c r="CW109">
        <v>9.1080000000000002E-4</v>
      </c>
      <c r="CX109">
        <v>8.608E-4</v>
      </c>
      <c r="CY109">
        <v>8.9930000000000001E-4</v>
      </c>
      <c r="CZ109">
        <v>8.8949999999999999E-4</v>
      </c>
      <c r="DA109">
        <v>8.8489999999999999E-4</v>
      </c>
      <c r="DB109">
        <v>8.7929999999999996E-4</v>
      </c>
      <c r="DC109">
        <v>8.7350000000000004E-4</v>
      </c>
      <c r="DD109">
        <v>8.6709999999999999E-4</v>
      </c>
      <c r="DE109">
        <v>8.6030000000000004E-4</v>
      </c>
      <c r="DF109">
        <v>8.5309999999999997E-4</v>
      </c>
      <c r="DG109">
        <v>8.4539999999999995E-4</v>
      </c>
      <c r="DH109">
        <v>8.3739999999999997E-4</v>
      </c>
      <c r="DI109">
        <v>8.2910000000000004E-4</v>
      </c>
      <c r="DJ109">
        <v>8.206E-4</v>
      </c>
      <c r="DK109">
        <v>8.118E-4</v>
      </c>
      <c r="DL109">
        <v>8.0289999999999995E-4</v>
      </c>
      <c r="DM109">
        <v>7.938E-4</v>
      </c>
      <c r="DN109">
        <v>7.8459999999999999E-4</v>
      </c>
      <c r="DO109">
        <v>7.7539999999999998E-4</v>
      </c>
      <c r="DP109">
        <v>7.6610000000000003E-4</v>
      </c>
      <c r="DQ109">
        <v>5.3773500000000002E-2</v>
      </c>
      <c r="DR109">
        <v>0</v>
      </c>
      <c r="DS109">
        <v>4.8199999999999999E-5</v>
      </c>
      <c r="DT109">
        <v>1.6890000000000001E-4</v>
      </c>
      <c r="DU109">
        <v>6.8070000000000001E-4</v>
      </c>
      <c r="DV109">
        <v>6.179E-4</v>
      </c>
      <c r="DW109">
        <v>5.7709999999999999E-4</v>
      </c>
      <c r="DX109">
        <v>5.9960000000000005E-4</v>
      </c>
      <c r="DY109">
        <v>5.3050000000000005E-4</v>
      </c>
      <c r="DZ109">
        <v>4.8480000000000002E-4</v>
      </c>
      <c r="EA109">
        <v>4.2959999999999998E-4</v>
      </c>
      <c r="EB109">
        <v>3.8390000000000001E-4</v>
      </c>
      <c r="EC109">
        <v>3.4230000000000003E-4</v>
      </c>
      <c r="ED109">
        <v>3.0669999999999997E-4</v>
      </c>
      <c r="EE109">
        <v>2.7569999999999998E-4</v>
      </c>
      <c r="EF109">
        <v>2.4850000000000002E-4</v>
      </c>
      <c r="EG109">
        <v>2.2440000000000001E-4</v>
      </c>
      <c r="EH109">
        <v>2.0359999999999999E-4</v>
      </c>
      <c r="EI109">
        <v>1.852E-4</v>
      </c>
      <c r="EJ109">
        <v>1.6890000000000001E-4</v>
      </c>
      <c r="EK109">
        <v>1.548E-4</v>
      </c>
      <c r="EL109">
        <v>1.4229999999999999E-4</v>
      </c>
      <c r="EM109">
        <v>1.3119999999999999E-4</v>
      </c>
      <c r="EN109">
        <v>1.214E-4</v>
      </c>
      <c r="EO109">
        <v>1.126E-4</v>
      </c>
      <c r="EP109">
        <v>1.049E-4</v>
      </c>
      <c r="EQ109">
        <v>9.7899999999999994E-5</v>
      </c>
      <c r="ER109">
        <v>9.1700000000000006E-5</v>
      </c>
      <c r="ES109">
        <v>8.6199999999999995E-5</v>
      </c>
      <c r="ET109">
        <v>8.1100000000000006E-5</v>
      </c>
      <c r="EU109">
        <v>7.6600000000000005E-5</v>
      </c>
      <c r="EV109">
        <v>7.25E-5</v>
      </c>
      <c r="EW109">
        <v>6.8700000000000003E-5</v>
      </c>
      <c r="EX109">
        <v>6.4999999999999994E-5</v>
      </c>
      <c r="EY109">
        <v>6.1799999999999998E-5</v>
      </c>
      <c r="EZ109">
        <v>5.8900000000000002E-5</v>
      </c>
      <c r="FA109">
        <v>5.6199999999999997E-5</v>
      </c>
      <c r="FB109">
        <v>5.3699999999999997E-5</v>
      </c>
      <c r="FC109">
        <v>5.13E-5</v>
      </c>
      <c r="FD109">
        <v>4.9100000000000001E-5</v>
      </c>
      <c r="FE109">
        <v>4.7299999999999998E-5</v>
      </c>
      <c r="FF109">
        <v>4.5399999999999999E-5</v>
      </c>
      <c r="FG109">
        <v>4.3699999999999998E-5</v>
      </c>
      <c r="FH109">
        <v>4.1999999999999998E-5</v>
      </c>
      <c r="FI109">
        <v>4.0399999999999999E-5</v>
      </c>
      <c r="FJ109">
        <v>3.8999999999999999E-5</v>
      </c>
      <c r="FK109">
        <v>3.7799999999999997E-5</v>
      </c>
      <c r="FL109">
        <v>3.65E-5</v>
      </c>
      <c r="FM109">
        <v>3.54E-5</v>
      </c>
      <c r="FN109">
        <v>3.4199999999999998E-5</v>
      </c>
      <c r="FO109">
        <v>3.3200000000000001E-5</v>
      </c>
      <c r="FP109">
        <v>3.2199999999999997E-5</v>
      </c>
      <c r="FQ109">
        <v>3.15E-5</v>
      </c>
      <c r="FR109">
        <v>3.0499999999999999E-5</v>
      </c>
      <c r="FS109">
        <v>2.97E-5</v>
      </c>
      <c r="FT109">
        <v>2.9E-5</v>
      </c>
      <c r="FU109">
        <v>2.83E-5</v>
      </c>
      <c r="FV109">
        <v>2.76E-5</v>
      </c>
      <c r="FW109">
        <v>2.6999999999999999E-5</v>
      </c>
      <c r="FX109">
        <v>2.6400000000000001E-5</v>
      </c>
      <c r="FY109">
        <v>2.5899999999999999E-5</v>
      </c>
      <c r="FZ109">
        <v>2.5299999999999998E-5</v>
      </c>
      <c r="GA109">
        <v>2.4700000000000001E-5</v>
      </c>
      <c r="GB109">
        <v>2.4199999999999999E-5</v>
      </c>
      <c r="GC109">
        <v>2.3799999999999999E-5</v>
      </c>
      <c r="GD109">
        <v>2.3300000000000001E-5</v>
      </c>
      <c r="GE109">
        <v>2.2900000000000001E-5</v>
      </c>
      <c r="GF109">
        <v>2.2500000000000001E-5</v>
      </c>
      <c r="GG109">
        <v>2.1999999999999999E-5</v>
      </c>
      <c r="GH109">
        <v>2.1699999999999999E-5</v>
      </c>
      <c r="GI109">
        <v>2.1299999999999999E-5</v>
      </c>
      <c r="GJ109">
        <v>2.0999999999999999E-5</v>
      </c>
      <c r="GK109">
        <v>2.0699999999999998E-5</v>
      </c>
      <c r="GL109">
        <v>2.0400000000000001E-5</v>
      </c>
      <c r="GM109">
        <v>2.0100000000000001E-5</v>
      </c>
      <c r="GN109">
        <v>1.98E-5</v>
      </c>
      <c r="GO109">
        <v>1.95E-5</v>
      </c>
      <c r="GP109">
        <v>1.91E-5</v>
      </c>
      <c r="GQ109">
        <v>1.88E-5</v>
      </c>
      <c r="GR109">
        <v>1.8300000000000001E-5</v>
      </c>
      <c r="GS109">
        <v>1.8E-5</v>
      </c>
      <c r="GT109">
        <v>1.77E-5</v>
      </c>
      <c r="GU109">
        <v>1.7399999999999999E-5</v>
      </c>
      <c r="GV109">
        <v>1.7099999999999999E-5</v>
      </c>
      <c r="GW109">
        <v>1.6900000000000001E-5</v>
      </c>
      <c r="GX109">
        <v>1.6699999999999999E-5</v>
      </c>
      <c r="GY109">
        <v>1.6399999999999999E-5</v>
      </c>
      <c r="GZ109">
        <v>1.6099999999999998E-5</v>
      </c>
      <c r="HA109">
        <v>1.59E-5</v>
      </c>
      <c r="HB109">
        <v>1.5699999999999999E-5</v>
      </c>
      <c r="HC109">
        <v>1.5500000000000001E-5</v>
      </c>
      <c r="HD109">
        <v>1.5400000000000002E-5</v>
      </c>
      <c r="HE109">
        <v>1.52E-5</v>
      </c>
      <c r="HF109">
        <v>1.5E-5</v>
      </c>
      <c r="HG109">
        <v>1.4800000000000001E-5</v>
      </c>
      <c r="HH109">
        <v>1.4600000000000001E-5</v>
      </c>
      <c r="HI109">
        <v>1.43E-5</v>
      </c>
      <c r="HJ109">
        <v>1.4E-5</v>
      </c>
      <c r="HK109">
        <v>1.34E-5</v>
      </c>
      <c r="HL109">
        <v>1.31E-5</v>
      </c>
      <c r="HM109">
        <v>1.2799999999999999E-5</v>
      </c>
      <c r="HN109">
        <v>1.2099999999999999E-5</v>
      </c>
      <c r="HO109">
        <v>1.26E-5</v>
      </c>
      <c r="HP109">
        <v>1.2500000000000001E-5</v>
      </c>
      <c r="HQ109">
        <v>1.24E-5</v>
      </c>
      <c r="HR109">
        <v>1.24E-5</v>
      </c>
      <c r="HS109">
        <v>1.2300000000000001E-5</v>
      </c>
      <c r="HT109">
        <v>1.22E-5</v>
      </c>
      <c r="HU109">
        <v>1.2099999999999999E-5</v>
      </c>
      <c r="HV109">
        <v>1.2E-5</v>
      </c>
      <c r="HW109">
        <v>1.19E-5</v>
      </c>
      <c r="HX109">
        <v>1.1800000000000001E-5</v>
      </c>
      <c r="HY109">
        <v>1.17E-5</v>
      </c>
      <c r="HZ109">
        <v>1.1600000000000001E-5</v>
      </c>
      <c r="IA109">
        <v>1.15E-5</v>
      </c>
      <c r="IB109">
        <v>1.13E-5</v>
      </c>
      <c r="IC109">
        <v>1.1199999999999999E-5</v>
      </c>
      <c r="ID109">
        <v>1.11E-5</v>
      </c>
      <c r="IE109">
        <v>1.1E-5</v>
      </c>
      <c r="IF109">
        <v>1.08E-5</v>
      </c>
      <c r="IG109">
        <v>7.6349999999999996E-4</v>
      </c>
    </row>
    <row r="110" spans="1:241" x14ac:dyDescent="0.35">
      <c r="A110" s="1">
        <v>102</v>
      </c>
      <c r="B110">
        <v>1.0654E-2</v>
      </c>
      <c r="C110">
        <v>1.0654E-2</v>
      </c>
      <c r="D110">
        <v>1.06058E-2</v>
      </c>
      <c r="E110">
        <v>1.04368E-2</v>
      </c>
      <c r="F110">
        <v>9.7561999999999996E-3</v>
      </c>
      <c r="G110">
        <v>9.2008000000000003E-3</v>
      </c>
      <c r="H110">
        <v>8.6242999999999997E-3</v>
      </c>
      <c r="I110">
        <v>8.0256000000000008E-3</v>
      </c>
      <c r="J110">
        <v>7.4964000000000003E-3</v>
      </c>
      <c r="K110">
        <v>7.0133000000000001E-3</v>
      </c>
      <c r="L110">
        <v>6.5856999999999999E-3</v>
      </c>
      <c r="M110">
        <v>6.2043999999999997E-3</v>
      </c>
      <c r="N110">
        <v>5.8656000000000003E-3</v>
      </c>
      <c r="O110">
        <v>5.5652999999999996E-3</v>
      </c>
      <c r="P110">
        <v>5.2909000000000003E-3</v>
      </c>
      <c r="Q110">
        <v>5.0396E-3</v>
      </c>
      <c r="R110">
        <v>4.8104999999999997E-3</v>
      </c>
      <c r="S110">
        <v>4.6033999999999997E-3</v>
      </c>
      <c r="T110">
        <v>4.4140000000000004E-3</v>
      </c>
      <c r="U110">
        <v>4.2401000000000001E-3</v>
      </c>
      <c r="V110">
        <v>4.0831000000000001E-3</v>
      </c>
      <c r="W110">
        <v>3.9382000000000002E-3</v>
      </c>
      <c r="X110">
        <v>3.8046999999999998E-3</v>
      </c>
      <c r="Y110">
        <v>3.6817E-3</v>
      </c>
      <c r="Z110">
        <v>3.5674000000000001E-3</v>
      </c>
      <c r="AA110">
        <v>3.4612000000000002E-3</v>
      </c>
      <c r="AB110">
        <v>3.3625999999999999E-3</v>
      </c>
      <c r="AC110">
        <v>3.2702E-3</v>
      </c>
      <c r="AD110">
        <v>3.1832000000000002E-3</v>
      </c>
      <c r="AE110">
        <v>3.1015999999999999E-3</v>
      </c>
      <c r="AF110">
        <v>3.0241000000000001E-3</v>
      </c>
      <c r="AG110">
        <v>2.9510000000000001E-3</v>
      </c>
      <c r="AH110">
        <v>2.8812999999999998E-3</v>
      </c>
      <c r="AI110">
        <v>2.8056000000000001E-3</v>
      </c>
      <c r="AJ110">
        <v>2.7415E-3</v>
      </c>
      <c r="AK110">
        <v>2.6825999999999998E-3</v>
      </c>
      <c r="AL110">
        <v>2.6250000000000002E-3</v>
      </c>
      <c r="AM110">
        <v>2.5704999999999999E-3</v>
      </c>
      <c r="AN110">
        <v>2.5187E-3</v>
      </c>
      <c r="AO110">
        <v>2.4680000000000001E-3</v>
      </c>
      <c r="AP110">
        <v>2.4291E-3</v>
      </c>
      <c r="AQ110">
        <v>2.3831E-3</v>
      </c>
      <c r="AR110">
        <v>2.3395E-3</v>
      </c>
      <c r="AS110">
        <v>2.2956000000000001E-3</v>
      </c>
      <c r="AT110">
        <v>2.2477999999999999E-3</v>
      </c>
      <c r="AU110">
        <v>2.2087000000000001E-3</v>
      </c>
      <c r="AV110">
        <v>2.1779E-3</v>
      </c>
      <c r="AW110">
        <v>2.1410000000000001E-3</v>
      </c>
      <c r="AX110">
        <v>2.1055000000000002E-3</v>
      </c>
      <c r="AY110">
        <v>2.0639999999999999E-3</v>
      </c>
      <c r="AZ110">
        <v>2.0309999999999998E-3</v>
      </c>
      <c r="BA110">
        <v>1.9989000000000001E-3</v>
      </c>
      <c r="BB110">
        <v>1.9743E-3</v>
      </c>
      <c r="BC110">
        <v>1.9361999999999999E-3</v>
      </c>
      <c r="BD110">
        <v>1.9067999999999999E-3</v>
      </c>
      <c r="BE110">
        <v>1.8776999999999999E-3</v>
      </c>
      <c r="BF110">
        <v>1.8491E-3</v>
      </c>
      <c r="BG110">
        <v>1.8209000000000001E-3</v>
      </c>
      <c r="BH110">
        <v>1.7928E-3</v>
      </c>
      <c r="BI110">
        <v>1.7656E-3</v>
      </c>
      <c r="BJ110">
        <v>1.7397000000000001E-3</v>
      </c>
      <c r="BK110">
        <v>1.7143E-3</v>
      </c>
      <c r="BL110">
        <v>1.6825E-3</v>
      </c>
      <c r="BM110">
        <v>1.6573E-3</v>
      </c>
      <c r="BN110">
        <v>1.6321E-3</v>
      </c>
      <c r="BO110">
        <v>1.606E-3</v>
      </c>
      <c r="BP110">
        <v>1.5827E-3</v>
      </c>
      <c r="BQ110">
        <v>1.5586E-3</v>
      </c>
      <c r="BR110">
        <v>1.5342000000000001E-3</v>
      </c>
      <c r="BS110">
        <v>1.5114E-3</v>
      </c>
      <c r="BT110">
        <v>1.4897000000000001E-3</v>
      </c>
      <c r="BU110">
        <v>1.4708E-3</v>
      </c>
      <c r="BV110">
        <v>1.4530999999999999E-3</v>
      </c>
      <c r="BW110">
        <v>1.4345E-3</v>
      </c>
      <c r="BX110">
        <v>1.4136999999999999E-3</v>
      </c>
      <c r="BY110">
        <v>1.3935E-3</v>
      </c>
      <c r="BZ110">
        <v>1.3729E-3</v>
      </c>
      <c r="CA110">
        <v>1.3489000000000001E-3</v>
      </c>
      <c r="CB110">
        <v>1.3293000000000001E-3</v>
      </c>
      <c r="CC110">
        <v>1.2933E-3</v>
      </c>
      <c r="CD110">
        <v>1.2719999999999999E-3</v>
      </c>
      <c r="CE110">
        <v>1.2512000000000001E-3</v>
      </c>
      <c r="CF110">
        <v>1.2302000000000001E-3</v>
      </c>
      <c r="CG110">
        <v>1.2109E-3</v>
      </c>
      <c r="CH110">
        <v>1.1938999999999999E-3</v>
      </c>
      <c r="CI110">
        <v>1.1769E-3</v>
      </c>
      <c r="CJ110">
        <v>1.1584E-3</v>
      </c>
      <c r="CK110">
        <v>1.14E-3</v>
      </c>
      <c r="CL110">
        <v>1.1229E-3</v>
      </c>
      <c r="CM110">
        <v>1.1069999999999999E-3</v>
      </c>
      <c r="CN110">
        <v>1.0946E-3</v>
      </c>
      <c r="CO110">
        <v>1.0827E-3</v>
      </c>
      <c r="CP110">
        <v>1.0702000000000001E-3</v>
      </c>
      <c r="CQ110">
        <v>1.0574E-3</v>
      </c>
      <c r="CR110">
        <v>1.0437999999999999E-3</v>
      </c>
      <c r="CS110">
        <v>1.0287E-3</v>
      </c>
      <c r="CT110">
        <v>1.0093999999999999E-3</v>
      </c>
      <c r="CU110">
        <v>9.858E-4</v>
      </c>
      <c r="CV110">
        <v>9.4140000000000001E-4</v>
      </c>
      <c r="CW110">
        <v>9.2009999999999998E-4</v>
      </c>
      <c r="CX110">
        <v>8.9800000000000004E-4</v>
      </c>
      <c r="CY110">
        <v>8.4880000000000003E-4</v>
      </c>
      <c r="CZ110">
        <v>8.8659999999999997E-4</v>
      </c>
      <c r="DA110">
        <v>8.7699999999999996E-4</v>
      </c>
      <c r="DB110">
        <v>8.7239999999999996E-4</v>
      </c>
      <c r="DC110">
        <v>8.6689999999999998E-4</v>
      </c>
      <c r="DD110">
        <v>8.6120000000000001E-4</v>
      </c>
      <c r="DE110">
        <v>8.5490000000000002E-4</v>
      </c>
      <c r="DF110">
        <v>8.4820000000000002E-4</v>
      </c>
      <c r="DG110">
        <v>8.4110000000000001E-4</v>
      </c>
      <c r="DH110">
        <v>8.3350000000000004E-4</v>
      </c>
      <c r="DI110">
        <v>8.2560000000000001E-4</v>
      </c>
      <c r="DJ110">
        <v>8.1740000000000003E-4</v>
      </c>
      <c r="DK110">
        <v>8.0900000000000004E-4</v>
      </c>
      <c r="DL110">
        <v>8.0029999999999999E-4</v>
      </c>
      <c r="DM110">
        <v>7.9149999999999999E-4</v>
      </c>
      <c r="DN110">
        <v>7.8260000000000005E-4</v>
      </c>
      <c r="DO110">
        <v>7.7349999999999999E-4</v>
      </c>
      <c r="DP110">
        <v>7.6440000000000004E-4</v>
      </c>
      <c r="DQ110">
        <v>5.3765199999999999E-2</v>
      </c>
      <c r="DR110">
        <v>0</v>
      </c>
      <c r="DS110">
        <v>4.8199999999999999E-5</v>
      </c>
      <c r="DT110">
        <v>1.6899999999999999E-4</v>
      </c>
      <c r="DU110">
        <v>6.8090000000000002E-4</v>
      </c>
      <c r="DV110">
        <v>6.1010000000000003E-4</v>
      </c>
      <c r="DW110">
        <v>5.7729999999999999E-4</v>
      </c>
      <c r="DX110">
        <v>5.9980000000000005E-4</v>
      </c>
      <c r="DY110">
        <v>5.3070000000000005E-4</v>
      </c>
      <c r="DZ110">
        <v>4.8500000000000003E-4</v>
      </c>
      <c r="EA110">
        <v>4.2989999999999999E-4</v>
      </c>
      <c r="EB110">
        <v>3.8410000000000001E-4</v>
      </c>
      <c r="EC110">
        <v>3.4249999999999998E-4</v>
      </c>
      <c r="ED110">
        <v>3.0679999999999998E-4</v>
      </c>
      <c r="EE110">
        <v>2.7569999999999998E-4</v>
      </c>
      <c r="EF110">
        <v>2.4889999999999998E-4</v>
      </c>
      <c r="EG110">
        <v>2.2499999999999999E-4</v>
      </c>
      <c r="EH110">
        <v>2.04E-4</v>
      </c>
      <c r="EI110">
        <v>1.8579999999999999E-4</v>
      </c>
      <c r="EJ110">
        <v>1.697E-4</v>
      </c>
      <c r="EK110">
        <v>1.5540000000000001E-4</v>
      </c>
      <c r="EL110">
        <v>1.429E-4</v>
      </c>
      <c r="EM110">
        <v>1.3180000000000001E-4</v>
      </c>
      <c r="EN110">
        <v>1.219E-4</v>
      </c>
      <c r="EO110">
        <v>1.132E-4</v>
      </c>
      <c r="EP110">
        <v>1.053E-4</v>
      </c>
      <c r="EQ110">
        <v>9.8400000000000007E-5</v>
      </c>
      <c r="ER110">
        <v>9.2200000000000005E-5</v>
      </c>
      <c r="ES110">
        <v>8.6600000000000004E-5</v>
      </c>
      <c r="ET110">
        <v>8.1500000000000002E-5</v>
      </c>
      <c r="EU110">
        <v>7.6899999999999999E-5</v>
      </c>
      <c r="EV110">
        <v>7.2799999999999994E-5</v>
      </c>
      <c r="EW110">
        <v>6.8999999999999997E-5</v>
      </c>
      <c r="EX110">
        <v>6.5500000000000006E-5</v>
      </c>
      <c r="EY110">
        <v>6.2100000000000005E-5</v>
      </c>
      <c r="EZ110">
        <v>5.91E-5</v>
      </c>
      <c r="FA110">
        <v>5.6400000000000002E-5</v>
      </c>
      <c r="FB110">
        <v>5.38E-5</v>
      </c>
      <c r="FC110">
        <v>5.1499999999999998E-5</v>
      </c>
      <c r="FD110">
        <v>4.9299999999999999E-5</v>
      </c>
      <c r="FE110">
        <v>4.7200000000000002E-5</v>
      </c>
      <c r="FF110">
        <v>4.5500000000000001E-5</v>
      </c>
      <c r="FG110">
        <v>4.3800000000000001E-5</v>
      </c>
      <c r="FH110">
        <v>4.21E-5</v>
      </c>
      <c r="FI110">
        <v>4.0599999999999998E-5</v>
      </c>
      <c r="FJ110">
        <v>3.8999999999999999E-5</v>
      </c>
      <c r="FK110">
        <v>3.7700000000000002E-5</v>
      </c>
      <c r="FL110">
        <v>3.6600000000000002E-5</v>
      </c>
      <c r="FM110">
        <v>3.54E-5</v>
      </c>
      <c r="FN110">
        <v>3.43E-5</v>
      </c>
      <c r="FO110">
        <v>3.3200000000000001E-5</v>
      </c>
      <c r="FP110">
        <v>3.2199999999999997E-5</v>
      </c>
      <c r="FQ110">
        <v>3.1399999999999998E-5</v>
      </c>
      <c r="FR110">
        <v>3.0599999999999998E-5</v>
      </c>
      <c r="FS110">
        <v>2.97E-5</v>
      </c>
      <c r="FT110">
        <v>2.9E-5</v>
      </c>
      <c r="FU110">
        <v>2.83E-5</v>
      </c>
      <c r="FV110">
        <v>2.76E-5</v>
      </c>
      <c r="FW110">
        <v>2.6999999999999999E-5</v>
      </c>
      <c r="FX110">
        <v>2.6400000000000001E-5</v>
      </c>
      <c r="FY110">
        <v>2.5899999999999999E-5</v>
      </c>
      <c r="FZ110">
        <v>2.5299999999999998E-5</v>
      </c>
      <c r="GA110">
        <v>2.48E-5</v>
      </c>
      <c r="GB110">
        <v>2.4199999999999999E-5</v>
      </c>
      <c r="GC110">
        <v>2.3799999999999999E-5</v>
      </c>
      <c r="GD110">
        <v>2.3300000000000001E-5</v>
      </c>
      <c r="GE110">
        <v>2.2900000000000001E-5</v>
      </c>
      <c r="GF110">
        <v>2.2500000000000001E-5</v>
      </c>
      <c r="GG110">
        <v>2.2099999999999998E-5</v>
      </c>
      <c r="GH110">
        <v>2.1699999999999999E-5</v>
      </c>
      <c r="GI110">
        <v>2.1299999999999999E-5</v>
      </c>
      <c r="GJ110">
        <v>2.0999999999999999E-5</v>
      </c>
      <c r="GK110">
        <v>2.0699999999999998E-5</v>
      </c>
      <c r="GL110">
        <v>2.0400000000000001E-5</v>
      </c>
      <c r="GM110">
        <v>2.0100000000000001E-5</v>
      </c>
      <c r="GN110">
        <v>1.98E-5</v>
      </c>
      <c r="GO110">
        <v>1.95E-5</v>
      </c>
      <c r="GP110">
        <v>1.9199999999999999E-5</v>
      </c>
      <c r="GQ110">
        <v>1.88E-5</v>
      </c>
      <c r="GR110">
        <v>1.8600000000000001E-5</v>
      </c>
      <c r="GS110">
        <v>1.8E-5</v>
      </c>
      <c r="GT110">
        <v>1.77E-5</v>
      </c>
      <c r="GU110">
        <v>1.7499999999999998E-5</v>
      </c>
      <c r="GV110">
        <v>1.7200000000000001E-5</v>
      </c>
      <c r="GW110">
        <v>1.6900000000000001E-5</v>
      </c>
      <c r="GX110">
        <v>1.6699999999999999E-5</v>
      </c>
      <c r="GY110">
        <v>1.6399999999999999E-5</v>
      </c>
      <c r="GZ110">
        <v>1.6200000000000001E-5</v>
      </c>
      <c r="HA110">
        <v>1.59E-5</v>
      </c>
      <c r="HB110">
        <v>1.5699999999999999E-5</v>
      </c>
      <c r="HC110">
        <v>1.5500000000000001E-5</v>
      </c>
      <c r="HD110">
        <v>1.5299999999999999E-5</v>
      </c>
      <c r="HE110">
        <v>1.5099999999999999E-5</v>
      </c>
      <c r="HF110">
        <v>1.5E-5</v>
      </c>
      <c r="HG110">
        <v>1.4800000000000001E-5</v>
      </c>
      <c r="HH110">
        <v>1.4600000000000001E-5</v>
      </c>
      <c r="HI110">
        <v>1.4399999999999999E-5</v>
      </c>
      <c r="HJ110">
        <v>1.4100000000000001E-5</v>
      </c>
      <c r="HK110">
        <v>1.38E-5</v>
      </c>
      <c r="HL110">
        <v>1.3200000000000001E-5</v>
      </c>
      <c r="HM110">
        <v>1.29E-5</v>
      </c>
      <c r="HN110">
        <v>1.26E-5</v>
      </c>
      <c r="HO110">
        <v>1.19E-5</v>
      </c>
      <c r="HP110">
        <v>1.2500000000000001E-5</v>
      </c>
      <c r="HQ110">
        <v>1.2300000000000001E-5</v>
      </c>
      <c r="HR110">
        <v>1.2300000000000001E-5</v>
      </c>
      <c r="HS110">
        <v>1.22E-5</v>
      </c>
      <c r="HT110">
        <v>1.2099999999999999E-5</v>
      </c>
      <c r="HU110">
        <v>1.2E-5</v>
      </c>
      <c r="HV110">
        <v>1.19E-5</v>
      </c>
      <c r="HW110">
        <v>1.19E-5</v>
      </c>
      <c r="HX110">
        <v>1.1800000000000001E-5</v>
      </c>
      <c r="HY110">
        <v>1.1600000000000001E-5</v>
      </c>
      <c r="HZ110">
        <v>1.15E-5</v>
      </c>
      <c r="IA110">
        <v>1.1399999999999999E-5</v>
      </c>
      <c r="IB110">
        <v>1.13E-5</v>
      </c>
      <c r="IC110">
        <v>1.1199999999999999E-5</v>
      </c>
      <c r="ID110">
        <v>1.11E-5</v>
      </c>
      <c r="IE110">
        <v>1.0900000000000001E-5</v>
      </c>
      <c r="IF110">
        <v>1.08E-5</v>
      </c>
      <c r="IG110">
        <v>7.6329999999999996E-4</v>
      </c>
    </row>
    <row r="111" spans="1:241" x14ac:dyDescent="0.35">
      <c r="A111" s="1">
        <v>103</v>
      </c>
      <c r="B111">
        <v>1.0654E-2</v>
      </c>
      <c r="C111">
        <v>1.0654E-2</v>
      </c>
      <c r="D111">
        <v>1.06058E-2</v>
      </c>
      <c r="E111">
        <v>1.04368E-2</v>
      </c>
      <c r="F111">
        <v>9.7558999999999996E-3</v>
      </c>
      <c r="G111">
        <v>9.1461000000000008E-3</v>
      </c>
      <c r="H111">
        <v>8.6233999999999998E-3</v>
      </c>
      <c r="I111">
        <v>8.0245000000000004E-3</v>
      </c>
      <c r="J111">
        <v>7.4948999999999997E-3</v>
      </c>
      <c r="K111">
        <v>7.0115000000000004E-3</v>
      </c>
      <c r="L111">
        <v>6.5833999999999997E-3</v>
      </c>
      <c r="M111">
        <v>6.2015999999999998E-3</v>
      </c>
      <c r="N111">
        <v>5.8618999999999997E-3</v>
      </c>
      <c r="O111">
        <v>5.5588E-3</v>
      </c>
      <c r="P111">
        <v>5.2896999999999996E-3</v>
      </c>
      <c r="Q111">
        <v>5.0419999999999996E-3</v>
      </c>
      <c r="R111">
        <v>4.8145999999999996E-3</v>
      </c>
      <c r="S111">
        <v>4.6064000000000001E-3</v>
      </c>
      <c r="T111">
        <v>4.4175999999999998E-3</v>
      </c>
      <c r="U111">
        <v>4.2443000000000003E-3</v>
      </c>
      <c r="V111">
        <v>4.0847000000000001E-3</v>
      </c>
      <c r="W111">
        <v>3.9401000000000002E-3</v>
      </c>
      <c r="X111">
        <v>3.8064000000000001E-3</v>
      </c>
      <c r="Y111">
        <v>3.6828E-3</v>
      </c>
      <c r="Z111">
        <v>3.5685999999999999E-3</v>
      </c>
      <c r="AA111">
        <v>3.4621000000000001E-3</v>
      </c>
      <c r="AB111">
        <v>3.3628E-3</v>
      </c>
      <c r="AC111">
        <v>3.2704000000000001E-3</v>
      </c>
      <c r="AD111">
        <v>3.1836999999999998E-3</v>
      </c>
      <c r="AE111">
        <v>3.1017000000000002E-3</v>
      </c>
      <c r="AF111">
        <v>3.0246000000000001E-3</v>
      </c>
      <c r="AG111">
        <v>2.9513E-3</v>
      </c>
      <c r="AH111">
        <v>2.882E-3</v>
      </c>
      <c r="AI111">
        <v>2.8157999999999998E-3</v>
      </c>
      <c r="AJ111">
        <v>2.7436000000000001E-3</v>
      </c>
      <c r="AK111">
        <v>2.6824000000000001E-3</v>
      </c>
      <c r="AL111">
        <v>2.6262E-3</v>
      </c>
      <c r="AM111">
        <v>2.5712E-3</v>
      </c>
      <c r="AN111">
        <v>2.5190999999999998E-3</v>
      </c>
      <c r="AO111">
        <v>2.4694000000000001E-3</v>
      </c>
      <c r="AP111">
        <v>2.4207E-3</v>
      </c>
      <c r="AQ111">
        <v>2.3835000000000002E-3</v>
      </c>
      <c r="AR111">
        <v>2.3392999999999999E-3</v>
      </c>
      <c r="AS111">
        <v>2.2972999999999999E-3</v>
      </c>
      <c r="AT111">
        <v>2.2550000000000001E-3</v>
      </c>
      <c r="AU111">
        <v>2.2087999999999999E-3</v>
      </c>
      <c r="AV111">
        <v>2.1711E-3</v>
      </c>
      <c r="AW111">
        <v>2.1413999999999999E-3</v>
      </c>
      <c r="AX111">
        <v>2.1056E-3</v>
      </c>
      <c r="AY111">
        <v>2.0712E-3</v>
      </c>
      <c r="AZ111">
        <v>2.0308000000000001E-3</v>
      </c>
      <c r="BA111">
        <v>1.9987E-3</v>
      </c>
      <c r="BB111">
        <v>1.9675999999999999E-3</v>
      </c>
      <c r="BC111">
        <v>1.9437E-3</v>
      </c>
      <c r="BD111">
        <v>1.9065E-3</v>
      </c>
      <c r="BE111">
        <v>1.8778E-3</v>
      </c>
      <c r="BF111">
        <v>1.8494E-3</v>
      </c>
      <c r="BG111">
        <v>1.8213999999999999E-3</v>
      </c>
      <c r="BH111">
        <v>1.7939E-3</v>
      </c>
      <c r="BI111">
        <v>1.7664E-3</v>
      </c>
      <c r="BJ111">
        <v>1.7397999999999999E-3</v>
      </c>
      <c r="BK111">
        <v>1.7143E-3</v>
      </c>
      <c r="BL111">
        <v>1.6895E-3</v>
      </c>
      <c r="BM111">
        <v>1.6582000000000001E-3</v>
      </c>
      <c r="BN111">
        <v>1.6335E-3</v>
      </c>
      <c r="BO111">
        <v>1.6087E-3</v>
      </c>
      <c r="BP111">
        <v>1.5831E-3</v>
      </c>
      <c r="BQ111">
        <v>1.5602000000000001E-3</v>
      </c>
      <c r="BR111">
        <v>1.5365000000000001E-3</v>
      </c>
      <c r="BS111">
        <v>1.5125E-3</v>
      </c>
      <c r="BT111">
        <v>1.4901000000000001E-3</v>
      </c>
      <c r="BU111">
        <v>1.4687999999999999E-3</v>
      </c>
      <c r="BV111">
        <v>1.4502E-3</v>
      </c>
      <c r="BW111">
        <v>1.4327000000000001E-3</v>
      </c>
      <c r="BX111">
        <v>1.4143999999999999E-3</v>
      </c>
      <c r="BY111">
        <v>1.3939E-3</v>
      </c>
      <c r="BZ111">
        <v>1.374E-3</v>
      </c>
      <c r="CA111">
        <v>1.3537E-3</v>
      </c>
      <c r="CB111">
        <v>1.33E-3</v>
      </c>
      <c r="CC111">
        <v>1.3108E-3</v>
      </c>
      <c r="CD111">
        <v>1.2753E-3</v>
      </c>
      <c r="CE111">
        <v>1.2542E-3</v>
      </c>
      <c r="CF111">
        <v>1.2336999999999999E-3</v>
      </c>
      <c r="CG111">
        <v>1.2130000000000001E-3</v>
      </c>
      <c r="CH111">
        <v>1.194E-3</v>
      </c>
      <c r="CI111">
        <v>1.1772E-3</v>
      </c>
      <c r="CJ111">
        <v>1.1605000000000001E-3</v>
      </c>
      <c r="CK111">
        <v>1.1421999999999999E-3</v>
      </c>
      <c r="CL111">
        <v>1.124E-3</v>
      </c>
      <c r="CM111">
        <v>1.1072E-3</v>
      </c>
      <c r="CN111">
        <v>1.0915E-3</v>
      </c>
      <c r="CO111">
        <v>1.0793000000000001E-3</v>
      </c>
      <c r="CP111">
        <v>1.0675999999999999E-3</v>
      </c>
      <c r="CQ111">
        <v>1.0552000000000001E-3</v>
      </c>
      <c r="CR111">
        <v>1.0426000000000001E-3</v>
      </c>
      <c r="CS111">
        <v>1.0292000000000001E-3</v>
      </c>
      <c r="CT111">
        <v>1.0143000000000001E-3</v>
      </c>
      <c r="CU111">
        <v>9.951999999999999E-4</v>
      </c>
      <c r="CV111">
        <v>9.7199999999999999E-4</v>
      </c>
      <c r="CW111">
        <v>9.2820000000000001E-4</v>
      </c>
      <c r="CX111">
        <v>9.0720000000000004E-4</v>
      </c>
      <c r="CY111">
        <v>8.8540000000000005E-4</v>
      </c>
      <c r="CZ111">
        <v>8.3679999999999996E-4</v>
      </c>
      <c r="DA111">
        <v>8.742E-4</v>
      </c>
      <c r="DB111">
        <v>8.6470000000000004E-4</v>
      </c>
      <c r="DC111">
        <v>8.6010000000000004E-4</v>
      </c>
      <c r="DD111">
        <v>8.5470000000000001E-4</v>
      </c>
      <c r="DE111">
        <v>8.4909999999999998E-4</v>
      </c>
      <c r="DF111">
        <v>8.4290000000000005E-4</v>
      </c>
      <c r="DG111">
        <v>8.363E-4</v>
      </c>
      <c r="DH111">
        <v>8.2919999999999999E-4</v>
      </c>
      <c r="DI111">
        <v>8.2180000000000003E-4</v>
      </c>
      <c r="DJ111">
        <v>8.1400000000000005E-4</v>
      </c>
      <c r="DK111">
        <v>8.0590000000000002E-4</v>
      </c>
      <c r="DL111">
        <v>7.9759999999999998E-4</v>
      </c>
      <c r="DM111">
        <v>7.8899999999999999E-4</v>
      </c>
      <c r="DN111">
        <v>7.8030000000000005E-4</v>
      </c>
      <c r="DO111">
        <v>7.7150000000000005E-4</v>
      </c>
      <c r="DP111">
        <v>7.626E-4</v>
      </c>
      <c r="DQ111">
        <v>5.3755499999999998E-2</v>
      </c>
      <c r="DR111">
        <v>0</v>
      </c>
      <c r="DS111">
        <v>4.8199999999999999E-5</v>
      </c>
      <c r="DT111">
        <v>1.6909999999999999E-4</v>
      </c>
      <c r="DU111">
        <v>6.8110000000000002E-4</v>
      </c>
      <c r="DV111">
        <v>6.1030000000000004E-4</v>
      </c>
      <c r="DW111">
        <v>5.7129999999999995E-4</v>
      </c>
      <c r="DX111">
        <v>5.9999999999999995E-4</v>
      </c>
      <c r="DY111">
        <v>5.3089999999999995E-4</v>
      </c>
      <c r="DZ111">
        <v>4.8519999999999998E-4</v>
      </c>
      <c r="EA111">
        <v>4.3019999999999999E-4</v>
      </c>
      <c r="EB111">
        <v>3.8440000000000002E-4</v>
      </c>
      <c r="EC111">
        <v>3.4259999999999998E-4</v>
      </c>
      <c r="ED111">
        <v>3.0689999999999998E-4</v>
      </c>
      <c r="EE111">
        <v>2.7559999999999998E-4</v>
      </c>
      <c r="EF111">
        <v>2.4850000000000002E-4</v>
      </c>
      <c r="EG111">
        <v>2.2499999999999999E-4</v>
      </c>
      <c r="EH111">
        <v>2.042E-4</v>
      </c>
      <c r="EI111">
        <v>1.8579999999999999E-4</v>
      </c>
      <c r="EJ111">
        <v>1.6980000000000001E-4</v>
      </c>
      <c r="EK111">
        <v>1.5550000000000001E-4</v>
      </c>
      <c r="EL111">
        <v>1.428E-4</v>
      </c>
      <c r="EM111">
        <v>1.317E-4</v>
      </c>
      <c r="EN111">
        <v>1.2180000000000001E-4</v>
      </c>
      <c r="EO111">
        <v>1.13E-4</v>
      </c>
      <c r="EP111">
        <v>1.052E-4</v>
      </c>
      <c r="EQ111">
        <v>9.8200000000000002E-5</v>
      </c>
      <c r="ER111">
        <v>9.2E-5</v>
      </c>
      <c r="ES111">
        <v>8.6399999999999999E-5</v>
      </c>
      <c r="ET111">
        <v>8.14E-5</v>
      </c>
      <c r="EU111">
        <v>7.6799999999999997E-5</v>
      </c>
      <c r="EV111">
        <v>7.2700000000000005E-5</v>
      </c>
      <c r="EW111">
        <v>6.8899999999999994E-5</v>
      </c>
      <c r="EX111">
        <v>6.5400000000000004E-5</v>
      </c>
      <c r="EY111">
        <v>6.2199999999999994E-5</v>
      </c>
      <c r="EZ111">
        <v>5.91E-5</v>
      </c>
      <c r="FA111">
        <v>5.63E-5</v>
      </c>
      <c r="FB111">
        <v>5.38E-5</v>
      </c>
      <c r="FC111">
        <v>5.1499999999999998E-5</v>
      </c>
      <c r="FD111">
        <v>4.9299999999999999E-5</v>
      </c>
      <c r="FE111">
        <v>4.7299999999999998E-5</v>
      </c>
      <c r="FF111">
        <v>4.5300000000000003E-5</v>
      </c>
      <c r="FG111">
        <v>4.3800000000000001E-5</v>
      </c>
      <c r="FH111">
        <v>4.21E-5</v>
      </c>
      <c r="FI111">
        <v>4.0599999999999998E-5</v>
      </c>
      <c r="FJ111">
        <v>3.9100000000000002E-5</v>
      </c>
      <c r="FK111">
        <v>3.7700000000000002E-5</v>
      </c>
      <c r="FL111">
        <v>3.65E-5</v>
      </c>
      <c r="FM111">
        <v>3.54E-5</v>
      </c>
      <c r="FN111">
        <v>3.43E-5</v>
      </c>
      <c r="FO111">
        <v>3.3300000000000003E-5</v>
      </c>
      <c r="FP111">
        <v>3.2199999999999997E-5</v>
      </c>
      <c r="FQ111">
        <v>3.1399999999999998E-5</v>
      </c>
      <c r="FR111">
        <v>3.0499999999999999E-5</v>
      </c>
      <c r="FS111">
        <v>2.9899999999999998E-5</v>
      </c>
      <c r="FT111">
        <v>2.9E-5</v>
      </c>
      <c r="FU111">
        <v>2.83E-5</v>
      </c>
      <c r="FV111">
        <v>2.7699999999999999E-5</v>
      </c>
      <c r="FW111">
        <v>2.6999999999999999E-5</v>
      </c>
      <c r="FX111">
        <v>2.6400000000000001E-5</v>
      </c>
      <c r="FY111">
        <v>2.5899999999999999E-5</v>
      </c>
      <c r="FZ111">
        <v>2.5299999999999998E-5</v>
      </c>
      <c r="GA111">
        <v>2.48E-5</v>
      </c>
      <c r="GB111">
        <v>2.44E-5</v>
      </c>
      <c r="GC111">
        <v>2.3799999999999999E-5</v>
      </c>
      <c r="GD111">
        <v>2.34E-5</v>
      </c>
      <c r="GE111">
        <v>2.2900000000000001E-5</v>
      </c>
      <c r="GF111">
        <v>2.2500000000000001E-5</v>
      </c>
      <c r="GG111">
        <v>2.2099999999999998E-5</v>
      </c>
      <c r="GH111">
        <v>2.1699999999999999E-5</v>
      </c>
      <c r="GI111">
        <v>2.1299999999999999E-5</v>
      </c>
      <c r="GJ111">
        <v>2.0999999999999999E-5</v>
      </c>
      <c r="GK111">
        <v>2.0599999999999999E-5</v>
      </c>
      <c r="GL111">
        <v>2.0299999999999999E-5</v>
      </c>
      <c r="GM111">
        <v>2.0100000000000001E-5</v>
      </c>
      <c r="GN111">
        <v>1.98E-5</v>
      </c>
      <c r="GO111">
        <v>1.95E-5</v>
      </c>
      <c r="GP111">
        <v>1.9199999999999999E-5</v>
      </c>
      <c r="GQ111">
        <v>1.8899999999999999E-5</v>
      </c>
      <c r="GR111">
        <v>1.8600000000000001E-5</v>
      </c>
      <c r="GS111">
        <v>1.8300000000000001E-5</v>
      </c>
      <c r="GT111">
        <v>1.7799999999999999E-5</v>
      </c>
      <c r="GU111">
        <v>1.7499999999999998E-5</v>
      </c>
      <c r="GV111">
        <v>1.7200000000000001E-5</v>
      </c>
      <c r="GW111">
        <v>1.6900000000000001E-5</v>
      </c>
      <c r="GX111">
        <v>1.6699999999999999E-5</v>
      </c>
      <c r="GY111">
        <v>1.6399999999999999E-5</v>
      </c>
      <c r="GZ111">
        <v>1.6200000000000001E-5</v>
      </c>
      <c r="HA111">
        <v>1.5999999999999999E-5</v>
      </c>
      <c r="HB111">
        <v>1.5699999999999999E-5</v>
      </c>
      <c r="HC111">
        <v>1.5500000000000001E-5</v>
      </c>
      <c r="HD111">
        <v>1.5299999999999999E-5</v>
      </c>
      <c r="HE111">
        <v>1.5099999999999999E-5</v>
      </c>
      <c r="HF111">
        <v>1.49E-5</v>
      </c>
      <c r="HG111">
        <v>1.4800000000000001E-5</v>
      </c>
      <c r="HH111">
        <v>1.4600000000000001E-5</v>
      </c>
      <c r="HI111">
        <v>1.4399999999999999E-5</v>
      </c>
      <c r="HJ111">
        <v>1.42E-5</v>
      </c>
      <c r="HK111">
        <v>1.4E-5</v>
      </c>
      <c r="HL111">
        <v>1.36E-5</v>
      </c>
      <c r="HM111">
        <v>1.2999999999999999E-5</v>
      </c>
      <c r="HN111">
        <v>1.27E-5</v>
      </c>
      <c r="HO111">
        <v>1.24E-5</v>
      </c>
      <c r="HP111">
        <v>1.1800000000000001E-5</v>
      </c>
      <c r="HQ111">
        <v>1.2300000000000001E-5</v>
      </c>
      <c r="HR111">
        <v>1.22E-5</v>
      </c>
      <c r="HS111">
        <v>1.2099999999999999E-5</v>
      </c>
      <c r="HT111">
        <v>1.2E-5</v>
      </c>
      <c r="HU111">
        <v>1.2E-5</v>
      </c>
      <c r="HV111">
        <v>1.19E-5</v>
      </c>
      <c r="HW111">
        <v>1.1800000000000001E-5</v>
      </c>
      <c r="HX111">
        <v>1.17E-5</v>
      </c>
      <c r="HY111">
        <v>1.1600000000000001E-5</v>
      </c>
      <c r="HZ111">
        <v>1.15E-5</v>
      </c>
      <c r="IA111">
        <v>1.1399999999999999E-5</v>
      </c>
      <c r="IB111">
        <v>1.13E-5</v>
      </c>
      <c r="IC111">
        <v>1.11E-5</v>
      </c>
      <c r="ID111">
        <v>1.1E-5</v>
      </c>
      <c r="IE111">
        <v>1.0900000000000001E-5</v>
      </c>
      <c r="IF111">
        <v>1.08E-5</v>
      </c>
      <c r="IG111">
        <v>7.6320000000000001E-4</v>
      </c>
    </row>
    <row r="112" spans="1:241" x14ac:dyDescent="0.35">
      <c r="A112" s="1">
        <v>104</v>
      </c>
      <c r="B112">
        <v>1.0654E-2</v>
      </c>
      <c r="C112">
        <v>1.0654E-2</v>
      </c>
      <c r="D112">
        <v>1.06058E-2</v>
      </c>
      <c r="E112">
        <v>1.04367E-2</v>
      </c>
      <c r="F112">
        <v>9.7557000000000008E-3</v>
      </c>
      <c r="G112">
        <v>9.1456000000000003E-3</v>
      </c>
      <c r="H112">
        <v>8.5748000000000005E-3</v>
      </c>
      <c r="I112">
        <v>8.0234E-3</v>
      </c>
      <c r="J112">
        <v>7.4935999999999996E-3</v>
      </c>
      <c r="K112">
        <v>7.0098000000000001E-3</v>
      </c>
      <c r="L112">
        <v>6.5813E-3</v>
      </c>
      <c r="M112">
        <v>6.1990999999999999E-3</v>
      </c>
      <c r="N112">
        <v>5.8589999999999996E-3</v>
      </c>
      <c r="O112">
        <v>5.555E-3</v>
      </c>
      <c r="P112">
        <v>5.2832E-3</v>
      </c>
      <c r="Q112">
        <v>5.0410999999999997E-3</v>
      </c>
      <c r="R112">
        <v>4.8170000000000001E-3</v>
      </c>
      <c r="S112">
        <v>4.6103999999999997E-3</v>
      </c>
      <c r="T112">
        <v>4.4206999999999996E-3</v>
      </c>
      <c r="U112">
        <v>4.2478000000000004E-3</v>
      </c>
      <c r="V112">
        <v>4.0888000000000001E-3</v>
      </c>
      <c r="W112">
        <v>3.9418999999999999E-3</v>
      </c>
      <c r="X112">
        <v>3.8084E-3</v>
      </c>
      <c r="Y112">
        <v>3.6846000000000001E-3</v>
      </c>
      <c r="Z112">
        <v>3.5698000000000001E-3</v>
      </c>
      <c r="AA112">
        <v>3.4634000000000002E-3</v>
      </c>
      <c r="AB112">
        <v>3.3639E-3</v>
      </c>
      <c r="AC112">
        <v>3.2707999999999999E-3</v>
      </c>
      <c r="AD112">
        <v>3.1840000000000002E-3</v>
      </c>
      <c r="AE112">
        <v>3.1023000000000001E-3</v>
      </c>
      <c r="AF112">
        <v>3.0247999999999998E-3</v>
      </c>
      <c r="AG112">
        <v>2.9520000000000002E-3</v>
      </c>
      <c r="AH112">
        <v>2.8823999999999998E-3</v>
      </c>
      <c r="AI112">
        <v>2.8165999999999998E-3</v>
      </c>
      <c r="AJ112">
        <v>2.7536000000000001E-3</v>
      </c>
      <c r="AK112">
        <v>2.6844999999999998E-3</v>
      </c>
      <c r="AL112">
        <v>2.6261000000000001E-3</v>
      </c>
      <c r="AM112">
        <v>2.5723999999999999E-3</v>
      </c>
      <c r="AN112">
        <v>2.5197000000000002E-3</v>
      </c>
      <c r="AO112">
        <v>2.4697999999999999E-3</v>
      </c>
      <c r="AP112">
        <v>2.4221999999999998E-3</v>
      </c>
      <c r="AQ112">
        <v>2.3754000000000002E-3</v>
      </c>
      <c r="AR112">
        <v>2.3398E-3</v>
      </c>
      <c r="AS112">
        <v>2.2972000000000001E-3</v>
      </c>
      <c r="AT112">
        <v>2.2566999999999999E-3</v>
      </c>
      <c r="AU112">
        <v>2.2158E-3</v>
      </c>
      <c r="AV112">
        <v>2.1711E-3</v>
      </c>
      <c r="AW112">
        <v>2.1346E-3</v>
      </c>
      <c r="AX112">
        <v>2.1059999999999998E-3</v>
      </c>
      <c r="AY112">
        <v>2.0712999999999999E-3</v>
      </c>
      <c r="AZ112">
        <v>2.0378000000000002E-3</v>
      </c>
      <c r="BA112">
        <v>1.9984999999999998E-3</v>
      </c>
      <c r="BB112">
        <v>1.9673999999999998E-3</v>
      </c>
      <c r="BC112">
        <v>1.9369999999999999E-3</v>
      </c>
      <c r="BD112">
        <v>1.9138E-3</v>
      </c>
      <c r="BE112">
        <v>1.8775E-3</v>
      </c>
      <c r="BF112">
        <v>1.8495E-3</v>
      </c>
      <c r="BG112">
        <v>1.8217000000000001E-3</v>
      </c>
      <c r="BH112">
        <v>1.7944E-3</v>
      </c>
      <c r="BI112">
        <v>1.7675E-3</v>
      </c>
      <c r="BJ112">
        <v>1.7405000000000001E-3</v>
      </c>
      <c r="BK112">
        <v>1.7144E-3</v>
      </c>
      <c r="BL112">
        <v>1.6895E-3</v>
      </c>
      <c r="BM112">
        <v>1.6651000000000001E-3</v>
      </c>
      <c r="BN112">
        <v>1.6344E-3</v>
      </c>
      <c r="BO112">
        <v>1.6100999999999999E-3</v>
      </c>
      <c r="BP112">
        <v>1.5858000000000001E-3</v>
      </c>
      <c r="BQ112">
        <v>1.5606000000000001E-3</v>
      </c>
      <c r="BR112">
        <v>1.5380999999999999E-3</v>
      </c>
      <c r="BS112">
        <v>1.5148E-3</v>
      </c>
      <c r="BT112">
        <v>1.4912E-3</v>
      </c>
      <c r="BU112">
        <v>1.4691000000000001E-3</v>
      </c>
      <c r="BV112">
        <v>1.4480999999999999E-3</v>
      </c>
      <c r="BW112">
        <v>1.4298E-3</v>
      </c>
      <c r="BX112">
        <v>1.4127E-3</v>
      </c>
      <c r="BY112">
        <v>1.3946E-3</v>
      </c>
      <c r="BZ112">
        <v>1.3744E-3</v>
      </c>
      <c r="CA112">
        <v>1.3548E-3</v>
      </c>
      <c r="CB112">
        <v>1.3347999999999999E-3</v>
      </c>
      <c r="CC112">
        <v>1.3114999999999999E-3</v>
      </c>
      <c r="CD112">
        <v>1.2925E-3</v>
      </c>
      <c r="CE112">
        <v>1.2574999999999999E-3</v>
      </c>
      <c r="CF112">
        <v>1.2367000000000001E-3</v>
      </c>
      <c r="CG112">
        <v>1.2164999999999999E-3</v>
      </c>
      <c r="CH112">
        <v>1.1961000000000001E-3</v>
      </c>
      <c r="CI112">
        <v>1.1773E-3</v>
      </c>
      <c r="CJ112">
        <v>1.1608E-3</v>
      </c>
      <c r="CK112">
        <v>1.1443E-3</v>
      </c>
      <c r="CL112">
        <v>1.1261999999999999E-3</v>
      </c>
      <c r="CM112">
        <v>1.1083E-3</v>
      </c>
      <c r="CN112">
        <v>1.0916999999999999E-3</v>
      </c>
      <c r="CO112">
        <v>1.0762E-3</v>
      </c>
      <c r="CP112">
        <v>1.0642E-3</v>
      </c>
      <c r="CQ112">
        <v>1.0526000000000001E-3</v>
      </c>
      <c r="CR112">
        <v>1.0403999999999999E-3</v>
      </c>
      <c r="CS112">
        <v>1.0280000000000001E-3</v>
      </c>
      <c r="CT112">
        <v>1.0147999999999999E-3</v>
      </c>
      <c r="CU112">
        <v>1.0001000000000001E-3</v>
      </c>
      <c r="CV112">
        <v>9.8130000000000005E-4</v>
      </c>
      <c r="CW112">
        <v>9.5839999999999999E-4</v>
      </c>
      <c r="CX112">
        <v>9.1520000000000002E-4</v>
      </c>
      <c r="CY112">
        <v>8.9439999999999995E-4</v>
      </c>
      <c r="CZ112">
        <v>8.7299999999999997E-4</v>
      </c>
      <c r="DA112">
        <v>8.2510000000000005E-4</v>
      </c>
      <c r="DB112">
        <v>8.6189999999999997E-4</v>
      </c>
      <c r="DC112">
        <v>8.5249999999999996E-4</v>
      </c>
      <c r="DD112">
        <v>8.4800000000000001E-4</v>
      </c>
      <c r="DE112">
        <v>8.4270000000000005E-4</v>
      </c>
      <c r="DF112">
        <v>8.3710000000000002E-4</v>
      </c>
      <c r="DG112">
        <v>8.3100000000000003E-4</v>
      </c>
      <c r="DH112">
        <v>8.2450000000000004E-4</v>
      </c>
      <c r="DI112">
        <v>8.1749999999999998E-4</v>
      </c>
      <c r="DJ112">
        <v>8.1019999999999996E-4</v>
      </c>
      <c r="DK112">
        <v>8.0250000000000004E-4</v>
      </c>
      <c r="DL112">
        <v>7.9449999999999996E-4</v>
      </c>
      <c r="DM112">
        <v>7.8629999999999998E-4</v>
      </c>
      <c r="DN112">
        <v>7.7789999999999999E-4</v>
      </c>
      <c r="DO112">
        <v>7.693E-4</v>
      </c>
      <c r="DP112">
        <v>7.6059999999999995E-4</v>
      </c>
      <c r="DQ112">
        <v>5.3744100000000003E-2</v>
      </c>
      <c r="DR112">
        <v>0</v>
      </c>
      <c r="DS112">
        <v>4.8199999999999999E-5</v>
      </c>
      <c r="DT112">
        <v>1.6919999999999999E-4</v>
      </c>
      <c r="DU112">
        <v>6.8130000000000003E-4</v>
      </c>
      <c r="DV112">
        <v>6.1050000000000004E-4</v>
      </c>
      <c r="DW112">
        <v>5.7149999999999996E-4</v>
      </c>
      <c r="DX112">
        <v>5.9449999999999998E-4</v>
      </c>
      <c r="DY112">
        <v>5.3109999999999995E-4</v>
      </c>
      <c r="DZ112">
        <v>4.8529999999999998E-4</v>
      </c>
      <c r="EA112">
        <v>4.303E-4</v>
      </c>
      <c r="EB112">
        <v>3.8450000000000002E-4</v>
      </c>
      <c r="EC112">
        <v>3.4289999999999999E-4</v>
      </c>
      <c r="ED112">
        <v>3.0739999999999999E-4</v>
      </c>
      <c r="EE112">
        <v>2.7629999999999999E-4</v>
      </c>
      <c r="EF112">
        <v>2.496E-4</v>
      </c>
      <c r="EG112">
        <v>2.264E-4</v>
      </c>
      <c r="EH112">
        <v>2.062E-4</v>
      </c>
      <c r="EI112">
        <v>1.8819999999999999E-4</v>
      </c>
      <c r="EJ112">
        <v>1.7220000000000001E-4</v>
      </c>
      <c r="EK112">
        <v>1.582E-4</v>
      </c>
      <c r="EL112">
        <v>1.4559999999999999E-4</v>
      </c>
      <c r="EM112">
        <v>1.3430000000000001E-4</v>
      </c>
      <c r="EN112">
        <v>1.2439999999999999E-4</v>
      </c>
      <c r="EO112">
        <v>1.155E-4</v>
      </c>
      <c r="EP112">
        <v>1.075E-4</v>
      </c>
      <c r="EQ112">
        <v>1.004E-4</v>
      </c>
      <c r="ER112">
        <v>9.3999999999999994E-5</v>
      </c>
      <c r="ES112">
        <v>8.8300000000000005E-5</v>
      </c>
      <c r="ET112">
        <v>8.3100000000000001E-5</v>
      </c>
      <c r="EU112">
        <v>7.8399999999999995E-5</v>
      </c>
      <c r="EV112">
        <v>7.4099999999999999E-5</v>
      </c>
      <c r="EW112">
        <v>7.0199999999999999E-5</v>
      </c>
      <c r="EX112">
        <v>6.6600000000000006E-5</v>
      </c>
      <c r="EY112">
        <v>6.3299999999999994E-5</v>
      </c>
      <c r="EZ112">
        <v>6.0300000000000002E-5</v>
      </c>
      <c r="FA112">
        <v>5.7200000000000001E-5</v>
      </c>
      <c r="FB112">
        <v>5.4599999999999999E-5</v>
      </c>
      <c r="FC112">
        <v>5.2200000000000002E-5</v>
      </c>
      <c r="FD112">
        <v>4.99E-5</v>
      </c>
      <c r="FE112">
        <v>4.7800000000000003E-5</v>
      </c>
      <c r="FF112">
        <v>4.5899999999999998E-5</v>
      </c>
      <c r="FG112">
        <v>4.3999999999999999E-5</v>
      </c>
      <c r="FH112">
        <v>4.2500000000000003E-5</v>
      </c>
      <c r="FI112">
        <v>4.0899999999999998E-5</v>
      </c>
      <c r="FJ112">
        <v>3.9499999999999998E-5</v>
      </c>
      <c r="FK112">
        <v>3.8099999999999998E-5</v>
      </c>
      <c r="FL112">
        <v>3.6699999999999998E-5</v>
      </c>
      <c r="FM112">
        <v>3.5500000000000002E-5</v>
      </c>
      <c r="FN112">
        <v>3.4499999999999998E-5</v>
      </c>
      <c r="FO112">
        <v>3.3500000000000001E-5</v>
      </c>
      <c r="FP112">
        <v>3.2499999999999997E-5</v>
      </c>
      <c r="FQ112">
        <v>3.15E-5</v>
      </c>
      <c r="FR112">
        <v>3.0599999999999998E-5</v>
      </c>
      <c r="FS112">
        <v>2.9799999999999999E-5</v>
      </c>
      <c r="FT112">
        <v>2.9200000000000002E-5</v>
      </c>
      <c r="FU112">
        <v>2.8399999999999999E-5</v>
      </c>
      <c r="FV112">
        <v>2.7699999999999999E-5</v>
      </c>
      <c r="FW112">
        <v>2.7100000000000001E-5</v>
      </c>
      <c r="FX112">
        <v>2.65E-5</v>
      </c>
      <c r="FY112">
        <v>2.5899999999999999E-5</v>
      </c>
      <c r="FZ112">
        <v>2.5400000000000001E-5</v>
      </c>
      <c r="GA112">
        <v>2.4899999999999999E-5</v>
      </c>
      <c r="GB112">
        <v>2.44E-5</v>
      </c>
      <c r="GC112">
        <v>2.3900000000000002E-5</v>
      </c>
      <c r="GD112">
        <v>2.34E-5</v>
      </c>
      <c r="GE112">
        <v>2.3E-5</v>
      </c>
      <c r="GF112">
        <v>2.2500000000000001E-5</v>
      </c>
      <c r="GG112">
        <v>2.2099999999999998E-5</v>
      </c>
      <c r="GH112">
        <v>2.1699999999999999E-5</v>
      </c>
      <c r="GI112">
        <v>2.1399999999999998E-5</v>
      </c>
      <c r="GJ112">
        <v>2.0999999999999999E-5</v>
      </c>
      <c r="GK112">
        <v>2.0599999999999999E-5</v>
      </c>
      <c r="GL112">
        <v>2.0299999999999999E-5</v>
      </c>
      <c r="GM112">
        <v>2.0000000000000002E-5</v>
      </c>
      <c r="GN112">
        <v>1.98E-5</v>
      </c>
      <c r="GO112">
        <v>1.95E-5</v>
      </c>
      <c r="GP112">
        <v>1.9199999999999999E-5</v>
      </c>
      <c r="GQ112">
        <v>1.8899999999999999E-5</v>
      </c>
      <c r="GR112">
        <v>1.8600000000000001E-5</v>
      </c>
      <c r="GS112">
        <v>1.8300000000000001E-5</v>
      </c>
      <c r="GT112">
        <v>1.8E-5</v>
      </c>
      <c r="GU112">
        <v>1.7499999999999998E-5</v>
      </c>
      <c r="GV112">
        <v>1.73E-5</v>
      </c>
      <c r="GW112">
        <v>1.7E-5</v>
      </c>
      <c r="GX112">
        <v>1.6699999999999999E-5</v>
      </c>
      <c r="GY112">
        <v>1.6399999999999999E-5</v>
      </c>
      <c r="GZ112">
        <v>1.6200000000000001E-5</v>
      </c>
      <c r="HA112">
        <v>1.5999999999999999E-5</v>
      </c>
      <c r="HB112">
        <v>1.5699999999999999E-5</v>
      </c>
      <c r="HC112">
        <v>1.5500000000000001E-5</v>
      </c>
      <c r="HD112">
        <v>1.5299999999999999E-5</v>
      </c>
      <c r="HE112">
        <v>1.5099999999999999E-5</v>
      </c>
      <c r="HF112">
        <v>1.49E-5</v>
      </c>
      <c r="HG112">
        <v>1.47E-5</v>
      </c>
      <c r="HH112">
        <v>1.4600000000000001E-5</v>
      </c>
      <c r="HI112">
        <v>1.4399999999999999E-5</v>
      </c>
      <c r="HJ112">
        <v>1.42E-5</v>
      </c>
      <c r="HK112">
        <v>1.4E-5</v>
      </c>
      <c r="HL112">
        <v>1.38E-5</v>
      </c>
      <c r="HM112">
        <v>1.3499999999999999E-5</v>
      </c>
      <c r="HN112">
        <v>1.2799999999999999E-5</v>
      </c>
      <c r="HO112">
        <v>1.26E-5</v>
      </c>
      <c r="HP112">
        <v>1.2300000000000001E-5</v>
      </c>
      <c r="HQ112">
        <v>1.1600000000000001E-5</v>
      </c>
      <c r="HR112">
        <v>1.2099999999999999E-5</v>
      </c>
      <c r="HS112">
        <v>1.2E-5</v>
      </c>
      <c r="HT112">
        <v>1.19E-5</v>
      </c>
      <c r="HU112">
        <v>1.19E-5</v>
      </c>
      <c r="HV112">
        <v>1.1800000000000001E-5</v>
      </c>
      <c r="HW112">
        <v>1.17E-5</v>
      </c>
      <c r="HX112">
        <v>1.1600000000000001E-5</v>
      </c>
      <c r="HY112">
        <v>1.15E-5</v>
      </c>
      <c r="HZ112">
        <v>1.1399999999999999E-5</v>
      </c>
      <c r="IA112">
        <v>1.13E-5</v>
      </c>
      <c r="IB112">
        <v>1.1199999999999999E-5</v>
      </c>
      <c r="IC112">
        <v>1.11E-5</v>
      </c>
      <c r="ID112">
        <v>1.1E-5</v>
      </c>
      <c r="IE112">
        <v>1.0900000000000001E-5</v>
      </c>
      <c r="IF112">
        <v>1.08E-5</v>
      </c>
      <c r="IG112">
        <v>7.6300000000000001E-4</v>
      </c>
    </row>
    <row r="113" spans="1:241" x14ac:dyDescent="0.35">
      <c r="A113" s="1">
        <v>105</v>
      </c>
      <c r="B113">
        <v>1.05568E-2</v>
      </c>
      <c r="C113">
        <v>1.0654E-2</v>
      </c>
      <c r="D113">
        <v>1.06058E-2</v>
      </c>
      <c r="E113">
        <v>1.0436600000000001E-2</v>
      </c>
      <c r="F113">
        <v>9.7553999999999991E-3</v>
      </c>
      <c r="G113">
        <v>9.1450999999999998E-3</v>
      </c>
      <c r="H113">
        <v>8.5740999999999994E-3</v>
      </c>
      <c r="I113">
        <v>7.9802999999999992E-3</v>
      </c>
      <c r="J113">
        <v>7.4923000000000003E-3</v>
      </c>
      <c r="K113">
        <v>7.0083000000000003E-3</v>
      </c>
      <c r="L113">
        <v>6.5795000000000003E-3</v>
      </c>
      <c r="M113">
        <v>6.1967999999999997E-3</v>
      </c>
      <c r="N113">
        <v>5.8561999999999998E-3</v>
      </c>
      <c r="O113">
        <v>5.5516000000000003E-3</v>
      </c>
      <c r="P113">
        <v>5.2786999999999999E-3</v>
      </c>
      <c r="Q113">
        <v>5.0337000000000003E-3</v>
      </c>
      <c r="R113">
        <v>4.8148000000000002E-3</v>
      </c>
      <c r="S113">
        <v>4.6108E-3</v>
      </c>
      <c r="T113">
        <v>4.4222000000000003E-3</v>
      </c>
      <c r="U113">
        <v>4.2484999999999997E-3</v>
      </c>
      <c r="V113">
        <v>4.0896999999999999E-3</v>
      </c>
      <c r="W113">
        <v>3.9432E-3</v>
      </c>
      <c r="X113">
        <v>3.8076E-3</v>
      </c>
      <c r="Y113">
        <v>3.6840000000000002E-3</v>
      </c>
      <c r="Z113">
        <v>3.5691E-3</v>
      </c>
      <c r="AA113">
        <v>3.4621999999999999E-3</v>
      </c>
      <c r="AB113">
        <v>3.3630000000000001E-3</v>
      </c>
      <c r="AC113">
        <v>3.2697999999999998E-3</v>
      </c>
      <c r="AD113">
        <v>3.1825999999999998E-3</v>
      </c>
      <c r="AE113">
        <v>3.1009000000000002E-3</v>
      </c>
      <c r="AF113">
        <v>3.0238999999999999E-3</v>
      </c>
      <c r="AG113">
        <v>2.9507000000000001E-3</v>
      </c>
      <c r="AH113">
        <v>2.8817999999999999E-3</v>
      </c>
      <c r="AI113">
        <v>2.8157999999999998E-3</v>
      </c>
      <c r="AJ113">
        <v>2.7533000000000002E-3</v>
      </c>
      <c r="AK113">
        <v>2.6933E-3</v>
      </c>
      <c r="AL113">
        <v>2.6272999999999999E-3</v>
      </c>
      <c r="AM113">
        <v>2.5715E-3</v>
      </c>
      <c r="AN113">
        <v>2.5201999999999998E-3</v>
      </c>
      <c r="AO113">
        <v>2.4697999999999999E-3</v>
      </c>
      <c r="AP113">
        <v>2.4220000000000001E-3</v>
      </c>
      <c r="AQ113">
        <v>2.3763E-3</v>
      </c>
      <c r="AR113">
        <v>2.3314E-3</v>
      </c>
      <c r="AS113">
        <v>2.2972999999999999E-3</v>
      </c>
      <c r="AT113">
        <v>2.2563000000000001E-3</v>
      </c>
      <c r="AU113">
        <v>2.2173000000000002E-3</v>
      </c>
      <c r="AV113">
        <v>2.1778000000000001E-3</v>
      </c>
      <c r="AW113">
        <v>2.1343999999999998E-3</v>
      </c>
      <c r="AX113">
        <v>2.0991E-3</v>
      </c>
      <c r="AY113">
        <v>2.0714000000000002E-3</v>
      </c>
      <c r="AZ113">
        <v>2.0378000000000002E-3</v>
      </c>
      <c r="BA113">
        <v>2.0052999999999998E-3</v>
      </c>
      <c r="BB113">
        <v>1.9670999999999998E-3</v>
      </c>
      <c r="BC113">
        <v>1.9367E-3</v>
      </c>
      <c r="BD113">
        <v>1.9072E-3</v>
      </c>
      <c r="BE113">
        <v>1.8845999999999999E-3</v>
      </c>
      <c r="BF113">
        <v>1.8491E-3</v>
      </c>
      <c r="BG113">
        <v>1.8217999999999999E-3</v>
      </c>
      <c r="BH113">
        <v>1.7945999999999999E-3</v>
      </c>
      <c r="BI113">
        <v>1.7679E-3</v>
      </c>
      <c r="BJ113">
        <v>1.7415E-3</v>
      </c>
      <c r="BK113">
        <v>1.7152000000000001E-3</v>
      </c>
      <c r="BL113">
        <v>1.6896000000000001E-3</v>
      </c>
      <c r="BM113">
        <v>1.6651000000000001E-3</v>
      </c>
      <c r="BN113">
        <v>1.6412E-3</v>
      </c>
      <c r="BO113">
        <v>1.611E-3</v>
      </c>
      <c r="BP113">
        <v>1.5872E-3</v>
      </c>
      <c r="BQ113">
        <v>1.5633000000000001E-3</v>
      </c>
      <c r="BR113">
        <v>1.5384999999999999E-3</v>
      </c>
      <c r="BS113">
        <v>1.5164E-3</v>
      </c>
      <c r="BT113">
        <v>1.4935E-3</v>
      </c>
      <c r="BU113">
        <v>1.4702000000000001E-3</v>
      </c>
      <c r="BV113">
        <v>1.4484999999999999E-3</v>
      </c>
      <c r="BW113">
        <v>1.4277999999999999E-3</v>
      </c>
      <c r="BX113">
        <v>1.4097999999999999E-3</v>
      </c>
      <c r="BY113">
        <v>1.3929000000000001E-3</v>
      </c>
      <c r="BZ113">
        <v>1.3751E-3</v>
      </c>
      <c r="CA113">
        <v>1.3552E-3</v>
      </c>
      <c r="CB113">
        <v>1.3359000000000001E-3</v>
      </c>
      <c r="CC113">
        <v>1.3161E-3</v>
      </c>
      <c r="CD113">
        <v>1.2932E-3</v>
      </c>
      <c r="CE113">
        <v>1.2744E-3</v>
      </c>
      <c r="CF113">
        <v>1.2398999999999999E-3</v>
      </c>
      <c r="CG113">
        <v>1.2195000000000001E-3</v>
      </c>
      <c r="CH113">
        <v>1.1995E-3</v>
      </c>
      <c r="CI113">
        <v>1.1793999999999999E-3</v>
      </c>
      <c r="CJ113">
        <v>1.1609000000000001E-3</v>
      </c>
      <c r="CK113">
        <v>1.1446E-3</v>
      </c>
      <c r="CL113">
        <v>1.1283E-3</v>
      </c>
      <c r="CM113">
        <v>1.1104999999999999E-3</v>
      </c>
      <c r="CN113">
        <v>1.0928000000000001E-3</v>
      </c>
      <c r="CO113">
        <v>1.0763999999999999E-3</v>
      </c>
      <c r="CP113">
        <v>1.0612E-3</v>
      </c>
      <c r="CQ113">
        <v>1.0493E-3</v>
      </c>
      <c r="CR113">
        <v>1.0379E-3</v>
      </c>
      <c r="CS113">
        <v>1.0258999999999999E-3</v>
      </c>
      <c r="CT113">
        <v>1.0135999999999999E-3</v>
      </c>
      <c r="CU113">
        <v>1.0005000000000001E-3</v>
      </c>
      <c r="CV113">
        <v>9.859999999999999E-4</v>
      </c>
      <c r="CW113">
        <v>9.6750000000000004E-4</v>
      </c>
      <c r="CX113">
        <v>9.4490000000000004E-4</v>
      </c>
      <c r="CY113">
        <v>9.0229999999999998E-4</v>
      </c>
      <c r="CZ113">
        <v>8.8190000000000002E-4</v>
      </c>
      <c r="DA113">
        <v>8.6070000000000005E-4</v>
      </c>
      <c r="DB113">
        <v>8.1349999999999999E-4</v>
      </c>
      <c r="DC113">
        <v>8.4979999999999995E-4</v>
      </c>
      <c r="DD113">
        <v>8.4049999999999999E-4</v>
      </c>
      <c r="DE113">
        <v>8.3609999999999999E-4</v>
      </c>
      <c r="DF113">
        <v>8.3080000000000003E-4</v>
      </c>
      <c r="DG113">
        <v>8.2529999999999995E-4</v>
      </c>
      <c r="DH113">
        <v>8.1930000000000002E-4</v>
      </c>
      <c r="DI113">
        <v>8.1289999999999997E-4</v>
      </c>
      <c r="DJ113">
        <v>8.0599999999999997E-4</v>
      </c>
      <c r="DK113">
        <v>7.9869999999999995E-4</v>
      </c>
      <c r="DL113">
        <v>7.9120000000000004E-4</v>
      </c>
      <c r="DM113">
        <v>7.8330000000000001E-4</v>
      </c>
      <c r="DN113">
        <v>7.7519999999999998E-4</v>
      </c>
      <c r="DO113">
        <v>7.6690000000000005E-4</v>
      </c>
      <c r="DP113">
        <v>7.5849999999999995E-4</v>
      </c>
      <c r="DQ113">
        <v>5.3731000000000001E-2</v>
      </c>
      <c r="DR113">
        <v>0</v>
      </c>
      <c r="DS113">
        <v>4.8199999999999999E-5</v>
      </c>
      <c r="DT113">
        <v>1.6919999999999999E-4</v>
      </c>
      <c r="DU113">
        <v>6.8139999999999997E-4</v>
      </c>
      <c r="DV113">
        <v>6.1160000000000001E-4</v>
      </c>
      <c r="DW113">
        <v>5.7249999999999998E-4</v>
      </c>
      <c r="DX113">
        <v>5.953E-4</v>
      </c>
      <c r="DY113">
        <v>5.2749999999999997E-4</v>
      </c>
      <c r="DZ113">
        <v>4.861E-4</v>
      </c>
      <c r="EA113">
        <v>4.3100000000000001E-4</v>
      </c>
      <c r="EB113">
        <v>3.8499999999999998E-4</v>
      </c>
      <c r="EC113">
        <v>3.433E-4</v>
      </c>
      <c r="ED113">
        <v>3.077E-4</v>
      </c>
      <c r="EE113">
        <v>2.764E-4</v>
      </c>
      <c r="EF113">
        <v>2.4929999999999999E-4</v>
      </c>
      <c r="EG113">
        <v>2.2560000000000001E-4</v>
      </c>
      <c r="EH113">
        <v>2.051E-4</v>
      </c>
      <c r="EI113">
        <v>1.8709999999999999E-4</v>
      </c>
      <c r="EJ113">
        <v>1.7110000000000001E-4</v>
      </c>
      <c r="EK113">
        <v>1.5679999999999999E-4</v>
      </c>
      <c r="EL113">
        <v>1.4420000000000001E-4</v>
      </c>
      <c r="EM113">
        <v>1.3300000000000001E-4</v>
      </c>
      <c r="EN113">
        <v>1.2290000000000001E-4</v>
      </c>
      <c r="EO113">
        <v>1.1400000000000001E-4</v>
      </c>
      <c r="EP113">
        <v>1.061E-4</v>
      </c>
      <c r="EQ113">
        <v>9.8999999999999994E-5</v>
      </c>
      <c r="ER113">
        <v>9.2700000000000004E-5</v>
      </c>
      <c r="ES113">
        <v>8.7000000000000001E-5</v>
      </c>
      <c r="ET113">
        <v>8.2000000000000001E-5</v>
      </c>
      <c r="EU113">
        <v>7.7299999999999995E-5</v>
      </c>
      <c r="EV113">
        <v>7.3200000000000004E-5</v>
      </c>
      <c r="EW113">
        <v>6.9300000000000004E-5</v>
      </c>
      <c r="EX113">
        <v>6.58E-5</v>
      </c>
      <c r="EY113">
        <v>6.2600000000000004E-5</v>
      </c>
      <c r="EZ113">
        <v>5.9599999999999999E-5</v>
      </c>
      <c r="FA113">
        <v>5.6799999999999998E-5</v>
      </c>
      <c r="FB113">
        <v>5.41E-5</v>
      </c>
      <c r="FC113">
        <v>5.1700000000000003E-5</v>
      </c>
      <c r="FD113">
        <v>4.9499999999999997E-5</v>
      </c>
      <c r="FE113">
        <v>4.74E-5</v>
      </c>
      <c r="FF113">
        <v>4.5500000000000001E-5</v>
      </c>
      <c r="FG113">
        <v>4.3699999999999998E-5</v>
      </c>
      <c r="FH113">
        <v>4.21E-5</v>
      </c>
      <c r="FI113">
        <v>4.07E-5</v>
      </c>
      <c r="FJ113">
        <v>3.9199999999999997E-5</v>
      </c>
      <c r="FK113">
        <v>3.79E-5</v>
      </c>
      <c r="FL113">
        <v>3.6600000000000002E-5</v>
      </c>
      <c r="FM113">
        <v>3.5299999999999997E-5</v>
      </c>
      <c r="FN113">
        <v>3.43E-5</v>
      </c>
      <c r="FO113">
        <v>3.3300000000000003E-5</v>
      </c>
      <c r="FP113">
        <v>3.2400000000000001E-5</v>
      </c>
      <c r="FQ113">
        <v>3.15E-5</v>
      </c>
      <c r="FR113">
        <v>3.0499999999999999E-5</v>
      </c>
      <c r="FS113">
        <v>2.9799999999999999E-5</v>
      </c>
      <c r="FT113">
        <v>2.9E-5</v>
      </c>
      <c r="FU113">
        <v>2.8399999999999999E-5</v>
      </c>
      <c r="FV113">
        <v>2.7699999999999999E-5</v>
      </c>
      <c r="FW113">
        <v>2.6999999999999999E-5</v>
      </c>
      <c r="FX113">
        <v>2.65E-5</v>
      </c>
      <c r="FY113">
        <v>2.5899999999999999E-5</v>
      </c>
      <c r="FZ113">
        <v>2.5400000000000001E-5</v>
      </c>
      <c r="GA113">
        <v>2.48E-5</v>
      </c>
      <c r="GB113">
        <v>2.44E-5</v>
      </c>
      <c r="GC113">
        <v>2.3900000000000002E-5</v>
      </c>
      <c r="GD113">
        <v>2.3499999999999999E-5</v>
      </c>
      <c r="GE113">
        <v>2.2900000000000001E-5</v>
      </c>
      <c r="GF113">
        <v>2.2500000000000001E-5</v>
      </c>
      <c r="GG113">
        <v>2.2099999999999998E-5</v>
      </c>
      <c r="GH113">
        <v>2.1699999999999999E-5</v>
      </c>
      <c r="GI113">
        <v>2.1399999999999998E-5</v>
      </c>
      <c r="GJ113">
        <v>2.0999999999999999E-5</v>
      </c>
      <c r="GK113">
        <v>2.0599999999999999E-5</v>
      </c>
      <c r="GL113">
        <v>2.0299999999999999E-5</v>
      </c>
      <c r="GM113">
        <v>2.0000000000000002E-5</v>
      </c>
      <c r="GN113">
        <v>1.9700000000000001E-5</v>
      </c>
      <c r="GO113">
        <v>1.95E-5</v>
      </c>
      <c r="GP113">
        <v>1.9199999999999999E-5</v>
      </c>
      <c r="GQ113">
        <v>1.8899999999999999E-5</v>
      </c>
      <c r="GR113">
        <v>1.8600000000000001E-5</v>
      </c>
      <c r="GS113">
        <v>1.84E-5</v>
      </c>
      <c r="GT113">
        <v>1.8E-5</v>
      </c>
      <c r="GU113">
        <v>1.7799999999999999E-5</v>
      </c>
      <c r="GV113">
        <v>1.73E-5</v>
      </c>
      <c r="GW113">
        <v>1.7E-5</v>
      </c>
      <c r="GX113">
        <v>1.6699999999999999E-5</v>
      </c>
      <c r="GY113">
        <v>1.6500000000000001E-5</v>
      </c>
      <c r="GZ113">
        <v>1.6200000000000001E-5</v>
      </c>
      <c r="HA113">
        <v>1.5999999999999999E-5</v>
      </c>
      <c r="HB113">
        <v>1.5800000000000001E-5</v>
      </c>
      <c r="HC113">
        <v>1.5500000000000001E-5</v>
      </c>
      <c r="HD113">
        <v>1.5299999999999999E-5</v>
      </c>
      <c r="HE113">
        <v>1.5099999999999999E-5</v>
      </c>
      <c r="HF113">
        <v>1.4800000000000001E-5</v>
      </c>
      <c r="HG113">
        <v>1.47E-5</v>
      </c>
      <c r="HH113">
        <v>1.45E-5</v>
      </c>
      <c r="HI113">
        <v>1.4399999999999999E-5</v>
      </c>
      <c r="HJ113">
        <v>1.42E-5</v>
      </c>
      <c r="HK113">
        <v>1.4E-5</v>
      </c>
      <c r="HL113">
        <v>1.38E-5</v>
      </c>
      <c r="HM113">
        <v>1.36E-5</v>
      </c>
      <c r="HN113">
        <v>1.33E-5</v>
      </c>
      <c r="HO113">
        <v>1.27E-5</v>
      </c>
      <c r="HP113">
        <v>1.24E-5</v>
      </c>
      <c r="HQ113">
        <v>1.2099999999999999E-5</v>
      </c>
      <c r="HR113">
        <v>1.1399999999999999E-5</v>
      </c>
      <c r="HS113">
        <v>1.2E-5</v>
      </c>
      <c r="HT113">
        <v>1.1800000000000001E-5</v>
      </c>
      <c r="HU113">
        <v>1.1800000000000001E-5</v>
      </c>
      <c r="HV113">
        <v>1.17E-5</v>
      </c>
      <c r="HW113">
        <v>1.1600000000000001E-5</v>
      </c>
      <c r="HX113">
        <v>1.15E-5</v>
      </c>
      <c r="HY113">
        <v>1.15E-5</v>
      </c>
      <c r="HZ113">
        <v>1.1399999999999999E-5</v>
      </c>
      <c r="IA113">
        <v>1.13E-5</v>
      </c>
      <c r="IB113">
        <v>1.1199999999999999E-5</v>
      </c>
      <c r="IC113">
        <v>1.11E-5</v>
      </c>
      <c r="ID113">
        <v>1.1E-5</v>
      </c>
      <c r="IE113">
        <v>1.08E-5</v>
      </c>
      <c r="IF113">
        <v>1.0699999999999999E-5</v>
      </c>
      <c r="IG113">
        <v>7.628E-4</v>
      </c>
    </row>
    <row r="114" spans="1:241" x14ac:dyDescent="0.35">
      <c r="A114" s="1">
        <v>106</v>
      </c>
      <c r="B114">
        <v>1.05568E-2</v>
      </c>
      <c r="C114">
        <v>1.05568E-2</v>
      </c>
      <c r="D114">
        <v>1.06058E-2</v>
      </c>
      <c r="E114">
        <v>1.0436600000000001E-2</v>
      </c>
      <c r="F114">
        <v>9.7552000000000003E-3</v>
      </c>
      <c r="G114">
        <v>9.1438999999999999E-3</v>
      </c>
      <c r="H114">
        <v>8.5725999999999997E-3</v>
      </c>
      <c r="I114">
        <v>7.9787999999999994E-3</v>
      </c>
      <c r="J114">
        <v>7.4527999999999999E-3</v>
      </c>
      <c r="K114">
        <v>7.0063E-3</v>
      </c>
      <c r="L114">
        <v>6.5773000000000003E-3</v>
      </c>
      <c r="M114">
        <v>6.1945000000000004E-3</v>
      </c>
      <c r="N114">
        <v>5.8535000000000002E-3</v>
      </c>
      <c r="O114">
        <v>5.5484999999999996E-3</v>
      </c>
      <c r="P114">
        <v>5.2751999999999999E-3</v>
      </c>
      <c r="Q114">
        <v>5.0293999999999998E-3</v>
      </c>
      <c r="R114">
        <v>4.8079999999999998E-3</v>
      </c>
      <c r="S114">
        <v>4.6096000000000002E-3</v>
      </c>
      <c r="T114">
        <v>4.4235999999999998E-3</v>
      </c>
      <c r="U114">
        <v>4.2512000000000001E-3</v>
      </c>
      <c r="V114">
        <v>4.0917000000000002E-3</v>
      </c>
      <c r="W114">
        <v>3.9453999999999999E-3</v>
      </c>
      <c r="X114">
        <v>3.8102000000000001E-3</v>
      </c>
      <c r="Y114">
        <v>3.6847E-3</v>
      </c>
      <c r="Z114">
        <v>3.5699999999999998E-3</v>
      </c>
      <c r="AA114">
        <v>3.4629999999999999E-3</v>
      </c>
      <c r="AB114">
        <v>3.3631999999999998E-3</v>
      </c>
      <c r="AC114">
        <v>3.2702E-3</v>
      </c>
      <c r="AD114">
        <v>3.1828E-3</v>
      </c>
      <c r="AE114">
        <v>3.1005999999999998E-3</v>
      </c>
      <c r="AF114">
        <v>3.0236E-3</v>
      </c>
      <c r="AG114">
        <v>2.9507000000000001E-3</v>
      </c>
      <c r="AH114">
        <v>2.8814000000000001E-3</v>
      </c>
      <c r="AI114">
        <v>2.8159000000000001E-3</v>
      </c>
      <c r="AJ114">
        <v>2.7531999999999999E-3</v>
      </c>
      <c r="AK114">
        <v>2.6936E-3</v>
      </c>
      <c r="AL114">
        <v>2.6365E-3</v>
      </c>
      <c r="AM114">
        <v>2.5731999999999999E-3</v>
      </c>
      <c r="AN114">
        <v>2.5198E-3</v>
      </c>
      <c r="AO114">
        <v>2.4708E-3</v>
      </c>
      <c r="AP114">
        <v>2.4223999999999999E-3</v>
      </c>
      <c r="AQ114">
        <v>2.3765000000000001E-3</v>
      </c>
      <c r="AR114">
        <v>2.3326000000000002E-3</v>
      </c>
      <c r="AS114">
        <v>2.2893000000000002E-3</v>
      </c>
      <c r="AT114">
        <v>2.2566000000000001E-3</v>
      </c>
      <c r="AU114">
        <v>2.2169999999999998E-3</v>
      </c>
      <c r="AV114">
        <v>2.1794000000000002E-3</v>
      </c>
      <c r="AW114">
        <v>2.1410999999999999E-3</v>
      </c>
      <c r="AX114">
        <v>2.0991E-3</v>
      </c>
      <c r="AY114">
        <v>2.0649000000000002E-3</v>
      </c>
      <c r="AZ114">
        <v>2.0381000000000002E-3</v>
      </c>
      <c r="BA114">
        <v>2.0054000000000001E-3</v>
      </c>
      <c r="BB114">
        <v>1.9737999999999999E-3</v>
      </c>
      <c r="BC114">
        <v>1.9365000000000001E-3</v>
      </c>
      <c r="BD114">
        <v>1.9070000000000001E-3</v>
      </c>
      <c r="BE114">
        <v>1.8782E-3</v>
      </c>
      <c r="BF114">
        <v>1.8561999999999999E-3</v>
      </c>
      <c r="BG114">
        <v>1.8213999999999999E-3</v>
      </c>
      <c r="BH114">
        <v>1.7947E-3</v>
      </c>
      <c r="BI114">
        <v>1.7681999999999999E-3</v>
      </c>
      <c r="BJ114">
        <v>1.7420000000000001E-3</v>
      </c>
      <c r="BK114">
        <v>1.7162E-3</v>
      </c>
      <c r="BL114">
        <v>1.6903E-3</v>
      </c>
      <c r="BM114">
        <v>1.6651999999999999E-3</v>
      </c>
      <c r="BN114">
        <v>1.6412E-3</v>
      </c>
      <c r="BO114">
        <v>1.6176999999999999E-3</v>
      </c>
      <c r="BP114">
        <v>1.5881000000000001E-3</v>
      </c>
      <c r="BQ114">
        <v>1.5646E-3</v>
      </c>
      <c r="BR114">
        <v>1.5411999999999999E-3</v>
      </c>
      <c r="BS114">
        <v>1.5168E-3</v>
      </c>
      <c r="BT114">
        <v>1.495E-3</v>
      </c>
      <c r="BU114">
        <v>1.4725000000000001E-3</v>
      </c>
      <c r="BV114">
        <v>1.4496000000000001E-3</v>
      </c>
      <c r="BW114">
        <v>1.4281999999999999E-3</v>
      </c>
      <c r="BX114">
        <v>1.4078000000000001E-3</v>
      </c>
      <c r="BY114">
        <v>1.3901E-3</v>
      </c>
      <c r="BZ114">
        <v>1.3734000000000001E-3</v>
      </c>
      <c r="CA114">
        <v>1.3558000000000001E-3</v>
      </c>
      <c r="CB114">
        <v>1.3362999999999999E-3</v>
      </c>
      <c r="CC114">
        <v>1.3171999999999999E-3</v>
      </c>
      <c r="CD114">
        <v>1.2978E-3</v>
      </c>
      <c r="CE114">
        <v>1.2750999999999999E-3</v>
      </c>
      <c r="CF114">
        <v>1.2566999999999999E-3</v>
      </c>
      <c r="CG114">
        <v>1.2227E-3</v>
      </c>
      <c r="CH114">
        <v>1.2025E-3</v>
      </c>
      <c r="CI114">
        <v>1.1827999999999999E-3</v>
      </c>
      <c r="CJ114">
        <v>1.163E-3</v>
      </c>
      <c r="CK114">
        <v>1.1447E-3</v>
      </c>
      <c r="CL114">
        <v>1.1286E-3</v>
      </c>
      <c r="CM114">
        <v>1.1125E-3</v>
      </c>
      <c r="CN114">
        <v>1.0950000000000001E-3</v>
      </c>
      <c r="CO114">
        <v>1.0776E-3</v>
      </c>
      <c r="CP114">
        <v>1.0614000000000001E-3</v>
      </c>
      <c r="CQ114">
        <v>1.0464000000000001E-3</v>
      </c>
      <c r="CR114">
        <v>1.0346000000000001E-3</v>
      </c>
      <c r="CS114">
        <v>1.0234E-3</v>
      </c>
      <c r="CT114">
        <v>1.0115E-3</v>
      </c>
      <c r="CU114">
        <v>9.993999999999999E-4</v>
      </c>
      <c r="CV114">
        <v>9.8649999999999996E-4</v>
      </c>
      <c r="CW114">
        <v>9.722E-4</v>
      </c>
      <c r="CX114">
        <v>9.5390000000000004E-4</v>
      </c>
      <c r="CY114">
        <v>9.3170000000000004E-4</v>
      </c>
      <c r="CZ114">
        <v>8.8960000000000005E-4</v>
      </c>
      <c r="DA114">
        <v>8.6950000000000005E-4</v>
      </c>
      <c r="DB114">
        <v>8.4860000000000003E-4</v>
      </c>
      <c r="DC114">
        <v>8.0199999999999998E-4</v>
      </c>
      <c r="DD114">
        <v>8.3779999999999998E-4</v>
      </c>
      <c r="DE114">
        <v>8.2870000000000003E-4</v>
      </c>
      <c r="DF114">
        <v>8.2430000000000003E-4</v>
      </c>
      <c r="DG114">
        <v>8.1910000000000001E-4</v>
      </c>
      <c r="DH114">
        <v>8.1369999999999999E-4</v>
      </c>
      <c r="DI114">
        <v>8.0769999999999995E-4</v>
      </c>
      <c r="DJ114">
        <v>8.0139999999999996E-4</v>
      </c>
      <c r="DK114">
        <v>7.9460000000000002E-4</v>
      </c>
      <c r="DL114">
        <v>7.8750000000000001E-4</v>
      </c>
      <c r="DM114">
        <v>7.7999999999999999E-4</v>
      </c>
      <c r="DN114">
        <v>7.7220000000000001E-4</v>
      </c>
      <c r="DO114">
        <v>7.6420000000000004E-4</v>
      </c>
      <c r="DP114">
        <v>7.561E-4</v>
      </c>
      <c r="DQ114">
        <v>5.3715899999999997E-2</v>
      </c>
      <c r="DR114">
        <v>0</v>
      </c>
      <c r="DS114">
        <v>4.5899999999999998E-5</v>
      </c>
      <c r="DT114">
        <v>1.693E-4</v>
      </c>
      <c r="DU114">
        <v>6.8150000000000003E-4</v>
      </c>
      <c r="DV114">
        <v>6.1169999999999996E-4</v>
      </c>
      <c r="DW114">
        <v>5.7189999999999997E-4</v>
      </c>
      <c r="DX114">
        <v>5.9469999999999998E-4</v>
      </c>
      <c r="DY114">
        <v>5.2700000000000002E-4</v>
      </c>
      <c r="DZ114">
        <v>4.817E-4</v>
      </c>
      <c r="EA114">
        <v>4.304E-4</v>
      </c>
      <c r="EB114">
        <v>3.8460000000000002E-4</v>
      </c>
      <c r="EC114">
        <v>3.4299999999999999E-4</v>
      </c>
      <c r="ED114">
        <v>3.0739999999999999E-4</v>
      </c>
      <c r="EE114">
        <v>2.7609999999999999E-4</v>
      </c>
      <c r="EF114">
        <v>2.4909999999999998E-4</v>
      </c>
      <c r="EG114">
        <v>2.254E-4</v>
      </c>
      <c r="EH114">
        <v>2.0479999999999999E-4</v>
      </c>
      <c r="EI114">
        <v>1.8679999999999999E-4</v>
      </c>
      <c r="EJ114">
        <v>1.7090000000000001E-4</v>
      </c>
      <c r="EK114">
        <v>1.5669999999999999E-4</v>
      </c>
      <c r="EL114">
        <v>1.4410000000000001E-4</v>
      </c>
      <c r="EM114">
        <v>1.329E-4</v>
      </c>
      <c r="EN114">
        <v>1.2290000000000001E-4</v>
      </c>
      <c r="EO114">
        <v>1.139E-4</v>
      </c>
      <c r="EP114">
        <v>1.06E-4</v>
      </c>
      <c r="EQ114">
        <v>9.8900000000000005E-5</v>
      </c>
      <c r="ER114">
        <v>9.2600000000000001E-5</v>
      </c>
      <c r="ES114">
        <v>8.6899999999999998E-5</v>
      </c>
      <c r="ET114">
        <v>8.1799999999999996E-5</v>
      </c>
      <c r="EU114">
        <v>7.7200000000000006E-5</v>
      </c>
      <c r="EV114">
        <v>7.3100000000000001E-5</v>
      </c>
      <c r="EW114">
        <v>6.9200000000000002E-5</v>
      </c>
      <c r="EX114">
        <v>6.5699999999999998E-5</v>
      </c>
      <c r="EY114">
        <v>6.2500000000000001E-5</v>
      </c>
      <c r="EZ114">
        <v>5.9500000000000003E-5</v>
      </c>
      <c r="FA114">
        <v>5.6799999999999998E-5</v>
      </c>
      <c r="FB114">
        <v>5.4200000000000003E-5</v>
      </c>
      <c r="FC114">
        <v>5.1700000000000003E-5</v>
      </c>
      <c r="FD114">
        <v>4.9499999999999997E-5</v>
      </c>
      <c r="FE114">
        <v>4.74E-5</v>
      </c>
      <c r="FF114">
        <v>4.5500000000000001E-5</v>
      </c>
      <c r="FG114">
        <v>4.3699999999999998E-5</v>
      </c>
      <c r="FH114">
        <v>4.21E-5</v>
      </c>
      <c r="FI114">
        <v>4.0500000000000002E-5</v>
      </c>
      <c r="FJ114">
        <v>3.9199999999999997E-5</v>
      </c>
      <c r="FK114">
        <v>3.79E-5</v>
      </c>
      <c r="FL114">
        <v>3.6699999999999998E-5</v>
      </c>
      <c r="FM114">
        <v>3.5500000000000002E-5</v>
      </c>
      <c r="FN114">
        <v>3.43E-5</v>
      </c>
      <c r="FO114">
        <v>3.3200000000000001E-5</v>
      </c>
      <c r="FP114">
        <v>3.2400000000000001E-5</v>
      </c>
      <c r="FQ114">
        <v>3.15E-5</v>
      </c>
      <c r="FR114">
        <v>3.0700000000000001E-5</v>
      </c>
      <c r="FS114">
        <v>2.9799999999999999E-5</v>
      </c>
      <c r="FT114">
        <v>2.9E-5</v>
      </c>
      <c r="FU114">
        <v>2.83E-5</v>
      </c>
      <c r="FV114">
        <v>2.7800000000000001E-5</v>
      </c>
      <c r="FW114">
        <v>2.6999999999999999E-5</v>
      </c>
      <c r="FX114">
        <v>2.65E-5</v>
      </c>
      <c r="FY114">
        <v>2.5899999999999999E-5</v>
      </c>
      <c r="FZ114">
        <v>2.5400000000000001E-5</v>
      </c>
      <c r="GA114">
        <v>2.4899999999999999E-5</v>
      </c>
      <c r="GB114">
        <v>2.44E-5</v>
      </c>
      <c r="GC114">
        <v>2.3900000000000002E-5</v>
      </c>
      <c r="GD114">
        <v>2.3499999999999999E-5</v>
      </c>
      <c r="GE114">
        <v>2.3E-5</v>
      </c>
      <c r="GF114">
        <v>2.26E-5</v>
      </c>
      <c r="GG114">
        <v>2.2200000000000001E-5</v>
      </c>
      <c r="GH114">
        <v>2.1800000000000001E-5</v>
      </c>
      <c r="GI114">
        <v>2.1399999999999998E-5</v>
      </c>
      <c r="GJ114">
        <v>2.0999999999999999E-5</v>
      </c>
      <c r="GK114">
        <v>2.0699999999999998E-5</v>
      </c>
      <c r="GL114">
        <v>2.0299999999999999E-5</v>
      </c>
      <c r="GM114">
        <v>2.0000000000000002E-5</v>
      </c>
      <c r="GN114">
        <v>1.9700000000000001E-5</v>
      </c>
      <c r="GO114">
        <v>1.9400000000000001E-5</v>
      </c>
      <c r="GP114">
        <v>1.9199999999999999E-5</v>
      </c>
      <c r="GQ114">
        <v>1.8899999999999999E-5</v>
      </c>
      <c r="GR114">
        <v>1.8700000000000001E-5</v>
      </c>
      <c r="GS114">
        <v>1.84E-5</v>
      </c>
      <c r="GT114">
        <v>1.8099999999999999E-5</v>
      </c>
      <c r="GU114">
        <v>1.7799999999999999E-5</v>
      </c>
      <c r="GV114">
        <v>1.7499999999999998E-5</v>
      </c>
      <c r="GW114">
        <v>1.7099999999999999E-5</v>
      </c>
      <c r="GX114">
        <v>1.6799999999999998E-5</v>
      </c>
      <c r="GY114">
        <v>1.6500000000000001E-5</v>
      </c>
      <c r="GZ114">
        <v>1.6200000000000001E-5</v>
      </c>
      <c r="HA114">
        <v>1.5999999999999999E-5</v>
      </c>
      <c r="HB114">
        <v>1.5800000000000001E-5</v>
      </c>
      <c r="HC114">
        <v>1.5500000000000001E-5</v>
      </c>
      <c r="HD114">
        <v>1.5299999999999999E-5</v>
      </c>
      <c r="HE114">
        <v>1.5099999999999999E-5</v>
      </c>
      <c r="HF114">
        <v>1.4800000000000001E-5</v>
      </c>
      <c r="HG114">
        <v>1.4600000000000001E-5</v>
      </c>
      <c r="HH114">
        <v>1.45E-5</v>
      </c>
      <c r="HI114">
        <v>1.43E-5</v>
      </c>
      <c r="HJ114">
        <v>1.42E-5</v>
      </c>
      <c r="HK114">
        <v>1.4E-5</v>
      </c>
      <c r="HL114">
        <v>1.38E-5</v>
      </c>
      <c r="HM114">
        <v>1.36E-5</v>
      </c>
      <c r="HN114">
        <v>1.34E-5</v>
      </c>
      <c r="HO114">
        <v>1.31E-5</v>
      </c>
      <c r="HP114">
        <v>1.2500000000000001E-5</v>
      </c>
      <c r="HQ114">
        <v>1.22E-5</v>
      </c>
      <c r="HR114">
        <v>1.19E-5</v>
      </c>
      <c r="HS114">
        <v>1.13E-5</v>
      </c>
      <c r="HT114">
        <v>1.1800000000000001E-5</v>
      </c>
      <c r="HU114">
        <v>1.17E-5</v>
      </c>
      <c r="HV114">
        <v>1.1600000000000001E-5</v>
      </c>
      <c r="HW114">
        <v>1.15E-5</v>
      </c>
      <c r="HX114">
        <v>1.15E-5</v>
      </c>
      <c r="HY114">
        <v>1.1399999999999999E-5</v>
      </c>
      <c r="HZ114">
        <v>1.13E-5</v>
      </c>
      <c r="IA114">
        <v>1.1199999999999999E-5</v>
      </c>
      <c r="IB114">
        <v>1.11E-5</v>
      </c>
      <c r="IC114">
        <v>1.1E-5</v>
      </c>
      <c r="ID114">
        <v>1.0900000000000001E-5</v>
      </c>
      <c r="IE114">
        <v>1.08E-5</v>
      </c>
      <c r="IF114">
        <v>1.0699999999999999E-5</v>
      </c>
      <c r="IG114">
        <v>7.626E-4</v>
      </c>
    </row>
    <row r="115" spans="1:241" x14ac:dyDescent="0.35">
      <c r="A115" s="1">
        <v>107</v>
      </c>
      <c r="B115">
        <v>1.05568E-2</v>
      </c>
      <c r="C115">
        <v>1.05568E-2</v>
      </c>
      <c r="D115">
        <v>1.05109E-2</v>
      </c>
      <c r="E115">
        <v>1.04365E-2</v>
      </c>
      <c r="F115">
        <v>9.7549999999999998E-3</v>
      </c>
      <c r="G115">
        <v>9.1435000000000006E-3</v>
      </c>
      <c r="H115">
        <v>8.5719999999999998E-3</v>
      </c>
      <c r="I115">
        <v>7.9778999999999996E-3</v>
      </c>
      <c r="J115">
        <v>7.4517999999999997E-3</v>
      </c>
      <c r="K115">
        <v>6.9711E-3</v>
      </c>
      <c r="L115">
        <v>6.5757999999999997E-3</v>
      </c>
      <c r="M115">
        <v>6.1926999999999998E-3</v>
      </c>
      <c r="N115">
        <v>5.8514999999999999E-3</v>
      </c>
      <c r="O115">
        <v>5.5461E-3</v>
      </c>
      <c r="P115">
        <v>5.2724E-3</v>
      </c>
      <c r="Q115">
        <v>5.0261999999999998E-3</v>
      </c>
      <c r="R115">
        <v>4.8040000000000001E-3</v>
      </c>
      <c r="S115">
        <v>4.6033000000000003E-3</v>
      </c>
      <c r="T115">
        <v>4.4228999999999996E-3</v>
      </c>
      <c r="U115">
        <v>4.2526999999999999E-3</v>
      </c>
      <c r="V115">
        <v>4.0943999999999998E-3</v>
      </c>
      <c r="W115">
        <v>3.9475999999999999E-3</v>
      </c>
      <c r="X115">
        <v>3.8124999999999999E-3</v>
      </c>
      <c r="Y115">
        <v>3.6874E-3</v>
      </c>
      <c r="Z115">
        <v>3.5707999999999998E-3</v>
      </c>
      <c r="AA115">
        <v>3.4640000000000001E-3</v>
      </c>
      <c r="AB115">
        <v>3.3639999999999998E-3</v>
      </c>
      <c r="AC115">
        <v>3.2705999999999998E-3</v>
      </c>
      <c r="AD115">
        <v>3.1833E-3</v>
      </c>
      <c r="AE115">
        <v>3.101E-3</v>
      </c>
      <c r="AF115">
        <v>3.0233999999999999E-3</v>
      </c>
      <c r="AG115">
        <v>2.9505E-3</v>
      </c>
      <c r="AH115">
        <v>2.8814999999999999E-3</v>
      </c>
      <c r="AI115">
        <v>2.8157E-3</v>
      </c>
      <c r="AJ115">
        <v>2.7534E-3</v>
      </c>
      <c r="AK115">
        <v>2.6936999999999998E-3</v>
      </c>
      <c r="AL115">
        <v>2.6367999999999999E-3</v>
      </c>
      <c r="AM115">
        <v>2.5823E-3</v>
      </c>
      <c r="AN115">
        <v>2.5216000000000001E-3</v>
      </c>
      <c r="AO115">
        <v>2.4704000000000002E-3</v>
      </c>
      <c r="AP115">
        <v>2.4233000000000002E-3</v>
      </c>
      <c r="AQ115">
        <v>2.3768999999999999E-3</v>
      </c>
      <c r="AR115">
        <v>2.3327000000000001E-3</v>
      </c>
      <c r="AS115">
        <v>2.2905E-3</v>
      </c>
      <c r="AT115">
        <v>2.2488E-3</v>
      </c>
      <c r="AU115">
        <v>2.2173000000000002E-3</v>
      </c>
      <c r="AV115">
        <v>2.1790999999999998E-3</v>
      </c>
      <c r="AW115">
        <v>2.1427E-3</v>
      </c>
      <c r="AX115">
        <v>2.1056999999999998E-3</v>
      </c>
      <c r="AY115">
        <v>2.0647999999999999E-3</v>
      </c>
      <c r="AZ115">
        <v>2.0316000000000002E-3</v>
      </c>
      <c r="BA115">
        <v>2.0057E-3</v>
      </c>
      <c r="BB115">
        <v>1.9738999999999998E-3</v>
      </c>
      <c r="BC115">
        <v>1.9432E-3</v>
      </c>
      <c r="BD115">
        <v>1.9067999999999999E-3</v>
      </c>
      <c r="BE115">
        <v>1.8779999999999999E-3</v>
      </c>
      <c r="BF115">
        <v>1.8499E-3</v>
      </c>
      <c r="BG115">
        <v>1.8284E-3</v>
      </c>
      <c r="BH115">
        <v>1.7944E-3</v>
      </c>
      <c r="BI115">
        <v>1.7683E-3</v>
      </c>
      <c r="BJ115">
        <v>1.7423E-3</v>
      </c>
      <c r="BK115">
        <v>1.7166E-3</v>
      </c>
      <c r="BL115">
        <v>1.6913E-3</v>
      </c>
      <c r="BM115">
        <v>1.6659999999999999E-3</v>
      </c>
      <c r="BN115">
        <v>1.6413000000000001E-3</v>
      </c>
      <c r="BO115">
        <v>1.6178E-3</v>
      </c>
      <c r="BP115">
        <v>1.5946999999999999E-3</v>
      </c>
      <c r="BQ115">
        <v>1.5655000000000001E-3</v>
      </c>
      <c r="BR115">
        <v>1.5425E-3</v>
      </c>
      <c r="BS115">
        <v>1.5194E-3</v>
      </c>
      <c r="BT115">
        <v>1.4954E-3</v>
      </c>
      <c r="BU115">
        <v>1.474E-3</v>
      </c>
      <c r="BV115">
        <v>1.4518000000000001E-3</v>
      </c>
      <c r="BW115">
        <v>1.4292E-3</v>
      </c>
      <c r="BX115">
        <v>1.4082000000000001E-3</v>
      </c>
      <c r="BY115">
        <v>1.3881E-3</v>
      </c>
      <c r="BZ115">
        <v>1.3706E-3</v>
      </c>
      <c r="CA115">
        <v>1.3542000000000001E-3</v>
      </c>
      <c r="CB115">
        <v>1.3369E-3</v>
      </c>
      <c r="CC115">
        <v>1.3175999999999999E-3</v>
      </c>
      <c r="CD115">
        <v>1.2987999999999999E-3</v>
      </c>
      <c r="CE115">
        <v>1.2796999999999999E-3</v>
      </c>
      <c r="CF115">
        <v>1.2573E-3</v>
      </c>
      <c r="CG115">
        <v>1.2390999999999999E-3</v>
      </c>
      <c r="CH115">
        <v>1.2056E-3</v>
      </c>
      <c r="CI115">
        <v>1.1857E-3</v>
      </c>
      <c r="CJ115">
        <v>1.1663000000000001E-3</v>
      </c>
      <c r="CK115">
        <v>1.1467000000000001E-3</v>
      </c>
      <c r="CL115">
        <v>1.1287000000000001E-3</v>
      </c>
      <c r="CM115">
        <v>1.1127999999999999E-3</v>
      </c>
      <c r="CN115">
        <v>1.0970000000000001E-3</v>
      </c>
      <c r="CO115">
        <v>1.0797000000000001E-3</v>
      </c>
      <c r="CP115">
        <v>1.0625000000000001E-3</v>
      </c>
      <c r="CQ115">
        <v>1.0464999999999999E-3</v>
      </c>
      <c r="CR115">
        <v>1.0317E-3</v>
      </c>
      <c r="CS115">
        <v>1.0200999999999999E-3</v>
      </c>
      <c r="CT115">
        <v>1.0089999999999999E-3</v>
      </c>
      <c r="CU115">
        <v>9.9730000000000001E-4</v>
      </c>
      <c r="CV115">
        <v>9.8539999999999999E-4</v>
      </c>
      <c r="CW115">
        <v>9.7269999999999995E-4</v>
      </c>
      <c r="CX115">
        <v>9.5859999999999999E-4</v>
      </c>
      <c r="CY115">
        <v>9.4050000000000004E-4</v>
      </c>
      <c r="CZ115">
        <v>9.1859999999999999E-4</v>
      </c>
      <c r="DA115">
        <v>8.7710000000000002E-4</v>
      </c>
      <c r="DB115">
        <v>8.5720000000000002E-4</v>
      </c>
      <c r="DC115">
        <v>8.3670000000000001E-4</v>
      </c>
      <c r="DD115">
        <v>7.9080000000000003E-4</v>
      </c>
      <c r="DE115">
        <v>8.2600000000000002E-4</v>
      </c>
      <c r="DF115">
        <v>8.1700000000000002E-4</v>
      </c>
      <c r="DG115">
        <v>8.1269999999999997E-4</v>
      </c>
      <c r="DH115">
        <v>8.0760000000000001E-4</v>
      </c>
      <c r="DI115">
        <v>8.0219999999999998E-4</v>
      </c>
      <c r="DJ115">
        <v>7.963E-4</v>
      </c>
      <c r="DK115">
        <v>7.9009999999999996E-4</v>
      </c>
      <c r="DL115">
        <v>7.8339999999999996E-4</v>
      </c>
      <c r="DM115">
        <v>7.7640000000000001E-4</v>
      </c>
      <c r="DN115">
        <v>7.6900000000000004E-4</v>
      </c>
      <c r="DO115">
        <v>7.6130000000000002E-4</v>
      </c>
      <c r="DP115">
        <v>7.5350000000000005E-4</v>
      </c>
      <c r="DQ115">
        <v>5.3698599999999999E-2</v>
      </c>
      <c r="DR115">
        <v>0</v>
      </c>
      <c r="DS115">
        <v>4.5899999999999998E-5</v>
      </c>
      <c r="DT115">
        <v>1.638E-4</v>
      </c>
      <c r="DU115">
        <v>6.8159999999999998E-4</v>
      </c>
      <c r="DV115">
        <v>6.1189999999999997E-4</v>
      </c>
      <c r="DW115">
        <v>5.7209999999999997E-4</v>
      </c>
      <c r="DX115">
        <v>5.9480000000000004E-4</v>
      </c>
      <c r="DY115">
        <v>5.2709999999999996E-4</v>
      </c>
      <c r="DZ115">
        <v>4.818E-4</v>
      </c>
      <c r="EA115">
        <v>4.2739999999999998E-4</v>
      </c>
      <c r="EB115">
        <v>3.8460000000000002E-4</v>
      </c>
      <c r="EC115">
        <v>3.4299999999999999E-4</v>
      </c>
      <c r="ED115">
        <v>3.0739999999999999E-4</v>
      </c>
      <c r="EE115">
        <v>2.7609999999999999E-4</v>
      </c>
      <c r="EF115">
        <v>2.4909999999999998E-4</v>
      </c>
      <c r="EG115">
        <v>2.254E-4</v>
      </c>
      <c r="EH115">
        <v>2.0469999999999999E-4</v>
      </c>
      <c r="EI115">
        <v>1.8650000000000001E-4</v>
      </c>
      <c r="EJ115">
        <v>1.707E-4</v>
      </c>
      <c r="EK115">
        <v>1.5669999999999999E-4</v>
      </c>
      <c r="EL115">
        <v>1.4410000000000001E-4</v>
      </c>
      <c r="EM115">
        <v>1.328E-4</v>
      </c>
      <c r="EN115">
        <v>1.2290000000000001E-4</v>
      </c>
      <c r="EO115">
        <v>1.139E-4</v>
      </c>
      <c r="EP115">
        <v>1.059E-4</v>
      </c>
      <c r="EQ115">
        <v>9.8900000000000005E-5</v>
      </c>
      <c r="ER115">
        <v>9.2600000000000001E-5</v>
      </c>
      <c r="ES115">
        <v>8.6899999999999998E-5</v>
      </c>
      <c r="ET115">
        <v>8.1799999999999996E-5</v>
      </c>
      <c r="EU115">
        <v>7.7200000000000006E-5</v>
      </c>
      <c r="EV115">
        <v>7.2999999999999999E-5</v>
      </c>
      <c r="EW115">
        <v>6.9200000000000002E-5</v>
      </c>
      <c r="EX115">
        <v>6.5699999999999998E-5</v>
      </c>
      <c r="EY115">
        <v>6.2500000000000001E-5</v>
      </c>
      <c r="EZ115">
        <v>5.9500000000000003E-5</v>
      </c>
      <c r="FA115">
        <v>5.6700000000000003E-5</v>
      </c>
      <c r="FB115">
        <v>5.4200000000000003E-5</v>
      </c>
      <c r="FC115">
        <v>5.1799999999999999E-5</v>
      </c>
      <c r="FD115">
        <v>4.9400000000000001E-5</v>
      </c>
      <c r="FE115">
        <v>4.74E-5</v>
      </c>
      <c r="FF115">
        <v>4.5500000000000001E-5</v>
      </c>
      <c r="FG115">
        <v>4.3699999999999998E-5</v>
      </c>
      <c r="FH115">
        <v>4.1999999999999998E-5</v>
      </c>
      <c r="FI115">
        <v>4.0500000000000002E-5</v>
      </c>
      <c r="FJ115">
        <v>3.8999999999999999E-5</v>
      </c>
      <c r="FK115">
        <v>3.79E-5</v>
      </c>
      <c r="FL115">
        <v>3.6600000000000002E-5</v>
      </c>
      <c r="FM115">
        <v>3.54E-5</v>
      </c>
      <c r="FN115">
        <v>3.43E-5</v>
      </c>
      <c r="FO115">
        <v>3.3200000000000001E-5</v>
      </c>
      <c r="FP115">
        <v>3.2199999999999997E-5</v>
      </c>
      <c r="FQ115">
        <v>3.1399999999999998E-5</v>
      </c>
      <c r="FR115">
        <v>3.0599999999999998E-5</v>
      </c>
      <c r="FS115">
        <v>2.9799999999999999E-5</v>
      </c>
      <c r="FT115">
        <v>2.9E-5</v>
      </c>
      <c r="FU115">
        <v>2.83E-5</v>
      </c>
      <c r="FV115">
        <v>2.76E-5</v>
      </c>
      <c r="FW115">
        <v>2.7100000000000001E-5</v>
      </c>
      <c r="FX115">
        <v>2.6400000000000001E-5</v>
      </c>
      <c r="FY115">
        <v>2.5899999999999999E-5</v>
      </c>
      <c r="FZ115">
        <v>2.5299999999999998E-5</v>
      </c>
      <c r="GA115">
        <v>2.48E-5</v>
      </c>
      <c r="GB115">
        <v>2.4300000000000001E-5</v>
      </c>
      <c r="GC115">
        <v>2.3900000000000002E-5</v>
      </c>
      <c r="GD115">
        <v>2.34E-5</v>
      </c>
      <c r="GE115">
        <v>2.3E-5</v>
      </c>
      <c r="GF115">
        <v>2.26E-5</v>
      </c>
      <c r="GG115">
        <v>2.2099999999999998E-5</v>
      </c>
      <c r="GH115">
        <v>2.1800000000000001E-5</v>
      </c>
      <c r="GI115">
        <v>2.1399999999999998E-5</v>
      </c>
      <c r="GJ115">
        <v>2.0999999999999999E-5</v>
      </c>
      <c r="GK115">
        <v>2.0699999999999998E-5</v>
      </c>
      <c r="GL115">
        <v>2.0299999999999999E-5</v>
      </c>
      <c r="GM115">
        <v>2.0000000000000002E-5</v>
      </c>
      <c r="GN115">
        <v>1.9700000000000001E-5</v>
      </c>
      <c r="GO115">
        <v>1.9400000000000001E-5</v>
      </c>
      <c r="GP115">
        <v>1.91E-5</v>
      </c>
      <c r="GQ115">
        <v>1.8899999999999999E-5</v>
      </c>
      <c r="GR115">
        <v>1.8600000000000001E-5</v>
      </c>
      <c r="GS115">
        <v>1.84E-5</v>
      </c>
      <c r="GT115">
        <v>1.8099999999999999E-5</v>
      </c>
      <c r="GU115">
        <v>1.7799999999999999E-5</v>
      </c>
      <c r="GV115">
        <v>1.7499999999999998E-5</v>
      </c>
      <c r="GW115">
        <v>1.73E-5</v>
      </c>
      <c r="GX115">
        <v>1.6799999999999998E-5</v>
      </c>
      <c r="GY115">
        <v>1.6500000000000001E-5</v>
      </c>
      <c r="GZ115">
        <v>1.63E-5</v>
      </c>
      <c r="HA115">
        <v>1.5999999999999999E-5</v>
      </c>
      <c r="HB115">
        <v>1.5800000000000001E-5</v>
      </c>
      <c r="HC115">
        <v>1.5500000000000001E-5</v>
      </c>
      <c r="HD115">
        <v>1.5299999999999999E-5</v>
      </c>
      <c r="HE115">
        <v>1.5099999999999999E-5</v>
      </c>
      <c r="HF115">
        <v>1.49E-5</v>
      </c>
      <c r="HG115">
        <v>1.4600000000000001E-5</v>
      </c>
      <c r="HH115">
        <v>1.4399999999999999E-5</v>
      </c>
      <c r="HI115">
        <v>1.43E-5</v>
      </c>
      <c r="HJ115">
        <v>1.4100000000000001E-5</v>
      </c>
      <c r="HK115">
        <v>1.4E-5</v>
      </c>
      <c r="HL115">
        <v>1.38E-5</v>
      </c>
      <c r="HM115">
        <v>1.36E-5</v>
      </c>
      <c r="HN115">
        <v>1.3499999999999999E-5</v>
      </c>
      <c r="HO115">
        <v>1.3200000000000001E-5</v>
      </c>
      <c r="HP115">
        <v>1.29E-5</v>
      </c>
      <c r="HQ115">
        <v>1.2300000000000001E-5</v>
      </c>
      <c r="HR115">
        <v>1.2099999999999999E-5</v>
      </c>
      <c r="HS115">
        <v>1.1800000000000001E-5</v>
      </c>
      <c r="HT115">
        <v>1.11E-5</v>
      </c>
      <c r="HU115">
        <v>1.1600000000000001E-5</v>
      </c>
      <c r="HV115">
        <v>1.15E-5</v>
      </c>
      <c r="HW115">
        <v>1.1399999999999999E-5</v>
      </c>
      <c r="HX115">
        <v>1.1399999999999999E-5</v>
      </c>
      <c r="HY115">
        <v>1.13E-5</v>
      </c>
      <c r="HZ115">
        <v>1.1199999999999999E-5</v>
      </c>
      <c r="IA115">
        <v>1.11E-5</v>
      </c>
      <c r="IB115">
        <v>1.11E-5</v>
      </c>
      <c r="IC115">
        <v>1.1E-5</v>
      </c>
      <c r="ID115">
        <v>1.0900000000000001E-5</v>
      </c>
      <c r="IE115">
        <v>1.08E-5</v>
      </c>
      <c r="IF115">
        <v>1.06E-5</v>
      </c>
      <c r="IG115">
        <v>7.6239999999999999E-4</v>
      </c>
    </row>
    <row r="116" spans="1:241" x14ac:dyDescent="0.35">
      <c r="A116" s="1">
        <v>108</v>
      </c>
      <c r="B116">
        <v>1.05568E-2</v>
      </c>
      <c r="C116">
        <v>1.05568E-2</v>
      </c>
      <c r="D116">
        <v>1.05109E-2</v>
      </c>
      <c r="E116">
        <v>1.0347E-2</v>
      </c>
      <c r="F116">
        <v>9.7549000000000004E-3</v>
      </c>
      <c r="G116">
        <v>9.1432000000000006E-3</v>
      </c>
      <c r="H116">
        <v>8.5713999999999999E-3</v>
      </c>
      <c r="I116">
        <v>7.9772000000000003E-3</v>
      </c>
      <c r="J116">
        <v>7.4507999999999996E-3</v>
      </c>
      <c r="K116">
        <v>6.9699999999999996E-3</v>
      </c>
      <c r="L116">
        <v>6.5437000000000004E-3</v>
      </c>
      <c r="M116">
        <v>6.1912E-3</v>
      </c>
      <c r="N116">
        <v>5.8497000000000002E-3</v>
      </c>
      <c r="O116">
        <v>5.5440999999999997E-3</v>
      </c>
      <c r="P116">
        <v>5.2700000000000004E-3</v>
      </c>
      <c r="Q116">
        <v>5.0232999999999996E-3</v>
      </c>
      <c r="R116">
        <v>4.8008E-3</v>
      </c>
      <c r="S116">
        <v>4.5992999999999997E-3</v>
      </c>
      <c r="T116">
        <v>4.4167E-3</v>
      </c>
      <c r="U116">
        <v>4.2521E-3</v>
      </c>
      <c r="V116">
        <v>4.0959999999999998E-3</v>
      </c>
      <c r="W116">
        <v>3.9503000000000003E-3</v>
      </c>
      <c r="X116">
        <v>3.8148000000000001E-3</v>
      </c>
      <c r="Y116">
        <v>3.6897000000000002E-3</v>
      </c>
      <c r="Z116">
        <v>3.5734E-3</v>
      </c>
      <c r="AA116">
        <v>3.4648000000000001E-3</v>
      </c>
      <c r="AB116">
        <v>3.3651000000000002E-3</v>
      </c>
      <c r="AC116">
        <v>3.2715000000000001E-3</v>
      </c>
      <c r="AD116">
        <v>3.1836999999999998E-3</v>
      </c>
      <c r="AE116">
        <v>3.1015000000000001E-3</v>
      </c>
      <c r="AF116">
        <v>3.0238000000000001E-3</v>
      </c>
      <c r="AG116">
        <v>2.9504000000000002E-3</v>
      </c>
      <c r="AH116">
        <v>2.8812999999999998E-3</v>
      </c>
      <c r="AI116">
        <v>2.8157999999999998E-3</v>
      </c>
      <c r="AJ116">
        <v>2.7531999999999999E-3</v>
      </c>
      <c r="AK116">
        <v>2.6938999999999999E-3</v>
      </c>
      <c r="AL116">
        <v>2.6369000000000002E-3</v>
      </c>
      <c r="AM116">
        <v>2.5826E-3</v>
      </c>
      <c r="AN116">
        <v>2.5303999999999999E-3</v>
      </c>
      <c r="AO116">
        <v>2.4721000000000001E-3</v>
      </c>
      <c r="AP116">
        <v>2.4229999999999998E-3</v>
      </c>
      <c r="AQ116">
        <v>2.3777999999999998E-3</v>
      </c>
      <c r="AR116">
        <v>2.3332000000000001E-3</v>
      </c>
      <c r="AS116">
        <v>2.2907000000000001E-3</v>
      </c>
      <c r="AT116">
        <v>2.2499999999999998E-3</v>
      </c>
      <c r="AU116">
        <v>2.2097000000000002E-3</v>
      </c>
      <c r="AV116">
        <v>2.1795E-3</v>
      </c>
      <c r="AW116">
        <v>2.1424999999999999E-3</v>
      </c>
      <c r="AX116">
        <v>2.1072999999999999E-3</v>
      </c>
      <c r="AY116">
        <v>2.0714000000000002E-3</v>
      </c>
      <c r="AZ116">
        <v>2.0317E-3</v>
      </c>
      <c r="BA116">
        <v>1.9994000000000001E-3</v>
      </c>
      <c r="BB116">
        <v>1.9743E-3</v>
      </c>
      <c r="BC116">
        <v>1.9433E-3</v>
      </c>
      <c r="BD116">
        <v>1.9134E-3</v>
      </c>
      <c r="BE116">
        <v>1.8778E-3</v>
      </c>
      <c r="BF116">
        <v>1.8496999999999999E-3</v>
      </c>
      <c r="BG116">
        <v>1.8221999999999999E-3</v>
      </c>
      <c r="BH116">
        <v>1.8013E-3</v>
      </c>
      <c r="BI116">
        <v>1.768E-3</v>
      </c>
      <c r="BJ116">
        <v>1.7424000000000001E-3</v>
      </c>
      <c r="BK116">
        <v>1.717E-3</v>
      </c>
      <c r="BL116">
        <v>1.6918E-3</v>
      </c>
      <c r="BM116">
        <v>1.6670000000000001E-3</v>
      </c>
      <c r="BN116">
        <v>1.6421000000000001E-3</v>
      </c>
      <c r="BO116">
        <v>1.6179E-3</v>
      </c>
      <c r="BP116">
        <v>1.5948E-3</v>
      </c>
      <c r="BQ116">
        <v>1.5721000000000001E-3</v>
      </c>
      <c r="BR116">
        <v>1.5433999999999999E-3</v>
      </c>
      <c r="BS116">
        <v>1.5207E-3</v>
      </c>
      <c r="BT116">
        <v>1.498E-3</v>
      </c>
      <c r="BU116">
        <v>1.4744000000000001E-3</v>
      </c>
      <c r="BV116">
        <v>1.4533E-3</v>
      </c>
      <c r="BW116">
        <v>1.4314E-3</v>
      </c>
      <c r="BX116">
        <v>1.4092E-3</v>
      </c>
      <c r="BY116">
        <v>1.3885E-3</v>
      </c>
      <c r="BZ116">
        <v>1.3687E-3</v>
      </c>
      <c r="CA116">
        <v>1.3515000000000001E-3</v>
      </c>
      <c r="CB116">
        <v>1.3353E-3</v>
      </c>
      <c r="CC116">
        <v>1.3182999999999999E-3</v>
      </c>
      <c r="CD116">
        <v>1.2993E-3</v>
      </c>
      <c r="CE116">
        <v>1.2807000000000001E-3</v>
      </c>
      <c r="CF116">
        <v>1.2618E-3</v>
      </c>
      <c r="CG116">
        <v>1.2398000000000001E-3</v>
      </c>
      <c r="CH116">
        <v>1.2218000000000001E-3</v>
      </c>
      <c r="CI116">
        <v>1.1888000000000001E-3</v>
      </c>
      <c r="CJ116">
        <v>1.1692E-3</v>
      </c>
      <c r="CK116">
        <v>1.15E-3</v>
      </c>
      <c r="CL116">
        <v>1.1307000000000001E-3</v>
      </c>
      <c r="CM116">
        <v>1.1129E-3</v>
      </c>
      <c r="CN116">
        <v>1.0973000000000001E-3</v>
      </c>
      <c r="CO116">
        <v>1.0816999999999999E-3</v>
      </c>
      <c r="CP116">
        <v>1.0646E-3</v>
      </c>
      <c r="CQ116">
        <v>1.0476000000000001E-3</v>
      </c>
      <c r="CR116">
        <v>1.0319000000000001E-3</v>
      </c>
      <c r="CS116">
        <v>1.0173000000000001E-3</v>
      </c>
      <c r="CT116">
        <v>1.0058999999999999E-3</v>
      </c>
      <c r="CU116">
        <v>9.9489999999999995E-4</v>
      </c>
      <c r="CV116">
        <v>9.833000000000001E-4</v>
      </c>
      <c r="CW116">
        <v>9.7159999999999998E-4</v>
      </c>
      <c r="CX116">
        <v>9.59E-4</v>
      </c>
      <c r="CY116">
        <v>9.4510000000000004E-4</v>
      </c>
      <c r="CZ116">
        <v>9.2730000000000004E-4</v>
      </c>
      <c r="DA116">
        <v>9.0569999999999995E-4</v>
      </c>
      <c r="DB116">
        <v>8.6479999999999999E-4</v>
      </c>
      <c r="DC116">
        <v>8.4520000000000005E-4</v>
      </c>
      <c r="DD116">
        <v>8.2490000000000005E-4</v>
      </c>
      <c r="DE116">
        <v>7.7959999999999998E-4</v>
      </c>
      <c r="DF116">
        <v>8.1439999999999995E-4</v>
      </c>
      <c r="DG116">
        <v>8.0550000000000001E-4</v>
      </c>
      <c r="DH116">
        <v>8.0130000000000002E-4</v>
      </c>
      <c r="DI116">
        <v>7.9619999999999995E-4</v>
      </c>
      <c r="DJ116">
        <v>7.9089999999999998E-4</v>
      </c>
      <c r="DK116">
        <v>7.8509999999999995E-4</v>
      </c>
      <c r="DL116">
        <v>7.7890000000000001E-4</v>
      </c>
      <c r="DM116">
        <v>7.7240000000000002E-4</v>
      </c>
      <c r="DN116">
        <v>7.6539999999999996E-4</v>
      </c>
      <c r="DO116">
        <v>7.5810000000000005E-4</v>
      </c>
      <c r="DP116">
        <v>7.5060000000000003E-4</v>
      </c>
      <c r="DQ116">
        <v>5.3678999999999998E-2</v>
      </c>
      <c r="DR116">
        <v>0</v>
      </c>
      <c r="DS116">
        <v>4.5899999999999998E-5</v>
      </c>
      <c r="DT116">
        <v>1.639E-4</v>
      </c>
      <c r="DU116">
        <v>6.6710000000000001E-4</v>
      </c>
      <c r="DV116">
        <v>6.1200000000000002E-4</v>
      </c>
      <c r="DW116">
        <v>5.7220000000000003E-4</v>
      </c>
      <c r="DX116">
        <v>5.9489999999999999E-4</v>
      </c>
      <c r="DY116">
        <v>5.2720000000000002E-4</v>
      </c>
      <c r="DZ116">
        <v>4.818E-4</v>
      </c>
      <c r="EA116">
        <v>4.2739999999999998E-4</v>
      </c>
      <c r="EB116">
        <v>3.8200000000000002E-4</v>
      </c>
      <c r="EC116">
        <v>3.4299999999999999E-4</v>
      </c>
      <c r="ED116">
        <v>3.0739999999999999E-4</v>
      </c>
      <c r="EE116">
        <v>2.7609999999999999E-4</v>
      </c>
      <c r="EF116">
        <v>2.4909999999999998E-4</v>
      </c>
      <c r="EG116">
        <v>2.254E-4</v>
      </c>
      <c r="EH116">
        <v>2.0460000000000001E-4</v>
      </c>
      <c r="EI116">
        <v>1.8650000000000001E-4</v>
      </c>
      <c r="EJ116">
        <v>1.705E-4</v>
      </c>
      <c r="EK116">
        <v>1.5650000000000001E-4</v>
      </c>
      <c r="EL116">
        <v>1.4410000000000001E-4</v>
      </c>
      <c r="EM116">
        <v>1.329E-4</v>
      </c>
      <c r="EN116">
        <v>1.2290000000000001E-4</v>
      </c>
      <c r="EO116">
        <v>1.1400000000000001E-4</v>
      </c>
      <c r="EP116">
        <v>1.06E-4</v>
      </c>
      <c r="EQ116">
        <v>9.8900000000000005E-5</v>
      </c>
      <c r="ER116">
        <v>9.2600000000000001E-5</v>
      </c>
      <c r="ES116">
        <v>8.6899999999999998E-5</v>
      </c>
      <c r="ET116">
        <v>8.1799999999999996E-5</v>
      </c>
      <c r="EU116">
        <v>7.7200000000000006E-5</v>
      </c>
      <c r="EV116">
        <v>7.2999999999999999E-5</v>
      </c>
      <c r="EW116">
        <v>6.9200000000000002E-5</v>
      </c>
      <c r="EX116">
        <v>6.5699999999999998E-5</v>
      </c>
      <c r="EY116">
        <v>6.2500000000000001E-5</v>
      </c>
      <c r="EZ116">
        <v>5.9500000000000003E-5</v>
      </c>
      <c r="FA116">
        <v>5.6700000000000003E-5</v>
      </c>
      <c r="FB116">
        <v>5.4200000000000003E-5</v>
      </c>
      <c r="FC116">
        <v>5.1799999999999999E-5</v>
      </c>
      <c r="FD116">
        <v>4.9599999999999999E-5</v>
      </c>
      <c r="FE116">
        <v>4.74E-5</v>
      </c>
      <c r="FF116">
        <v>4.5500000000000001E-5</v>
      </c>
      <c r="FG116">
        <v>4.3699999999999998E-5</v>
      </c>
      <c r="FH116">
        <v>4.21E-5</v>
      </c>
      <c r="FI116">
        <v>4.0500000000000002E-5</v>
      </c>
      <c r="FJ116">
        <v>3.9100000000000002E-5</v>
      </c>
      <c r="FK116">
        <v>3.7700000000000002E-5</v>
      </c>
      <c r="FL116">
        <v>3.6600000000000002E-5</v>
      </c>
      <c r="FM116">
        <v>3.54E-5</v>
      </c>
      <c r="FN116">
        <v>3.4400000000000003E-5</v>
      </c>
      <c r="FO116">
        <v>3.3300000000000003E-5</v>
      </c>
      <c r="FP116">
        <v>3.2199999999999997E-5</v>
      </c>
      <c r="FQ116">
        <v>3.1399999999999998E-5</v>
      </c>
      <c r="FR116">
        <v>3.0599999999999998E-5</v>
      </c>
      <c r="FS116">
        <v>2.9799999999999999E-5</v>
      </c>
      <c r="FT116">
        <v>2.9099999999999999E-5</v>
      </c>
      <c r="FU116">
        <v>2.83E-5</v>
      </c>
      <c r="FV116">
        <v>2.76E-5</v>
      </c>
      <c r="FW116">
        <v>2.6999999999999999E-5</v>
      </c>
      <c r="FX116">
        <v>2.65E-5</v>
      </c>
      <c r="FY116">
        <v>2.5899999999999999E-5</v>
      </c>
      <c r="FZ116">
        <v>2.5299999999999998E-5</v>
      </c>
      <c r="GA116">
        <v>2.48E-5</v>
      </c>
      <c r="GB116">
        <v>2.44E-5</v>
      </c>
      <c r="GC116">
        <v>2.3900000000000002E-5</v>
      </c>
      <c r="GD116">
        <v>2.3499999999999999E-5</v>
      </c>
      <c r="GE116">
        <v>2.3E-5</v>
      </c>
      <c r="GF116">
        <v>2.26E-5</v>
      </c>
      <c r="GG116">
        <v>2.2200000000000001E-5</v>
      </c>
      <c r="GH116">
        <v>2.1800000000000001E-5</v>
      </c>
      <c r="GI116">
        <v>2.1399999999999998E-5</v>
      </c>
      <c r="GJ116">
        <v>2.1100000000000001E-5</v>
      </c>
      <c r="GK116">
        <v>2.0699999999999998E-5</v>
      </c>
      <c r="GL116">
        <v>2.0400000000000001E-5</v>
      </c>
      <c r="GM116">
        <v>2.0000000000000002E-5</v>
      </c>
      <c r="GN116">
        <v>1.9700000000000001E-5</v>
      </c>
      <c r="GO116">
        <v>1.9400000000000001E-5</v>
      </c>
      <c r="GP116">
        <v>1.91E-5</v>
      </c>
      <c r="GQ116">
        <v>1.8899999999999999E-5</v>
      </c>
      <c r="GR116">
        <v>1.8600000000000001E-5</v>
      </c>
      <c r="GS116">
        <v>1.84E-5</v>
      </c>
      <c r="GT116">
        <v>1.8099999999999999E-5</v>
      </c>
      <c r="GU116">
        <v>1.7900000000000001E-5</v>
      </c>
      <c r="GV116">
        <v>1.7600000000000001E-5</v>
      </c>
      <c r="GW116">
        <v>1.73E-5</v>
      </c>
      <c r="GX116">
        <v>1.7E-5</v>
      </c>
      <c r="GY116">
        <v>1.66E-5</v>
      </c>
      <c r="GZ116">
        <v>1.63E-5</v>
      </c>
      <c r="HA116">
        <v>1.6099999999999998E-5</v>
      </c>
      <c r="HB116">
        <v>1.5800000000000001E-5</v>
      </c>
      <c r="HC116">
        <v>1.5500000000000001E-5</v>
      </c>
      <c r="HD116">
        <v>1.5299999999999999E-5</v>
      </c>
      <c r="HE116">
        <v>1.5099999999999999E-5</v>
      </c>
      <c r="HF116">
        <v>1.49E-5</v>
      </c>
      <c r="HG116">
        <v>1.47E-5</v>
      </c>
      <c r="HH116">
        <v>1.4399999999999999E-5</v>
      </c>
      <c r="HI116">
        <v>1.42E-5</v>
      </c>
      <c r="HJ116">
        <v>1.4100000000000001E-5</v>
      </c>
      <c r="HK116">
        <v>1.3900000000000001E-5</v>
      </c>
      <c r="HL116">
        <v>1.38E-5</v>
      </c>
      <c r="HM116">
        <v>1.36E-5</v>
      </c>
      <c r="HN116">
        <v>1.3499999999999999E-5</v>
      </c>
      <c r="HO116">
        <v>1.33E-5</v>
      </c>
      <c r="HP116">
        <v>1.2999999999999999E-5</v>
      </c>
      <c r="HQ116">
        <v>1.27E-5</v>
      </c>
      <c r="HR116">
        <v>1.22E-5</v>
      </c>
      <c r="HS116">
        <v>1.19E-5</v>
      </c>
      <c r="HT116">
        <v>1.1600000000000001E-5</v>
      </c>
      <c r="HU116">
        <v>1.1E-5</v>
      </c>
      <c r="HV116">
        <v>1.15E-5</v>
      </c>
      <c r="HW116">
        <v>1.13E-5</v>
      </c>
      <c r="HX116">
        <v>1.13E-5</v>
      </c>
      <c r="HY116">
        <v>1.1199999999999999E-5</v>
      </c>
      <c r="HZ116">
        <v>1.1199999999999999E-5</v>
      </c>
      <c r="IA116">
        <v>1.11E-5</v>
      </c>
      <c r="IB116">
        <v>1.1E-5</v>
      </c>
      <c r="IC116">
        <v>1.0900000000000001E-5</v>
      </c>
      <c r="ID116">
        <v>1.08E-5</v>
      </c>
      <c r="IE116">
        <v>1.0699999999999999E-5</v>
      </c>
      <c r="IF116">
        <v>1.06E-5</v>
      </c>
      <c r="IG116">
        <v>7.6210000000000004E-4</v>
      </c>
    </row>
    <row r="117" spans="1:241" x14ac:dyDescent="0.35">
      <c r="A117" s="1">
        <v>109</v>
      </c>
      <c r="B117">
        <v>1.05568E-2</v>
      </c>
      <c r="C117">
        <v>1.05568E-2</v>
      </c>
      <c r="D117">
        <v>1.05109E-2</v>
      </c>
      <c r="E117">
        <v>1.0347E-2</v>
      </c>
      <c r="F117">
        <v>9.6799E-3</v>
      </c>
      <c r="G117">
        <v>9.1429000000000007E-3</v>
      </c>
      <c r="H117">
        <v>8.5710000000000005E-3</v>
      </c>
      <c r="I117">
        <v>7.9764999999999992E-3</v>
      </c>
      <c r="J117">
        <v>7.4498999999999998E-3</v>
      </c>
      <c r="K117">
        <v>6.9689000000000001E-3</v>
      </c>
      <c r="L117">
        <v>6.5424999999999997E-3</v>
      </c>
      <c r="M117">
        <v>6.1617E-3</v>
      </c>
      <c r="N117">
        <v>5.8481999999999996E-3</v>
      </c>
      <c r="O117">
        <v>5.5423E-3</v>
      </c>
      <c r="P117">
        <v>5.2680000000000001E-3</v>
      </c>
      <c r="Q117">
        <v>5.0209E-3</v>
      </c>
      <c r="R117">
        <v>4.7980000000000002E-3</v>
      </c>
      <c r="S117">
        <v>4.5961999999999999E-3</v>
      </c>
      <c r="T117">
        <v>4.4127999999999997E-3</v>
      </c>
      <c r="U117">
        <v>4.2462000000000003E-3</v>
      </c>
      <c r="V117">
        <v>4.0955999999999996E-3</v>
      </c>
      <c r="W117">
        <v>3.9519000000000004E-3</v>
      </c>
      <c r="X117">
        <v>3.8173999999999999E-3</v>
      </c>
      <c r="Y117">
        <v>3.6919000000000001E-3</v>
      </c>
      <c r="Z117">
        <v>3.5756999999999998E-3</v>
      </c>
      <c r="AA117">
        <v>3.4673999999999998E-3</v>
      </c>
      <c r="AB117">
        <v>3.3660000000000001E-3</v>
      </c>
      <c r="AC117">
        <v>3.2724999999999998E-3</v>
      </c>
      <c r="AD117">
        <v>3.1846000000000001E-3</v>
      </c>
      <c r="AE117">
        <v>3.1020000000000002E-3</v>
      </c>
      <c r="AF117">
        <v>3.0244E-3</v>
      </c>
      <c r="AG117">
        <v>2.9508E-3</v>
      </c>
      <c r="AH117">
        <v>2.8812E-3</v>
      </c>
      <c r="AI117">
        <v>2.8157E-3</v>
      </c>
      <c r="AJ117">
        <v>2.7533000000000002E-3</v>
      </c>
      <c r="AK117">
        <v>2.6936999999999998E-3</v>
      </c>
      <c r="AL117">
        <v>2.6372000000000001E-3</v>
      </c>
      <c r="AM117">
        <v>2.5826999999999998E-3</v>
      </c>
      <c r="AN117">
        <v>2.5308000000000002E-3</v>
      </c>
      <c r="AO117">
        <v>2.4808E-3</v>
      </c>
      <c r="AP117">
        <v>2.4247000000000001E-3</v>
      </c>
      <c r="AQ117">
        <v>2.3774999999999998E-3</v>
      </c>
      <c r="AR117">
        <v>2.3341E-3</v>
      </c>
      <c r="AS117">
        <v>2.2910999999999999E-3</v>
      </c>
      <c r="AT117">
        <v>2.2501999999999999E-3</v>
      </c>
      <c r="AU117">
        <v>2.2109E-3</v>
      </c>
      <c r="AV117">
        <v>2.1719999999999999E-3</v>
      </c>
      <c r="AW117">
        <v>2.1429000000000001E-3</v>
      </c>
      <c r="AX117">
        <v>2.1071000000000002E-3</v>
      </c>
      <c r="AY117">
        <v>2.0728999999999999E-3</v>
      </c>
      <c r="AZ117">
        <v>2.0381000000000002E-3</v>
      </c>
      <c r="BA117">
        <v>1.9994000000000001E-3</v>
      </c>
      <c r="BB117">
        <v>1.9680000000000001E-3</v>
      </c>
      <c r="BC117">
        <v>1.9436E-3</v>
      </c>
      <c r="BD117">
        <v>1.9135000000000001E-3</v>
      </c>
      <c r="BE117">
        <v>1.8843E-3</v>
      </c>
      <c r="BF117">
        <v>1.8495E-3</v>
      </c>
      <c r="BG117">
        <v>1.8220000000000001E-3</v>
      </c>
      <c r="BH117">
        <v>1.7952000000000001E-3</v>
      </c>
      <c r="BI117">
        <v>1.7748E-3</v>
      </c>
      <c r="BJ117">
        <v>1.7420999999999999E-3</v>
      </c>
      <c r="BK117">
        <v>1.7171E-3</v>
      </c>
      <c r="BL117">
        <v>1.6921E-3</v>
      </c>
      <c r="BM117">
        <v>1.6674000000000001E-3</v>
      </c>
      <c r="BN117">
        <v>1.6431E-3</v>
      </c>
      <c r="BO117">
        <v>1.6186E-3</v>
      </c>
      <c r="BP117">
        <v>1.5949E-3</v>
      </c>
      <c r="BQ117">
        <v>1.5721000000000001E-3</v>
      </c>
      <c r="BR117">
        <v>1.5498E-3</v>
      </c>
      <c r="BS117">
        <v>1.5215999999999999E-3</v>
      </c>
      <c r="BT117">
        <v>1.4993000000000001E-3</v>
      </c>
      <c r="BU117">
        <v>1.4769E-3</v>
      </c>
      <c r="BV117">
        <v>1.4537E-3</v>
      </c>
      <c r="BW117">
        <v>1.433E-3</v>
      </c>
      <c r="BX117">
        <v>1.4113999999999999E-3</v>
      </c>
      <c r="BY117">
        <v>1.3894999999999999E-3</v>
      </c>
      <c r="BZ117">
        <v>1.3691E-3</v>
      </c>
      <c r="CA117">
        <v>1.3496000000000001E-3</v>
      </c>
      <c r="CB117">
        <v>1.3326E-3</v>
      </c>
      <c r="CC117">
        <v>1.3167000000000001E-3</v>
      </c>
      <c r="CD117">
        <v>1.2999000000000001E-3</v>
      </c>
      <c r="CE117">
        <v>1.2811999999999999E-3</v>
      </c>
      <c r="CF117">
        <v>1.2629E-3</v>
      </c>
      <c r="CG117">
        <v>1.2442E-3</v>
      </c>
      <c r="CH117">
        <v>1.2225000000000001E-3</v>
      </c>
      <c r="CI117">
        <v>1.2048E-3</v>
      </c>
      <c r="CJ117">
        <v>1.1722E-3</v>
      </c>
      <c r="CK117">
        <v>1.1528E-3</v>
      </c>
      <c r="CL117">
        <v>1.1339E-3</v>
      </c>
      <c r="CM117">
        <v>1.1149E-3</v>
      </c>
      <c r="CN117">
        <v>1.0973999999999999E-3</v>
      </c>
      <c r="CO117">
        <v>1.0819E-3</v>
      </c>
      <c r="CP117">
        <v>1.0666E-3</v>
      </c>
      <c r="CQ117">
        <v>1.0497E-3</v>
      </c>
      <c r="CR117">
        <v>1.0330000000000001E-3</v>
      </c>
      <c r="CS117">
        <v>1.0175E-3</v>
      </c>
      <c r="CT117">
        <v>1.003E-3</v>
      </c>
      <c r="CU117">
        <v>9.9179999999999993E-4</v>
      </c>
      <c r="CV117">
        <v>9.8090000000000004E-4</v>
      </c>
      <c r="CW117">
        <v>9.6949999999999998E-4</v>
      </c>
      <c r="CX117">
        <v>9.5790000000000003E-4</v>
      </c>
      <c r="CY117">
        <v>9.456E-4</v>
      </c>
      <c r="CZ117">
        <v>9.3179999999999999E-4</v>
      </c>
      <c r="DA117">
        <v>9.1430000000000005E-4</v>
      </c>
      <c r="DB117">
        <v>8.9289999999999997E-4</v>
      </c>
      <c r="DC117">
        <v>8.5260000000000002E-4</v>
      </c>
      <c r="DD117">
        <v>8.3330000000000003E-4</v>
      </c>
      <c r="DE117">
        <v>8.1329999999999998E-4</v>
      </c>
      <c r="DF117">
        <v>7.6869999999999998E-4</v>
      </c>
      <c r="DG117">
        <v>8.0289999999999995E-4</v>
      </c>
      <c r="DH117">
        <v>7.9420000000000001E-4</v>
      </c>
      <c r="DI117">
        <v>7.9000000000000001E-4</v>
      </c>
      <c r="DJ117">
        <v>7.85E-4</v>
      </c>
      <c r="DK117">
        <v>7.7979999999999998E-4</v>
      </c>
      <c r="DL117">
        <v>7.7399999999999995E-4</v>
      </c>
      <c r="DM117">
        <v>7.6789999999999996E-4</v>
      </c>
      <c r="DN117">
        <v>7.6150000000000002E-4</v>
      </c>
      <c r="DO117">
        <v>7.5460000000000002E-4</v>
      </c>
      <c r="DP117">
        <v>7.4739999999999995E-4</v>
      </c>
      <c r="DQ117">
        <v>5.36569E-2</v>
      </c>
      <c r="DR117">
        <v>0</v>
      </c>
      <c r="DS117">
        <v>4.5899999999999998E-5</v>
      </c>
      <c r="DT117">
        <v>1.639E-4</v>
      </c>
      <c r="DU117">
        <v>6.6719999999999995E-4</v>
      </c>
      <c r="DV117">
        <v>6.0240000000000001E-4</v>
      </c>
      <c r="DW117">
        <v>5.7229999999999998E-4</v>
      </c>
      <c r="DX117">
        <v>5.9500000000000004E-4</v>
      </c>
      <c r="DY117">
        <v>5.2729999999999997E-4</v>
      </c>
      <c r="DZ117">
        <v>4.819E-4</v>
      </c>
      <c r="EA117">
        <v>4.2749999999999998E-4</v>
      </c>
      <c r="EB117">
        <v>3.8210000000000002E-4</v>
      </c>
      <c r="EC117">
        <v>3.4079999999999999E-4</v>
      </c>
      <c r="ED117">
        <v>3.0739999999999999E-4</v>
      </c>
      <c r="EE117">
        <v>2.7609999999999999E-4</v>
      </c>
      <c r="EF117">
        <v>2.4909999999999998E-4</v>
      </c>
      <c r="EG117">
        <v>2.253E-4</v>
      </c>
      <c r="EH117">
        <v>2.0460000000000001E-4</v>
      </c>
      <c r="EI117">
        <v>1.864E-4</v>
      </c>
      <c r="EJ117">
        <v>1.705E-4</v>
      </c>
      <c r="EK117">
        <v>1.5640000000000001E-4</v>
      </c>
      <c r="EL117">
        <v>1.44E-4</v>
      </c>
      <c r="EM117">
        <v>1.329E-4</v>
      </c>
      <c r="EN117">
        <v>1.2300000000000001E-4</v>
      </c>
      <c r="EO117">
        <v>1.1400000000000001E-4</v>
      </c>
      <c r="EP117">
        <v>1.061E-4</v>
      </c>
      <c r="EQ117">
        <v>9.8999999999999994E-5</v>
      </c>
      <c r="ER117">
        <v>9.2600000000000001E-5</v>
      </c>
      <c r="ES117">
        <v>8.6899999999999998E-5</v>
      </c>
      <c r="ET117">
        <v>8.1799999999999996E-5</v>
      </c>
      <c r="EU117">
        <v>7.7100000000000004E-5</v>
      </c>
      <c r="EV117">
        <v>7.2999999999999999E-5</v>
      </c>
      <c r="EW117">
        <v>6.9099999999999999E-5</v>
      </c>
      <c r="EX117">
        <v>6.5599999999999995E-5</v>
      </c>
      <c r="EY117">
        <v>6.2399999999999999E-5</v>
      </c>
      <c r="EZ117">
        <v>5.9500000000000003E-5</v>
      </c>
      <c r="FA117">
        <v>5.6700000000000003E-5</v>
      </c>
      <c r="FB117">
        <v>5.4200000000000003E-5</v>
      </c>
      <c r="FC117">
        <v>5.1799999999999999E-5</v>
      </c>
      <c r="FD117">
        <v>4.9599999999999999E-5</v>
      </c>
      <c r="FE117">
        <v>4.7500000000000003E-5</v>
      </c>
      <c r="FF117">
        <v>4.5500000000000001E-5</v>
      </c>
      <c r="FG117">
        <v>4.3699999999999998E-5</v>
      </c>
      <c r="FH117">
        <v>4.1999999999999998E-5</v>
      </c>
      <c r="FI117">
        <v>4.0500000000000002E-5</v>
      </c>
      <c r="FJ117">
        <v>3.9100000000000002E-5</v>
      </c>
      <c r="FK117">
        <v>3.7700000000000002E-5</v>
      </c>
      <c r="FL117">
        <v>3.65E-5</v>
      </c>
      <c r="FM117">
        <v>3.54E-5</v>
      </c>
      <c r="FN117">
        <v>3.43E-5</v>
      </c>
      <c r="FO117">
        <v>3.3300000000000003E-5</v>
      </c>
      <c r="FP117">
        <v>3.2299999999999999E-5</v>
      </c>
      <c r="FQ117">
        <v>3.1300000000000002E-5</v>
      </c>
      <c r="FR117">
        <v>3.0499999999999999E-5</v>
      </c>
      <c r="FS117">
        <v>2.9799999999999999E-5</v>
      </c>
      <c r="FT117">
        <v>2.9099999999999999E-5</v>
      </c>
      <c r="FU117">
        <v>2.8399999999999999E-5</v>
      </c>
      <c r="FV117">
        <v>2.76E-5</v>
      </c>
      <c r="FW117">
        <v>2.6999999999999999E-5</v>
      </c>
      <c r="FX117">
        <v>2.6400000000000001E-5</v>
      </c>
      <c r="FY117">
        <v>2.5999999999999998E-5</v>
      </c>
      <c r="FZ117">
        <v>2.5299999999999998E-5</v>
      </c>
      <c r="GA117">
        <v>2.48E-5</v>
      </c>
      <c r="GB117">
        <v>2.44E-5</v>
      </c>
      <c r="GC117">
        <v>2.3900000000000002E-5</v>
      </c>
      <c r="GD117">
        <v>2.3499999999999999E-5</v>
      </c>
      <c r="GE117">
        <v>2.3E-5</v>
      </c>
      <c r="GF117">
        <v>2.26E-5</v>
      </c>
      <c r="GG117">
        <v>2.2200000000000001E-5</v>
      </c>
      <c r="GH117">
        <v>2.19E-5</v>
      </c>
      <c r="GI117">
        <v>2.1399999999999998E-5</v>
      </c>
      <c r="GJ117">
        <v>2.1100000000000001E-5</v>
      </c>
      <c r="GK117">
        <v>2.0699999999999998E-5</v>
      </c>
      <c r="GL117">
        <v>2.0400000000000001E-5</v>
      </c>
      <c r="GM117">
        <v>2.0100000000000001E-5</v>
      </c>
      <c r="GN117">
        <v>1.9700000000000001E-5</v>
      </c>
      <c r="GO117">
        <v>1.9400000000000001E-5</v>
      </c>
      <c r="GP117">
        <v>1.91E-5</v>
      </c>
      <c r="GQ117">
        <v>1.88E-5</v>
      </c>
      <c r="GR117">
        <v>1.8600000000000001E-5</v>
      </c>
      <c r="GS117">
        <v>1.84E-5</v>
      </c>
      <c r="GT117">
        <v>1.8099999999999999E-5</v>
      </c>
      <c r="GU117">
        <v>1.7900000000000001E-5</v>
      </c>
      <c r="GV117">
        <v>1.7600000000000001E-5</v>
      </c>
      <c r="GW117">
        <v>1.73E-5</v>
      </c>
      <c r="GX117">
        <v>1.7E-5</v>
      </c>
      <c r="GY117">
        <v>1.6799999999999998E-5</v>
      </c>
      <c r="GZ117">
        <v>1.6399999999999999E-5</v>
      </c>
      <c r="HA117">
        <v>1.6099999999999998E-5</v>
      </c>
      <c r="HB117">
        <v>1.5800000000000001E-5</v>
      </c>
      <c r="HC117">
        <v>1.56E-5</v>
      </c>
      <c r="HD117">
        <v>1.5299999999999999E-5</v>
      </c>
      <c r="HE117">
        <v>1.5099999999999999E-5</v>
      </c>
      <c r="HF117">
        <v>1.49E-5</v>
      </c>
      <c r="HG117">
        <v>1.47E-5</v>
      </c>
      <c r="HH117">
        <v>1.45E-5</v>
      </c>
      <c r="HI117">
        <v>1.42E-5</v>
      </c>
      <c r="HJ117">
        <v>1.4100000000000001E-5</v>
      </c>
      <c r="HK117">
        <v>1.3900000000000001E-5</v>
      </c>
      <c r="HL117">
        <v>1.38E-5</v>
      </c>
      <c r="HM117">
        <v>1.36E-5</v>
      </c>
      <c r="HN117">
        <v>1.34E-5</v>
      </c>
      <c r="HO117">
        <v>1.33E-5</v>
      </c>
      <c r="HP117">
        <v>1.31E-5</v>
      </c>
      <c r="HQ117">
        <v>1.29E-5</v>
      </c>
      <c r="HR117">
        <v>1.26E-5</v>
      </c>
      <c r="HS117">
        <v>1.2E-5</v>
      </c>
      <c r="HT117">
        <v>1.17E-5</v>
      </c>
      <c r="HU117">
        <v>1.1399999999999999E-5</v>
      </c>
      <c r="HV117">
        <v>1.08E-5</v>
      </c>
      <c r="HW117">
        <v>1.13E-5</v>
      </c>
      <c r="HX117">
        <v>1.1199999999999999E-5</v>
      </c>
      <c r="HY117">
        <v>1.11E-5</v>
      </c>
      <c r="HZ117">
        <v>1.11E-5</v>
      </c>
      <c r="IA117">
        <v>1.1E-5</v>
      </c>
      <c r="IB117">
        <v>1.0900000000000001E-5</v>
      </c>
      <c r="IC117">
        <v>1.08E-5</v>
      </c>
      <c r="ID117">
        <v>1.08E-5</v>
      </c>
      <c r="IE117">
        <v>1.0699999999999999E-5</v>
      </c>
      <c r="IF117">
        <v>1.06E-5</v>
      </c>
      <c r="IG117">
        <v>7.6179999999999998E-4</v>
      </c>
    </row>
    <row r="118" spans="1:241" x14ac:dyDescent="0.35">
      <c r="A118" s="1">
        <v>110</v>
      </c>
      <c r="B118">
        <v>1.05568E-2</v>
      </c>
      <c r="C118">
        <v>1.05568E-2</v>
      </c>
      <c r="D118">
        <v>1.05109E-2</v>
      </c>
      <c r="E118">
        <v>1.0347E-2</v>
      </c>
      <c r="F118">
        <v>9.6798000000000006E-3</v>
      </c>
      <c r="G118">
        <v>9.0775000000000005E-3</v>
      </c>
      <c r="H118">
        <v>8.5705999999999994E-3</v>
      </c>
      <c r="I118">
        <v>7.9760000000000005E-3</v>
      </c>
      <c r="J118">
        <v>7.4491999999999996E-3</v>
      </c>
      <c r="K118">
        <v>6.9680000000000002E-3</v>
      </c>
      <c r="L118">
        <v>6.5414000000000002E-3</v>
      </c>
      <c r="M118">
        <v>6.1605000000000002E-3</v>
      </c>
      <c r="N118">
        <v>5.8209000000000004E-3</v>
      </c>
      <c r="O118">
        <v>5.5407E-3</v>
      </c>
      <c r="P118">
        <v>5.2662000000000004E-3</v>
      </c>
      <c r="Q118">
        <v>5.0188999999999998E-3</v>
      </c>
      <c r="R118">
        <v>4.7955999999999997E-3</v>
      </c>
      <c r="S118">
        <v>4.5934000000000001E-3</v>
      </c>
      <c r="T118">
        <v>4.4096999999999999E-3</v>
      </c>
      <c r="U118">
        <v>4.2424000000000003E-3</v>
      </c>
      <c r="V118">
        <v>4.0898000000000002E-3</v>
      </c>
      <c r="W118">
        <v>3.9516000000000004E-3</v>
      </c>
      <c r="X118">
        <v>3.8189000000000001E-3</v>
      </c>
      <c r="Y118">
        <v>3.6944999999999999E-3</v>
      </c>
      <c r="Z118">
        <v>3.5779000000000002E-3</v>
      </c>
      <c r="AA118">
        <v>3.4696000000000002E-3</v>
      </c>
      <c r="AB118">
        <v>3.3684000000000001E-3</v>
      </c>
      <c r="AC118">
        <v>3.2734000000000001E-3</v>
      </c>
      <c r="AD118">
        <v>3.1855999999999998E-3</v>
      </c>
      <c r="AE118">
        <v>3.1028000000000002E-3</v>
      </c>
      <c r="AF118">
        <v>3.0247999999999998E-3</v>
      </c>
      <c r="AG118">
        <v>2.9513999999999999E-3</v>
      </c>
      <c r="AH118">
        <v>2.8817000000000001E-3</v>
      </c>
      <c r="AI118">
        <v>2.8156000000000001E-3</v>
      </c>
      <c r="AJ118">
        <v>2.7533000000000002E-3</v>
      </c>
      <c r="AK118">
        <v>2.6938999999999999E-3</v>
      </c>
      <c r="AL118">
        <v>2.637E-3</v>
      </c>
      <c r="AM118">
        <v>2.5829999999999998E-3</v>
      </c>
      <c r="AN118">
        <v>2.5309E-3</v>
      </c>
      <c r="AO118">
        <v>2.4811999999999998E-3</v>
      </c>
      <c r="AP118">
        <v>2.4332999999999998E-3</v>
      </c>
      <c r="AQ118">
        <v>2.3793E-3</v>
      </c>
      <c r="AR118">
        <v>2.3338999999999999E-3</v>
      </c>
      <c r="AS118">
        <v>2.2921E-3</v>
      </c>
      <c r="AT118">
        <v>2.2506000000000002E-3</v>
      </c>
      <c r="AU118">
        <v>2.2111000000000001E-3</v>
      </c>
      <c r="AV118">
        <v>2.1732000000000001E-3</v>
      </c>
      <c r="AW118">
        <v>2.1354999999999998E-3</v>
      </c>
      <c r="AX118">
        <v>2.1074000000000002E-3</v>
      </c>
      <c r="AY118">
        <v>2.0726999999999998E-3</v>
      </c>
      <c r="AZ118">
        <v>2.0395999999999999E-3</v>
      </c>
      <c r="BA118">
        <v>2.0057E-3</v>
      </c>
      <c r="BB118">
        <v>1.9681E-3</v>
      </c>
      <c r="BC118">
        <v>1.9375E-3</v>
      </c>
      <c r="BD118">
        <v>1.9138E-3</v>
      </c>
      <c r="BE118">
        <v>1.8844000000000001E-3</v>
      </c>
      <c r="BF118">
        <v>1.8559E-3</v>
      </c>
      <c r="BG118">
        <v>1.8219E-3</v>
      </c>
      <c r="BH118">
        <v>1.7951E-3</v>
      </c>
      <c r="BI118">
        <v>1.7688000000000001E-3</v>
      </c>
      <c r="BJ118">
        <v>1.7488E-3</v>
      </c>
      <c r="BK118">
        <v>1.7168000000000001E-3</v>
      </c>
      <c r="BL118">
        <v>1.6922E-3</v>
      </c>
      <c r="BM118">
        <v>1.6678000000000001E-3</v>
      </c>
      <c r="BN118">
        <v>1.6435E-3</v>
      </c>
      <c r="BO118">
        <v>1.6195999999999999E-3</v>
      </c>
      <c r="BP118">
        <v>1.5956E-3</v>
      </c>
      <c r="BQ118">
        <v>1.5721999999999999E-3</v>
      </c>
      <c r="BR118">
        <v>1.5499000000000001E-3</v>
      </c>
      <c r="BS118">
        <v>1.5280000000000001E-3</v>
      </c>
      <c r="BT118">
        <v>1.5001999999999999E-3</v>
      </c>
      <c r="BU118">
        <v>1.4782E-3</v>
      </c>
      <c r="BV118">
        <v>1.4561999999999999E-3</v>
      </c>
      <c r="BW118">
        <v>1.4333E-3</v>
      </c>
      <c r="BX118">
        <v>1.4128999999999999E-3</v>
      </c>
      <c r="BY118">
        <v>1.3917000000000001E-3</v>
      </c>
      <c r="BZ118">
        <v>1.3701E-3</v>
      </c>
      <c r="CA118">
        <v>1.3500000000000001E-3</v>
      </c>
      <c r="CB118">
        <v>1.3308E-3</v>
      </c>
      <c r="CC118">
        <v>1.3140999999999999E-3</v>
      </c>
      <c r="CD118">
        <v>1.2983000000000001E-3</v>
      </c>
      <c r="CE118">
        <v>1.2818E-3</v>
      </c>
      <c r="CF118">
        <v>1.2633E-3</v>
      </c>
      <c r="CG118">
        <v>1.2453E-3</v>
      </c>
      <c r="CH118">
        <v>1.2269E-3</v>
      </c>
      <c r="CI118">
        <v>1.2055E-3</v>
      </c>
      <c r="CJ118">
        <v>1.188E-3</v>
      </c>
      <c r="CK118">
        <v>1.1558E-3</v>
      </c>
      <c r="CL118">
        <v>1.1368000000000001E-3</v>
      </c>
      <c r="CM118">
        <v>1.1180999999999999E-3</v>
      </c>
      <c r="CN118">
        <v>1.0993999999999999E-3</v>
      </c>
      <c r="CO118">
        <v>1.0820999999999999E-3</v>
      </c>
      <c r="CP118">
        <v>1.0667999999999999E-3</v>
      </c>
      <c r="CQ118">
        <v>1.0516E-3</v>
      </c>
      <c r="CR118">
        <v>1.0349999999999999E-3</v>
      </c>
      <c r="CS118">
        <v>1.0185000000000001E-3</v>
      </c>
      <c r="CT118">
        <v>1.0032000000000001E-3</v>
      </c>
      <c r="CU118">
        <v>9.8900000000000008E-4</v>
      </c>
      <c r="CV118">
        <v>9.7790000000000008E-4</v>
      </c>
      <c r="CW118">
        <v>9.6719999999999998E-4</v>
      </c>
      <c r="CX118">
        <v>9.5589999999999998E-4</v>
      </c>
      <c r="CY118">
        <v>9.4450000000000003E-4</v>
      </c>
      <c r="CZ118">
        <v>9.3229999999999995E-4</v>
      </c>
      <c r="DA118">
        <v>9.188E-4</v>
      </c>
      <c r="DB118">
        <v>9.0140000000000001E-4</v>
      </c>
      <c r="DC118">
        <v>8.8040000000000004E-4</v>
      </c>
      <c r="DD118">
        <v>8.4060000000000005E-4</v>
      </c>
      <c r="DE118">
        <v>8.2160000000000002E-4</v>
      </c>
      <c r="DF118">
        <v>8.0190000000000003E-4</v>
      </c>
      <c r="DG118">
        <v>7.5779999999999999E-4</v>
      </c>
      <c r="DH118">
        <v>7.9160000000000005E-4</v>
      </c>
      <c r="DI118">
        <v>7.8299999999999995E-4</v>
      </c>
      <c r="DJ118">
        <v>7.7879999999999996E-4</v>
      </c>
      <c r="DK118">
        <v>7.739E-4</v>
      </c>
      <c r="DL118">
        <v>7.6880000000000004E-4</v>
      </c>
      <c r="DM118">
        <v>7.6309999999999995E-4</v>
      </c>
      <c r="DN118">
        <v>7.5710000000000003E-4</v>
      </c>
      <c r="DO118">
        <v>7.5069999999999998E-4</v>
      </c>
      <c r="DP118">
        <v>7.4390000000000003E-4</v>
      </c>
      <c r="DQ118">
        <v>5.3631999999999999E-2</v>
      </c>
      <c r="DR118">
        <v>0</v>
      </c>
      <c r="DS118">
        <v>4.5899999999999998E-5</v>
      </c>
      <c r="DT118">
        <v>1.639E-4</v>
      </c>
      <c r="DU118">
        <v>6.6730000000000001E-4</v>
      </c>
      <c r="DV118">
        <v>6.0249999999999995E-4</v>
      </c>
      <c r="DW118">
        <v>5.6479999999999996E-4</v>
      </c>
      <c r="DX118">
        <v>5.9509999999999999E-4</v>
      </c>
      <c r="DY118">
        <v>5.2740000000000003E-4</v>
      </c>
      <c r="DZ118">
        <v>4.8200000000000001E-4</v>
      </c>
      <c r="EA118">
        <v>4.2749999999999998E-4</v>
      </c>
      <c r="EB118">
        <v>3.8210000000000002E-4</v>
      </c>
      <c r="EC118">
        <v>3.4079999999999999E-4</v>
      </c>
      <c r="ED118">
        <v>3.055E-4</v>
      </c>
      <c r="EE118">
        <v>2.7609999999999999E-4</v>
      </c>
      <c r="EF118">
        <v>2.4899999999999998E-4</v>
      </c>
      <c r="EG118">
        <v>2.253E-4</v>
      </c>
      <c r="EH118">
        <v>2.0460000000000001E-4</v>
      </c>
      <c r="EI118">
        <v>1.864E-4</v>
      </c>
      <c r="EJ118">
        <v>1.7039999999999999E-4</v>
      </c>
      <c r="EK118">
        <v>1.563E-4</v>
      </c>
      <c r="EL118">
        <v>1.438E-4</v>
      </c>
      <c r="EM118">
        <v>1.328E-4</v>
      </c>
      <c r="EN118">
        <v>1.2300000000000001E-4</v>
      </c>
      <c r="EO118">
        <v>1.141E-4</v>
      </c>
      <c r="EP118">
        <v>1.061E-4</v>
      </c>
      <c r="EQ118">
        <v>9.8999999999999994E-5</v>
      </c>
      <c r="ER118">
        <v>9.2700000000000004E-5</v>
      </c>
      <c r="ES118">
        <v>8.6899999999999998E-5</v>
      </c>
      <c r="ET118">
        <v>8.1799999999999996E-5</v>
      </c>
      <c r="EU118">
        <v>7.7200000000000006E-5</v>
      </c>
      <c r="EV118">
        <v>7.2999999999999999E-5</v>
      </c>
      <c r="EW118">
        <v>6.9099999999999999E-5</v>
      </c>
      <c r="EX118">
        <v>6.5599999999999995E-5</v>
      </c>
      <c r="EY118">
        <v>6.2399999999999999E-5</v>
      </c>
      <c r="EZ118">
        <v>5.94E-5</v>
      </c>
      <c r="FA118">
        <v>5.6700000000000003E-5</v>
      </c>
      <c r="FB118">
        <v>5.41E-5</v>
      </c>
      <c r="FC118">
        <v>5.1799999999999999E-5</v>
      </c>
      <c r="FD118">
        <v>4.9599999999999999E-5</v>
      </c>
      <c r="FE118">
        <v>4.7500000000000003E-5</v>
      </c>
      <c r="FF118">
        <v>4.5599999999999997E-5</v>
      </c>
      <c r="FG118">
        <v>4.3699999999999998E-5</v>
      </c>
      <c r="FH118">
        <v>4.1999999999999998E-5</v>
      </c>
      <c r="FI118">
        <v>4.0500000000000002E-5</v>
      </c>
      <c r="FJ118">
        <v>3.8999999999999999E-5</v>
      </c>
      <c r="FK118">
        <v>3.7700000000000002E-5</v>
      </c>
      <c r="FL118">
        <v>3.65E-5</v>
      </c>
      <c r="FM118">
        <v>3.5299999999999997E-5</v>
      </c>
      <c r="FN118">
        <v>3.43E-5</v>
      </c>
      <c r="FO118">
        <v>3.3300000000000003E-5</v>
      </c>
      <c r="FP118">
        <v>3.2299999999999999E-5</v>
      </c>
      <c r="FQ118">
        <v>3.1399999999999998E-5</v>
      </c>
      <c r="FR118">
        <v>3.0499999999999999E-5</v>
      </c>
      <c r="FS118">
        <v>2.97E-5</v>
      </c>
      <c r="FT118">
        <v>2.9E-5</v>
      </c>
      <c r="FU118">
        <v>2.83E-5</v>
      </c>
      <c r="FV118">
        <v>2.7699999999999999E-5</v>
      </c>
      <c r="FW118">
        <v>2.6999999999999999E-5</v>
      </c>
      <c r="FX118">
        <v>2.6400000000000001E-5</v>
      </c>
      <c r="FY118">
        <v>2.58E-5</v>
      </c>
      <c r="FZ118">
        <v>2.5400000000000001E-5</v>
      </c>
      <c r="GA118">
        <v>2.48E-5</v>
      </c>
      <c r="GB118">
        <v>2.4300000000000001E-5</v>
      </c>
      <c r="GC118">
        <v>2.3900000000000002E-5</v>
      </c>
      <c r="GD118">
        <v>2.34E-5</v>
      </c>
      <c r="GE118">
        <v>2.3E-5</v>
      </c>
      <c r="GF118">
        <v>2.26E-5</v>
      </c>
      <c r="GG118">
        <v>2.2200000000000001E-5</v>
      </c>
      <c r="GH118">
        <v>2.1800000000000001E-5</v>
      </c>
      <c r="GI118">
        <v>2.1500000000000001E-5</v>
      </c>
      <c r="GJ118">
        <v>2.1100000000000001E-5</v>
      </c>
      <c r="GK118">
        <v>2.0699999999999998E-5</v>
      </c>
      <c r="GL118">
        <v>2.0400000000000001E-5</v>
      </c>
      <c r="GM118">
        <v>2.0000000000000002E-5</v>
      </c>
      <c r="GN118">
        <v>1.9700000000000001E-5</v>
      </c>
      <c r="GO118">
        <v>1.9400000000000001E-5</v>
      </c>
      <c r="GP118">
        <v>1.91E-5</v>
      </c>
      <c r="GQ118">
        <v>1.88E-5</v>
      </c>
      <c r="GR118">
        <v>1.8499999999999999E-5</v>
      </c>
      <c r="GS118">
        <v>1.8300000000000001E-5</v>
      </c>
      <c r="GT118">
        <v>1.8099999999999999E-5</v>
      </c>
      <c r="GU118">
        <v>1.7900000000000001E-5</v>
      </c>
      <c r="GV118">
        <v>1.7600000000000001E-5</v>
      </c>
      <c r="GW118">
        <v>1.73E-5</v>
      </c>
      <c r="GX118">
        <v>1.7099999999999999E-5</v>
      </c>
      <c r="GY118">
        <v>1.6799999999999998E-5</v>
      </c>
      <c r="GZ118">
        <v>1.66E-5</v>
      </c>
      <c r="HA118">
        <v>1.6099999999999998E-5</v>
      </c>
      <c r="HB118">
        <v>1.59E-5</v>
      </c>
      <c r="HC118">
        <v>1.56E-5</v>
      </c>
      <c r="HD118">
        <v>1.5299999999999999E-5</v>
      </c>
      <c r="HE118">
        <v>1.5099999999999999E-5</v>
      </c>
      <c r="HF118">
        <v>1.49E-5</v>
      </c>
      <c r="HG118">
        <v>1.47E-5</v>
      </c>
      <c r="HH118">
        <v>1.45E-5</v>
      </c>
      <c r="HI118">
        <v>1.43E-5</v>
      </c>
      <c r="HJ118">
        <v>1.4E-5</v>
      </c>
      <c r="HK118">
        <v>1.3900000000000001E-5</v>
      </c>
      <c r="HL118">
        <v>1.3699999999999999E-5</v>
      </c>
      <c r="HM118">
        <v>1.36E-5</v>
      </c>
      <c r="HN118">
        <v>1.34E-5</v>
      </c>
      <c r="HO118">
        <v>1.33E-5</v>
      </c>
      <c r="HP118">
        <v>1.31E-5</v>
      </c>
      <c r="HQ118">
        <v>1.29E-5</v>
      </c>
      <c r="HR118">
        <v>1.27E-5</v>
      </c>
      <c r="HS118">
        <v>1.24E-5</v>
      </c>
      <c r="HT118">
        <v>1.1800000000000001E-5</v>
      </c>
      <c r="HU118">
        <v>1.1600000000000001E-5</v>
      </c>
      <c r="HV118">
        <v>1.13E-5</v>
      </c>
      <c r="HW118">
        <v>1.0699999999999999E-5</v>
      </c>
      <c r="HX118">
        <v>1.1199999999999999E-5</v>
      </c>
      <c r="HY118">
        <v>1.1E-5</v>
      </c>
      <c r="HZ118">
        <v>1.1E-5</v>
      </c>
      <c r="IA118">
        <v>1.0900000000000001E-5</v>
      </c>
      <c r="IB118">
        <v>1.08E-5</v>
      </c>
      <c r="IC118">
        <v>1.08E-5</v>
      </c>
      <c r="ID118">
        <v>1.0699999999999999E-5</v>
      </c>
      <c r="IE118">
        <v>1.06E-5</v>
      </c>
      <c r="IF118">
        <v>1.0499999999999999E-5</v>
      </c>
      <c r="IG118">
        <v>7.6139999999999997E-4</v>
      </c>
    </row>
    <row r="119" spans="1:241" x14ac:dyDescent="0.35">
      <c r="A119" s="1">
        <v>111</v>
      </c>
      <c r="B119">
        <v>1.05568E-2</v>
      </c>
      <c r="C119">
        <v>1.05568E-2</v>
      </c>
      <c r="D119">
        <v>1.05109E-2</v>
      </c>
      <c r="E119">
        <v>1.0346899999999999E-2</v>
      </c>
      <c r="F119">
        <v>9.6796999999999994E-3</v>
      </c>
      <c r="G119">
        <v>9.0773E-3</v>
      </c>
      <c r="H119">
        <v>8.5126999999999998E-3</v>
      </c>
      <c r="I119">
        <v>7.9755999999999994E-3</v>
      </c>
      <c r="J119">
        <v>7.4485999999999997E-3</v>
      </c>
      <c r="K119">
        <v>6.9671999999999998E-3</v>
      </c>
      <c r="L119">
        <v>6.5405000000000003E-3</v>
      </c>
      <c r="M119">
        <v>6.1593999999999998E-3</v>
      </c>
      <c r="N119">
        <v>5.8196000000000003E-3</v>
      </c>
      <c r="O119">
        <v>5.5154000000000002E-3</v>
      </c>
      <c r="P119">
        <v>5.2646000000000004E-3</v>
      </c>
      <c r="Q119">
        <v>5.0171E-3</v>
      </c>
      <c r="R119">
        <v>4.7936000000000003E-3</v>
      </c>
      <c r="S119">
        <v>4.5909999999999996E-3</v>
      </c>
      <c r="T119">
        <v>4.4070000000000003E-3</v>
      </c>
      <c r="U119">
        <v>4.2392999999999997E-3</v>
      </c>
      <c r="V119">
        <v>4.0860999999999996E-3</v>
      </c>
      <c r="W119">
        <v>3.9459999999999999E-3</v>
      </c>
      <c r="X119">
        <v>3.8187999999999998E-3</v>
      </c>
      <c r="Y119">
        <v>3.6958999999999998E-3</v>
      </c>
      <c r="Z119">
        <v>3.5804000000000001E-3</v>
      </c>
      <c r="AA119">
        <v>3.4718000000000001E-3</v>
      </c>
      <c r="AB119">
        <v>3.3704999999999998E-3</v>
      </c>
      <c r="AC119">
        <v>3.2758000000000002E-3</v>
      </c>
      <c r="AD119">
        <v>3.1865000000000001E-3</v>
      </c>
      <c r="AE119">
        <v>3.1039000000000001E-3</v>
      </c>
      <c r="AF119">
        <v>3.0257000000000001E-3</v>
      </c>
      <c r="AG119">
        <v>2.9518999999999999E-3</v>
      </c>
      <c r="AH119">
        <v>2.8823E-3</v>
      </c>
      <c r="AI119">
        <v>2.8161000000000002E-3</v>
      </c>
      <c r="AJ119">
        <v>2.7531999999999999E-3</v>
      </c>
      <c r="AK119">
        <v>2.6938000000000001E-3</v>
      </c>
      <c r="AL119">
        <v>2.6372000000000001E-3</v>
      </c>
      <c r="AM119">
        <v>2.5829E-3</v>
      </c>
      <c r="AN119">
        <v>2.5311999999999999E-3</v>
      </c>
      <c r="AO119">
        <v>2.4813999999999999E-3</v>
      </c>
      <c r="AP119">
        <v>2.4337E-3</v>
      </c>
      <c r="AQ119">
        <v>2.3876000000000001E-3</v>
      </c>
      <c r="AR119">
        <v>2.3356000000000002E-3</v>
      </c>
      <c r="AS119">
        <v>2.2918000000000001E-3</v>
      </c>
      <c r="AT119">
        <v>2.2515999999999999E-3</v>
      </c>
      <c r="AU119">
        <v>2.2116000000000002E-3</v>
      </c>
      <c r="AV119">
        <v>2.1733999999999998E-3</v>
      </c>
      <c r="AW119">
        <v>2.1367000000000001E-3</v>
      </c>
      <c r="AX119">
        <v>2.1002999999999998E-3</v>
      </c>
      <c r="AY119">
        <v>2.0731E-3</v>
      </c>
      <c r="AZ119">
        <v>2.0395000000000001E-3</v>
      </c>
      <c r="BA119">
        <v>2.0073000000000001E-3</v>
      </c>
      <c r="BB119">
        <v>1.9743E-3</v>
      </c>
      <c r="BC119">
        <v>1.9376E-3</v>
      </c>
      <c r="BD119">
        <v>1.9078999999999999E-3</v>
      </c>
      <c r="BE119">
        <v>1.8848000000000001E-3</v>
      </c>
      <c r="BF119">
        <v>1.8561000000000001E-3</v>
      </c>
      <c r="BG119">
        <v>1.8282000000000001E-3</v>
      </c>
      <c r="BH119">
        <v>1.7949000000000001E-3</v>
      </c>
      <c r="BI119">
        <v>1.7687E-3</v>
      </c>
      <c r="BJ119">
        <v>1.743E-3</v>
      </c>
      <c r="BK119">
        <v>1.7235E-3</v>
      </c>
      <c r="BL119">
        <v>1.6919999999999999E-3</v>
      </c>
      <c r="BM119">
        <v>1.6678999999999999E-3</v>
      </c>
      <c r="BN119">
        <v>1.6439E-3</v>
      </c>
      <c r="BO119">
        <v>1.6201E-3</v>
      </c>
      <c r="BP119">
        <v>1.5966000000000001E-3</v>
      </c>
      <c r="BQ119">
        <v>1.573E-3</v>
      </c>
      <c r="BR119">
        <v>1.5499999999999999E-3</v>
      </c>
      <c r="BS119">
        <v>1.5280000000000001E-3</v>
      </c>
      <c r="BT119">
        <v>1.5065E-3</v>
      </c>
      <c r="BU119">
        <v>1.4790999999999999E-3</v>
      </c>
      <c r="BV119">
        <v>1.4575E-3</v>
      </c>
      <c r="BW119">
        <v>1.4358000000000001E-3</v>
      </c>
      <c r="BX119">
        <v>1.4132999999999999E-3</v>
      </c>
      <c r="BY119">
        <v>1.3932E-3</v>
      </c>
      <c r="BZ119">
        <v>1.3722999999999999E-3</v>
      </c>
      <c r="CA119">
        <v>1.351E-3</v>
      </c>
      <c r="CB119">
        <v>1.3312E-3</v>
      </c>
      <c r="CC119">
        <v>1.3121999999999999E-3</v>
      </c>
      <c r="CD119">
        <v>1.2957999999999999E-3</v>
      </c>
      <c r="CE119">
        <v>1.2803000000000001E-3</v>
      </c>
      <c r="CF119">
        <v>1.2639000000000001E-3</v>
      </c>
      <c r="CG119">
        <v>1.2457E-3</v>
      </c>
      <c r="CH119">
        <v>1.2279000000000001E-3</v>
      </c>
      <c r="CI119">
        <v>1.2098E-3</v>
      </c>
      <c r="CJ119">
        <v>1.1887E-3</v>
      </c>
      <c r="CK119">
        <v>1.1714E-3</v>
      </c>
      <c r="CL119">
        <v>1.1397E-3</v>
      </c>
      <c r="CM119">
        <v>1.1209E-3</v>
      </c>
      <c r="CN119">
        <v>1.1025E-3</v>
      </c>
      <c r="CO119">
        <v>1.0839999999999999E-3</v>
      </c>
      <c r="CP119">
        <v>1.0669E-3</v>
      </c>
      <c r="CQ119">
        <v>1.0518999999999999E-3</v>
      </c>
      <c r="CR119">
        <v>1.0369000000000001E-3</v>
      </c>
      <c r="CS119">
        <v>1.0204999999999999E-3</v>
      </c>
      <c r="CT119">
        <v>1.0043000000000001E-3</v>
      </c>
      <c r="CU119">
        <v>9.8919999999999998E-4</v>
      </c>
      <c r="CV119">
        <v>9.7510000000000001E-4</v>
      </c>
      <c r="CW119">
        <v>9.6420000000000002E-4</v>
      </c>
      <c r="CX119">
        <v>9.5359999999999998E-4</v>
      </c>
      <c r="CY119">
        <v>9.4249999999999998E-4</v>
      </c>
      <c r="CZ119">
        <v>9.3119999999999997E-4</v>
      </c>
      <c r="DA119">
        <v>9.1920000000000001E-4</v>
      </c>
      <c r="DB119">
        <v>9.0580000000000001E-4</v>
      </c>
      <c r="DC119">
        <v>8.8880000000000003E-4</v>
      </c>
      <c r="DD119">
        <v>8.6799999999999996E-4</v>
      </c>
      <c r="DE119">
        <v>8.2879999999999998E-4</v>
      </c>
      <c r="DF119">
        <v>8.0999999999999996E-4</v>
      </c>
      <c r="DG119">
        <v>7.9060000000000003E-4</v>
      </c>
      <c r="DH119">
        <v>7.4719999999999995E-4</v>
      </c>
      <c r="DI119">
        <v>7.8050000000000005E-4</v>
      </c>
      <c r="DJ119">
        <v>7.7200000000000001E-4</v>
      </c>
      <c r="DK119">
        <v>7.6789999999999996E-4</v>
      </c>
      <c r="DL119">
        <v>7.6300000000000001E-4</v>
      </c>
      <c r="DM119">
        <v>7.5790000000000005E-4</v>
      </c>
      <c r="DN119">
        <v>7.5230000000000002E-4</v>
      </c>
      <c r="DO119">
        <v>7.4640000000000004E-4</v>
      </c>
      <c r="DP119">
        <v>7.4010000000000005E-4</v>
      </c>
      <c r="DQ119">
        <v>5.3603999999999999E-2</v>
      </c>
      <c r="DR119">
        <v>0</v>
      </c>
      <c r="DS119">
        <v>4.5899999999999998E-5</v>
      </c>
      <c r="DT119">
        <v>1.64E-4</v>
      </c>
      <c r="DU119">
        <v>6.6739999999999996E-4</v>
      </c>
      <c r="DV119">
        <v>6.0260000000000001E-4</v>
      </c>
      <c r="DW119">
        <v>5.6490000000000002E-4</v>
      </c>
      <c r="DX119">
        <v>5.8839999999999999E-4</v>
      </c>
      <c r="DY119">
        <v>5.2749999999999997E-4</v>
      </c>
      <c r="DZ119">
        <v>4.8210000000000001E-4</v>
      </c>
      <c r="EA119">
        <v>4.2759999999999999E-4</v>
      </c>
      <c r="EB119">
        <v>3.8220000000000002E-4</v>
      </c>
      <c r="EC119">
        <v>3.4089999999999999E-4</v>
      </c>
      <c r="ED119">
        <v>3.055E-4</v>
      </c>
      <c r="EE119">
        <v>2.745E-4</v>
      </c>
      <c r="EF119">
        <v>2.4909999999999998E-4</v>
      </c>
      <c r="EG119">
        <v>2.253E-4</v>
      </c>
      <c r="EH119">
        <v>2.0460000000000001E-4</v>
      </c>
      <c r="EI119">
        <v>1.864E-4</v>
      </c>
      <c r="EJ119">
        <v>1.7039999999999999E-4</v>
      </c>
      <c r="EK119">
        <v>1.562E-4</v>
      </c>
      <c r="EL119">
        <v>1.437E-4</v>
      </c>
      <c r="EM119">
        <v>1.327E-4</v>
      </c>
      <c r="EN119">
        <v>1.2290000000000001E-4</v>
      </c>
      <c r="EO119">
        <v>1.141E-4</v>
      </c>
      <c r="EP119">
        <v>1.0620000000000001E-4</v>
      </c>
      <c r="EQ119">
        <v>9.9099999999999996E-5</v>
      </c>
      <c r="ER119">
        <v>9.2700000000000004E-5</v>
      </c>
      <c r="ES119">
        <v>8.7000000000000001E-5</v>
      </c>
      <c r="ET119">
        <v>8.1799999999999996E-5</v>
      </c>
      <c r="EU119">
        <v>7.7100000000000004E-5</v>
      </c>
      <c r="EV119">
        <v>7.2899999999999997E-5</v>
      </c>
      <c r="EW119">
        <v>6.9099999999999999E-5</v>
      </c>
      <c r="EX119">
        <v>6.5599999999999995E-5</v>
      </c>
      <c r="EY119">
        <v>6.2299999999999996E-5</v>
      </c>
      <c r="EZ119">
        <v>5.9299999999999998E-5</v>
      </c>
      <c r="FA119">
        <v>5.66E-5</v>
      </c>
      <c r="FB119">
        <v>5.3999999999999998E-5</v>
      </c>
      <c r="FC119">
        <v>5.1700000000000003E-5</v>
      </c>
      <c r="FD119">
        <v>4.9499999999999997E-5</v>
      </c>
      <c r="FE119">
        <v>4.74E-5</v>
      </c>
      <c r="FF119">
        <v>4.5500000000000001E-5</v>
      </c>
      <c r="FG119">
        <v>4.3699999999999998E-5</v>
      </c>
      <c r="FH119">
        <v>4.1900000000000002E-5</v>
      </c>
      <c r="FI119">
        <v>4.0399999999999999E-5</v>
      </c>
      <c r="FJ119">
        <v>3.8899999999999997E-5</v>
      </c>
      <c r="FK119">
        <v>3.7599999999999999E-5</v>
      </c>
      <c r="FL119">
        <v>3.6300000000000001E-5</v>
      </c>
      <c r="FM119">
        <v>3.5200000000000002E-5</v>
      </c>
      <c r="FN119">
        <v>3.4100000000000002E-5</v>
      </c>
      <c r="FO119">
        <v>3.3200000000000001E-5</v>
      </c>
      <c r="FP119">
        <v>3.2199999999999997E-5</v>
      </c>
      <c r="FQ119">
        <v>3.1300000000000002E-5</v>
      </c>
      <c r="FR119">
        <v>3.0499999999999999E-5</v>
      </c>
      <c r="FS119">
        <v>2.9600000000000001E-5</v>
      </c>
      <c r="FT119">
        <v>2.8799999999999999E-5</v>
      </c>
      <c r="FU119">
        <v>2.8200000000000001E-5</v>
      </c>
      <c r="FV119">
        <v>2.76E-5</v>
      </c>
      <c r="FW119">
        <v>2.6999999999999999E-5</v>
      </c>
      <c r="FX119">
        <v>2.6299999999999999E-5</v>
      </c>
      <c r="FY119">
        <v>2.5700000000000001E-5</v>
      </c>
      <c r="FZ119">
        <v>2.5199999999999999E-5</v>
      </c>
      <c r="GA119">
        <v>2.48E-5</v>
      </c>
      <c r="GB119">
        <v>2.4300000000000001E-5</v>
      </c>
      <c r="GC119">
        <v>2.3799999999999999E-5</v>
      </c>
      <c r="GD119">
        <v>2.34E-5</v>
      </c>
      <c r="GE119">
        <v>2.3E-5</v>
      </c>
      <c r="GF119">
        <v>2.26E-5</v>
      </c>
      <c r="GG119">
        <v>2.2200000000000001E-5</v>
      </c>
      <c r="GH119">
        <v>2.1800000000000001E-5</v>
      </c>
      <c r="GI119">
        <v>2.1399999999999998E-5</v>
      </c>
      <c r="GJ119">
        <v>2.1100000000000001E-5</v>
      </c>
      <c r="GK119">
        <v>2.0699999999999998E-5</v>
      </c>
      <c r="GL119">
        <v>2.0400000000000001E-5</v>
      </c>
      <c r="GM119">
        <v>2.0000000000000002E-5</v>
      </c>
      <c r="GN119">
        <v>1.9700000000000001E-5</v>
      </c>
      <c r="GO119">
        <v>1.9400000000000001E-5</v>
      </c>
      <c r="GP119">
        <v>1.91E-5</v>
      </c>
      <c r="GQ119">
        <v>1.88E-5</v>
      </c>
      <c r="GR119">
        <v>1.8499999999999999E-5</v>
      </c>
      <c r="GS119">
        <v>1.8300000000000001E-5</v>
      </c>
      <c r="GT119">
        <v>1.8E-5</v>
      </c>
      <c r="GU119">
        <v>1.7799999999999999E-5</v>
      </c>
      <c r="GV119">
        <v>1.7600000000000001E-5</v>
      </c>
      <c r="GW119">
        <v>1.73E-5</v>
      </c>
      <c r="GX119">
        <v>1.7099999999999999E-5</v>
      </c>
      <c r="GY119">
        <v>1.6799999999999998E-5</v>
      </c>
      <c r="GZ119">
        <v>1.66E-5</v>
      </c>
      <c r="HA119">
        <v>1.63E-5</v>
      </c>
      <c r="HB119">
        <v>1.59E-5</v>
      </c>
      <c r="HC119">
        <v>1.56E-5</v>
      </c>
      <c r="HD119">
        <v>1.5400000000000002E-5</v>
      </c>
      <c r="HE119">
        <v>1.5099999999999999E-5</v>
      </c>
      <c r="HF119">
        <v>1.49E-5</v>
      </c>
      <c r="HG119">
        <v>1.47E-5</v>
      </c>
      <c r="HH119">
        <v>1.45E-5</v>
      </c>
      <c r="HI119">
        <v>1.43E-5</v>
      </c>
      <c r="HJ119">
        <v>1.4100000000000001E-5</v>
      </c>
      <c r="HK119">
        <v>1.3900000000000001E-5</v>
      </c>
      <c r="HL119">
        <v>1.3699999999999999E-5</v>
      </c>
      <c r="HM119">
        <v>1.3499999999999999E-5</v>
      </c>
      <c r="HN119">
        <v>1.34E-5</v>
      </c>
      <c r="HO119">
        <v>1.3200000000000001E-5</v>
      </c>
      <c r="HP119">
        <v>1.31E-5</v>
      </c>
      <c r="HQ119">
        <v>1.29E-5</v>
      </c>
      <c r="HR119">
        <v>1.27E-5</v>
      </c>
      <c r="HS119">
        <v>1.2500000000000001E-5</v>
      </c>
      <c r="HT119">
        <v>1.22E-5</v>
      </c>
      <c r="HU119">
        <v>1.17E-5</v>
      </c>
      <c r="HV119">
        <v>1.1399999999999999E-5</v>
      </c>
      <c r="HW119">
        <v>1.11E-5</v>
      </c>
      <c r="HX119">
        <v>1.0499999999999999E-5</v>
      </c>
      <c r="HY119">
        <v>1.1E-5</v>
      </c>
      <c r="HZ119">
        <v>1.0900000000000001E-5</v>
      </c>
      <c r="IA119">
        <v>1.08E-5</v>
      </c>
      <c r="IB119">
        <v>1.08E-5</v>
      </c>
      <c r="IC119">
        <v>1.0699999999999999E-5</v>
      </c>
      <c r="ID119">
        <v>1.06E-5</v>
      </c>
      <c r="IE119">
        <v>1.0499999999999999E-5</v>
      </c>
      <c r="IF119">
        <v>1.0499999999999999E-5</v>
      </c>
      <c r="IG119">
        <v>7.6099999999999996E-4</v>
      </c>
    </row>
    <row r="120" spans="1:241" x14ac:dyDescent="0.35">
      <c r="A120" s="1">
        <v>112</v>
      </c>
      <c r="B120">
        <v>1.05568E-2</v>
      </c>
      <c r="C120">
        <v>1.05568E-2</v>
      </c>
      <c r="D120">
        <v>1.05109E-2</v>
      </c>
      <c r="E120">
        <v>1.0346899999999999E-2</v>
      </c>
      <c r="F120">
        <v>9.6795000000000006E-3</v>
      </c>
      <c r="G120">
        <v>9.0770999999999994E-3</v>
      </c>
      <c r="H120">
        <v>8.5123999999999998E-3</v>
      </c>
      <c r="I120">
        <v>7.9243000000000004E-3</v>
      </c>
      <c r="J120">
        <v>7.4481E-3</v>
      </c>
      <c r="K120">
        <v>6.9664999999999996E-3</v>
      </c>
      <c r="L120">
        <v>6.5395999999999996E-3</v>
      </c>
      <c r="M120">
        <v>6.1583000000000002E-3</v>
      </c>
      <c r="N120">
        <v>5.8183999999999996E-3</v>
      </c>
      <c r="O120">
        <v>5.5141000000000001E-3</v>
      </c>
      <c r="P120">
        <v>5.2408999999999997E-3</v>
      </c>
      <c r="Q120">
        <v>5.0156000000000003E-3</v>
      </c>
      <c r="R120">
        <v>4.7917999999999997E-3</v>
      </c>
      <c r="S120">
        <v>4.5890000000000002E-3</v>
      </c>
      <c r="T120">
        <v>4.4045999999999998E-3</v>
      </c>
      <c r="U120">
        <v>4.2366000000000001E-3</v>
      </c>
      <c r="V120">
        <v>4.0831000000000001E-3</v>
      </c>
      <c r="W120">
        <v>3.9424000000000004E-3</v>
      </c>
      <c r="X120">
        <v>3.8134000000000002E-3</v>
      </c>
      <c r="Y120">
        <v>3.6958999999999998E-3</v>
      </c>
      <c r="Z120">
        <v>3.5818E-3</v>
      </c>
      <c r="AA120">
        <v>3.4742000000000002E-3</v>
      </c>
      <c r="AB120">
        <v>3.3727000000000002E-3</v>
      </c>
      <c r="AC120">
        <v>3.2778E-3</v>
      </c>
      <c r="AD120">
        <v>3.1887999999999999E-3</v>
      </c>
      <c r="AE120">
        <v>3.1047000000000002E-3</v>
      </c>
      <c r="AF120">
        <v>3.0266999999999998E-3</v>
      </c>
      <c r="AG120">
        <v>2.9528000000000002E-3</v>
      </c>
      <c r="AH120">
        <v>2.8828E-3</v>
      </c>
      <c r="AI120">
        <v>2.8167000000000001E-3</v>
      </c>
      <c r="AJ120">
        <v>2.7537999999999998E-3</v>
      </c>
      <c r="AK120">
        <v>2.6938999999999999E-3</v>
      </c>
      <c r="AL120">
        <v>2.6372000000000001E-3</v>
      </c>
      <c r="AM120">
        <v>2.5831999999999999E-3</v>
      </c>
      <c r="AN120">
        <v>2.5311999999999999E-3</v>
      </c>
      <c r="AO120">
        <v>2.4818000000000002E-3</v>
      </c>
      <c r="AP120">
        <v>2.4339000000000001E-3</v>
      </c>
      <c r="AQ120">
        <v>2.3882E-3</v>
      </c>
      <c r="AR120">
        <v>2.3438999999999999E-3</v>
      </c>
      <c r="AS120">
        <v>2.2935999999999998E-3</v>
      </c>
      <c r="AT120">
        <v>2.2515E-3</v>
      </c>
      <c r="AU120">
        <v>2.2127000000000002E-3</v>
      </c>
      <c r="AV120">
        <v>2.1740000000000002E-3</v>
      </c>
      <c r="AW120">
        <v>2.1370999999999999E-3</v>
      </c>
      <c r="AX120">
        <v>2.1015999999999999E-3</v>
      </c>
      <c r="AY120">
        <v>2.0661999999999998E-3</v>
      </c>
      <c r="AZ120">
        <v>2.0400000000000001E-3</v>
      </c>
      <c r="BA120">
        <v>2.0073000000000001E-3</v>
      </c>
      <c r="BB120">
        <v>1.9759999999999999E-3</v>
      </c>
      <c r="BC120">
        <v>1.9438999999999999E-3</v>
      </c>
      <c r="BD120">
        <v>1.908E-3</v>
      </c>
      <c r="BE120">
        <v>1.879E-3</v>
      </c>
      <c r="BF120">
        <v>1.8565000000000001E-3</v>
      </c>
      <c r="BG120">
        <v>1.8285E-3</v>
      </c>
      <c r="BH120">
        <v>1.8013E-3</v>
      </c>
      <c r="BI120">
        <v>1.7685999999999999E-3</v>
      </c>
      <c r="BJ120">
        <v>1.7428999999999999E-3</v>
      </c>
      <c r="BK120">
        <v>1.7177E-3</v>
      </c>
      <c r="BL120">
        <v>1.6986E-3</v>
      </c>
      <c r="BM120">
        <v>1.6677E-3</v>
      </c>
      <c r="BN120">
        <v>1.6440999999999999E-3</v>
      </c>
      <c r="BO120">
        <v>1.6205E-3</v>
      </c>
      <c r="BP120">
        <v>1.5971E-3</v>
      </c>
      <c r="BQ120">
        <v>1.5740999999999999E-3</v>
      </c>
      <c r="BR120">
        <v>1.5508E-3</v>
      </c>
      <c r="BS120">
        <v>1.5282E-3</v>
      </c>
      <c r="BT120">
        <v>1.5066000000000001E-3</v>
      </c>
      <c r="BU120">
        <v>1.4854E-3</v>
      </c>
      <c r="BV120">
        <v>1.4584999999999999E-3</v>
      </c>
      <c r="BW120">
        <v>1.4372E-3</v>
      </c>
      <c r="BX120">
        <v>1.4158E-3</v>
      </c>
      <c r="BY120">
        <v>1.3936E-3</v>
      </c>
      <c r="BZ120">
        <v>1.3738000000000001E-3</v>
      </c>
      <c r="CA120">
        <v>1.3531000000000001E-3</v>
      </c>
      <c r="CB120">
        <v>1.3322E-3</v>
      </c>
      <c r="CC120">
        <v>1.3125999999999999E-3</v>
      </c>
      <c r="CD120">
        <v>1.294E-3</v>
      </c>
      <c r="CE120">
        <v>1.2777000000000001E-3</v>
      </c>
      <c r="CF120">
        <v>1.2623999999999999E-3</v>
      </c>
      <c r="CG120">
        <v>1.2463000000000001E-3</v>
      </c>
      <c r="CH120">
        <v>1.2283999999999999E-3</v>
      </c>
      <c r="CI120">
        <v>1.2107999999999999E-3</v>
      </c>
      <c r="CJ120">
        <v>1.193E-3</v>
      </c>
      <c r="CK120">
        <v>1.1720999999999999E-3</v>
      </c>
      <c r="CL120">
        <v>1.1551000000000001E-3</v>
      </c>
      <c r="CM120">
        <v>1.1238000000000001E-3</v>
      </c>
      <c r="CN120">
        <v>1.1053E-3</v>
      </c>
      <c r="CO120">
        <v>1.0870999999999999E-3</v>
      </c>
      <c r="CP120">
        <v>1.0689E-3</v>
      </c>
      <c r="CQ120">
        <v>1.052E-3</v>
      </c>
      <c r="CR120">
        <v>1.0372000000000001E-3</v>
      </c>
      <c r="CS120">
        <v>1.0223999999999999E-3</v>
      </c>
      <c r="CT120">
        <v>1.0062999999999999E-3</v>
      </c>
      <c r="CU120">
        <v>9.9020000000000011E-4</v>
      </c>
      <c r="CV120">
        <v>9.7530000000000002E-4</v>
      </c>
      <c r="CW120">
        <v>9.6150000000000001E-4</v>
      </c>
      <c r="CX120">
        <v>9.5060000000000001E-4</v>
      </c>
      <c r="CY120">
        <v>9.4030000000000003E-4</v>
      </c>
      <c r="CZ120">
        <v>9.2929999999999998E-4</v>
      </c>
      <c r="DA120">
        <v>9.1819999999999998E-4</v>
      </c>
      <c r="DB120">
        <v>9.0629999999999997E-4</v>
      </c>
      <c r="DC120">
        <v>8.9309999999999997E-4</v>
      </c>
      <c r="DD120">
        <v>8.763E-4</v>
      </c>
      <c r="DE120">
        <v>8.5579999999999999E-4</v>
      </c>
      <c r="DF120">
        <v>8.1720000000000002E-4</v>
      </c>
      <c r="DG120">
        <v>7.986E-4</v>
      </c>
      <c r="DH120">
        <v>7.7939999999999997E-4</v>
      </c>
      <c r="DI120">
        <v>7.3660000000000002E-4</v>
      </c>
      <c r="DJ120">
        <v>7.695E-4</v>
      </c>
      <c r="DK120">
        <v>7.6110000000000001E-4</v>
      </c>
      <c r="DL120">
        <v>7.5699999999999997E-4</v>
      </c>
      <c r="DM120">
        <v>7.5219999999999996E-4</v>
      </c>
      <c r="DN120">
        <v>7.4719999999999995E-4</v>
      </c>
      <c r="DO120">
        <v>7.4169999999999998E-4</v>
      </c>
      <c r="DP120">
        <v>7.3590000000000005E-4</v>
      </c>
      <c r="DQ120">
        <v>5.3572700000000001E-2</v>
      </c>
      <c r="DR120">
        <v>0</v>
      </c>
      <c r="DS120">
        <v>4.5899999999999998E-5</v>
      </c>
      <c r="DT120">
        <v>1.64E-4</v>
      </c>
      <c r="DU120">
        <v>6.6750000000000002E-4</v>
      </c>
      <c r="DV120">
        <v>6.0269999999999996E-4</v>
      </c>
      <c r="DW120">
        <v>5.6519999999999997E-4</v>
      </c>
      <c r="DX120">
        <v>5.8850000000000005E-4</v>
      </c>
      <c r="DY120">
        <v>5.2220000000000001E-4</v>
      </c>
      <c r="DZ120">
        <v>4.8220000000000001E-4</v>
      </c>
      <c r="EA120">
        <v>4.2769999999999999E-4</v>
      </c>
      <c r="EB120">
        <v>3.8220000000000002E-4</v>
      </c>
      <c r="EC120">
        <v>3.4099999999999999E-4</v>
      </c>
      <c r="ED120">
        <v>3.056E-4</v>
      </c>
      <c r="EE120">
        <v>2.745E-4</v>
      </c>
      <c r="EF120">
        <v>2.476E-4</v>
      </c>
      <c r="EG120">
        <v>2.253E-4</v>
      </c>
      <c r="EH120">
        <v>2.0460000000000001E-4</v>
      </c>
      <c r="EI120">
        <v>1.864E-4</v>
      </c>
      <c r="EJ120">
        <v>1.7039999999999999E-4</v>
      </c>
      <c r="EK120">
        <v>1.562E-4</v>
      </c>
      <c r="EL120">
        <v>1.437E-4</v>
      </c>
      <c r="EM120">
        <v>1.326E-4</v>
      </c>
      <c r="EN120">
        <v>1.227E-4</v>
      </c>
      <c r="EO120">
        <v>1.1400000000000001E-4</v>
      </c>
      <c r="EP120">
        <v>1.0620000000000001E-4</v>
      </c>
      <c r="EQ120">
        <v>9.9099999999999996E-5</v>
      </c>
      <c r="ER120">
        <v>9.2700000000000004E-5</v>
      </c>
      <c r="ES120">
        <v>8.7000000000000001E-5</v>
      </c>
      <c r="ET120">
        <v>8.1899999999999999E-5</v>
      </c>
      <c r="EU120">
        <v>7.7200000000000006E-5</v>
      </c>
      <c r="EV120">
        <v>7.2999999999999999E-5</v>
      </c>
      <c r="EW120">
        <v>6.9099999999999999E-5</v>
      </c>
      <c r="EX120">
        <v>6.5599999999999995E-5</v>
      </c>
      <c r="EY120">
        <v>6.2299999999999996E-5</v>
      </c>
      <c r="EZ120">
        <v>5.9299999999999998E-5</v>
      </c>
      <c r="FA120">
        <v>5.66E-5</v>
      </c>
      <c r="FB120">
        <v>5.3999999999999998E-5</v>
      </c>
      <c r="FC120">
        <v>5.1700000000000003E-5</v>
      </c>
      <c r="FD120">
        <v>4.9400000000000001E-5</v>
      </c>
      <c r="FE120">
        <v>4.74E-5</v>
      </c>
      <c r="FF120">
        <v>4.5500000000000001E-5</v>
      </c>
      <c r="FG120">
        <v>4.3699999999999998E-5</v>
      </c>
      <c r="FH120">
        <v>4.1999999999999998E-5</v>
      </c>
      <c r="FI120">
        <v>4.0299999999999997E-5</v>
      </c>
      <c r="FJ120">
        <v>3.8899999999999997E-5</v>
      </c>
      <c r="FK120">
        <v>3.7599999999999999E-5</v>
      </c>
      <c r="FL120">
        <v>3.6300000000000001E-5</v>
      </c>
      <c r="FM120">
        <v>3.5099999999999999E-5</v>
      </c>
      <c r="FN120">
        <v>3.4E-5</v>
      </c>
      <c r="FO120">
        <v>3.3000000000000003E-5</v>
      </c>
      <c r="FP120">
        <v>3.2199999999999997E-5</v>
      </c>
      <c r="FQ120">
        <v>3.1300000000000002E-5</v>
      </c>
      <c r="FR120">
        <v>3.04E-5</v>
      </c>
      <c r="FS120">
        <v>2.9600000000000001E-5</v>
      </c>
      <c r="FT120">
        <v>2.8799999999999999E-5</v>
      </c>
      <c r="FU120">
        <v>2.8099999999999999E-5</v>
      </c>
      <c r="FV120">
        <v>2.76E-5</v>
      </c>
      <c r="FW120">
        <v>2.69E-5</v>
      </c>
      <c r="FX120">
        <v>2.6400000000000001E-5</v>
      </c>
      <c r="FY120">
        <v>2.5700000000000001E-5</v>
      </c>
      <c r="FZ120">
        <v>2.5199999999999999E-5</v>
      </c>
      <c r="GA120">
        <v>2.4700000000000001E-5</v>
      </c>
      <c r="GB120">
        <v>2.4300000000000001E-5</v>
      </c>
      <c r="GC120">
        <v>2.3799999999999999E-5</v>
      </c>
      <c r="GD120">
        <v>2.3300000000000001E-5</v>
      </c>
      <c r="GE120">
        <v>2.2900000000000001E-5</v>
      </c>
      <c r="GF120">
        <v>2.2500000000000001E-5</v>
      </c>
      <c r="GG120">
        <v>2.2200000000000001E-5</v>
      </c>
      <c r="GH120">
        <v>2.1800000000000001E-5</v>
      </c>
      <c r="GI120">
        <v>2.1399999999999998E-5</v>
      </c>
      <c r="GJ120">
        <v>2.1100000000000001E-5</v>
      </c>
      <c r="GK120">
        <v>2.0800000000000001E-5</v>
      </c>
      <c r="GL120">
        <v>2.0299999999999999E-5</v>
      </c>
      <c r="GM120">
        <v>2.0000000000000002E-5</v>
      </c>
      <c r="GN120">
        <v>1.9700000000000001E-5</v>
      </c>
      <c r="GO120">
        <v>1.9400000000000001E-5</v>
      </c>
      <c r="GP120">
        <v>1.91E-5</v>
      </c>
      <c r="GQ120">
        <v>1.88E-5</v>
      </c>
      <c r="GR120">
        <v>1.8499999999999999E-5</v>
      </c>
      <c r="GS120">
        <v>1.8199999999999999E-5</v>
      </c>
      <c r="GT120">
        <v>1.8E-5</v>
      </c>
      <c r="GU120">
        <v>1.7799999999999999E-5</v>
      </c>
      <c r="GV120">
        <v>1.7600000000000001E-5</v>
      </c>
      <c r="GW120">
        <v>1.73E-5</v>
      </c>
      <c r="GX120">
        <v>1.7099999999999999E-5</v>
      </c>
      <c r="GY120">
        <v>1.6799999999999998E-5</v>
      </c>
      <c r="GZ120">
        <v>1.66E-5</v>
      </c>
      <c r="HA120">
        <v>1.63E-5</v>
      </c>
      <c r="HB120">
        <v>1.6099999999999998E-5</v>
      </c>
      <c r="HC120">
        <v>1.5699999999999999E-5</v>
      </c>
      <c r="HD120">
        <v>1.5400000000000002E-5</v>
      </c>
      <c r="HE120">
        <v>1.52E-5</v>
      </c>
      <c r="HF120">
        <v>1.49E-5</v>
      </c>
      <c r="HG120">
        <v>1.47E-5</v>
      </c>
      <c r="HH120">
        <v>1.45E-5</v>
      </c>
      <c r="HI120">
        <v>1.43E-5</v>
      </c>
      <c r="HJ120">
        <v>1.4100000000000001E-5</v>
      </c>
      <c r="HK120">
        <v>1.3900000000000001E-5</v>
      </c>
      <c r="HL120">
        <v>1.3699999999999999E-5</v>
      </c>
      <c r="HM120">
        <v>1.3499999999999999E-5</v>
      </c>
      <c r="HN120">
        <v>1.33E-5</v>
      </c>
      <c r="HO120">
        <v>1.3200000000000001E-5</v>
      </c>
      <c r="HP120">
        <v>1.2999999999999999E-5</v>
      </c>
      <c r="HQ120">
        <v>1.29E-5</v>
      </c>
      <c r="HR120">
        <v>1.27E-5</v>
      </c>
      <c r="HS120">
        <v>1.26E-5</v>
      </c>
      <c r="HT120">
        <v>1.2300000000000001E-5</v>
      </c>
      <c r="HU120">
        <v>1.2E-5</v>
      </c>
      <c r="HV120">
        <v>1.15E-5</v>
      </c>
      <c r="HW120">
        <v>1.1199999999999999E-5</v>
      </c>
      <c r="HX120">
        <v>1.1E-5</v>
      </c>
      <c r="HY120">
        <v>1.04E-5</v>
      </c>
      <c r="HZ120">
        <v>1.08E-5</v>
      </c>
      <c r="IA120">
        <v>1.0699999999999999E-5</v>
      </c>
      <c r="IB120">
        <v>1.0699999999999999E-5</v>
      </c>
      <c r="IC120">
        <v>1.06E-5</v>
      </c>
      <c r="ID120">
        <v>1.0499999999999999E-5</v>
      </c>
      <c r="IE120">
        <v>1.0499999999999999E-5</v>
      </c>
      <c r="IF120">
        <v>1.04E-5</v>
      </c>
      <c r="IG120">
        <v>7.605E-4</v>
      </c>
    </row>
    <row r="121" spans="1:241" x14ac:dyDescent="0.35">
      <c r="A121" s="1">
        <v>113</v>
      </c>
      <c r="B121">
        <v>1.05568E-2</v>
      </c>
      <c r="C121">
        <v>1.05568E-2</v>
      </c>
      <c r="D121">
        <v>1.05109E-2</v>
      </c>
      <c r="E121">
        <v>1.0346899999999999E-2</v>
      </c>
      <c r="F121">
        <v>9.6793999999999995E-3</v>
      </c>
      <c r="G121">
        <v>9.0767999999999995E-3</v>
      </c>
      <c r="H121">
        <v>8.5118999999999993E-3</v>
      </c>
      <c r="I121">
        <v>7.9238999999999993E-3</v>
      </c>
      <c r="J121">
        <v>7.4021E-3</v>
      </c>
      <c r="K121">
        <v>6.9658999999999997E-3</v>
      </c>
      <c r="L121">
        <v>6.5388E-3</v>
      </c>
      <c r="M121">
        <v>6.1574000000000004E-3</v>
      </c>
      <c r="N121">
        <v>5.8174000000000003E-3</v>
      </c>
      <c r="O121">
        <v>5.5129000000000003E-3</v>
      </c>
      <c r="P121">
        <v>5.2395999999999996E-3</v>
      </c>
      <c r="Q121">
        <v>4.9933E-3</v>
      </c>
      <c r="R121">
        <v>4.7901999999999997E-3</v>
      </c>
      <c r="S121">
        <v>4.5871999999999996E-3</v>
      </c>
      <c r="T121">
        <v>4.4025999999999996E-3</v>
      </c>
      <c r="U121">
        <v>4.2341999999999996E-3</v>
      </c>
      <c r="V121">
        <v>4.0803999999999997E-3</v>
      </c>
      <c r="W121">
        <v>3.9394E-3</v>
      </c>
      <c r="X121">
        <v>3.8097999999999999E-3</v>
      </c>
      <c r="Y121">
        <v>3.6906999999999999E-3</v>
      </c>
      <c r="Z121">
        <v>3.5818999999999998E-3</v>
      </c>
      <c r="AA121">
        <v>3.4756000000000001E-3</v>
      </c>
      <c r="AB121">
        <v>3.3750999999999998E-3</v>
      </c>
      <c r="AC121">
        <v>3.2799999999999999E-3</v>
      </c>
      <c r="AD121">
        <v>3.1908000000000001E-3</v>
      </c>
      <c r="AE121">
        <v>3.1069000000000001E-3</v>
      </c>
      <c r="AF121">
        <v>3.0274999999999998E-3</v>
      </c>
      <c r="AG121">
        <v>2.9537999999999999E-3</v>
      </c>
      <c r="AH121">
        <v>2.8836999999999999E-3</v>
      </c>
      <c r="AI121">
        <v>2.8172000000000002E-3</v>
      </c>
      <c r="AJ121">
        <v>2.7544000000000002E-3</v>
      </c>
      <c r="AK121">
        <v>2.6944E-3</v>
      </c>
      <c r="AL121">
        <v>2.6373E-3</v>
      </c>
      <c r="AM121">
        <v>2.5831999999999999E-3</v>
      </c>
      <c r="AN121">
        <v>2.5314999999999999E-3</v>
      </c>
      <c r="AO121">
        <v>2.4816999999999999E-3</v>
      </c>
      <c r="AP121">
        <v>2.4344000000000002E-3</v>
      </c>
      <c r="AQ121">
        <v>2.3885E-3</v>
      </c>
      <c r="AR121">
        <v>2.3444E-3</v>
      </c>
      <c r="AS121">
        <v>2.3019E-3</v>
      </c>
      <c r="AT121">
        <v>2.2533000000000002E-3</v>
      </c>
      <c r="AU121">
        <v>2.2125999999999999E-3</v>
      </c>
      <c r="AV121">
        <v>2.1751000000000001E-3</v>
      </c>
      <c r="AW121">
        <v>2.1377000000000002E-3</v>
      </c>
      <c r="AX121">
        <v>2.1020000000000001E-3</v>
      </c>
      <c r="AY121">
        <v>2.0674999999999999E-3</v>
      </c>
      <c r="AZ121">
        <v>2.0332000000000002E-3</v>
      </c>
      <c r="BA121">
        <v>2.0078000000000001E-3</v>
      </c>
      <c r="BB121">
        <v>1.9759999999999999E-3</v>
      </c>
      <c r="BC121">
        <v>1.9455E-3</v>
      </c>
      <c r="BD121">
        <v>1.9142E-3</v>
      </c>
      <c r="BE121">
        <v>1.8791999999999999E-3</v>
      </c>
      <c r="BF121">
        <v>1.8508999999999999E-3</v>
      </c>
      <c r="BG121">
        <v>1.8289999999999999E-3</v>
      </c>
      <c r="BH121">
        <v>1.8014999999999999E-3</v>
      </c>
      <c r="BI121">
        <v>1.7749E-3</v>
      </c>
      <c r="BJ121">
        <v>1.7428999999999999E-3</v>
      </c>
      <c r="BK121">
        <v>1.7177E-3</v>
      </c>
      <c r="BL121">
        <v>1.6930000000000001E-3</v>
      </c>
      <c r="BM121">
        <v>1.6743000000000001E-3</v>
      </c>
      <c r="BN121">
        <v>1.6440000000000001E-3</v>
      </c>
      <c r="BO121">
        <v>1.6207000000000001E-3</v>
      </c>
      <c r="BP121">
        <v>1.5976E-3</v>
      </c>
      <c r="BQ121">
        <v>1.5746E-3</v>
      </c>
      <c r="BR121">
        <v>1.5518999999999999E-3</v>
      </c>
      <c r="BS121">
        <v>1.5291E-3</v>
      </c>
      <c r="BT121">
        <v>1.5068E-3</v>
      </c>
      <c r="BU121">
        <v>1.4855000000000001E-3</v>
      </c>
      <c r="BV121">
        <v>1.4645999999999999E-3</v>
      </c>
      <c r="BW121">
        <v>1.4381000000000001E-3</v>
      </c>
      <c r="BX121">
        <v>1.4170999999999999E-3</v>
      </c>
      <c r="BY121">
        <v>1.3960999999999999E-3</v>
      </c>
      <c r="BZ121">
        <v>1.3741999999999999E-3</v>
      </c>
      <c r="CA121">
        <v>1.3546999999999999E-3</v>
      </c>
      <c r="CB121">
        <v>1.3343000000000001E-3</v>
      </c>
      <c r="CC121">
        <v>1.3136999999999999E-3</v>
      </c>
      <c r="CD121">
        <v>1.2944E-3</v>
      </c>
      <c r="CE121">
        <v>1.276E-3</v>
      </c>
      <c r="CF121">
        <v>1.2600000000000001E-3</v>
      </c>
      <c r="CG121">
        <v>1.2449E-3</v>
      </c>
      <c r="CH121">
        <v>1.2290000000000001E-3</v>
      </c>
      <c r="CI121">
        <v>1.2113E-3</v>
      </c>
      <c r="CJ121">
        <v>1.194E-3</v>
      </c>
      <c r="CK121">
        <v>1.1762999999999999E-3</v>
      </c>
      <c r="CL121">
        <v>1.1558E-3</v>
      </c>
      <c r="CM121">
        <v>1.139E-3</v>
      </c>
      <c r="CN121">
        <v>1.1081999999999999E-3</v>
      </c>
      <c r="CO121">
        <v>1.0899E-3</v>
      </c>
      <c r="CP121">
        <v>1.072E-3</v>
      </c>
      <c r="CQ121">
        <v>1.054E-3</v>
      </c>
      <c r="CR121">
        <v>1.0372999999999999E-3</v>
      </c>
      <c r="CS121">
        <v>1.0227000000000001E-3</v>
      </c>
      <c r="CT121">
        <v>1.0081000000000001E-3</v>
      </c>
      <c r="CU121">
        <v>9.9219999999999994E-4</v>
      </c>
      <c r="CV121">
        <v>9.7639999999999999E-4</v>
      </c>
      <c r="CW121">
        <v>9.6170000000000001E-4</v>
      </c>
      <c r="CX121">
        <v>9.4799999999999995E-4</v>
      </c>
      <c r="CY121">
        <v>9.3729999999999996E-4</v>
      </c>
      <c r="CZ121">
        <v>9.2710000000000004E-4</v>
      </c>
      <c r="DA121">
        <v>9.1629999999999999E-4</v>
      </c>
      <c r="DB121">
        <v>9.0530000000000005E-4</v>
      </c>
      <c r="DC121">
        <v>8.9360000000000004E-4</v>
      </c>
      <c r="DD121">
        <v>8.8060000000000005E-4</v>
      </c>
      <c r="DE121">
        <v>8.6399999999999997E-4</v>
      </c>
      <c r="DF121">
        <v>8.4380000000000002E-4</v>
      </c>
      <c r="DG121">
        <v>8.0570000000000001E-4</v>
      </c>
      <c r="DH121">
        <v>7.8739999999999995E-4</v>
      </c>
      <c r="DI121">
        <v>7.6849999999999998E-4</v>
      </c>
      <c r="DJ121">
        <v>7.2619999999999998E-4</v>
      </c>
      <c r="DK121">
        <v>7.5860000000000001E-4</v>
      </c>
      <c r="DL121">
        <v>7.5029999999999997E-4</v>
      </c>
      <c r="DM121">
        <v>7.4629999999999998E-4</v>
      </c>
      <c r="DN121">
        <v>7.4160000000000003E-4</v>
      </c>
      <c r="DO121">
        <v>7.3669999999999996E-4</v>
      </c>
      <c r="DP121">
        <v>7.3119999999999999E-4</v>
      </c>
      <c r="DQ121">
        <v>5.3537599999999998E-2</v>
      </c>
      <c r="DR121">
        <v>0</v>
      </c>
      <c r="DS121">
        <v>4.5899999999999998E-5</v>
      </c>
      <c r="DT121">
        <v>1.64E-4</v>
      </c>
      <c r="DU121">
        <v>6.6759999999999996E-4</v>
      </c>
      <c r="DV121">
        <v>6.3060000000000004E-4</v>
      </c>
      <c r="DW121">
        <v>5.7629999999999997E-4</v>
      </c>
      <c r="DX121">
        <v>5.9710000000000004E-4</v>
      </c>
      <c r="DY121">
        <v>5.2740000000000003E-4</v>
      </c>
      <c r="DZ121">
        <v>4.8200000000000001E-4</v>
      </c>
      <c r="EA121">
        <v>4.3080000000000001E-4</v>
      </c>
      <c r="EB121">
        <v>3.8479999999999997E-4</v>
      </c>
      <c r="EC121">
        <v>3.4289999999999999E-4</v>
      </c>
      <c r="ED121">
        <v>3.0719999999999999E-4</v>
      </c>
      <c r="EE121">
        <v>2.7579999999999998E-4</v>
      </c>
      <c r="EF121">
        <v>2.4869999999999997E-4</v>
      </c>
      <c r="EG121">
        <v>2.2489999999999999E-4</v>
      </c>
      <c r="EH121">
        <v>2.053E-4</v>
      </c>
      <c r="EI121">
        <v>1.8689999999999999E-4</v>
      </c>
      <c r="EJ121">
        <v>1.708E-4</v>
      </c>
      <c r="EK121">
        <v>1.5660000000000001E-4</v>
      </c>
      <c r="EL121">
        <v>1.44E-4</v>
      </c>
      <c r="EM121">
        <v>1.328E-4</v>
      </c>
      <c r="EN121">
        <v>1.2290000000000001E-4</v>
      </c>
      <c r="EO121">
        <v>1.141E-4</v>
      </c>
      <c r="EP121">
        <v>1.063E-4</v>
      </c>
      <c r="EQ121">
        <v>9.9300000000000001E-5</v>
      </c>
      <c r="ER121">
        <v>9.2899999999999995E-5</v>
      </c>
      <c r="ES121">
        <v>8.7200000000000005E-5</v>
      </c>
      <c r="ET121">
        <v>8.2000000000000001E-5</v>
      </c>
      <c r="EU121">
        <v>7.7299999999999995E-5</v>
      </c>
      <c r="EV121">
        <v>7.2999999999999999E-5</v>
      </c>
      <c r="EW121">
        <v>6.9200000000000002E-5</v>
      </c>
      <c r="EX121">
        <v>6.5599999999999995E-5</v>
      </c>
      <c r="EY121">
        <v>6.2399999999999999E-5</v>
      </c>
      <c r="EZ121">
        <v>5.94E-5</v>
      </c>
      <c r="FA121">
        <v>5.66E-5</v>
      </c>
      <c r="FB121">
        <v>5.41E-5</v>
      </c>
      <c r="FC121">
        <v>5.1700000000000003E-5</v>
      </c>
      <c r="FD121">
        <v>4.9499999999999997E-5</v>
      </c>
      <c r="FE121">
        <v>4.7500000000000003E-5</v>
      </c>
      <c r="FF121">
        <v>4.5599999999999997E-5</v>
      </c>
      <c r="FG121">
        <v>4.3800000000000001E-5</v>
      </c>
      <c r="FH121">
        <v>4.21E-5</v>
      </c>
      <c r="FI121">
        <v>4.0599999999999998E-5</v>
      </c>
      <c r="FJ121">
        <v>3.8999999999999999E-5</v>
      </c>
      <c r="FK121">
        <v>3.7700000000000002E-5</v>
      </c>
      <c r="FL121">
        <v>3.6399999999999997E-5</v>
      </c>
      <c r="FM121">
        <v>3.5200000000000002E-5</v>
      </c>
      <c r="FN121">
        <v>3.4100000000000002E-5</v>
      </c>
      <c r="FO121">
        <v>3.3099999999999998E-5</v>
      </c>
      <c r="FP121">
        <v>3.2199999999999997E-5</v>
      </c>
      <c r="FQ121">
        <v>3.1399999999999998E-5</v>
      </c>
      <c r="FR121">
        <v>3.0499999999999999E-5</v>
      </c>
      <c r="FS121">
        <v>2.97E-5</v>
      </c>
      <c r="FT121">
        <v>2.9E-5</v>
      </c>
      <c r="FU121">
        <v>2.8200000000000001E-5</v>
      </c>
      <c r="FV121">
        <v>2.7500000000000001E-5</v>
      </c>
      <c r="FW121">
        <v>2.6999999999999999E-5</v>
      </c>
      <c r="FX121">
        <v>2.6400000000000001E-5</v>
      </c>
      <c r="FY121">
        <v>2.5899999999999999E-5</v>
      </c>
      <c r="FZ121">
        <v>2.5299999999999998E-5</v>
      </c>
      <c r="GA121">
        <v>2.48E-5</v>
      </c>
      <c r="GB121">
        <v>2.4300000000000001E-5</v>
      </c>
      <c r="GC121">
        <v>2.3900000000000002E-5</v>
      </c>
      <c r="GD121">
        <v>2.34E-5</v>
      </c>
      <c r="GE121">
        <v>2.3E-5</v>
      </c>
      <c r="GF121">
        <v>2.26E-5</v>
      </c>
      <c r="GG121">
        <v>2.2200000000000001E-5</v>
      </c>
      <c r="GH121">
        <v>2.1800000000000001E-5</v>
      </c>
      <c r="GI121">
        <v>2.1500000000000001E-5</v>
      </c>
      <c r="GJ121">
        <v>2.1100000000000001E-5</v>
      </c>
      <c r="GK121">
        <v>2.0800000000000001E-5</v>
      </c>
      <c r="GL121">
        <v>2.05E-5</v>
      </c>
      <c r="GM121">
        <v>2.0100000000000001E-5</v>
      </c>
      <c r="GN121">
        <v>1.98E-5</v>
      </c>
      <c r="GO121">
        <v>1.95E-5</v>
      </c>
      <c r="GP121">
        <v>1.91E-5</v>
      </c>
      <c r="GQ121">
        <v>1.8899999999999999E-5</v>
      </c>
      <c r="GR121">
        <v>1.8600000000000001E-5</v>
      </c>
      <c r="GS121">
        <v>1.8300000000000001E-5</v>
      </c>
      <c r="GT121">
        <v>1.8E-5</v>
      </c>
      <c r="GU121">
        <v>1.7799999999999999E-5</v>
      </c>
      <c r="GV121">
        <v>1.7499999999999998E-5</v>
      </c>
      <c r="GW121">
        <v>1.73E-5</v>
      </c>
      <c r="GX121">
        <v>1.7099999999999999E-5</v>
      </c>
      <c r="GY121">
        <v>1.6900000000000001E-5</v>
      </c>
      <c r="GZ121">
        <v>1.66E-5</v>
      </c>
      <c r="HA121">
        <v>1.6399999999999999E-5</v>
      </c>
      <c r="HB121">
        <v>1.6099999999999998E-5</v>
      </c>
      <c r="HC121">
        <v>1.59E-5</v>
      </c>
      <c r="HD121">
        <v>1.5500000000000001E-5</v>
      </c>
      <c r="HE121">
        <v>1.52E-5</v>
      </c>
      <c r="HF121">
        <v>1.5E-5</v>
      </c>
      <c r="HG121">
        <v>1.47E-5</v>
      </c>
      <c r="HH121">
        <v>1.45E-5</v>
      </c>
      <c r="HI121">
        <v>1.43E-5</v>
      </c>
      <c r="HJ121">
        <v>1.4100000000000001E-5</v>
      </c>
      <c r="HK121">
        <v>1.3900000000000001E-5</v>
      </c>
      <c r="HL121">
        <v>1.3699999999999999E-5</v>
      </c>
      <c r="HM121">
        <v>1.3499999999999999E-5</v>
      </c>
      <c r="HN121">
        <v>1.33E-5</v>
      </c>
      <c r="HO121">
        <v>1.3200000000000001E-5</v>
      </c>
      <c r="HP121">
        <v>1.2999999999999999E-5</v>
      </c>
      <c r="HQ121">
        <v>1.29E-5</v>
      </c>
      <c r="HR121">
        <v>1.27E-5</v>
      </c>
      <c r="HS121">
        <v>1.26E-5</v>
      </c>
      <c r="HT121">
        <v>1.24E-5</v>
      </c>
      <c r="HU121">
        <v>1.22E-5</v>
      </c>
      <c r="HV121">
        <v>1.19E-5</v>
      </c>
      <c r="HW121">
        <v>1.13E-5</v>
      </c>
      <c r="HX121">
        <v>1.11E-5</v>
      </c>
      <c r="HY121">
        <v>1.08E-5</v>
      </c>
      <c r="HZ121">
        <v>1.0200000000000001E-5</v>
      </c>
      <c r="IA121">
        <v>1.0699999999999999E-5</v>
      </c>
      <c r="IB121">
        <v>1.06E-5</v>
      </c>
      <c r="IC121">
        <v>1.0499999999999999E-5</v>
      </c>
      <c r="ID121">
        <v>1.0499999999999999E-5</v>
      </c>
      <c r="IE121">
        <v>1.04E-5</v>
      </c>
      <c r="IF121">
        <v>1.03E-5</v>
      </c>
      <c r="IG121">
        <v>7.6009999999999999E-4</v>
      </c>
    </row>
    <row r="122" spans="1:241" x14ac:dyDescent="0.35">
      <c r="A122" s="1">
        <v>114</v>
      </c>
      <c r="B122">
        <v>1.05568E-2</v>
      </c>
      <c r="C122">
        <v>1.05568E-2</v>
      </c>
      <c r="D122">
        <v>1.05109E-2</v>
      </c>
      <c r="E122">
        <v>1.03468E-2</v>
      </c>
      <c r="F122">
        <v>9.6793000000000001E-3</v>
      </c>
      <c r="G122">
        <v>9.0489000000000003E-3</v>
      </c>
      <c r="H122">
        <v>8.5004999999999994E-3</v>
      </c>
      <c r="I122">
        <v>7.9147000000000002E-3</v>
      </c>
      <c r="J122">
        <v>7.3965000000000003E-3</v>
      </c>
      <c r="K122">
        <v>6.9201000000000002E-3</v>
      </c>
      <c r="L122">
        <v>6.535E-3</v>
      </c>
      <c r="M122">
        <v>6.1539999999999997E-3</v>
      </c>
      <c r="N122">
        <v>5.8144E-3</v>
      </c>
      <c r="O122">
        <v>5.5101999999999998E-3</v>
      </c>
      <c r="P122">
        <v>5.2370999999999997E-3</v>
      </c>
      <c r="Q122">
        <v>4.9909000000000004E-3</v>
      </c>
      <c r="R122">
        <v>4.7682999999999996E-3</v>
      </c>
      <c r="S122">
        <v>4.5849000000000003E-3</v>
      </c>
      <c r="T122">
        <v>4.4003000000000002E-3</v>
      </c>
      <c r="U122">
        <v>4.2318E-3</v>
      </c>
      <c r="V122">
        <v>4.0777000000000001E-3</v>
      </c>
      <c r="W122">
        <v>3.9363999999999996E-3</v>
      </c>
      <c r="X122">
        <v>3.8065999999999998E-3</v>
      </c>
      <c r="Y122">
        <v>3.6868999999999999E-3</v>
      </c>
      <c r="Z122">
        <v>3.5766000000000001E-3</v>
      </c>
      <c r="AA122">
        <v>3.4756000000000001E-3</v>
      </c>
      <c r="AB122">
        <v>3.3763E-3</v>
      </c>
      <c r="AC122">
        <v>3.2821999999999999E-3</v>
      </c>
      <c r="AD122">
        <v>3.1928E-3</v>
      </c>
      <c r="AE122">
        <v>3.1088000000000001E-3</v>
      </c>
      <c r="AF122">
        <v>3.0295999999999999E-3</v>
      </c>
      <c r="AG122">
        <v>2.9545000000000001E-3</v>
      </c>
      <c r="AH122">
        <v>2.8846000000000002E-3</v>
      </c>
      <c r="AI122">
        <v>2.8180000000000002E-3</v>
      </c>
      <c r="AJ122">
        <v>2.7548E-3</v>
      </c>
      <c r="AK122">
        <v>2.6949999999999999E-3</v>
      </c>
      <c r="AL122">
        <v>2.6378E-3</v>
      </c>
      <c r="AM122">
        <v>2.5831999999999999E-3</v>
      </c>
      <c r="AN122">
        <v>2.5314999999999999E-3</v>
      </c>
      <c r="AO122">
        <v>2.4819999999999998E-3</v>
      </c>
      <c r="AP122">
        <v>2.4342999999999999E-3</v>
      </c>
      <c r="AQ122">
        <v>2.3888E-3</v>
      </c>
      <c r="AR122">
        <v>2.3446999999999999E-3</v>
      </c>
      <c r="AS122">
        <v>2.3023000000000002E-3</v>
      </c>
      <c r="AT122">
        <v>2.2612999999999999E-3</v>
      </c>
      <c r="AU122">
        <v>2.2143000000000002E-3</v>
      </c>
      <c r="AV122">
        <v>2.1749E-3</v>
      </c>
      <c r="AW122">
        <v>2.1386999999999999E-3</v>
      </c>
      <c r="AX122">
        <v>2.1025000000000002E-3</v>
      </c>
      <c r="AY122">
        <v>2.0677999999999998E-3</v>
      </c>
      <c r="AZ122">
        <v>2.0344E-3</v>
      </c>
      <c r="BA122">
        <v>2.0011E-3</v>
      </c>
      <c r="BB122">
        <v>1.9764000000000001E-3</v>
      </c>
      <c r="BC122">
        <v>1.9453999999999999E-3</v>
      </c>
      <c r="BD122">
        <v>1.9158000000000001E-3</v>
      </c>
      <c r="BE122">
        <v>1.8852000000000001E-3</v>
      </c>
      <c r="BF122">
        <v>1.851E-3</v>
      </c>
      <c r="BG122">
        <v>1.8232999999999999E-3</v>
      </c>
      <c r="BH122">
        <v>1.802E-3</v>
      </c>
      <c r="BI122">
        <v>1.7750999999999999E-3</v>
      </c>
      <c r="BJ122">
        <v>1.7489999999999999E-3</v>
      </c>
      <c r="BK122">
        <v>1.7177E-3</v>
      </c>
      <c r="BL122">
        <v>1.6930000000000001E-3</v>
      </c>
      <c r="BM122">
        <v>1.6687E-3</v>
      </c>
      <c r="BN122">
        <v>1.6504E-3</v>
      </c>
      <c r="BO122">
        <v>1.6206E-3</v>
      </c>
      <c r="BP122">
        <v>1.5977000000000001E-3</v>
      </c>
      <c r="BQ122">
        <v>1.575E-3</v>
      </c>
      <c r="BR122">
        <v>1.5524E-3</v>
      </c>
      <c r="BS122">
        <v>1.5300999999999999E-3</v>
      </c>
      <c r="BT122">
        <v>1.5076E-3</v>
      </c>
      <c r="BU122">
        <v>1.4857E-3</v>
      </c>
      <c r="BV122">
        <v>1.4647E-3</v>
      </c>
      <c r="BW122">
        <v>1.4442000000000001E-3</v>
      </c>
      <c r="BX122">
        <v>1.418E-3</v>
      </c>
      <c r="BY122">
        <v>1.3974E-3</v>
      </c>
      <c r="BZ122">
        <v>1.3766E-3</v>
      </c>
      <c r="CA122">
        <v>1.3550000000000001E-3</v>
      </c>
      <c r="CB122">
        <v>1.3358000000000001E-3</v>
      </c>
      <c r="CC122">
        <v>1.3158E-3</v>
      </c>
      <c r="CD122">
        <v>1.2953999999999999E-3</v>
      </c>
      <c r="CE122">
        <v>1.2764E-3</v>
      </c>
      <c r="CF122">
        <v>1.2581999999999999E-3</v>
      </c>
      <c r="CG122">
        <v>1.2424000000000001E-3</v>
      </c>
      <c r="CH122">
        <v>1.2275999999999999E-3</v>
      </c>
      <c r="CI122">
        <v>1.2118999999999999E-3</v>
      </c>
      <c r="CJ122">
        <v>1.1944E-3</v>
      </c>
      <c r="CK122">
        <v>1.1773E-3</v>
      </c>
      <c r="CL122">
        <v>1.16E-3</v>
      </c>
      <c r="CM122">
        <v>1.1397E-3</v>
      </c>
      <c r="CN122">
        <v>1.1230999999999999E-3</v>
      </c>
      <c r="CO122">
        <v>1.0927000000000001E-3</v>
      </c>
      <c r="CP122">
        <v>1.0746E-3</v>
      </c>
      <c r="CQ122">
        <v>1.057E-3</v>
      </c>
      <c r="CR122">
        <v>1.0392000000000001E-3</v>
      </c>
      <c r="CS122">
        <v>1.0227999999999999E-3</v>
      </c>
      <c r="CT122">
        <v>1.0084E-3</v>
      </c>
      <c r="CU122">
        <v>9.9400000000000009E-4</v>
      </c>
      <c r="CV122">
        <v>9.7830000000000009E-4</v>
      </c>
      <c r="CW122">
        <v>9.6270000000000004E-4</v>
      </c>
      <c r="CX122">
        <v>9.4819999999999995E-4</v>
      </c>
      <c r="CY122">
        <v>9.3470000000000001E-4</v>
      </c>
      <c r="CZ122">
        <v>9.2420000000000002E-4</v>
      </c>
      <c r="DA122">
        <v>9.1399999999999999E-4</v>
      </c>
      <c r="DB122">
        <v>9.0339999999999995E-4</v>
      </c>
      <c r="DC122">
        <v>8.9249999999999996E-4</v>
      </c>
      <c r="DD122">
        <v>8.8099999999999995E-4</v>
      </c>
      <c r="DE122">
        <v>8.6819999999999996E-4</v>
      </c>
      <c r="DF122">
        <v>8.518E-4</v>
      </c>
      <c r="DG122">
        <v>8.319E-4</v>
      </c>
      <c r="DH122">
        <v>7.9429999999999995E-4</v>
      </c>
      <c r="DI122">
        <v>7.7629999999999995E-4</v>
      </c>
      <c r="DJ122">
        <v>7.5759999999999998E-4</v>
      </c>
      <c r="DK122">
        <v>7.1599999999999995E-4</v>
      </c>
      <c r="DL122">
        <v>7.4790000000000002E-4</v>
      </c>
      <c r="DM122">
        <v>7.3979999999999998E-4</v>
      </c>
      <c r="DN122">
        <v>7.358E-4</v>
      </c>
      <c r="DO122">
        <v>7.3110000000000004E-4</v>
      </c>
      <c r="DP122">
        <v>7.2630000000000004E-4</v>
      </c>
      <c r="DQ122">
        <v>5.3498499999999997E-2</v>
      </c>
      <c r="DR122">
        <v>0</v>
      </c>
      <c r="DS122">
        <v>4.5899999999999998E-5</v>
      </c>
      <c r="DT122">
        <v>1.641E-4</v>
      </c>
      <c r="DU122">
        <v>6.6770000000000002E-4</v>
      </c>
      <c r="DV122">
        <v>6.0300000000000002E-4</v>
      </c>
      <c r="DW122">
        <v>5.555E-4</v>
      </c>
      <c r="DX122">
        <v>5.8460000000000001E-4</v>
      </c>
      <c r="DY122">
        <v>5.1929999999999999E-4</v>
      </c>
      <c r="DZ122">
        <v>4.7610000000000003E-4</v>
      </c>
      <c r="EA122">
        <v>4.2289999999999998E-4</v>
      </c>
      <c r="EB122">
        <v>3.8180000000000001E-4</v>
      </c>
      <c r="EC122">
        <v>3.4079999999999999E-4</v>
      </c>
      <c r="ED122">
        <v>3.056E-4</v>
      </c>
      <c r="EE122">
        <v>2.7470000000000001E-4</v>
      </c>
      <c r="EF122">
        <v>2.4780000000000001E-4</v>
      </c>
      <c r="EG122">
        <v>2.243E-4</v>
      </c>
      <c r="EH122">
        <v>2.0369999999999999E-4</v>
      </c>
      <c r="EI122">
        <v>1.8660000000000001E-4</v>
      </c>
      <c r="EJ122">
        <v>1.706E-4</v>
      </c>
      <c r="EK122">
        <v>1.5640000000000001E-4</v>
      </c>
      <c r="EL122">
        <v>1.438E-4</v>
      </c>
      <c r="EM122">
        <v>1.327E-4</v>
      </c>
      <c r="EN122">
        <v>1.228E-4</v>
      </c>
      <c r="EO122">
        <v>1.1400000000000001E-4</v>
      </c>
      <c r="EP122">
        <v>1.0620000000000001E-4</v>
      </c>
      <c r="EQ122">
        <v>9.9199999999999999E-5</v>
      </c>
      <c r="ER122">
        <v>9.2899999999999995E-5</v>
      </c>
      <c r="ES122">
        <v>8.7200000000000005E-5</v>
      </c>
      <c r="ET122">
        <v>8.2100000000000003E-5</v>
      </c>
      <c r="EU122">
        <v>7.7399999999999998E-5</v>
      </c>
      <c r="EV122">
        <v>7.3100000000000001E-5</v>
      </c>
      <c r="EW122">
        <v>6.9200000000000002E-5</v>
      </c>
      <c r="EX122">
        <v>6.5699999999999998E-5</v>
      </c>
      <c r="EY122">
        <v>6.2399999999999999E-5</v>
      </c>
      <c r="EZ122">
        <v>5.94E-5</v>
      </c>
      <c r="FA122">
        <v>5.6700000000000003E-5</v>
      </c>
      <c r="FB122">
        <v>5.41E-5</v>
      </c>
      <c r="FC122">
        <v>5.1799999999999999E-5</v>
      </c>
      <c r="FD122">
        <v>4.9599999999999999E-5</v>
      </c>
      <c r="FE122">
        <v>4.7500000000000003E-5</v>
      </c>
      <c r="FF122">
        <v>4.5599999999999997E-5</v>
      </c>
      <c r="FG122">
        <v>4.3800000000000001E-5</v>
      </c>
      <c r="FH122">
        <v>4.2200000000000003E-5</v>
      </c>
      <c r="FI122">
        <v>4.0599999999999998E-5</v>
      </c>
      <c r="FJ122">
        <v>3.9199999999999997E-5</v>
      </c>
      <c r="FK122">
        <v>3.7700000000000002E-5</v>
      </c>
      <c r="FL122">
        <v>3.6399999999999997E-5</v>
      </c>
      <c r="FM122">
        <v>3.5299999999999997E-5</v>
      </c>
      <c r="FN122">
        <v>3.4199999999999998E-5</v>
      </c>
      <c r="FO122">
        <v>3.3099999999999998E-5</v>
      </c>
      <c r="FP122">
        <v>3.2199999999999997E-5</v>
      </c>
      <c r="FQ122">
        <v>3.1300000000000002E-5</v>
      </c>
      <c r="FR122">
        <v>3.0599999999999998E-5</v>
      </c>
      <c r="FS122">
        <v>2.9799999999999999E-5</v>
      </c>
      <c r="FT122">
        <v>2.9E-5</v>
      </c>
      <c r="FU122">
        <v>2.83E-5</v>
      </c>
      <c r="FV122">
        <v>2.76E-5</v>
      </c>
      <c r="FW122">
        <v>2.69E-5</v>
      </c>
      <c r="FX122">
        <v>2.65E-5</v>
      </c>
      <c r="FY122">
        <v>2.5899999999999999E-5</v>
      </c>
      <c r="FZ122">
        <v>2.5400000000000001E-5</v>
      </c>
      <c r="GA122">
        <v>2.48E-5</v>
      </c>
      <c r="GB122">
        <v>2.4300000000000001E-5</v>
      </c>
      <c r="GC122">
        <v>2.3900000000000002E-5</v>
      </c>
      <c r="GD122">
        <v>2.3499999999999999E-5</v>
      </c>
      <c r="GE122">
        <v>2.3E-5</v>
      </c>
      <c r="GF122">
        <v>2.26E-5</v>
      </c>
      <c r="GG122">
        <v>2.2200000000000001E-5</v>
      </c>
      <c r="GH122">
        <v>2.19E-5</v>
      </c>
      <c r="GI122">
        <v>2.1500000000000001E-5</v>
      </c>
      <c r="GJ122">
        <v>2.1100000000000001E-5</v>
      </c>
      <c r="GK122">
        <v>2.0800000000000001E-5</v>
      </c>
      <c r="GL122">
        <v>2.05E-5</v>
      </c>
      <c r="GM122">
        <v>2.02E-5</v>
      </c>
      <c r="GN122">
        <v>1.98E-5</v>
      </c>
      <c r="GO122">
        <v>1.95E-5</v>
      </c>
      <c r="GP122">
        <v>1.9199999999999999E-5</v>
      </c>
      <c r="GQ122">
        <v>1.8899999999999999E-5</v>
      </c>
      <c r="GR122">
        <v>1.8600000000000001E-5</v>
      </c>
      <c r="GS122">
        <v>1.8300000000000001E-5</v>
      </c>
      <c r="GT122">
        <v>1.8E-5</v>
      </c>
      <c r="GU122">
        <v>1.7799999999999999E-5</v>
      </c>
      <c r="GV122">
        <v>1.7499999999999998E-5</v>
      </c>
      <c r="GW122">
        <v>1.73E-5</v>
      </c>
      <c r="GX122">
        <v>1.7099999999999999E-5</v>
      </c>
      <c r="GY122">
        <v>1.6900000000000001E-5</v>
      </c>
      <c r="GZ122">
        <v>1.66E-5</v>
      </c>
      <c r="HA122">
        <v>1.6399999999999999E-5</v>
      </c>
      <c r="HB122">
        <v>1.6200000000000001E-5</v>
      </c>
      <c r="HC122">
        <v>1.59E-5</v>
      </c>
      <c r="HD122">
        <v>1.5699999999999999E-5</v>
      </c>
      <c r="HE122">
        <v>1.5299999999999999E-5</v>
      </c>
      <c r="HF122">
        <v>1.5E-5</v>
      </c>
      <c r="HG122">
        <v>1.4800000000000001E-5</v>
      </c>
      <c r="HH122">
        <v>1.45E-5</v>
      </c>
      <c r="HI122">
        <v>1.43E-5</v>
      </c>
      <c r="HJ122">
        <v>1.4100000000000001E-5</v>
      </c>
      <c r="HK122">
        <v>1.3900000000000001E-5</v>
      </c>
      <c r="HL122">
        <v>1.3699999999999999E-5</v>
      </c>
      <c r="HM122">
        <v>1.3499999999999999E-5</v>
      </c>
      <c r="HN122">
        <v>1.33E-5</v>
      </c>
      <c r="HO122">
        <v>1.31E-5</v>
      </c>
      <c r="HP122">
        <v>1.2999999999999999E-5</v>
      </c>
      <c r="HQ122">
        <v>1.2799999999999999E-5</v>
      </c>
      <c r="HR122">
        <v>1.27E-5</v>
      </c>
      <c r="HS122">
        <v>1.26E-5</v>
      </c>
      <c r="HT122">
        <v>1.24E-5</v>
      </c>
      <c r="HU122">
        <v>1.22E-5</v>
      </c>
      <c r="HV122">
        <v>1.2E-5</v>
      </c>
      <c r="HW122">
        <v>1.17E-5</v>
      </c>
      <c r="HX122">
        <v>1.1199999999999999E-5</v>
      </c>
      <c r="HY122">
        <v>1.0900000000000001E-5</v>
      </c>
      <c r="HZ122">
        <v>1.0699999999999999E-5</v>
      </c>
      <c r="IA122">
        <v>1.01E-5</v>
      </c>
      <c r="IB122">
        <v>1.06E-5</v>
      </c>
      <c r="IC122">
        <v>1.04E-5</v>
      </c>
      <c r="ID122">
        <v>1.04E-5</v>
      </c>
      <c r="IE122">
        <v>1.03E-5</v>
      </c>
      <c r="IF122">
        <v>1.03E-5</v>
      </c>
      <c r="IG122">
        <v>7.5949999999999998E-4</v>
      </c>
    </row>
    <row r="123" spans="1:241" x14ac:dyDescent="0.35">
      <c r="A123" s="1">
        <v>115</v>
      </c>
      <c r="B123">
        <v>1.05568E-2</v>
      </c>
      <c r="C123">
        <v>1.05568E-2</v>
      </c>
      <c r="D123">
        <v>1.05109E-2</v>
      </c>
      <c r="E123">
        <v>1.03468E-2</v>
      </c>
      <c r="F123">
        <v>9.6792000000000007E-3</v>
      </c>
      <c r="G123">
        <v>9.0763000000000007E-3</v>
      </c>
      <c r="H123">
        <v>8.4933999999999999E-3</v>
      </c>
      <c r="I123">
        <v>7.9159E-3</v>
      </c>
      <c r="J123">
        <v>7.3953999999999999E-3</v>
      </c>
      <c r="K123">
        <v>6.9204000000000002E-3</v>
      </c>
      <c r="L123">
        <v>6.4971999999999999E-3</v>
      </c>
      <c r="M123">
        <v>6.1532000000000002E-3</v>
      </c>
      <c r="N123">
        <v>5.8132000000000001E-3</v>
      </c>
      <c r="O123">
        <v>5.5088000000000003E-3</v>
      </c>
      <c r="P123">
        <v>5.2354999999999997E-3</v>
      </c>
      <c r="Q123">
        <v>4.9892000000000001E-3</v>
      </c>
      <c r="R123">
        <v>4.7666000000000002E-3</v>
      </c>
      <c r="S123">
        <v>4.5646000000000003E-3</v>
      </c>
      <c r="T123">
        <v>4.3984000000000002E-3</v>
      </c>
      <c r="U123">
        <v>4.2297999999999997E-3</v>
      </c>
      <c r="V123">
        <v>4.0755000000000001E-3</v>
      </c>
      <c r="W123">
        <v>3.9338999999999997E-3</v>
      </c>
      <c r="X123">
        <v>3.8037000000000001E-3</v>
      </c>
      <c r="Y123">
        <v>3.6838000000000001E-3</v>
      </c>
      <c r="Z123">
        <v>3.5728999999999999E-3</v>
      </c>
      <c r="AA123">
        <v>3.4703999999999998E-3</v>
      </c>
      <c r="AB123">
        <v>3.3763E-3</v>
      </c>
      <c r="AC123">
        <v>3.2834000000000001E-3</v>
      </c>
      <c r="AD123">
        <v>3.1949000000000001E-3</v>
      </c>
      <c r="AE123">
        <v>3.1107999999999999E-3</v>
      </c>
      <c r="AF123">
        <v>3.0314000000000001E-3</v>
      </c>
      <c r="AG123">
        <v>2.9564999999999999E-3</v>
      </c>
      <c r="AH123">
        <v>2.8852999999999999E-3</v>
      </c>
      <c r="AI123">
        <v>2.8189000000000001E-3</v>
      </c>
      <c r="AJ123">
        <v>2.7556E-3</v>
      </c>
      <c r="AK123">
        <v>2.6954000000000001E-3</v>
      </c>
      <c r="AL123">
        <v>2.6383000000000001E-3</v>
      </c>
      <c r="AM123">
        <v>2.5837E-3</v>
      </c>
      <c r="AN123">
        <v>2.5314000000000001E-3</v>
      </c>
      <c r="AO123">
        <v>2.4819E-3</v>
      </c>
      <c r="AP123">
        <v>2.4345E-3</v>
      </c>
      <c r="AQ123">
        <v>2.3887000000000001E-3</v>
      </c>
      <c r="AR123">
        <v>2.3449999999999999E-3</v>
      </c>
      <c r="AS123">
        <v>2.3024999999999999E-3</v>
      </c>
      <c r="AT123">
        <v>2.2617000000000002E-3</v>
      </c>
      <c r="AU123">
        <v>2.2220999999999999E-3</v>
      </c>
      <c r="AV123">
        <v>2.1765999999999999E-3</v>
      </c>
      <c r="AW123">
        <v>2.1385000000000002E-3</v>
      </c>
      <c r="AX123">
        <v>2.1034000000000001E-3</v>
      </c>
      <c r="AY123">
        <v>2.0682999999999999E-3</v>
      </c>
      <c r="AZ123">
        <v>2.0347E-3</v>
      </c>
      <c r="BA123">
        <v>2.0022E-3</v>
      </c>
      <c r="BB123">
        <v>1.9697999999999998E-3</v>
      </c>
      <c r="BC123">
        <v>1.9459E-3</v>
      </c>
      <c r="BD123">
        <v>1.9157E-3</v>
      </c>
      <c r="BE123">
        <v>1.8867000000000001E-3</v>
      </c>
      <c r="BF123">
        <v>1.8569000000000001E-3</v>
      </c>
      <c r="BG123">
        <v>1.8235E-3</v>
      </c>
      <c r="BH123">
        <v>1.7964000000000001E-3</v>
      </c>
      <c r="BI123">
        <v>1.7755E-3</v>
      </c>
      <c r="BJ123">
        <v>1.7492E-3</v>
      </c>
      <c r="BK123">
        <v>1.7237000000000001E-3</v>
      </c>
      <c r="BL123">
        <v>1.6929E-3</v>
      </c>
      <c r="BM123">
        <v>1.6687E-3</v>
      </c>
      <c r="BN123">
        <v>1.6448999999999999E-3</v>
      </c>
      <c r="BO123">
        <v>1.6268999999999999E-3</v>
      </c>
      <c r="BP123">
        <v>1.5976E-3</v>
      </c>
      <c r="BQ123">
        <v>1.5751000000000001E-3</v>
      </c>
      <c r="BR123">
        <v>1.5527E-3</v>
      </c>
      <c r="BS123">
        <v>1.5305E-3</v>
      </c>
      <c r="BT123">
        <v>1.5085999999999999E-3</v>
      </c>
      <c r="BU123">
        <v>1.4863999999999999E-3</v>
      </c>
      <c r="BV123">
        <v>1.4649000000000001E-3</v>
      </c>
      <c r="BW123">
        <v>1.4442000000000001E-3</v>
      </c>
      <c r="BX123">
        <v>1.4239999999999999E-3</v>
      </c>
      <c r="BY123">
        <v>1.3982000000000001E-3</v>
      </c>
      <c r="BZ123">
        <v>1.3779E-3</v>
      </c>
      <c r="CA123">
        <v>1.3573999999999999E-3</v>
      </c>
      <c r="CB123">
        <v>1.3362000000000001E-3</v>
      </c>
      <c r="CC123">
        <v>1.3171999999999999E-3</v>
      </c>
      <c r="CD123">
        <v>1.2974E-3</v>
      </c>
      <c r="CE123">
        <v>1.2773999999999999E-3</v>
      </c>
      <c r="CF123">
        <v>1.2585999999999999E-3</v>
      </c>
      <c r="CG123">
        <v>1.2407E-3</v>
      </c>
      <c r="CH123">
        <v>1.2251E-3</v>
      </c>
      <c r="CI123">
        <v>1.2105E-3</v>
      </c>
      <c r="CJ123">
        <v>1.1950000000000001E-3</v>
      </c>
      <c r="CK123">
        <v>1.1777999999999999E-3</v>
      </c>
      <c r="CL123">
        <v>1.1609000000000001E-3</v>
      </c>
      <c r="CM123">
        <v>1.1437999999999999E-3</v>
      </c>
      <c r="CN123">
        <v>1.1238000000000001E-3</v>
      </c>
      <c r="CO123">
        <v>1.1075E-3</v>
      </c>
      <c r="CP123">
        <v>1.0774000000000001E-3</v>
      </c>
      <c r="CQ123">
        <v>1.0596E-3</v>
      </c>
      <c r="CR123">
        <v>1.0422000000000001E-3</v>
      </c>
      <c r="CS123">
        <v>1.0246999999999999E-3</v>
      </c>
      <c r="CT123">
        <v>1.0085000000000001E-3</v>
      </c>
      <c r="CU123">
        <v>9.9430000000000004E-4</v>
      </c>
      <c r="CV123">
        <v>9.8010000000000002E-4</v>
      </c>
      <c r="CW123">
        <v>9.6460000000000003E-4</v>
      </c>
      <c r="CX123">
        <v>9.4919999999999998E-4</v>
      </c>
      <c r="CY123">
        <v>9.3490000000000001E-4</v>
      </c>
      <c r="CZ123">
        <v>9.2159999999999996E-4</v>
      </c>
      <c r="DA123">
        <v>9.1120000000000003E-4</v>
      </c>
      <c r="DB123">
        <v>9.012E-4</v>
      </c>
      <c r="DC123">
        <v>8.9070000000000002E-4</v>
      </c>
      <c r="DD123">
        <v>8.8000000000000003E-4</v>
      </c>
      <c r="DE123">
        <v>8.6859999999999997E-4</v>
      </c>
      <c r="DF123">
        <v>8.5599999999999999E-4</v>
      </c>
      <c r="DG123">
        <v>8.3980000000000003E-4</v>
      </c>
      <c r="DH123">
        <v>8.2019999999999999E-4</v>
      </c>
      <c r="DI123">
        <v>7.8310000000000001E-4</v>
      </c>
      <c r="DJ123">
        <v>7.6530000000000001E-4</v>
      </c>
      <c r="DK123">
        <v>7.4689999999999999E-4</v>
      </c>
      <c r="DL123">
        <v>7.0589999999999997E-4</v>
      </c>
      <c r="DM123">
        <v>7.3740000000000003E-4</v>
      </c>
      <c r="DN123">
        <v>7.293E-4</v>
      </c>
      <c r="DO123">
        <v>7.2539999999999996E-4</v>
      </c>
      <c r="DP123">
        <v>7.2079999999999996E-4</v>
      </c>
      <c r="DQ123">
        <v>5.34549E-2</v>
      </c>
      <c r="DR123">
        <v>0</v>
      </c>
      <c r="DS123">
        <v>4.5899999999999998E-5</v>
      </c>
      <c r="DT123">
        <v>1.641E-4</v>
      </c>
      <c r="DU123">
        <v>6.6770000000000002E-4</v>
      </c>
      <c r="DV123">
        <v>6.0309999999999997E-4</v>
      </c>
      <c r="DW123">
        <v>5.6559999999999998E-4</v>
      </c>
      <c r="DX123">
        <v>5.8180000000000005E-4</v>
      </c>
      <c r="DY123">
        <v>5.1979999999999995E-4</v>
      </c>
      <c r="DZ123">
        <v>4.7580000000000002E-4</v>
      </c>
      <c r="EA123">
        <v>4.2309999999999998E-4</v>
      </c>
      <c r="EB123">
        <v>3.7839999999999998E-4</v>
      </c>
      <c r="EC123">
        <v>3.4029999999999998E-4</v>
      </c>
      <c r="ED123">
        <v>3.0479999999999998E-4</v>
      </c>
      <c r="EE123">
        <v>2.7349999999999998E-4</v>
      </c>
      <c r="EF123">
        <v>2.4620000000000002E-4</v>
      </c>
      <c r="EG123">
        <v>2.2220000000000001E-4</v>
      </c>
      <c r="EH123">
        <v>2.0129999999999999E-4</v>
      </c>
      <c r="EI123">
        <v>1.829E-4</v>
      </c>
      <c r="EJ123">
        <v>1.6770000000000001E-4</v>
      </c>
      <c r="EK123">
        <v>1.5339999999999999E-4</v>
      </c>
      <c r="EL123">
        <v>1.4080000000000001E-4</v>
      </c>
      <c r="EM123">
        <v>1.2970000000000001E-4</v>
      </c>
      <c r="EN123">
        <v>1.199E-4</v>
      </c>
      <c r="EO123">
        <v>1.1120000000000001E-4</v>
      </c>
      <c r="EP123">
        <v>1.0349999999999999E-4</v>
      </c>
      <c r="EQ123">
        <v>9.6700000000000006E-5</v>
      </c>
      <c r="ER123">
        <v>9.0699999999999996E-5</v>
      </c>
      <c r="ES123">
        <v>8.5199999999999997E-5</v>
      </c>
      <c r="ET123">
        <v>8.0199999999999998E-5</v>
      </c>
      <c r="EU123">
        <v>7.5699999999999997E-5</v>
      </c>
      <c r="EV123">
        <v>7.1600000000000006E-5</v>
      </c>
      <c r="EW123">
        <v>6.7899999999999997E-5</v>
      </c>
      <c r="EX123">
        <v>6.4399999999999993E-5</v>
      </c>
      <c r="EY123">
        <v>6.1299999999999999E-5</v>
      </c>
      <c r="EZ123">
        <v>5.8400000000000003E-5</v>
      </c>
      <c r="FA123">
        <v>5.5699999999999999E-5</v>
      </c>
      <c r="FB123">
        <v>5.3300000000000001E-5</v>
      </c>
      <c r="FC123">
        <v>5.1E-5</v>
      </c>
      <c r="FD123">
        <v>4.8900000000000003E-5</v>
      </c>
      <c r="FE123">
        <v>4.6900000000000002E-5</v>
      </c>
      <c r="FF123">
        <v>4.5099999999999998E-5</v>
      </c>
      <c r="FG123">
        <v>4.3399999999999998E-5</v>
      </c>
      <c r="FH123">
        <v>4.18E-5</v>
      </c>
      <c r="FI123">
        <v>4.0299999999999997E-5</v>
      </c>
      <c r="FJ123">
        <v>3.8899999999999997E-5</v>
      </c>
      <c r="FK123">
        <v>3.7599999999999999E-5</v>
      </c>
      <c r="FL123">
        <v>3.6199999999999999E-5</v>
      </c>
      <c r="FM123">
        <v>3.4999999999999997E-5</v>
      </c>
      <c r="FN123">
        <v>3.4E-5</v>
      </c>
      <c r="FO123">
        <v>3.3000000000000003E-5</v>
      </c>
      <c r="FP123">
        <v>3.1999999999999999E-5</v>
      </c>
      <c r="FQ123">
        <v>3.1199999999999999E-5</v>
      </c>
      <c r="FR123">
        <v>3.0300000000000001E-5</v>
      </c>
      <c r="FS123">
        <v>2.97E-5</v>
      </c>
      <c r="FT123">
        <v>2.8900000000000001E-5</v>
      </c>
      <c r="FU123">
        <v>2.83E-5</v>
      </c>
      <c r="FV123">
        <v>2.76E-5</v>
      </c>
      <c r="FW123">
        <v>2.69E-5</v>
      </c>
      <c r="FX123">
        <v>2.6299999999999999E-5</v>
      </c>
      <c r="FY123">
        <v>2.5899999999999999E-5</v>
      </c>
      <c r="FZ123">
        <v>2.5299999999999998E-5</v>
      </c>
      <c r="GA123">
        <v>2.48E-5</v>
      </c>
      <c r="GB123">
        <v>2.4300000000000001E-5</v>
      </c>
      <c r="GC123">
        <v>2.3799999999999999E-5</v>
      </c>
      <c r="GD123">
        <v>2.34E-5</v>
      </c>
      <c r="GE123">
        <v>2.3099999999999999E-5</v>
      </c>
      <c r="GF123">
        <v>2.26E-5</v>
      </c>
      <c r="GG123">
        <v>2.2200000000000001E-5</v>
      </c>
      <c r="GH123">
        <v>2.1800000000000001E-5</v>
      </c>
      <c r="GI123">
        <v>2.1500000000000001E-5</v>
      </c>
      <c r="GJ123">
        <v>2.1100000000000001E-5</v>
      </c>
      <c r="GK123">
        <v>2.0800000000000001E-5</v>
      </c>
      <c r="GL123">
        <v>2.05E-5</v>
      </c>
      <c r="GM123">
        <v>2.02E-5</v>
      </c>
      <c r="GN123">
        <v>1.9899999999999999E-5</v>
      </c>
      <c r="GO123">
        <v>1.95E-5</v>
      </c>
      <c r="GP123">
        <v>1.9199999999999999E-5</v>
      </c>
      <c r="GQ123">
        <v>1.8899999999999999E-5</v>
      </c>
      <c r="GR123">
        <v>1.8600000000000001E-5</v>
      </c>
      <c r="GS123">
        <v>1.8300000000000001E-5</v>
      </c>
      <c r="GT123">
        <v>1.8099999999999999E-5</v>
      </c>
      <c r="GU123">
        <v>1.7799999999999999E-5</v>
      </c>
      <c r="GV123">
        <v>1.7499999999999998E-5</v>
      </c>
      <c r="GW123">
        <v>1.73E-5</v>
      </c>
      <c r="GX123">
        <v>1.7099999999999999E-5</v>
      </c>
      <c r="GY123">
        <v>1.6900000000000001E-5</v>
      </c>
      <c r="GZ123">
        <v>1.6699999999999999E-5</v>
      </c>
      <c r="HA123">
        <v>1.6399999999999999E-5</v>
      </c>
      <c r="HB123">
        <v>1.6200000000000001E-5</v>
      </c>
      <c r="HC123">
        <v>1.5999999999999999E-5</v>
      </c>
      <c r="HD123">
        <v>1.5699999999999999E-5</v>
      </c>
      <c r="HE123">
        <v>1.5500000000000001E-5</v>
      </c>
      <c r="HF123">
        <v>1.5099999999999999E-5</v>
      </c>
      <c r="HG123">
        <v>1.4800000000000001E-5</v>
      </c>
      <c r="HH123">
        <v>1.4600000000000001E-5</v>
      </c>
      <c r="HI123">
        <v>1.43E-5</v>
      </c>
      <c r="HJ123">
        <v>1.4100000000000001E-5</v>
      </c>
      <c r="HK123">
        <v>1.3900000000000001E-5</v>
      </c>
      <c r="HL123">
        <v>1.3699999999999999E-5</v>
      </c>
      <c r="HM123">
        <v>1.3499999999999999E-5</v>
      </c>
      <c r="HN123">
        <v>1.33E-5</v>
      </c>
      <c r="HO123">
        <v>1.31E-5</v>
      </c>
      <c r="HP123">
        <v>1.29E-5</v>
      </c>
      <c r="HQ123">
        <v>1.2799999999999999E-5</v>
      </c>
      <c r="HR123">
        <v>1.27E-5</v>
      </c>
      <c r="HS123">
        <v>1.2500000000000001E-5</v>
      </c>
      <c r="HT123">
        <v>1.24E-5</v>
      </c>
      <c r="HU123">
        <v>1.22E-5</v>
      </c>
      <c r="HV123">
        <v>1.2099999999999999E-5</v>
      </c>
      <c r="HW123">
        <v>1.1800000000000001E-5</v>
      </c>
      <c r="HX123">
        <v>1.1600000000000001E-5</v>
      </c>
      <c r="HY123">
        <v>1.1E-5</v>
      </c>
      <c r="HZ123">
        <v>1.08E-5</v>
      </c>
      <c r="IA123">
        <v>1.0499999999999999E-5</v>
      </c>
      <c r="IB123">
        <v>1.0000000000000001E-5</v>
      </c>
      <c r="IC123">
        <v>1.04E-5</v>
      </c>
      <c r="ID123">
        <v>1.03E-5</v>
      </c>
      <c r="IE123">
        <v>1.0200000000000001E-5</v>
      </c>
      <c r="IF123">
        <v>1.0200000000000001E-5</v>
      </c>
      <c r="IG123">
        <v>7.5889999999999996E-4</v>
      </c>
    </row>
    <row r="124" spans="1:241" x14ac:dyDescent="0.35">
      <c r="A124" s="1">
        <v>116</v>
      </c>
      <c r="B124">
        <v>1.05568E-2</v>
      </c>
      <c r="C124">
        <v>1.05568E-2</v>
      </c>
      <c r="D124">
        <v>1.05109E-2</v>
      </c>
      <c r="E124">
        <v>1.03468E-2</v>
      </c>
      <c r="F124">
        <v>9.6790000000000001E-3</v>
      </c>
      <c r="G124">
        <v>9.0761000000000001E-3</v>
      </c>
      <c r="H124">
        <v>8.5106999999999995E-3</v>
      </c>
      <c r="I124">
        <v>7.9115999999999995E-3</v>
      </c>
      <c r="J124">
        <v>7.3962000000000003E-3</v>
      </c>
      <c r="K124">
        <v>6.9195999999999997E-3</v>
      </c>
      <c r="L124">
        <v>6.4973000000000001E-3</v>
      </c>
      <c r="M124">
        <v>6.1189E-3</v>
      </c>
      <c r="N124">
        <v>5.8129000000000002E-3</v>
      </c>
      <c r="O124">
        <v>5.5084000000000001E-3</v>
      </c>
      <c r="P124">
        <v>5.2353E-3</v>
      </c>
      <c r="Q124">
        <v>4.9893000000000003E-3</v>
      </c>
      <c r="R124">
        <v>4.7670000000000004E-3</v>
      </c>
      <c r="S124">
        <v>4.5652999999999996E-3</v>
      </c>
      <c r="T124">
        <v>4.3816999999999997E-3</v>
      </c>
      <c r="U124">
        <v>4.2307000000000004E-3</v>
      </c>
      <c r="V124">
        <v>4.0762999999999997E-3</v>
      </c>
      <c r="W124">
        <v>3.9345999999999999E-3</v>
      </c>
      <c r="X124">
        <v>3.8040999999999999E-3</v>
      </c>
      <c r="Y124">
        <v>3.6838000000000001E-3</v>
      </c>
      <c r="Z124">
        <v>3.5725000000000002E-3</v>
      </c>
      <c r="AA124">
        <v>3.4692999999999998E-3</v>
      </c>
      <c r="AB124">
        <v>3.3736999999999999E-3</v>
      </c>
      <c r="AC124">
        <v>3.2856999999999999E-3</v>
      </c>
      <c r="AD124">
        <v>3.1982E-3</v>
      </c>
      <c r="AE124">
        <v>3.1147000000000002E-3</v>
      </c>
      <c r="AF124">
        <v>3.0351000000000002E-3</v>
      </c>
      <c r="AG124">
        <v>2.9597999999999998E-3</v>
      </c>
      <c r="AH124">
        <v>2.8887000000000001E-3</v>
      </c>
      <c r="AI124">
        <v>2.8208999999999999E-3</v>
      </c>
      <c r="AJ124">
        <v>2.7575999999999998E-3</v>
      </c>
      <c r="AK124">
        <v>2.6971999999999999E-3</v>
      </c>
      <c r="AL124">
        <v>2.6396000000000002E-3</v>
      </c>
      <c r="AM124">
        <v>2.5850000000000001E-3</v>
      </c>
      <c r="AN124">
        <v>2.5327000000000001E-3</v>
      </c>
      <c r="AO124">
        <v>2.4826000000000002E-3</v>
      </c>
      <c r="AP124">
        <v>2.4350000000000001E-3</v>
      </c>
      <c r="AQ124">
        <v>2.3893999999999999E-3</v>
      </c>
      <c r="AR124">
        <v>2.3452999999999998E-3</v>
      </c>
      <c r="AS124">
        <v>2.3032E-3</v>
      </c>
      <c r="AT124">
        <v>2.2621999999999998E-3</v>
      </c>
      <c r="AU124">
        <v>2.2228E-3</v>
      </c>
      <c r="AV124">
        <v>2.1844999999999998E-3</v>
      </c>
      <c r="AW124">
        <v>2.1404000000000002E-3</v>
      </c>
      <c r="AX124">
        <v>2.1034999999999999E-3</v>
      </c>
      <c r="AY124">
        <v>2.0693999999999999E-3</v>
      </c>
      <c r="AZ124">
        <v>2.0352999999999999E-3</v>
      </c>
      <c r="BA124">
        <v>2.0026000000000002E-3</v>
      </c>
      <c r="BB124">
        <v>1.9710000000000001E-3</v>
      </c>
      <c r="BC124">
        <v>1.9394E-3</v>
      </c>
      <c r="BD124">
        <v>1.9162000000000001E-3</v>
      </c>
      <c r="BE124">
        <v>1.8867000000000001E-3</v>
      </c>
      <c r="BF124">
        <v>1.8584999999999999E-3</v>
      </c>
      <c r="BG124">
        <v>1.8293000000000001E-3</v>
      </c>
      <c r="BH124">
        <v>1.7966E-3</v>
      </c>
      <c r="BI124">
        <v>1.7700999999999999E-3</v>
      </c>
      <c r="BJ124">
        <v>1.7497000000000001E-3</v>
      </c>
      <c r="BK124">
        <v>1.7239E-3</v>
      </c>
      <c r="BL124">
        <v>1.6988000000000001E-3</v>
      </c>
      <c r="BM124">
        <v>1.6685999999999999E-3</v>
      </c>
      <c r="BN124">
        <v>1.6448000000000001E-3</v>
      </c>
      <c r="BO124">
        <v>1.6214999999999999E-3</v>
      </c>
      <c r="BP124">
        <v>1.6038000000000001E-3</v>
      </c>
      <c r="BQ124">
        <v>1.575E-3</v>
      </c>
      <c r="BR124">
        <v>1.5529000000000001E-3</v>
      </c>
      <c r="BS124">
        <v>1.5309E-3</v>
      </c>
      <c r="BT124">
        <v>1.5089999999999999E-3</v>
      </c>
      <c r="BU124">
        <v>1.4874000000000001E-3</v>
      </c>
      <c r="BV124">
        <v>1.4656000000000001E-3</v>
      </c>
      <c r="BW124">
        <v>1.4444E-3</v>
      </c>
      <c r="BX124">
        <v>1.4241E-3</v>
      </c>
      <c r="BY124">
        <v>1.4040999999999999E-3</v>
      </c>
      <c r="BZ124">
        <v>1.3787000000000001E-3</v>
      </c>
      <c r="CA124">
        <v>1.3587E-3</v>
      </c>
      <c r="CB124">
        <v>1.3385000000000001E-3</v>
      </c>
      <c r="CC124">
        <v>1.3175999999999999E-3</v>
      </c>
      <c r="CD124">
        <v>1.2987999999999999E-3</v>
      </c>
      <c r="CE124">
        <v>1.2794E-3</v>
      </c>
      <c r="CF124">
        <v>1.2596E-3</v>
      </c>
      <c r="CG124">
        <v>1.2411E-3</v>
      </c>
      <c r="CH124">
        <v>1.2233999999999999E-3</v>
      </c>
      <c r="CI124">
        <v>1.2080999999999999E-3</v>
      </c>
      <c r="CJ124">
        <v>1.1936E-3</v>
      </c>
      <c r="CK124">
        <v>1.1783E-3</v>
      </c>
      <c r="CL124">
        <v>1.1613000000000001E-3</v>
      </c>
      <c r="CM124">
        <v>1.1447E-3</v>
      </c>
      <c r="CN124">
        <v>1.1278E-3</v>
      </c>
      <c r="CO124">
        <v>1.1081000000000001E-3</v>
      </c>
      <c r="CP124">
        <v>1.0920000000000001E-3</v>
      </c>
      <c r="CQ124">
        <v>1.0624E-3</v>
      </c>
      <c r="CR124">
        <v>1.0448E-3</v>
      </c>
      <c r="CS124">
        <v>1.0276E-3</v>
      </c>
      <c r="CT124">
        <v>1.0104000000000001E-3</v>
      </c>
      <c r="CU124">
        <v>9.944000000000001E-4</v>
      </c>
      <c r="CV124">
        <v>9.8039999999999998E-4</v>
      </c>
      <c r="CW124">
        <v>9.6639999999999996E-4</v>
      </c>
      <c r="CX124">
        <v>9.5109999999999997E-4</v>
      </c>
      <c r="CY124">
        <v>9.3590000000000003E-4</v>
      </c>
      <c r="CZ124">
        <v>9.2179999999999996E-4</v>
      </c>
      <c r="DA124">
        <v>9.0859999999999997E-4</v>
      </c>
      <c r="DB124">
        <v>8.9840000000000004E-4</v>
      </c>
      <c r="DC124">
        <v>8.8849999999999997E-4</v>
      </c>
      <c r="DD124">
        <v>8.7819999999999999E-4</v>
      </c>
      <c r="DE124">
        <v>8.6759999999999995E-4</v>
      </c>
      <c r="DF124">
        <v>8.564E-4</v>
      </c>
      <c r="DG124">
        <v>8.4389999999999997E-4</v>
      </c>
      <c r="DH124">
        <v>8.2799999999999996E-4</v>
      </c>
      <c r="DI124">
        <v>8.0860000000000003E-4</v>
      </c>
      <c r="DJ124">
        <v>7.7209999999999996E-4</v>
      </c>
      <c r="DK124">
        <v>7.5449999999999996E-4</v>
      </c>
      <c r="DL124">
        <v>7.3640000000000001E-4</v>
      </c>
      <c r="DM124">
        <v>6.9589999999999995E-4</v>
      </c>
      <c r="DN124">
        <v>7.27E-4</v>
      </c>
      <c r="DO124">
        <v>7.1900000000000002E-4</v>
      </c>
      <c r="DP124">
        <v>7.1520000000000004E-4</v>
      </c>
      <c r="DQ124">
        <v>5.3406700000000001E-2</v>
      </c>
      <c r="DR124">
        <v>0</v>
      </c>
      <c r="DS124">
        <v>4.5899999999999998E-5</v>
      </c>
      <c r="DT124">
        <v>1.641E-4</v>
      </c>
      <c r="DU124">
        <v>6.6779999999999997E-4</v>
      </c>
      <c r="DV124">
        <v>6.0320000000000003E-4</v>
      </c>
      <c r="DW124">
        <v>5.6570000000000004E-4</v>
      </c>
      <c r="DX124">
        <v>5.8870000000000005E-4</v>
      </c>
      <c r="DY124">
        <v>5.2030000000000002E-4</v>
      </c>
      <c r="DZ124">
        <v>4.771E-4</v>
      </c>
      <c r="EA124">
        <v>4.237E-4</v>
      </c>
      <c r="EB124">
        <v>3.791E-4</v>
      </c>
      <c r="EC124">
        <v>3.3809999999999998E-4</v>
      </c>
      <c r="ED124">
        <v>3.0529999999999999E-4</v>
      </c>
      <c r="EE124">
        <v>2.7399999999999999E-4</v>
      </c>
      <c r="EF124">
        <v>2.4689999999999998E-4</v>
      </c>
      <c r="EG124">
        <v>2.232E-4</v>
      </c>
      <c r="EH124">
        <v>2.0249999999999999E-4</v>
      </c>
      <c r="EI124">
        <v>1.8430000000000001E-4</v>
      </c>
      <c r="EJ124">
        <v>1.684E-4</v>
      </c>
      <c r="EK124">
        <v>1.551E-4</v>
      </c>
      <c r="EL124">
        <v>1.426E-4</v>
      </c>
      <c r="EM124">
        <v>1.315E-4</v>
      </c>
      <c r="EN124">
        <v>1.217E-4</v>
      </c>
      <c r="EO124">
        <v>1.1290000000000001E-4</v>
      </c>
      <c r="EP124">
        <v>1.0509999999999999E-4</v>
      </c>
      <c r="EQ124">
        <v>9.8200000000000002E-5</v>
      </c>
      <c r="ER124">
        <v>9.2E-5</v>
      </c>
      <c r="ES124">
        <v>8.6500000000000002E-5</v>
      </c>
      <c r="ET124">
        <v>8.1500000000000002E-5</v>
      </c>
      <c r="EU124">
        <v>7.6899999999999999E-5</v>
      </c>
      <c r="EV124">
        <v>7.2700000000000005E-5</v>
      </c>
      <c r="EW124">
        <v>6.8899999999999994E-5</v>
      </c>
      <c r="EX124">
        <v>6.5400000000000004E-5</v>
      </c>
      <c r="EY124">
        <v>6.2100000000000005E-5</v>
      </c>
      <c r="EZ124">
        <v>5.9200000000000002E-5</v>
      </c>
      <c r="FA124">
        <v>5.6400000000000002E-5</v>
      </c>
      <c r="FB124">
        <v>5.3900000000000002E-5</v>
      </c>
      <c r="FC124">
        <v>5.1600000000000001E-5</v>
      </c>
      <c r="FD124">
        <v>4.9400000000000001E-5</v>
      </c>
      <c r="FE124">
        <v>4.7299999999999998E-5</v>
      </c>
      <c r="FF124">
        <v>4.5500000000000001E-5</v>
      </c>
      <c r="FG124">
        <v>4.3699999999999998E-5</v>
      </c>
      <c r="FH124">
        <v>4.21E-5</v>
      </c>
      <c r="FI124">
        <v>4.0599999999999998E-5</v>
      </c>
      <c r="FJ124">
        <v>3.9100000000000002E-5</v>
      </c>
      <c r="FK124">
        <v>3.7799999999999997E-5</v>
      </c>
      <c r="FL124">
        <v>3.6600000000000002E-5</v>
      </c>
      <c r="FM124">
        <v>3.5299999999999997E-5</v>
      </c>
      <c r="FN124">
        <v>3.4199999999999998E-5</v>
      </c>
      <c r="FO124">
        <v>3.3200000000000001E-5</v>
      </c>
      <c r="FP124">
        <v>3.2199999999999997E-5</v>
      </c>
      <c r="FQ124">
        <v>3.1300000000000002E-5</v>
      </c>
      <c r="FR124">
        <v>3.0499999999999999E-5</v>
      </c>
      <c r="FS124">
        <v>2.97E-5</v>
      </c>
      <c r="FT124">
        <v>2.9E-5</v>
      </c>
      <c r="FU124">
        <v>2.83E-5</v>
      </c>
      <c r="FV124">
        <v>2.7699999999999999E-5</v>
      </c>
      <c r="FW124">
        <v>2.6999999999999999E-5</v>
      </c>
      <c r="FX124">
        <v>2.6400000000000001E-5</v>
      </c>
      <c r="FY124">
        <v>2.58E-5</v>
      </c>
      <c r="FZ124">
        <v>2.5400000000000001E-5</v>
      </c>
      <c r="GA124">
        <v>2.4899999999999999E-5</v>
      </c>
      <c r="GB124">
        <v>2.44E-5</v>
      </c>
      <c r="GC124">
        <v>2.3900000000000002E-5</v>
      </c>
      <c r="GD124">
        <v>2.34E-5</v>
      </c>
      <c r="GE124">
        <v>2.3E-5</v>
      </c>
      <c r="GF124">
        <v>2.27E-5</v>
      </c>
      <c r="GG124">
        <v>2.2200000000000001E-5</v>
      </c>
      <c r="GH124">
        <v>2.19E-5</v>
      </c>
      <c r="GI124">
        <v>2.1500000000000001E-5</v>
      </c>
      <c r="GJ124">
        <v>2.12E-5</v>
      </c>
      <c r="GK124">
        <v>2.0800000000000001E-5</v>
      </c>
      <c r="GL124">
        <v>2.05E-5</v>
      </c>
      <c r="GM124">
        <v>2.02E-5</v>
      </c>
      <c r="GN124">
        <v>1.9899999999999999E-5</v>
      </c>
      <c r="GO124">
        <v>1.9599999999999999E-5</v>
      </c>
      <c r="GP124">
        <v>1.9199999999999999E-5</v>
      </c>
      <c r="GQ124">
        <v>1.8899999999999999E-5</v>
      </c>
      <c r="GR124">
        <v>1.8700000000000001E-5</v>
      </c>
      <c r="GS124">
        <v>1.84E-5</v>
      </c>
      <c r="GT124">
        <v>1.8099999999999999E-5</v>
      </c>
      <c r="GU124">
        <v>1.7799999999999999E-5</v>
      </c>
      <c r="GV124">
        <v>1.7499999999999998E-5</v>
      </c>
      <c r="GW124">
        <v>1.73E-5</v>
      </c>
      <c r="GX124">
        <v>1.7E-5</v>
      </c>
      <c r="GY124">
        <v>1.6799999999999998E-5</v>
      </c>
      <c r="GZ124">
        <v>1.66E-5</v>
      </c>
      <c r="HA124">
        <v>1.6399999999999999E-5</v>
      </c>
      <c r="HB124">
        <v>1.6200000000000001E-5</v>
      </c>
      <c r="HC124">
        <v>1.5999999999999999E-5</v>
      </c>
      <c r="HD124">
        <v>1.5699999999999999E-5</v>
      </c>
      <c r="HE124">
        <v>1.5500000000000001E-5</v>
      </c>
      <c r="HF124">
        <v>1.5299999999999999E-5</v>
      </c>
      <c r="HG124">
        <v>1.49E-5</v>
      </c>
      <c r="HH124">
        <v>1.4600000000000001E-5</v>
      </c>
      <c r="HI124">
        <v>1.4399999999999999E-5</v>
      </c>
      <c r="HJ124">
        <v>1.4100000000000001E-5</v>
      </c>
      <c r="HK124">
        <v>1.3900000000000001E-5</v>
      </c>
      <c r="HL124">
        <v>1.3699999999999999E-5</v>
      </c>
      <c r="HM124">
        <v>1.36E-5</v>
      </c>
      <c r="HN124">
        <v>1.33E-5</v>
      </c>
      <c r="HO124">
        <v>1.31E-5</v>
      </c>
      <c r="HP124">
        <v>1.29E-5</v>
      </c>
      <c r="HQ124">
        <v>1.2799999999999999E-5</v>
      </c>
      <c r="HR124">
        <v>1.26E-5</v>
      </c>
      <c r="HS124">
        <v>1.2500000000000001E-5</v>
      </c>
      <c r="HT124">
        <v>1.24E-5</v>
      </c>
      <c r="HU124">
        <v>1.22E-5</v>
      </c>
      <c r="HV124">
        <v>1.2099999999999999E-5</v>
      </c>
      <c r="HW124">
        <v>1.19E-5</v>
      </c>
      <c r="HX124">
        <v>1.17E-5</v>
      </c>
      <c r="HY124">
        <v>1.1399999999999999E-5</v>
      </c>
      <c r="HZ124">
        <v>1.0900000000000001E-5</v>
      </c>
      <c r="IA124">
        <v>1.06E-5</v>
      </c>
      <c r="IB124">
        <v>1.04E-5</v>
      </c>
      <c r="IC124">
        <v>9.7999999999999993E-6</v>
      </c>
      <c r="ID124">
        <v>1.03E-5</v>
      </c>
      <c r="IE124">
        <v>1.0200000000000001E-5</v>
      </c>
      <c r="IF124">
        <v>1.01E-5</v>
      </c>
      <c r="IG124">
        <v>7.582E-4</v>
      </c>
    </row>
    <row r="125" spans="1:241" x14ac:dyDescent="0.35">
      <c r="A125" s="1">
        <v>117</v>
      </c>
      <c r="B125">
        <v>1.05568E-2</v>
      </c>
      <c r="C125">
        <v>1.05568E-2</v>
      </c>
      <c r="D125">
        <v>1.05109E-2</v>
      </c>
      <c r="E125">
        <v>1.03467E-2</v>
      </c>
      <c r="F125">
        <v>9.6790000000000001E-3</v>
      </c>
      <c r="G125">
        <v>9.0758999999999996E-3</v>
      </c>
      <c r="H125">
        <v>8.5103999999999996E-3</v>
      </c>
      <c r="I125">
        <v>7.9220000000000002E-3</v>
      </c>
      <c r="J125">
        <v>7.3911999999999997E-3</v>
      </c>
      <c r="K125">
        <v>6.9189999999999998E-3</v>
      </c>
      <c r="L125">
        <v>6.4958999999999998E-3</v>
      </c>
      <c r="M125">
        <v>6.1181999999999999E-3</v>
      </c>
      <c r="N125">
        <v>5.7808E-3</v>
      </c>
      <c r="O125">
        <v>5.5075999999999996E-3</v>
      </c>
      <c r="P125">
        <v>5.2344000000000002E-3</v>
      </c>
      <c r="Q125">
        <v>4.9883999999999996E-3</v>
      </c>
      <c r="R125">
        <v>4.7660999999999997E-3</v>
      </c>
      <c r="S125">
        <v>4.5645E-3</v>
      </c>
      <c r="T125">
        <v>4.3810000000000003E-3</v>
      </c>
      <c r="U125">
        <v>4.2134E-3</v>
      </c>
      <c r="V125">
        <v>4.0756000000000004E-3</v>
      </c>
      <c r="W125">
        <v>3.9338000000000003E-3</v>
      </c>
      <c r="X125">
        <v>3.8030999999999998E-3</v>
      </c>
      <c r="Y125">
        <v>3.6824000000000002E-3</v>
      </c>
      <c r="Z125">
        <v>3.5709000000000001E-3</v>
      </c>
      <c r="AA125">
        <v>3.4673999999999998E-3</v>
      </c>
      <c r="AB125">
        <v>3.3711000000000001E-3</v>
      </c>
      <c r="AC125">
        <v>3.2816999999999998E-3</v>
      </c>
      <c r="AD125">
        <v>3.1990999999999999E-3</v>
      </c>
      <c r="AE125">
        <v>3.1167E-3</v>
      </c>
      <c r="AF125">
        <v>3.0377999999999998E-3</v>
      </c>
      <c r="AG125">
        <v>2.9624E-3</v>
      </c>
      <c r="AH125">
        <v>2.8909000000000001E-3</v>
      </c>
      <c r="AI125">
        <v>2.8232999999999999E-3</v>
      </c>
      <c r="AJ125">
        <v>2.7587000000000002E-3</v>
      </c>
      <c r="AK125">
        <v>2.6984000000000001E-3</v>
      </c>
      <c r="AL125">
        <v>2.6407000000000002E-3</v>
      </c>
      <c r="AM125">
        <v>2.5856999999999998E-3</v>
      </c>
      <c r="AN125">
        <v>2.5335000000000002E-3</v>
      </c>
      <c r="AO125">
        <v>2.4832999999999999E-3</v>
      </c>
      <c r="AP125">
        <v>2.4352000000000002E-3</v>
      </c>
      <c r="AQ125">
        <v>2.3896E-3</v>
      </c>
      <c r="AR125">
        <v>2.3457E-3</v>
      </c>
      <c r="AS125">
        <v>2.3032E-3</v>
      </c>
      <c r="AT125">
        <v>2.2626999999999999E-3</v>
      </c>
      <c r="AU125">
        <v>2.2231E-3</v>
      </c>
      <c r="AV125">
        <v>2.1849999999999999E-3</v>
      </c>
      <c r="AW125">
        <v>2.1480000000000002E-3</v>
      </c>
      <c r="AX125">
        <v>2.1050999999999999E-3</v>
      </c>
      <c r="AY125">
        <v>2.0693E-3</v>
      </c>
      <c r="AZ125">
        <v>2.0363E-3</v>
      </c>
      <c r="BA125">
        <v>2.0030999999999998E-3</v>
      </c>
      <c r="BB125">
        <v>1.9713E-3</v>
      </c>
      <c r="BC125">
        <v>1.9406E-3</v>
      </c>
      <c r="BD125">
        <v>1.9097999999999999E-3</v>
      </c>
      <c r="BE125">
        <v>1.8871000000000001E-3</v>
      </c>
      <c r="BF125">
        <v>1.8584000000000001E-3</v>
      </c>
      <c r="BG125">
        <v>1.8308E-3</v>
      </c>
      <c r="BH125">
        <v>1.8023E-3</v>
      </c>
      <c r="BI125">
        <v>1.7702E-3</v>
      </c>
      <c r="BJ125">
        <v>1.7443000000000001E-3</v>
      </c>
      <c r="BK125">
        <v>1.7243E-3</v>
      </c>
      <c r="BL125">
        <v>1.699E-3</v>
      </c>
      <c r="BM125">
        <v>1.6743999999999999E-3</v>
      </c>
      <c r="BN125">
        <v>1.6447E-3</v>
      </c>
      <c r="BO125">
        <v>1.6214000000000001E-3</v>
      </c>
      <c r="BP125">
        <v>1.5985000000000001E-3</v>
      </c>
      <c r="BQ125">
        <v>1.5811E-3</v>
      </c>
      <c r="BR125">
        <v>1.5527E-3</v>
      </c>
      <c r="BS125">
        <v>1.531E-3</v>
      </c>
      <c r="BT125">
        <v>1.5093999999999999E-3</v>
      </c>
      <c r="BU125">
        <v>1.4878999999999999E-3</v>
      </c>
      <c r="BV125">
        <v>1.4666E-3</v>
      </c>
      <c r="BW125">
        <v>1.4450999999999999E-3</v>
      </c>
      <c r="BX125">
        <v>1.4242E-3</v>
      </c>
      <c r="BY125">
        <v>1.4042E-3</v>
      </c>
      <c r="BZ125">
        <v>1.3845000000000001E-3</v>
      </c>
      <c r="CA125">
        <v>1.3595E-3</v>
      </c>
      <c r="CB125">
        <v>1.3397000000000001E-3</v>
      </c>
      <c r="CC125">
        <v>1.3198999999999999E-3</v>
      </c>
      <c r="CD125">
        <v>1.2991999999999999E-3</v>
      </c>
      <c r="CE125">
        <v>1.2807999999999999E-3</v>
      </c>
      <c r="CF125">
        <v>1.2615E-3</v>
      </c>
      <c r="CG125">
        <v>1.242E-3</v>
      </c>
      <c r="CH125">
        <v>1.2237999999999999E-3</v>
      </c>
      <c r="CI125">
        <v>1.2064000000000001E-3</v>
      </c>
      <c r="CJ125">
        <v>1.1911999999999999E-3</v>
      </c>
      <c r="CK125">
        <v>1.1770000000000001E-3</v>
      </c>
      <c r="CL125">
        <v>1.1619E-3</v>
      </c>
      <c r="CM125">
        <v>1.1451E-3</v>
      </c>
      <c r="CN125">
        <v>1.1287999999999999E-3</v>
      </c>
      <c r="CO125">
        <v>1.1121E-3</v>
      </c>
      <c r="CP125">
        <v>1.0926E-3</v>
      </c>
      <c r="CQ125">
        <v>1.0767000000000001E-3</v>
      </c>
      <c r="CR125">
        <v>1.0475E-3</v>
      </c>
      <c r="CS125">
        <v>1.0302E-3</v>
      </c>
      <c r="CT125">
        <v>1.0131999999999999E-3</v>
      </c>
      <c r="CU125">
        <v>9.9620000000000004E-4</v>
      </c>
      <c r="CV125">
        <v>9.8050000000000003E-4</v>
      </c>
      <c r="CW125">
        <v>9.6659999999999997E-4</v>
      </c>
      <c r="CX125">
        <v>9.5279999999999996E-4</v>
      </c>
      <c r="CY125">
        <v>9.3769999999999997E-4</v>
      </c>
      <c r="CZ125">
        <v>9.2270000000000004E-4</v>
      </c>
      <c r="DA125">
        <v>9.0879999999999997E-4</v>
      </c>
      <c r="DB125">
        <v>8.9590000000000004E-4</v>
      </c>
      <c r="DC125">
        <v>8.8579999999999996E-4</v>
      </c>
      <c r="DD125">
        <v>8.7600000000000004E-4</v>
      </c>
      <c r="DE125">
        <v>8.6580000000000001E-4</v>
      </c>
      <c r="DF125">
        <v>8.5539999999999998E-4</v>
      </c>
      <c r="DG125">
        <v>8.4429999999999998E-4</v>
      </c>
      <c r="DH125">
        <v>8.3199999999999995E-4</v>
      </c>
      <c r="DI125">
        <v>8.1629999999999995E-4</v>
      </c>
      <c r="DJ125">
        <v>7.9719999999999997E-4</v>
      </c>
      <c r="DK125">
        <v>7.6119999999999996E-4</v>
      </c>
      <c r="DL125">
        <v>7.4390000000000003E-4</v>
      </c>
      <c r="DM125">
        <v>7.2599999999999997E-4</v>
      </c>
      <c r="DN125">
        <v>6.8610000000000003E-4</v>
      </c>
      <c r="DO125">
        <v>7.1670000000000002E-4</v>
      </c>
      <c r="DP125">
        <v>7.0890000000000005E-4</v>
      </c>
      <c r="DQ125">
        <v>5.3353499999999998E-2</v>
      </c>
      <c r="DR125">
        <v>0</v>
      </c>
      <c r="DS125">
        <v>4.5899999999999998E-5</v>
      </c>
      <c r="DT125">
        <v>1.6420000000000001E-4</v>
      </c>
      <c r="DU125">
        <v>6.6790000000000003E-4</v>
      </c>
      <c r="DV125">
        <v>6.0329999999999997E-4</v>
      </c>
      <c r="DW125">
        <v>5.6579999999999998E-4</v>
      </c>
      <c r="DX125">
        <v>5.888E-4</v>
      </c>
      <c r="DY125">
        <v>5.2269999999999997E-4</v>
      </c>
      <c r="DZ125">
        <v>4.7639999999999998E-4</v>
      </c>
      <c r="EA125">
        <v>4.238E-4</v>
      </c>
      <c r="EB125">
        <v>3.79E-4</v>
      </c>
      <c r="EC125">
        <v>3.3829999999999998E-4</v>
      </c>
      <c r="ED125">
        <v>3.032E-4</v>
      </c>
      <c r="EE125">
        <v>2.744E-4</v>
      </c>
      <c r="EF125">
        <v>2.474E-4</v>
      </c>
      <c r="EG125">
        <v>2.2369999999999999E-4</v>
      </c>
      <c r="EH125">
        <v>2.031E-4</v>
      </c>
      <c r="EI125">
        <v>1.85E-4</v>
      </c>
      <c r="EJ125">
        <v>1.6909999999999999E-4</v>
      </c>
      <c r="EK125">
        <v>1.551E-4</v>
      </c>
      <c r="EL125">
        <v>1.4339999999999999E-4</v>
      </c>
      <c r="EM125">
        <v>1.3229999999999999E-4</v>
      </c>
      <c r="EN125">
        <v>1.2239999999999999E-4</v>
      </c>
      <c r="EO125">
        <v>1.136E-4</v>
      </c>
      <c r="EP125">
        <v>1.058E-4</v>
      </c>
      <c r="EQ125">
        <v>9.8800000000000003E-5</v>
      </c>
      <c r="ER125">
        <v>9.2499999999999999E-5</v>
      </c>
      <c r="ES125">
        <v>8.7000000000000001E-5</v>
      </c>
      <c r="ET125">
        <v>8.2000000000000001E-5</v>
      </c>
      <c r="EU125">
        <v>7.7399999999999998E-5</v>
      </c>
      <c r="EV125">
        <v>7.3200000000000004E-5</v>
      </c>
      <c r="EW125">
        <v>6.9300000000000004E-5</v>
      </c>
      <c r="EX125">
        <v>6.5699999999999998E-5</v>
      </c>
      <c r="EY125">
        <v>6.2500000000000001E-5</v>
      </c>
      <c r="EZ125">
        <v>5.94E-5</v>
      </c>
      <c r="FA125">
        <v>5.6700000000000003E-5</v>
      </c>
      <c r="FB125">
        <v>5.41E-5</v>
      </c>
      <c r="FC125">
        <v>5.1700000000000003E-5</v>
      </c>
      <c r="FD125">
        <v>4.9499999999999997E-5</v>
      </c>
      <c r="FE125">
        <v>4.7500000000000003E-5</v>
      </c>
      <c r="FF125">
        <v>4.5599999999999997E-5</v>
      </c>
      <c r="FG125">
        <v>4.3800000000000001E-5</v>
      </c>
      <c r="FH125">
        <v>4.2200000000000003E-5</v>
      </c>
      <c r="FI125">
        <v>4.0599999999999998E-5</v>
      </c>
      <c r="FJ125">
        <v>3.9199999999999997E-5</v>
      </c>
      <c r="FK125">
        <v>3.79E-5</v>
      </c>
      <c r="FL125">
        <v>3.6600000000000002E-5</v>
      </c>
      <c r="FM125">
        <v>3.54E-5</v>
      </c>
      <c r="FN125">
        <v>3.4199999999999998E-5</v>
      </c>
      <c r="FO125">
        <v>3.3200000000000001E-5</v>
      </c>
      <c r="FP125">
        <v>3.2199999999999997E-5</v>
      </c>
      <c r="FQ125">
        <v>3.1300000000000002E-5</v>
      </c>
      <c r="FR125">
        <v>3.0499999999999999E-5</v>
      </c>
      <c r="FS125">
        <v>2.97E-5</v>
      </c>
      <c r="FT125">
        <v>2.8900000000000001E-5</v>
      </c>
      <c r="FU125">
        <v>2.83E-5</v>
      </c>
      <c r="FV125">
        <v>2.7699999999999999E-5</v>
      </c>
      <c r="FW125">
        <v>2.7100000000000001E-5</v>
      </c>
      <c r="FX125">
        <v>2.65E-5</v>
      </c>
      <c r="FY125">
        <v>2.58E-5</v>
      </c>
      <c r="FZ125">
        <v>2.5299999999999998E-5</v>
      </c>
      <c r="GA125">
        <v>2.4899999999999999E-5</v>
      </c>
      <c r="GB125">
        <v>2.44E-5</v>
      </c>
      <c r="GC125">
        <v>2.3900000000000002E-5</v>
      </c>
      <c r="GD125">
        <v>2.34E-5</v>
      </c>
      <c r="GE125">
        <v>2.3E-5</v>
      </c>
      <c r="GF125">
        <v>2.26E-5</v>
      </c>
      <c r="GG125">
        <v>2.23E-5</v>
      </c>
      <c r="GH125">
        <v>2.19E-5</v>
      </c>
      <c r="GI125">
        <v>2.1500000000000001E-5</v>
      </c>
      <c r="GJ125">
        <v>2.12E-5</v>
      </c>
      <c r="GK125">
        <v>2.0800000000000001E-5</v>
      </c>
      <c r="GL125">
        <v>2.05E-5</v>
      </c>
      <c r="GM125">
        <v>2.02E-5</v>
      </c>
      <c r="GN125">
        <v>1.9899999999999999E-5</v>
      </c>
      <c r="GO125">
        <v>1.9599999999999999E-5</v>
      </c>
      <c r="GP125">
        <v>1.9300000000000002E-5</v>
      </c>
      <c r="GQ125">
        <v>1.8899999999999999E-5</v>
      </c>
      <c r="GR125">
        <v>1.8700000000000001E-5</v>
      </c>
      <c r="GS125">
        <v>1.84E-5</v>
      </c>
      <c r="GT125">
        <v>1.8099999999999999E-5</v>
      </c>
      <c r="GU125">
        <v>1.7799999999999999E-5</v>
      </c>
      <c r="GV125">
        <v>1.7600000000000001E-5</v>
      </c>
      <c r="GW125">
        <v>1.73E-5</v>
      </c>
      <c r="GX125">
        <v>1.7E-5</v>
      </c>
      <c r="GY125">
        <v>1.6799999999999998E-5</v>
      </c>
      <c r="GZ125">
        <v>1.66E-5</v>
      </c>
      <c r="HA125">
        <v>1.6399999999999999E-5</v>
      </c>
      <c r="HB125">
        <v>1.6200000000000001E-5</v>
      </c>
      <c r="HC125">
        <v>1.5999999999999999E-5</v>
      </c>
      <c r="HD125">
        <v>1.5800000000000001E-5</v>
      </c>
      <c r="HE125">
        <v>1.5500000000000001E-5</v>
      </c>
      <c r="HF125">
        <v>1.5299999999999999E-5</v>
      </c>
      <c r="HG125">
        <v>1.5099999999999999E-5</v>
      </c>
      <c r="HH125">
        <v>1.47E-5</v>
      </c>
      <c r="HI125">
        <v>1.4399999999999999E-5</v>
      </c>
      <c r="HJ125">
        <v>1.42E-5</v>
      </c>
      <c r="HK125">
        <v>1.4E-5</v>
      </c>
      <c r="HL125">
        <v>1.3699999999999999E-5</v>
      </c>
      <c r="HM125">
        <v>1.36E-5</v>
      </c>
      <c r="HN125">
        <v>1.34E-5</v>
      </c>
      <c r="HO125">
        <v>1.3200000000000001E-5</v>
      </c>
      <c r="HP125">
        <v>1.2999999999999999E-5</v>
      </c>
      <c r="HQ125">
        <v>1.2799999999999999E-5</v>
      </c>
      <c r="HR125">
        <v>1.26E-5</v>
      </c>
      <c r="HS125">
        <v>1.2500000000000001E-5</v>
      </c>
      <c r="HT125">
        <v>1.2300000000000001E-5</v>
      </c>
      <c r="HU125">
        <v>1.22E-5</v>
      </c>
      <c r="HV125">
        <v>1.2E-5</v>
      </c>
      <c r="HW125">
        <v>1.19E-5</v>
      </c>
      <c r="HX125">
        <v>1.17E-5</v>
      </c>
      <c r="HY125">
        <v>1.15E-5</v>
      </c>
      <c r="HZ125">
        <v>1.1199999999999999E-5</v>
      </c>
      <c r="IA125">
        <v>1.0699999999999999E-5</v>
      </c>
      <c r="IB125">
        <v>1.0499999999999999E-5</v>
      </c>
      <c r="IC125">
        <v>1.0200000000000001E-5</v>
      </c>
      <c r="ID125">
        <v>9.7000000000000003E-6</v>
      </c>
      <c r="IE125">
        <v>1.01E-5</v>
      </c>
      <c r="IF125">
        <v>1.0000000000000001E-5</v>
      </c>
      <c r="IG125">
        <v>7.5739999999999998E-4</v>
      </c>
    </row>
    <row r="126" spans="1:241" x14ac:dyDescent="0.35">
      <c r="A126" s="1">
        <v>118</v>
      </c>
      <c r="B126">
        <v>1.05568E-2</v>
      </c>
      <c r="C126">
        <v>1.05568E-2</v>
      </c>
      <c r="D126">
        <v>1.05109E-2</v>
      </c>
      <c r="E126">
        <v>1.03467E-2</v>
      </c>
      <c r="F126">
        <v>9.6789000000000007E-3</v>
      </c>
      <c r="G126">
        <v>9.0757000000000008E-3</v>
      </c>
      <c r="H126">
        <v>8.5100999999999996E-3</v>
      </c>
      <c r="I126">
        <v>7.9216000000000009E-3</v>
      </c>
      <c r="J126">
        <v>7.3994000000000004E-3</v>
      </c>
      <c r="K126">
        <v>6.9148999999999999E-3</v>
      </c>
      <c r="L126">
        <v>6.4951999999999996E-3</v>
      </c>
      <c r="M126">
        <v>6.1168999999999998E-3</v>
      </c>
      <c r="N126">
        <v>5.7799000000000001E-3</v>
      </c>
      <c r="O126">
        <v>5.4776E-3</v>
      </c>
      <c r="P126">
        <v>5.2332000000000004E-3</v>
      </c>
      <c r="Q126">
        <v>4.9870000000000001E-3</v>
      </c>
      <c r="R126">
        <v>4.7647000000000002E-3</v>
      </c>
      <c r="S126">
        <v>4.5630000000000002E-3</v>
      </c>
      <c r="T126">
        <v>4.3794999999999997E-3</v>
      </c>
      <c r="U126">
        <v>4.2119000000000002E-3</v>
      </c>
      <c r="V126">
        <v>4.0582999999999999E-3</v>
      </c>
      <c r="W126">
        <v>3.9322000000000003E-3</v>
      </c>
      <c r="X126">
        <v>3.8015000000000002E-3</v>
      </c>
      <c r="Y126">
        <v>3.6806999999999999E-3</v>
      </c>
      <c r="Z126">
        <v>3.5688E-3</v>
      </c>
      <c r="AA126">
        <v>3.4651E-3</v>
      </c>
      <c r="AB126">
        <v>3.3685999999999998E-3</v>
      </c>
      <c r="AC126">
        <v>3.2786E-3</v>
      </c>
      <c r="AD126">
        <v>3.1947E-3</v>
      </c>
      <c r="AE126">
        <v>3.1170999999999998E-3</v>
      </c>
      <c r="AF126">
        <v>3.0393E-3</v>
      </c>
      <c r="AG126">
        <v>2.9646E-3</v>
      </c>
      <c r="AH126">
        <v>2.8931E-3</v>
      </c>
      <c r="AI126">
        <v>2.8251999999999999E-3</v>
      </c>
      <c r="AJ126">
        <v>2.7607999999999999E-3</v>
      </c>
      <c r="AK126">
        <v>2.6993E-3</v>
      </c>
      <c r="AL126">
        <v>2.6416999999999999E-3</v>
      </c>
      <c r="AM126">
        <v>2.5866000000000001E-3</v>
      </c>
      <c r="AN126">
        <v>2.5339999999999998E-3</v>
      </c>
      <c r="AO126">
        <v>2.4838999999999998E-3</v>
      </c>
      <c r="AP126">
        <v>2.4358000000000001E-3</v>
      </c>
      <c r="AQ126">
        <v>2.3896E-3</v>
      </c>
      <c r="AR126">
        <v>2.3457E-3</v>
      </c>
      <c r="AS126">
        <v>2.3035E-3</v>
      </c>
      <c r="AT126">
        <v>2.2626E-3</v>
      </c>
      <c r="AU126">
        <v>2.2233999999999999E-3</v>
      </c>
      <c r="AV126">
        <v>2.1852E-3</v>
      </c>
      <c r="AW126">
        <v>2.1484E-3</v>
      </c>
      <c r="AX126">
        <v>2.1124999999999998E-3</v>
      </c>
      <c r="AY126">
        <v>2.0709000000000001E-3</v>
      </c>
      <c r="AZ126">
        <v>2.0360999999999999E-3</v>
      </c>
      <c r="BA126">
        <v>2.0040000000000001E-3</v>
      </c>
      <c r="BB126">
        <v>1.9718000000000001E-3</v>
      </c>
      <c r="BC126">
        <v>1.9407999999999999E-3</v>
      </c>
      <c r="BD126">
        <v>1.9109000000000001E-3</v>
      </c>
      <c r="BE126">
        <v>1.8808E-3</v>
      </c>
      <c r="BF126">
        <v>1.8588000000000001E-3</v>
      </c>
      <c r="BG126">
        <v>1.8307E-3</v>
      </c>
      <c r="BH126">
        <v>1.8037000000000001E-3</v>
      </c>
      <c r="BI126">
        <v>1.7757999999999999E-3</v>
      </c>
      <c r="BJ126">
        <v>1.7443999999999999E-3</v>
      </c>
      <c r="BK126">
        <v>1.719E-3</v>
      </c>
      <c r="BL126">
        <v>1.6994E-3</v>
      </c>
      <c r="BM126">
        <v>1.6746E-3</v>
      </c>
      <c r="BN126">
        <v>1.6505000000000001E-3</v>
      </c>
      <c r="BO126">
        <v>1.6213E-3</v>
      </c>
      <c r="BP126">
        <v>1.5984E-3</v>
      </c>
      <c r="BQ126">
        <v>1.5758E-3</v>
      </c>
      <c r="BR126">
        <v>1.5587999999999999E-3</v>
      </c>
      <c r="BS126">
        <v>1.5309E-3</v>
      </c>
      <c r="BT126">
        <v>1.5095E-3</v>
      </c>
      <c r="BU126">
        <v>1.4882000000000001E-3</v>
      </c>
      <c r="BV126">
        <v>1.467E-3</v>
      </c>
      <c r="BW126">
        <v>1.4461000000000001E-3</v>
      </c>
      <c r="BX126">
        <v>1.4249E-3</v>
      </c>
      <c r="BY126">
        <v>1.4043E-3</v>
      </c>
      <c r="BZ126">
        <v>1.3845999999999999E-3</v>
      </c>
      <c r="CA126">
        <v>1.3652E-3</v>
      </c>
      <c r="CB126">
        <v>1.3406E-3</v>
      </c>
      <c r="CC126">
        <v>1.3211E-3</v>
      </c>
      <c r="CD126">
        <v>1.3014999999999999E-3</v>
      </c>
      <c r="CE126">
        <v>1.2811000000000001E-3</v>
      </c>
      <c r="CF126">
        <v>1.2629E-3</v>
      </c>
      <c r="CG126">
        <v>1.2440000000000001E-3</v>
      </c>
      <c r="CH126">
        <v>1.2247E-3</v>
      </c>
      <c r="CI126">
        <v>1.2067E-3</v>
      </c>
      <c r="CJ126">
        <v>1.1896000000000001E-3</v>
      </c>
      <c r="CK126">
        <v>1.1746E-3</v>
      </c>
      <c r="CL126">
        <v>1.1605000000000001E-3</v>
      </c>
      <c r="CM126">
        <v>1.1456999999999999E-3</v>
      </c>
      <c r="CN126">
        <v>1.1291000000000001E-3</v>
      </c>
      <c r="CO126">
        <v>1.1130000000000001E-3</v>
      </c>
      <c r="CP126">
        <v>1.0965E-3</v>
      </c>
      <c r="CQ126">
        <v>1.0773E-3</v>
      </c>
      <c r="CR126">
        <v>1.0617000000000001E-3</v>
      </c>
      <c r="CS126">
        <v>1.0329E-3</v>
      </c>
      <c r="CT126">
        <v>1.0158000000000001E-3</v>
      </c>
      <c r="CU126">
        <v>9.9909999999999994E-4</v>
      </c>
      <c r="CV126">
        <v>9.8229999999999997E-4</v>
      </c>
      <c r="CW126">
        <v>9.6670000000000002E-4</v>
      </c>
      <c r="CX126">
        <v>9.5310000000000002E-4</v>
      </c>
      <c r="CY126">
        <v>9.3950000000000001E-4</v>
      </c>
      <c r="CZ126">
        <v>9.2460000000000003E-4</v>
      </c>
      <c r="DA126">
        <v>9.098E-4</v>
      </c>
      <c r="DB126">
        <v>8.9599999999999999E-4</v>
      </c>
      <c r="DC126">
        <v>8.8329999999999995E-4</v>
      </c>
      <c r="DD126">
        <v>8.7330000000000003E-4</v>
      </c>
      <c r="DE126">
        <v>8.6370000000000001E-4</v>
      </c>
      <c r="DF126">
        <v>8.5360000000000004E-4</v>
      </c>
      <c r="DG126">
        <v>8.4329999999999995E-4</v>
      </c>
      <c r="DH126">
        <v>8.3239999999999996E-4</v>
      </c>
      <c r="DI126">
        <v>8.2030000000000004E-4</v>
      </c>
      <c r="DJ126">
        <v>8.0480000000000005E-4</v>
      </c>
      <c r="DK126">
        <v>7.8600000000000002E-4</v>
      </c>
      <c r="DL126">
        <v>7.5049999999999997E-4</v>
      </c>
      <c r="DM126">
        <v>7.3340000000000005E-4</v>
      </c>
      <c r="DN126">
        <v>7.1580000000000005E-4</v>
      </c>
      <c r="DO126">
        <v>6.7639999999999996E-4</v>
      </c>
      <c r="DP126">
        <v>7.0660000000000004E-4</v>
      </c>
      <c r="DQ126">
        <v>5.3295000000000002E-2</v>
      </c>
      <c r="DR126">
        <v>0</v>
      </c>
      <c r="DS126">
        <v>4.5899999999999998E-5</v>
      </c>
      <c r="DT126">
        <v>1.6420000000000001E-4</v>
      </c>
      <c r="DU126">
        <v>6.6799999999999997E-4</v>
      </c>
      <c r="DV126">
        <v>6.0340000000000003E-4</v>
      </c>
      <c r="DW126">
        <v>5.6599999999999999E-4</v>
      </c>
      <c r="DX126">
        <v>5.8889999999999995E-4</v>
      </c>
      <c r="DY126">
        <v>5.2280000000000002E-4</v>
      </c>
      <c r="DZ126">
        <v>4.7810000000000002E-4</v>
      </c>
      <c r="EA126">
        <v>4.2349999999999999E-4</v>
      </c>
      <c r="EB126">
        <v>3.791E-4</v>
      </c>
      <c r="EC126">
        <v>3.3819999999999998E-4</v>
      </c>
      <c r="ED126">
        <v>3.0299999999999999E-4</v>
      </c>
      <c r="EE126">
        <v>2.719E-4</v>
      </c>
      <c r="EF126">
        <v>2.4669999999999998E-4</v>
      </c>
      <c r="EG126">
        <v>2.229E-4</v>
      </c>
      <c r="EH126">
        <v>2.0210000000000001E-4</v>
      </c>
      <c r="EI126">
        <v>1.84E-4</v>
      </c>
      <c r="EJ126">
        <v>1.6799999999999999E-4</v>
      </c>
      <c r="EK126">
        <v>1.54E-4</v>
      </c>
      <c r="EL126">
        <v>1.416E-4</v>
      </c>
      <c r="EM126">
        <v>1.3119999999999999E-4</v>
      </c>
      <c r="EN126">
        <v>1.214E-4</v>
      </c>
      <c r="EO126">
        <v>1.127E-4</v>
      </c>
      <c r="EP126">
        <v>1.049E-4</v>
      </c>
      <c r="EQ126">
        <v>9.7999999999999997E-5</v>
      </c>
      <c r="ER126">
        <v>9.1799999999999995E-5</v>
      </c>
      <c r="ES126">
        <v>8.6199999999999995E-5</v>
      </c>
      <c r="ET126">
        <v>8.1299999999999997E-5</v>
      </c>
      <c r="EU126">
        <v>7.6799999999999997E-5</v>
      </c>
      <c r="EV126">
        <v>7.2700000000000005E-5</v>
      </c>
      <c r="EW126">
        <v>6.8899999999999994E-5</v>
      </c>
      <c r="EX126">
        <v>6.5400000000000004E-5</v>
      </c>
      <c r="EY126">
        <v>6.2199999999999994E-5</v>
      </c>
      <c r="EZ126">
        <v>5.9200000000000002E-5</v>
      </c>
      <c r="FA126">
        <v>5.6400000000000002E-5</v>
      </c>
      <c r="FB126">
        <v>5.3900000000000002E-5</v>
      </c>
      <c r="FC126">
        <v>5.1499999999999998E-5</v>
      </c>
      <c r="FD126">
        <v>4.9299999999999999E-5</v>
      </c>
      <c r="FE126">
        <v>4.7299999999999998E-5</v>
      </c>
      <c r="FF126">
        <v>4.5399999999999999E-5</v>
      </c>
      <c r="FG126">
        <v>4.3699999999999998E-5</v>
      </c>
      <c r="FH126">
        <v>4.1999999999999998E-5</v>
      </c>
      <c r="FI126">
        <v>4.0500000000000002E-5</v>
      </c>
      <c r="FJ126">
        <v>3.9100000000000002E-5</v>
      </c>
      <c r="FK126">
        <v>3.7799999999999997E-5</v>
      </c>
      <c r="FL126">
        <v>3.65E-5</v>
      </c>
      <c r="FM126">
        <v>3.54E-5</v>
      </c>
      <c r="FN126">
        <v>3.43E-5</v>
      </c>
      <c r="FO126">
        <v>3.3099999999999998E-5</v>
      </c>
      <c r="FP126">
        <v>3.2199999999999997E-5</v>
      </c>
      <c r="FQ126">
        <v>3.1300000000000002E-5</v>
      </c>
      <c r="FR126">
        <v>3.04E-5</v>
      </c>
      <c r="FS126">
        <v>2.97E-5</v>
      </c>
      <c r="FT126">
        <v>2.8900000000000001E-5</v>
      </c>
      <c r="FU126">
        <v>2.8200000000000001E-5</v>
      </c>
      <c r="FV126">
        <v>2.7699999999999999E-5</v>
      </c>
      <c r="FW126">
        <v>2.6999999999999999E-5</v>
      </c>
      <c r="FX126">
        <v>2.65E-5</v>
      </c>
      <c r="FY126">
        <v>2.5899999999999999E-5</v>
      </c>
      <c r="FZ126">
        <v>2.5299999999999998E-5</v>
      </c>
      <c r="GA126">
        <v>2.48E-5</v>
      </c>
      <c r="GB126">
        <v>2.44E-5</v>
      </c>
      <c r="GC126">
        <v>2.3900000000000002E-5</v>
      </c>
      <c r="GD126">
        <v>2.3499999999999999E-5</v>
      </c>
      <c r="GE126">
        <v>2.3E-5</v>
      </c>
      <c r="GF126">
        <v>2.26E-5</v>
      </c>
      <c r="GG126">
        <v>2.2200000000000001E-5</v>
      </c>
      <c r="GH126">
        <v>2.19E-5</v>
      </c>
      <c r="GI126">
        <v>2.1500000000000001E-5</v>
      </c>
      <c r="GJ126">
        <v>2.12E-5</v>
      </c>
      <c r="GK126">
        <v>2.0800000000000001E-5</v>
      </c>
      <c r="GL126">
        <v>2.05E-5</v>
      </c>
      <c r="GM126">
        <v>2.02E-5</v>
      </c>
      <c r="GN126">
        <v>1.9899999999999999E-5</v>
      </c>
      <c r="GO126">
        <v>1.9599999999999999E-5</v>
      </c>
      <c r="GP126">
        <v>1.9300000000000002E-5</v>
      </c>
      <c r="GQ126">
        <v>1.9000000000000001E-5</v>
      </c>
      <c r="GR126">
        <v>1.8700000000000001E-5</v>
      </c>
      <c r="GS126">
        <v>1.84E-5</v>
      </c>
      <c r="GT126">
        <v>1.8099999999999999E-5</v>
      </c>
      <c r="GU126">
        <v>1.7799999999999999E-5</v>
      </c>
      <c r="GV126">
        <v>1.7600000000000001E-5</v>
      </c>
      <c r="GW126">
        <v>1.73E-5</v>
      </c>
      <c r="GX126">
        <v>1.7099999999999999E-5</v>
      </c>
      <c r="GY126">
        <v>1.6799999999999998E-5</v>
      </c>
      <c r="GZ126">
        <v>1.66E-5</v>
      </c>
      <c r="HA126">
        <v>1.6399999999999999E-5</v>
      </c>
      <c r="HB126">
        <v>1.6200000000000001E-5</v>
      </c>
      <c r="HC126">
        <v>1.5999999999999999E-5</v>
      </c>
      <c r="HD126">
        <v>1.5800000000000001E-5</v>
      </c>
      <c r="HE126">
        <v>1.5500000000000001E-5</v>
      </c>
      <c r="HF126">
        <v>1.5299999999999999E-5</v>
      </c>
      <c r="HG126">
        <v>1.5099999999999999E-5</v>
      </c>
      <c r="HH126">
        <v>1.4800000000000001E-5</v>
      </c>
      <c r="HI126">
        <v>1.45E-5</v>
      </c>
      <c r="HJ126">
        <v>1.42E-5</v>
      </c>
      <c r="HK126">
        <v>1.4E-5</v>
      </c>
      <c r="HL126">
        <v>1.38E-5</v>
      </c>
      <c r="HM126">
        <v>1.36E-5</v>
      </c>
      <c r="HN126">
        <v>1.34E-5</v>
      </c>
      <c r="HO126">
        <v>1.3200000000000001E-5</v>
      </c>
      <c r="HP126">
        <v>1.2999999999999999E-5</v>
      </c>
      <c r="HQ126">
        <v>1.2799999999999999E-5</v>
      </c>
      <c r="HR126">
        <v>1.26E-5</v>
      </c>
      <c r="HS126">
        <v>1.24E-5</v>
      </c>
      <c r="HT126">
        <v>1.2300000000000001E-5</v>
      </c>
      <c r="HU126">
        <v>1.22E-5</v>
      </c>
      <c r="HV126">
        <v>1.2E-5</v>
      </c>
      <c r="HW126">
        <v>1.19E-5</v>
      </c>
      <c r="HX126">
        <v>1.17E-5</v>
      </c>
      <c r="HY126">
        <v>1.1600000000000001E-5</v>
      </c>
      <c r="HZ126">
        <v>1.13E-5</v>
      </c>
      <c r="IA126">
        <v>1.11E-5</v>
      </c>
      <c r="IB126">
        <v>1.06E-5</v>
      </c>
      <c r="IC126">
        <v>1.04E-5</v>
      </c>
      <c r="ID126">
        <v>1.01E-5</v>
      </c>
      <c r="IE126">
        <v>9.5999999999999996E-6</v>
      </c>
      <c r="IF126">
        <v>1.0000000000000001E-5</v>
      </c>
      <c r="IG126">
        <v>7.5659999999999996E-4</v>
      </c>
    </row>
    <row r="127" spans="1:241" x14ac:dyDescent="0.35">
      <c r="A127" s="1">
        <v>119</v>
      </c>
      <c r="B127">
        <v>1.0654E-2</v>
      </c>
      <c r="C127">
        <v>1.0654E-2</v>
      </c>
      <c r="D127">
        <v>1.06058E-2</v>
      </c>
      <c r="E127">
        <v>1.04361E-2</v>
      </c>
      <c r="F127">
        <v>9.7535E-3</v>
      </c>
      <c r="G127">
        <v>9.1403999999999999E-3</v>
      </c>
      <c r="H127">
        <v>8.5669000000000006E-3</v>
      </c>
      <c r="I127">
        <v>7.9711000000000001E-3</v>
      </c>
      <c r="J127">
        <v>7.4428000000000003E-3</v>
      </c>
      <c r="K127">
        <v>6.9601000000000003E-3</v>
      </c>
      <c r="L127">
        <v>6.5317999999999999E-3</v>
      </c>
      <c r="M127">
        <v>6.1491999999999996E-3</v>
      </c>
      <c r="N127">
        <v>5.8079999999999998E-3</v>
      </c>
      <c r="O127">
        <v>5.5024999999999996E-3</v>
      </c>
      <c r="P127">
        <v>5.2283E-3</v>
      </c>
      <c r="Q127">
        <v>4.9813000000000001E-3</v>
      </c>
      <c r="R127">
        <v>4.7580000000000001E-3</v>
      </c>
      <c r="S127">
        <v>4.5554000000000002E-3</v>
      </c>
      <c r="T127">
        <v>4.3709999999999999E-3</v>
      </c>
      <c r="U127">
        <v>4.2025999999999999E-3</v>
      </c>
      <c r="V127">
        <v>4.0480999999999998E-3</v>
      </c>
      <c r="W127">
        <v>3.9061E-3</v>
      </c>
      <c r="X127">
        <v>3.7750000000000001E-3</v>
      </c>
      <c r="Y127">
        <v>3.6537000000000002E-3</v>
      </c>
      <c r="Z127">
        <v>3.5412E-3</v>
      </c>
      <c r="AA127">
        <v>3.4364E-3</v>
      </c>
      <c r="AB127">
        <v>3.3384999999999999E-3</v>
      </c>
      <c r="AC127">
        <v>3.2468000000000002E-3</v>
      </c>
      <c r="AD127">
        <v>3.1606999999999998E-3</v>
      </c>
      <c r="AE127">
        <v>3.0796999999999999E-3</v>
      </c>
      <c r="AF127">
        <v>3.0030999999999999E-3</v>
      </c>
      <c r="AG127">
        <v>2.9307000000000001E-3</v>
      </c>
      <c r="AH127">
        <v>2.8620999999999998E-3</v>
      </c>
      <c r="AI127">
        <v>2.7969000000000002E-3</v>
      </c>
      <c r="AJ127">
        <v>2.7349000000000002E-3</v>
      </c>
      <c r="AK127">
        <v>2.6759000000000002E-3</v>
      </c>
      <c r="AL127">
        <v>2.6194999999999999E-3</v>
      </c>
      <c r="AM127">
        <v>2.5657000000000002E-3</v>
      </c>
      <c r="AN127">
        <v>2.5143000000000001E-3</v>
      </c>
      <c r="AO127">
        <v>2.4650000000000002E-3</v>
      </c>
      <c r="AP127">
        <v>2.4177000000000001E-3</v>
      </c>
      <c r="AQ127">
        <v>2.3722999999999999E-3</v>
      </c>
      <c r="AR127">
        <v>2.3287E-3</v>
      </c>
      <c r="AS127">
        <v>2.2867E-3</v>
      </c>
      <c r="AT127">
        <v>2.2461999999999998E-3</v>
      </c>
      <c r="AU127">
        <v>2.2071999999999999E-3</v>
      </c>
      <c r="AV127">
        <v>2.1695E-3</v>
      </c>
      <c r="AW127">
        <v>2.1329999999999999E-3</v>
      </c>
      <c r="AX127">
        <v>2.0977000000000001E-3</v>
      </c>
      <c r="AY127">
        <v>2.0634E-3</v>
      </c>
      <c r="AZ127">
        <v>2.0301999999999998E-3</v>
      </c>
      <c r="BA127">
        <v>1.9980000000000002E-3</v>
      </c>
      <c r="BB127">
        <v>1.9666000000000002E-3</v>
      </c>
      <c r="BC127">
        <v>1.9361000000000001E-3</v>
      </c>
      <c r="BD127">
        <v>1.9063000000000001E-3</v>
      </c>
      <c r="BE127">
        <v>1.8772999999999999E-3</v>
      </c>
      <c r="BF127">
        <v>1.8489999999999999E-3</v>
      </c>
      <c r="BG127">
        <v>1.8213000000000001E-3</v>
      </c>
      <c r="BH127">
        <v>1.7943E-3</v>
      </c>
      <c r="BI127">
        <v>1.7677999999999999E-3</v>
      </c>
      <c r="BJ127">
        <v>1.7419E-3</v>
      </c>
      <c r="BK127">
        <v>1.7166E-3</v>
      </c>
      <c r="BL127">
        <v>1.6917E-3</v>
      </c>
      <c r="BM127">
        <v>1.6673E-3</v>
      </c>
      <c r="BN127">
        <v>1.6433999999999999E-3</v>
      </c>
      <c r="BO127">
        <v>1.6199000000000001E-3</v>
      </c>
      <c r="BP127">
        <v>1.5968E-3</v>
      </c>
      <c r="BQ127">
        <v>1.5740999999999999E-3</v>
      </c>
      <c r="BR127">
        <v>1.5518000000000001E-3</v>
      </c>
      <c r="BS127">
        <v>1.5299000000000001E-3</v>
      </c>
      <c r="BT127">
        <v>1.5083E-3</v>
      </c>
      <c r="BU127">
        <v>1.4871000000000001E-3</v>
      </c>
      <c r="BV127">
        <v>1.4662E-3</v>
      </c>
      <c r="BW127">
        <v>1.4457000000000001E-3</v>
      </c>
      <c r="BX127">
        <v>1.4254000000000001E-3</v>
      </c>
      <c r="BY127">
        <v>1.4055000000000001E-3</v>
      </c>
      <c r="BZ127">
        <v>1.3858E-3</v>
      </c>
      <c r="CA127">
        <v>1.3664E-3</v>
      </c>
      <c r="CB127">
        <v>1.3473999999999999E-3</v>
      </c>
      <c r="CC127">
        <v>1.3285E-3</v>
      </c>
      <c r="CD127">
        <v>1.31E-3</v>
      </c>
      <c r="CE127">
        <v>1.2917E-3</v>
      </c>
      <c r="CF127">
        <v>1.2737E-3</v>
      </c>
      <c r="CG127">
        <v>1.2558999999999999E-3</v>
      </c>
      <c r="CH127">
        <v>1.2384E-3</v>
      </c>
      <c r="CI127">
        <v>1.2210999999999999E-3</v>
      </c>
      <c r="CJ127">
        <v>1.2041E-3</v>
      </c>
      <c r="CK127">
        <v>1.1873000000000001E-3</v>
      </c>
      <c r="CL127">
        <v>1.1707E-3</v>
      </c>
      <c r="CM127">
        <v>1.1543E-3</v>
      </c>
      <c r="CN127">
        <v>1.1382E-3</v>
      </c>
      <c r="CO127">
        <v>1.1222999999999999E-3</v>
      </c>
      <c r="CP127">
        <v>1.1065999999999999E-3</v>
      </c>
      <c r="CQ127">
        <v>1.0911E-3</v>
      </c>
      <c r="CR127">
        <v>1.0759000000000001E-3</v>
      </c>
      <c r="CS127">
        <v>1.0608E-3</v>
      </c>
      <c r="CT127">
        <v>1.0459E-3</v>
      </c>
      <c r="CU127">
        <v>1.0313E-3</v>
      </c>
      <c r="CV127">
        <v>1.0168E-3</v>
      </c>
      <c r="CW127">
        <v>1.0026E-3</v>
      </c>
      <c r="CX127">
        <v>9.8850000000000001E-4</v>
      </c>
      <c r="CY127">
        <v>9.7460000000000005E-4</v>
      </c>
      <c r="CZ127">
        <v>9.6089999999999999E-4</v>
      </c>
      <c r="DA127">
        <v>9.4740000000000004E-4</v>
      </c>
      <c r="DB127">
        <v>9.3409999999999999E-4</v>
      </c>
      <c r="DC127">
        <v>9.2100000000000005E-4</v>
      </c>
      <c r="DD127">
        <v>9.0799999999999995E-4</v>
      </c>
      <c r="DE127">
        <v>8.9519999999999997E-4</v>
      </c>
      <c r="DF127">
        <v>8.8259999999999999E-4</v>
      </c>
      <c r="DG127">
        <v>8.7020000000000001E-4</v>
      </c>
      <c r="DH127">
        <v>8.5789999999999998E-4</v>
      </c>
      <c r="DI127">
        <v>8.4579999999999996E-4</v>
      </c>
      <c r="DJ127">
        <v>8.3390000000000005E-4</v>
      </c>
      <c r="DK127">
        <v>8.2209999999999998E-4</v>
      </c>
      <c r="DL127">
        <v>8.1050000000000002E-4</v>
      </c>
      <c r="DM127">
        <v>7.9909999999999996E-4</v>
      </c>
      <c r="DN127">
        <v>7.8779999999999996E-4</v>
      </c>
      <c r="DO127">
        <v>7.7669999999999996E-4</v>
      </c>
      <c r="DP127">
        <v>7.6570000000000002E-4</v>
      </c>
      <c r="DQ127">
        <v>5.3164200000000002E-2</v>
      </c>
      <c r="DR127">
        <v>0</v>
      </c>
      <c r="DS127">
        <v>4.8199999999999999E-5</v>
      </c>
      <c r="DT127">
        <v>1.697E-4</v>
      </c>
      <c r="DU127">
        <v>6.826E-4</v>
      </c>
      <c r="DV127">
        <v>6.1309999999999999E-4</v>
      </c>
      <c r="DW127">
        <v>5.7359999999999996E-4</v>
      </c>
      <c r="DX127">
        <v>5.9579999999999995E-4</v>
      </c>
      <c r="DY127">
        <v>5.2820000000000005E-4</v>
      </c>
      <c r="DZ127">
        <v>4.8280000000000003E-4</v>
      </c>
      <c r="EA127">
        <v>4.283E-4</v>
      </c>
      <c r="EB127">
        <v>3.8259999999999998E-4</v>
      </c>
      <c r="EC127">
        <v>3.412E-4</v>
      </c>
      <c r="ED127">
        <v>3.055E-4</v>
      </c>
      <c r="EE127">
        <v>2.742E-4</v>
      </c>
      <c r="EF127">
        <v>2.4699999999999999E-4</v>
      </c>
      <c r="EG127">
        <v>2.2330000000000001E-4</v>
      </c>
      <c r="EH127">
        <v>2.0259999999999999E-4</v>
      </c>
      <c r="EI127">
        <v>1.8440000000000001E-4</v>
      </c>
      <c r="EJ127">
        <v>1.685E-4</v>
      </c>
      <c r="EK127">
        <v>1.5440000000000001E-4</v>
      </c>
      <c r="EL127">
        <v>1.4200000000000001E-4</v>
      </c>
      <c r="EM127">
        <v>1.3100000000000001E-4</v>
      </c>
      <c r="EN127">
        <v>1.2129999999999999E-4</v>
      </c>
      <c r="EO127">
        <v>1.126E-4</v>
      </c>
      <c r="EP127">
        <v>1.048E-4</v>
      </c>
      <c r="EQ127">
        <v>9.7899999999999994E-5</v>
      </c>
      <c r="ER127">
        <v>9.1700000000000006E-5</v>
      </c>
      <c r="ES127">
        <v>8.6100000000000006E-5</v>
      </c>
      <c r="ET127">
        <v>8.1100000000000006E-5</v>
      </c>
      <c r="EU127">
        <v>7.6500000000000003E-5</v>
      </c>
      <c r="EV127">
        <v>7.2399999999999998E-5</v>
      </c>
      <c r="EW127">
        <v>6.86E-5</v>
      </c>
      <c r="EX127">
        <v>6.5199999999999999E-5</v>
      </c>
      <c r="EY127">
        <v>6.2000000000000003E-5</v>
      </c>
      <c r="EZ127">
        <v>5.8999999999999998E-5</v>
      </c>
      <c r="FA127">
        <v>5.63E-5</v>
      </c>
      <c r="FB127">
        <v>5.38E-5</v>
      </c>
      <c r="FC127">
        <v>5.1499999999999998E-5</v>
      </c>
      <c r="FD127">
        <v>4.9299999999999999E-5</v>
      </c>
      <c r="FE127">
        <v>4.7299999999999998E-5</v>
      </c>
      <c r="FF127">
        <v>4.5399999999999999E-5</v>
      </c>
      <c r="FG127">
        <v>4.3600000000000003E-5</v>
      </c>
      <c r="FH127">
        <v>4.1999999999999998E-5</v>
      </c>
      <c r="FI127">
        <v>4.0500000000000002E-5</v>
      </c>
      <c r="FJ127">
        <v>3.8999999999999999E-5</v>
      </c>
      <c r="FK127">
        <v>3.7700000000000002E-5</v>
      </c>
      <c r="FL127">
        <v>3.65E-5</v>
      </c>
      <c r="FM127">
        <v>3.5299999999999997E-5</v>
      </c>
      <c r="FN127">
        <v>3.4199999999999998E-5</v>
      </c>
      <c r="FO127">
        <v>3.3200000000000001E-5</v>
      </c>
      <c r="FP127">
        <v>3.2299999999999999E-5</v>
      </c>
      <c r="FQ127">
        <v>3.1399999999999998E-5</v>
      </c>
      <c r="FR127">
        <v>3.0499999999999999E-5</v>
      </c>
      <c r="FS127">
        <v>2.9799999999999999E-5</v>
      </c>
      <c r="FT127">
        <v>2.9E-5</v>
      </c>
      <c r="FU127">
        <v>2.83E-5</v>
      </c>
      <c r="FV127">
        <v>2.7699999999999999E-5</v>
      </c>
      <c r="FW127">
        <v>2.6999999999999999E-5</v>
      </c>
      <c r="FX127">
        <v>2.65E-5</v>
      </c>
      <c r="FY127">
        <v>2.5899999999999999E-5</v>
      </c>
      <c r="FZ127">
        <v>2.5400000000000001E-5</v>
      </c>
      <c r="GA127">
        <v>2.4899999999999999E-5</v>
      </c>
      <c r="GB127">
        <v>2.44E-5</v>
      </c>
      <c r="GC127">
        <v>2.3900000000000002E-5</v>
      </c>
      <c r="GD127">
        <v>2.3499999999999999E-5</v>
      </c>
      <c r="GE127">
        <v>2.3099999999999999E-5</v>
      </c>
      <c r="GF127">
        <v>2.27E-5</v>
      </c>
      <c r="GG127">
        <v>2.23E-5</v>
      </c>
      <c r="GH127">
        <v>2.19E-5</v>
      </c>
      <c r="GI127">
        <v>2.16E-5</v>
      </c>
      <c r="GJ127">
        <v>2.12E-5</v>
      </c>
      <c r="GK127">
        <v>2.09E-5</v>
      </c>
      <c r="GL127">
        <v>2.0599999999999999E-5</v>
      </c>
      <c r="GM127">
        <v>2.0299999999999999E-5</v>
      </c>
      <c r="GN127">
        <v>1.9899999999999999E-5</v>
      </c>
      <c r="GO127">
        <v>1.9700000000000001E-5</v>
      </c>
      <c r="GP127">
        <v>1.9400000000000001E-5</v>
      </c>
      <c r="GQ127">
        <v>1.91E-5</v>
      </c>
      <c r="GR127">
        <v>1.88E-5</v>
      </c>
      <c r="GS127">
        <v>1.8499999999999999E-5</v>
      </c>
      <c r="GT127">
        <v>1.8300000000000001E-5</v>
      </c>
      <c r="GU127">
        <v>1.8E-5</v>
      </c>
      <c r="GV127">
        <v>1.7799999999999999E-5</v>
      </c>
      <c r="GW127">
        <v>1.7499999999999998E-5</v>
      </c>
      <c r="GX127">
        <v>1.73E-5</v>
      </c>
      <c r="GY127">
        <v>1.7E-5</v>
      </c>
      <c r="GZ127">
        <v>1.6799999999999998E-5</v>
      </c>
      <c r="HA127">
        <v>1.66E-5</v>
      </c>
      <c r="HB127">
        <v>1.6399999999999999E-5</v>
      </c>
      <c r="HC127">
        <v>1.6099999999999998E-5</v>
      </c>
      <c r="HD127">
        <v>1.59E-5</v>
      </c>
      <c r="HE127">
        <v>1.5699999999999999E-5</v>
      </c>
      <c r="HF127">
        <v>1.5500000000000001E-5</v>
      </c>
      <c r="HG127">
        <v>1.5299999999999999E-5</v>
      </c>
      <c r="HH127">
        <v>1.5099999999999999E-5</v>
      </c>
      <c r="HI127">
        <v>1.49E-5</v>
      </c>
      <c r="HJ127">
        <v>1.47E-5</v>
      </c>
      <c r="HK127">
        <v>1.45E-5</v>
      </c>
      <c r="HL127">
        <v>1.43E-5</v>
      </c>
      <c r="HM127">
        <v>1.4100000000000001E-5</v>
      </c>
      <c r="HN127">
        <v>1.3900000000000001E-5</v>
      </c>
      <c r="HO127">
        <v>1.3699999999999999E-5</v>
      </c>
      <c r="HP127">
        <v>1.3499999999999999E-5</v>
      </c>
      <c r="HQ127">
        <v>1.33E-5</v>
      </c>
      <c r="HR127">
        <v>1.31E-5</v>
      </c>
      <c r="HS127">
        <v>1.2999999999999999E-5</v>
      </c>
      <c r="HT127">
        <v>1.2799999999999999E-5</v>
      </c>
      <c r="HU127">
        <v>1.26E-5</v>
      </c>
      <c r="HV127">
        <v>1.24E-5</v>
      </c>
      <c r="HW127">
        <v>1.2300000000000001E-5</v>
      </c>
      <c r="HX127">
        <v>1.2099999999999999E-5</v>
      </c>
      <c r="HY127">
        <v>1.19E-5</v>
      </c>
      <c r="HZ127">
        <v>1.1800000000000001E-5</v>
      </c>
      <c r="IA127">
        <v>1.1600000000000001E-5</v>
      </c>
      <c r="IB127">
        <v>1.1399999999999999E-5</v>
      </c>
      <c r="IC127">
        <v>1.13E-5</v>
      </c>
      <c r="ID127">
        <v>1.11E-5</v>
      </c>
      <c r="IE127">
        <v>1.1E-5</v>
      </c>
      <c r="IF127">
        <v>1.08E-5</v>
      </c>
      <c r="IG127">
        <v>7.5480000000000002E-4</v>
      </c>
    </row>
  </sheetData>
  <mergeCells count="1">
    <mergeCell ref="JV6:JX6"/>
  </mergeCells>
  <phoneticPr fontId="2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363F-B458-4F2F-8C2D-5F113D747B1D}">
  <dimension ref="A1:BM121"/>
  <sheetViews>
    <sheetView zoomScale="50" zoomScaleNormal="50" workbookViewId="0">
      <pane xSplit="1" ySplit="2" topLeftCell="BI83" activePane="bottomRight" state="frozen"/>
      <selection pane="topRight" activeCell="B1" sqref="B1"/>
      <selection pane="bottomLeft" activeCell="A2" sqref="A2"/>
      <selection pane="bottomRight" activeCell="BT101" sqref="BT101"/>
    </sheetView>
  </sheetViews>
  <sheetFormatPr defaultRowHeight="14.5" x14ac:dyDescent="0.35"/>
  <cols>
    <col min="27" max="34" width="10.08984375" bestFit="1" customWidth="1"/>
    <col min="35" max="48" width="10.08984375" customWidth="1"/>
    <col min="49" max="60" width="10.08984375" bestFit="1" customWidth="1"/>
    <col min="61" max="64" width="10.08984375" customWidth="1"/>
  </cols>
  <sheetData>
    <row r="1" spans="1:65" x14ac:dyDescent="0.35">
      <c r="AW1" s="1" t="s">
        <v>301</v>
      </c>
      <c r="AX1" s="1" t="s">
        <v>302</v>
      </c>
      <c r="AY1" s="1" t="s">
        <v>303</v>
      </c>
      <c r="AZ1" s="1" t="s">
        <v>304</v>
      </c>
      <c r="BA1" t="s">
        <v>305</v>
      </c>
      <c r="BB1" t="s">
        <v>306</v>
      </c>
      <c r="BC1" t="s">
        <v>34</v>
      </c>
      <c r="BD1" t="s">
        <v>37</v>
      </c>
      <c r="BE1" t="s">
        <v>307</v>
      </c>
      <c r="BF1" t="s">
        <v>308</v>
      </c>
      <c r="BG1" t="s">
        <v>309</v>
      </c>
      <c r="BH1" t="s">
        <v>310</v>
      </c>
      <c r="BI1" s="1" t="s">
        <v>311</v>
      </c>
      <c r="BJ1" s="1" t="s">
        <v>312</v>
      </c>
      <c r="BK1" s="1" t="s">
        <v>313</v>
      </c>
      <c r="BL1" s="1" t="s">
        <v>314</v>
      </c>
    </row>
    <row r="2" spans="1:65" x14ac:dyDescent="0.35">
      <c r="A2" t="s">
        <v>0</v>
      </c>
      <c r="B2" t="s">
        <v>315</v>
      </c>
      <c r="C2" t="s">
        <v>316</v>
      </c>
      <c r="D2" t="s">
        <v>317</v>
      </c>
      <c r="E2" t="s">
        <v>318</v>
      </c>
      <c r="F2" t="s">
        <v>319</v>
      </c>
      <c r="G2" t="s">
        <v>320</v>
      </c>
      <c r="H2" t="s">
        <v>321</v>
      </c>
      <c r="I2" t="s">
        <v>322</v>
      </c>
      <c r="J2" t="s">
        <v>323</v>
      </c>
      <c r="K2" t="s">
        <v>324</v>
      </c>
      <c r="L2" t="s">
        <v>325</v>
      </c>
      <c r="M2" t="s">
        <v>326</v>
      </c>
      <c r="N2" t="s">
        <v>327</v>
      </c>
      <c r="O2" t="s">
        <v>328</v>
      </c>
      <c r="P2" t="s">
        <v>329</v>
      </c>
      <c r="Q2" t="s">
        <v>330</v>
      </c>
      <c r="R2" t="s">
        <v>331</v>
      </c>
      <c r="S2" t="s">
        <v>332</v>
      </c>
      <c r="T2" t="s">
        <v>333</v>
      </c>
      <c r="U2" t="s">
        <v>334</v>
      </c>
      <c r="V2" t="s">
        <v>335</v>
      </c>
      <c r="W2" t="s">
        <v>336</v>
      </c>
      <c r="X2" t="s">
        <v>337</v>
      </c>
      <c r="Y2" t="s">
        <v>338</v>
      </c>
      <c r="AA2" t="s">
        <v>344</v>
      </c>
      <c r="AB2" t="s">
        <v>345</v>
      </c>
      <c r="AC2" t="s">
        <v>346</v>
      </c>
      <c r="AD2" t="s">
        <v>347</v>
      </c>
      <c r="AE2" t="s">
        <v>348</v>
      </c>
      <c r="AF2" t="s">
        <v>349</v>
      </c>
      <c r="AG2" t="s">
        <v>350</v>
      </c>
      <c r="AH2" t="s">
        <v>351</v>
      </c>
      <c r="AI2" t="s">
        <v>352</v>
      </c>
      <c r="AJ2" t="s">
        <v>353</v>
      </c>
      <c r="AK2" t="s">
        <v>354</v>
      </c>
      <c r="AL2" t="s">
        <v>355</v>
      </c>
      <c r="AV2" t="s">
        <v>339</v>
      </c>
      <c r="AW2" s="1" t="s">
        <v>340</v>
      </c>
      <c r="AX2" s="1" t="s">
        <v>340</v>
      </c>
      <c r="AY2" s="1" t="s">
        <v>340</v>
      </c>
      <c r="AZ2" s="1" t="s">
        <v>340</v>
      </c>
      <c r="BA2" t="s">
        <v>341</v>
      </c>
      <c r="BB2" t="s">
        <v>341</v>
      </c>
      <c r="BC2" t="s">
        <v>341</v>
      </c>
      <c r="BD2" t="s">
        <v>341</v>
      </c>
      <c r="BE2" t="s">
        <v>342</v>
      </c>
      <c r="BF2" t="s">
        <v>342</v>
      </c>
      <c r="BG2" t="s">
        <v>342</v>
      </c>
      <c r="BH2" t="s">
        <v>342</v>
      </c>
      <c r="BI2" t="s">
        <v>343</v>
      </c>
      <c r="BJ2" t="s">
        <v>343</v>
      </c>
      <c r="BK2" t="s">
        <v>343</v>
      </c>
      <c r="BL2" t="s">
        <v>343</v>
      </c>
      <c r="BM2" t="s">
        <v>59</v>
      </c>
    </row>
    <row r="3" spans="1:65" x14ac:dyDescent="0.3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3.0906913999999999</v>
      </c>
      <c r="S3">
        <v>1.0019087</v>
      </c>
      <c r="T3">
        <v>0.55328379999999999</v>
      </c>
      <c r="U3">
        <v>5.7495697000000003</v>
      </c>
      <c r="V3">
        <v>3.0906913999999999</v>
      </c>
      <c r="W3">
        <v>1.0019087</v>
      </c>
      <c r="X3">
        <v>0.55328379999999999</v>
      </c>
      <c r="Y3">
        <v>5.7495697000000003</v>
      </c>
      <c r="AA3" s="5">
        <f>F3-B3</f>
        <v>0</v>
      </c>
      <c r="AB3" s="5">
        <f>G3-C3</f>
        <v>0</v>
      </c>
      <c r="AC3" s="5">
        <f>H3-D3</f>
        <v>0</v>
      </c>
      <c r="AD3" s="5">
        <f>I3-E3</f>
        <v>0</v>
      </c>
      <c r="AE3" s="5">
        <f>N3-J3</f>
        <v>0</v>
      </c>
      <c r="AF3" s="5">
        <f>O3-K3</f>
        <v>0</v>
      </c>
      <c r="AG3" s="5">
        <f>P3-L3</f>
        <v>0</v>
      </c>
      <c r="AH3" s="5">
        <f>Q3-M3</f>
        <v>0</v>
      </c>
      <c r="AI3" s="5">
        <f>((V3-R3)-(AA3+AE3))</f>
        <v>0</v>
      </c>
      <c r="AJ3" s="5">
        <f t="shared" ref="AJ3" si="0">((W3-S3)-(AB3+AF3))</f>
        <v>0</v>
      </c>
      <c r="AK3" s="5">
        <f t="shared" ref="AK3" si="1">((X3-T3)-(AC3+AG3))</f>
        <v>0</v>
      </c>
      <c r="AL3" s="5">
        <f t="shared" ref="AL3" si="2">((Y3-U3)-(AD3+AH3))</f>
        <v>0</v>
      </c>
      <c r="AM3" s="5" t="s">
        <v>305</v>
      </c>
      <c r="AN3" s="5" t="s">
        <v>35</v>
      </c>
      <c r="AO3" s="5" t="s">
        <v>34</v>
      </c>
      <c r="AP3" s="5" t="s">
        <v>37</v>
      </c>
      <c r="AQ3" s="5"/>
      <c r="AR3" s="5"/>
      <c r="AS3" s="5"/>
      <c r="AT3" s="5"/>
      <c r="AU3" s="5"/>
      <c r="AV3" s="5">
        <v>2007.75</v>
      </c>
      <c r="AW3" s="3">
        <f t="shared" ref="AW3:AW34" si="3">100*(AA3+AE3)/R3</f>
        <v>0</v>
      </c>
      <c r="AX3" s="3">
        <f t="shared" ref="AX3:AX34" si="4">100*(AB3+AF3)/S3</f>
        <v>0</v>
      </c>
      <c r="AY3" s="3">
        <f t="shared" ref="AY3:AY34" si="5">100*(AC3+AG3)/T3</f>
        <v>0</v>
      </c>
      <c r="AZ3" s="3">
        <f t="shared" ref="AZ3:AZ34" si="6">100*(AD3+AH3)/U3</f>
        <v>0</v>
      </c>
      <c r="BA3" s="3">
        <f t="shared" ref="BA3:BA34" si="7">100*(V3-R3)/R3</f>
        <v>0</v>
      </c>
      <c r="BB3" s="3">
        <f t="shared" ref="BB3:BB34" si="8">100*(W3-S3)/S3</f>
        <v>0</v>
      </c>
      <c r="BC3" s="3">
        <f t="shared" ref="BC3:BC34" si="9">100*(X3-T3)/T3</f>
        <v>0</v>
      </c>
      <c r="BD3" s="3">
        <f t="shared" ref="BD3:BD34" si="10">100*(Y3-U3)/U3</f>
        <v>0</v>
      </c>
      <c r="BE3" s="3">
        <f t="shared" ref="BE3:BE34" si="11">100*(V3-AA3-V$3)/R3</f>
        <v>0</v>
      </c>
      <c r="BF3" s="3">
        <f t="shared" ref="BF3:BF34" si="12">100*(W3-AB3-W$3)/S3</f>
        <v>0</v>
      </c>
      <c r="BG3" s="3">
        <f t="shared" ref="BG3:BG34" si="13">100*(X3-AC3-X$3)/T3</f>
        <v>0</v>
      </c>
      <c r="BH3" s="3">
        <f t="shared" ref="BH3:BH34" si="14">100*(Y3-AD3-Y$3)/U3</f>
        <v>0</v>
      </c>
      <c r="BI3" s="3">
        <f t="shared" ref="BI3:BI34" si="15">100*(AE3/R3)</f>
        <v>0</v>
      </c>
      <c r="BJ3" s="3">
        <f t="shared" ref="BJ3:BJ34" si="16">100*(AF3/S3)</f>
        <v>0</v>
      </c>
      <c r="BK3" s="3">
        <f t="shared" ref="BK3:BK34" si="17">100*(AG3/T3)</f>
        <v>0</v>
      </c>
      <c r="BL3" s="3">
        <f t="shared" ref="BL3:BL34" si="18">100*(AH3/U3)</f>
        <v>0</v>
      </c>
      <c r="BM3" s="2">
        <v>0</v>
      </c>
    </row>
    <row r="4" spans="1:65" x14ac:dyDescent="0.35">
      <c r="A4">
        <f>A3+1</f>
        <v>1</v>
      </c>
      <c r="B4">
        <v>6.8098999999999998E-3</v>
      </c>
      <c r="C4">
        <v>3.4453999999999999E-3</v>
      </c>
      <c r="D4">
        <v>2.9283799999999999E-2</v>
      </c>
      <c r="E4">
        <v>7.4837999999999997E-3</v>
      </c>
      <c r="F4">
        <v>0</v>
      </c>
      <c r="G4">
        <v>0</v>
      </c>
      <c r="H4">
        <v>0</v>
      </c>
      <c r="I4">
        <v>0</v>
      </c>
      <c r="J4">
        <v>3.0820275000000001</v>
      </c>
      <c r="K4">
        <v>0.99754100000000001</v>
      </c>
      <c r="L4">
        <v>0.53641170000000005</v>
      </c>
      <c r="M4">
        <v>5.7420717000000003</v>
      </c>
      <c r="N4">
        <v>3.0428771999999999</v>
      </c>
      <c r="O4">
        <v>0.99025019999999997</v>
      </c>
      <c r="P4">
        <v>0.53268740000000003</v>
      </c>
      <c r="Q4">
        <v>5.1710798000000002</v>
      </c>
      <c r="R4">
        <v>3.0906913999999999</v>
      </c>
      <c r="S4">
        <v>1.0019087</v>
      </c>
      <c r="T4">
        <v>0.55328379999999999</v>
      </c>
      <c r="U4">
        <v>5.7495697000000003</v>
      </c>
      <c r="V4">
        <v>3.0428782000000001</v>
      </c>
      <c r="W4">
        <v>0.99025070000000004</v>
      </c>
      <c r="X4">
        <v>0.52025279999999996</v>
      </c>
      <c r="Y4">
        <v>5.1710798000000002</v>
      </c>
      <c r="AA4" s="5">
        <f t="shared" ref="AA4:AD67" si="19">F4-B4</f>
        <v>-6.8098999999999998E-3</v>
      </c>
      <c r="AB4" s="5">
        <f t="shared" si="19"/>
        <v>-3.4453999999999999E-3</v>
      </c>
      <c r="AC4" s="5">
        <f t="shared" si="19"/>
        <v>-2.9283799999999999E-2</v>
      </c>
      <c r="AD4" s="5">
        <f t="shared" si="19"/>
        <v>-7.4837999999999997E-3</v>
      </c>
      <c r="AE4" s="5">
        <f t="shared" ref="AE4:AH67" si="20">N4-J4</f>
        <v>-3.9150300000000193E-2</v>
      </c>
      <c r="AF4" s="5">
        <f t="shared" si="20"/>
        <v>-7.2908000000000417E-3</v>
      </c>
      <c r="AG4" s="5">
        <f t="shared" si="20"/>
        <v>-3.7243000000000137E-3</v>
      </c>
      <c r="AH4" s="5">
        <f t="shared" si="20"/>
        <v>-0.57099190000000011</v>
      </c>
      <c r="AI4" s="5">
        <f>((V4-R4)-(AA4+AE4))</f>
        <v>-1.8529999999995841E-3</v>
      </c>
      <c r="AJ4" s="5">
        <f t="shared" ref="AJ4:AL4" si="21">((W4-S4)-(AB4+AF4))</f>
        <v>-9.2179999999990499E-4</v>
      </c>
      <c r="AK4" s="5">
        <f t="shared" si="21"/>
        <v>-2.2900000000020126E-5</v>
      </c>
      <c r="AL4" s="5">
        <f t="shared" si="21"/>
        <v>-1.4199999999964241E-5</v>
      </c>
      <c r="AM4" s="5">
        <f>-(AA4+AI4)</f>
        <v>8.6628999999995848E-3</v>
      </c>
      <c r="AN4" s="5">
        <f t="shared" ref="AN4" si="22">-(AB4+AJ4)</f>
        <v>4.3671999999999045E-3</v>
      </c>
      <c r="AO4" s="5">
        <f t="shared" ref="AO4" si="23">-(AC4+AK4)</f>
        <v>2.9306700000000019E-2</v>
      </c>
      <c r="AP4" s="5">
        <f t="shared" ref="AP4" si="24">-(AD4+AL4)</f>
        <v>7.4979999999999639E-3</v>
      </c>
      <c r="AQ4" s="5">
        <f>R4-V4</f>
        <v>4.7813199999999778E-2</v>
      </c>
      <c r="AR4" s="5">
        <f>S4-W4</f>
        <v>1.1657999999999946E-2</v>
      </c>
      <c r="AS4" s="5">
        <f t="shared" ref="AS4" si="25">T4-X4</f>
        <v>3.3031000000000033E-2</v>
      </c>
      <c r="AT4" s="5">
        <f t="shared" ref="AT4" si="26">U4-Y4</f>
        <v>0.57848990000000011</v>
      </c>
      <c r="AU4" s="5"/>
      <c r="AV4" s="5">
        <f>AV3+0.25</f>
        <v>2008</v>
      </c>
      <c r="AW4" s="3">
        <f t="shared" si="3"/>
        <v>-1.4870523792831662</v>
      </c>
      <c r="AX4" s="3">
        <f t="shared" si="4"/>
        <v>-1.0715746853979848</v>
      </c>
      <c r="AY4" s="3">
        <f t="shared" si="5"/>
        <v>-5.9658533287979898</v>
      </c>
      <c r="AZ4" s="3">
        <f t="shared" si="6"/>
        <v>-10.061199884227859</v>
      </c>
      <c r="BA4" s="3">
        <f t="shared" si="7"/>
        <v>-1.5470066018237789</v>
      </c>
      <c r="BB4" s="3">
        <f t="shared" si="8"/>
        <v>-1.1635790766164569</v>
      </c>
      <c r="BC4" s="3">
        <f t="shared" si="9"/>
        <v>-5.969992253523424</v>
      </c>
      <c r="BD4" s="3">
        <f t="shared" si="10"/>
        <v>-10.06144685923192</v>
      </c>
      <c r="BE4" s="3">
        <f t="shared" si="11"/>
        <v>-1.3266707895844876</v>
      </c>
      <c r="BF4" s="3">
        <f t="shared" si="12"/>
        <v>-0.81969544729972932</v>
      </c>
      <c r="BG4" s="3">
        <f t="shared" si="13"/>
        <v>-0.67726544677434286</v>
      </c>
      <c r="BH4" s="3">
        <f t="shared" si="14"/>
        <v>-9.931284075049998</v>
      </c>
      <c r="BI4" s="3">
        <f t="shared" si="15"/>
        <v>-1.2667165670438723</v>
      </c>
      <c r="BJ4" s="3">
        <f t="shared" si="16"/>
        <v>-0.72769105608126183</v>
      </c>
      <c r="BK4" s="3">
        <f t="shared" si="17"/>
        <v>-0.673126522048904</v>
      </c>
      <c r="BL4" s="3">
        <f t="shared" si="18"/>
        <v>-9.9310371000459412</v>
      </c>
      <c r="BM4" s="2">
        <v>0</v>
      </c>
    </row>
    <row r="5" spans="1:65" x14ac:dyDescent="0.35">
      <c r="A5">
        <f t="shared" ref="A5:A68" si="27">A4+1</f>
        <v>2</v>
      </c>
      <c r="B5">
        <v>8.4813000000000006E-3</v>
      </c>
      <c r="C5">
        <v>4.0771999999999996E-3</v>
      </c>
      <c r="D5">
        <v>1.7905600000000001E-2</v>
      </c>
      <c r="E5">
        <v>1.3805E-2</v>
      </c>
      <c r="F5">
        <v>0</v>
      </c>
      <c r="G5">
        <v>0</v>
      </c>
      <c r="H5">
        <v>0</v>
      </c>
      <c r="I5">
        <v>0</v>
      </c>
      <c r="J5">
        <v>3.0719175999999999</v>
      </c>
      <c r="K5">
        <v>0.99284090000000003</v>
      </c>
      <c r="L5">
        <v>0.62270420000000004</v>
      </c>
      <c r="M5">
        <v>5.7298730999999998</v>
      </c>
      <c r="N5">
        <v>3.0288868999999998</v>
      </c>
      <c r="O5">
        <v>0.98643239999999999</v>
      </c>
      <c r="P5">
        <v>0.59906099999999995</v>
      </c>
      <c r="Q5">
        <v>4.9647436000000003</v>
      </c>
      <c r="R5">
        <v>3.0906913999999999</v>
      </c>
      <c r="S5">
        <v>1.0019087</v>
      </c>
      <c r="T5">
        <v>0.55328379999999999</v>
      </c>
      <c r="U5">
        <v>5.7495697000000003</v>
      </c>
      <c r="V5">
        <v>3.0329283999999999</v>
      </c>
      <c r="W5">
        <v>0.98832039999999999</v>
      </c>
      <c r="X5">
        <v>0.51463680000000001</v>
      </c>
      <c r="Y5">
        <v>4.9676748999999996</v>
      </c>
      <c r="AA5" s="5">
        <f t="shared" si="19"/>
        <v>-8.4813000000000006E-3</v>
      </c>
      <c r="AB5" s="5">
        <f t="shared" si="19"/>
        <v>-4.0771999999999996E-3</v>
      </c>
      <c r="AC5" s="5">
        <f t="shared" si="19"/>
        <v>-1.7905600000000001E-2</v>
      </c>
      <c r="AD5" s="5">
        <f t="shared" si="19"/>
        <v>-1.3805E-2</v>
      </c>
      <c r="AE5" s="5">
        <f t="shared" si="20"/>
        <v>-4.3030700000000088E-2</v>
      </c>
      <c r="AF5" s="5">
        <f t="shared" si="20"/>
        <v>-6.4085000000000392E-3</v>
      </c>
      <c r="AG5" s="5">
        <f t="shared" si="20"/>
        <v>-2.3643200000000086E-2</v>
      </c>
      <c r="AH5" s="5">
        <f t="shared" si="20"/>
        <v>-0.76512949999999957</v>
      </c>
      <c r="AI5" s="5">
        <f t="shared" ref="AI5:AI68" si="28">((V5-R5)-(AA5+AE5))</f>
        <v>-6.2509999999999233E-3</v>
      </c>
      <c r="AJ5" s="5">
        <f t="shared" ref="AJ5:AJ68" si="29">((W5-S5)-(AB5+AF5))</f>
        <v>-3.1025999999999589E-3</v>
      </c>
      <c r="AK5" s="5">
        <f t="shared" ref="AK5:AK68" si="30">((X5-T5)-(AC5+AG5))</f>
        <v>2.9018000000001001E-3</v>
      </c>
      <c r="AL5" s="5">
        <f t="shared" ref="AL5:AL68" si="31">((Y5-U5)-(AD5+AH5))</f>
        <v>-2.960300000001248E-3</v>
      </c>
      <c r="AM5" s="5">
        <f t="shared" ref="AM5:AM11" si="32">-(AA5+AI5)</f>
        <v>1.4732299999999924E-2</v>
      </c>
      <c r="AN5" s="5">
        <f t="shared" ref="AN5:AN11" si="33">-(AB5+AJ5)</f>
        <v>7.1797999999999584E-3</v>
      </c>
      <c r="AO5" s="5">
        <f t="shared" ref="AO5:AO11" si="34">-(AC5+AK5)</f>
        <v>1.5003799999999901E-2</v>
      </c>
      <c r="AP5" s="5">
        <f t="shared" ref="AP5:AP11" si="35">-(AD5+AL5)</f>
        <v>1.6765300000001246E-2</v>
      </c>
      <c r="AQ5" s="5">
        <f t="shared" ref="AQ5:AQ11" si="36">R5-V5</f>
        <v>5.7763000000000009E-2</v>
      </c>
      <c r="AR5" s="5">
        <f t="shared" ref="AR5:AR11" si="37">S5-W5</f>
        <v>1.3588299999999998E-2</v>
      </c>
      <c r="AS5" s="5">
        <f t="shared" ref="AS5:AS11" si="38">T5-X5</f>
        <v>3.8646999999999987E-2</v>
      </c>
      <c r="AT5" s="5">
        <f t="shared" ref="AT5:AT11" si="39">U5-Y5</f>
        <v>0.78189480000000078</v>
      </c>
      <c r="AU5" s="5"/>
      <c r="AV5" s="5">
        <f t="shared" ref="AV5:AV68" si="40">AV4+0.25</f>
        <v>2008.25</v>
      </c>
      <c r="AW5" s="3">
        <f t="shared" si="3"/>
        <v>-1.6666820893215053</v>
      </c>
      <c r="AX5" s="3">
        <f t="shared" si="4"/>
        <v>-1.0465724072462927</v>
      </c>
      <c r="AY5" s="3">
        <f t="shared" si="5"/>
        <v>-7.5094915123125032</v>
      </c>
      <c r="AZ5" s="3">
        <f t="shared" si="6"/>
        <v>-13.54770079576563</v>
      </c>
      <c r="BA5" s="3">
        <f t="shared" si="7"/>
        <v>-1.8689345691388022</v>
      </c>
      <c r="BB5" s="3">
        <f t="shared" si="8"/>
        <v>-1.3562413421502377</v>
      </c>
      <c r="BC5" s="3">
        <f t="shared" si="9"/>
        <v>-6.9850228761442112</v>
      </c>
      <c r="BD5" s="3">
        <f t="shared" si="10"/>
        <v>-13.599188127069764</v>
      </c>
      <c r="BE5" s="3">
        <f t="shared" si="11"/>
        <v>-1.5945202422991787</v>
      </c>
      <c r="BF5" s="3">
        <f t="shared" si="12"/>
        <v>-0.94929807476469608</v>
      </c>
      <c r="BG5" s="3">
        <f t="shared" si="13"/>
        <v>-3.7487813668139247</v>
      </c>
      <c r="BH5" s="3">
        <f t="shared" si="14"/>
        <v>-13.359083202348188</v>
      </c>
      <c r="BI5" s="3">
        <f t="shared" si="15"/>
        <v>-1.3922677624818864</v>
      </c>
      <c r="BJ5" s="3">
        <f t="shared" si="16"/>
        <v>-0.63962913986075165</v>
      </c>
      <c r="BK5" s="3">
        <f t="shared" si="17"/>
        <v>-4.27325000298221</v>
      </c>
      <c r="BL5" s="3">
        <f t="shared" si="18"/>
        <v>-13.307595871044045</v>
      </c>
      <c r="BM5" s="2">
        <v>0</v>
      </c>
    </row>
    <row r="6" spans="1:65" x14ac:dyDescent="0.35">
      <c r="A6">
        <f t="shared" si="27"/>
        <v>3</v>
      </c>
      <c r="B6">
        <v>1.1104299999999999E-2</v>
      </c>
      <c r="C6">
        <v>5.2262000000000003E-3</v>
      </c>
      <c r="D6">
        <v>1.51781E-2</v>
      </c>
      <c r="E6">
        <v>1.86629E-2</v>
      </c>
      <c r="F6">
        <v>0</v>
      </c>
      <c r="G6">
        <v>0</v>
      </c>
      <c r="H6">
        <v>0</v>
      </c>
      <c r="I6">
        <v>0</v>
      </c>
      <c r="J6">
        <v>3.0495375</v>
      </c>
      <c r="K6">
        <v>0.9825334</v>
      </c>
      <c r="L6">
        <v>0.66062010000000004</v>
      </c>
      <c r="M6">
        <v>5.6858294000000003</v>
      </c>
      <c r="N6">
        <v>2.9972213000000001</v>
      </c>
      <c r="O6">
        <v>0.97573189999999999</v>
      </c>
      <c r="P6">
        <v>0.62573199999999995</v>
      </c>
      <c r="Q6">
        <v>4.8613986000000002</v>
      </c>
      <c r="R6">
        <v>3.0906913999999999</v>
      </c>
      <c r="S6">
        <v>1.0019087</v>
      </c>
      <c r="T6">
        <v>0.55328379999999999</v>
      </c>
      <c r="U6">
        <v>5.7495697000000003</v>
      </c>
      <c r="V6">
        <v>3.0172248000000002</v>
      </c>
      <c r="W6">
        <v>0.98528139999999997</v>
      </c>
      <c r="X6">
        <v>0.50113560000000001</v>
      </c>
      <c r="Y6">
        <v>4.8864755999999998</v>
      </c>
      <c r="AA6" s="5">
        <f t="shared" si="19"/>
        <v>-1.1104299999999999E-2</v>
      </c>
      <c r="AB6" s="5">
        <f t="shared" si="19"/>
        <v>-5.2262000000000003E-3</v>
      </c>
      <c r="AC6" s="5">
        <f t="shared" si="19"/>
        <v>-1.51781E-2</v>
      </c>
      <c r="AD6" s="5">
        <f t="shared" si="19"/>
        <v>-1.86629E-2</v>
      </c>
      <c r="AE6" s="5">
        <f t="shared" si="20"/>
        <v>-5.2316199999999924E-2</v>
      </c>
      <c r="AF6" s="5">
        <f t="shared" si="20"/>
        <v>-6.8015000000000159E-3</v>
      </c>
      <c r="AG6" s="5">
        <f t="shared" si="20"/>
        <v>-3.4888100000000088E-2</v>
      </c>
      <c r="AH6" s="5">
        <f t="shared" si="20"/>
        <v>-0.82443080000000002</v>
      </c>
      <c r="AI6" s="5">
        <f t="shared" si="28"/>
        <v>-1.0046099999999794E-2</v>
      </c>
      <c r="AJ6" s="5">
        <f t="shared" si="29"/>
        <v>-4.5995999999999954E-3</v>
      </c>
      <c r="AK6" s="5">
        <f t="shared" si="30"/>
        <v>-2.0819999999998895E-3</v>
      </c>
      <c r="AL6" s="5">
        <f t="shared" si="31"/>
        <v>-2.0000400000000473E-2</v>
      </c>
      <c r="AM6" s="5">
        <f t="shared" si="32"/>
        <v>2.1150399999999792E-2</v>
      </c>
      <c r="AN6" s="5">
        <f t="shared" si="33"/>
        <v>9.8257999999999956E-3</v>
      </c>
      <c r="AO6" s="5">
        <f t="shared" si="34"/>
        <v>1.7260099999999889E-2</v>
      </c>
      <c r="AP6" s="5">
        <f t="shared" si="35"/>
        <v>3.866330000000047E-2</v>
      </c>
      <c r="AQ6" s="5">
        <f t="shared" si="36"/>
        <v>7.3466599999999715E-2</v>
      </c>
      <c r="AR6" s="5">
        <f t="shared" si="37"/>
        <v>1.6627300000000012E-2</v>
      </c>
      <c r="AS6" s="5">
        <f t="shared" si="38"/>
        <v>5.2148199999999978E-2</v>
      </c>
      <c r="AT6" s="5">
        <f t="shared" si="39"/>
        <v>0.86309410000000053</v>
      </c>
      <c r="AU6" s="5"/>
      <c r="AV6" s="5">
        <f t="shared" si="40"/>
        <v>2008.5</v>
      </c>
      <c r="AW6" s="3">
        <f t="shared" si="3"/>
        <v>-2.051984225924333</v>
      </c>
      <c r="AX6" s="3">
        <f t="shared" si="4"/>
        <v>-1.2004786464076036</v>
      </c>
      <c r="AY6" s="3">
        <f t="shared" si="5"/>
        <v>-9.0489184754731813</v>
      </c>
      <c r="AZ6" s="3">
        <f t="shared" si="6"/>
        <v>-14.663596477489437</v>
      </c>
      <c r="BA6" s="3">
        <f t="shared" si="7"/>
        <v>-2.3770280009191378</v>
      </c>
      <c r="BB6" s="3">
        <f t="shared" si="8"/>
        <v>-1.6595623932599859</v>
      </c>
      <c r="BC6" s="3">
        <f t="shared" si="9"/>
        <v>-9.4252172212524528</v>
      </c>
      <c r="BD6" s="3">
        <f t="shared" si="10"/>
        <v>-15.011455552925996</v>
      </c>
      <c r="BE6" s="3">
        <f t="shared" si="11"/>
        <v>-2.017745932188499</v>
      </c>
      <c r="BF6" s="3">
        <f t="shared" si="12"/>
        <v>-1.1379380177056106</v>
      </c>
      <c r="BG6" s="3">
        <f t="shared" si="13"/>
        <v>-6.6819415280187142</v>
      </c>
      <c r="BH6" s="3">
        <f t="shared" si="14"/>
        <v>-14.686859087907061</v>
      </c>
      <c r="BI6" s="3">
        <f t="shared" si="15"/>
        <v>-1.6927021571936922</v>
      </c>
      <c r="BJ6" s="3">
        <f t="shared" si="16"/>
        <v>-0.67885427085322403</v>
      </c>
      <c r="BK6" s="3">
        <f t="shared" si="17"/>
        <v>-6.3056427822394383</v>
      </c>
      <c r="BL6" s="3">
        <f t="shared" si="18"/>
        <v>-14.339000012470498</v>
      </c>
      <c r="BM6" s="2">
        <v>0</v>
      </c>
    </row>
    <row r="7" spans="1:65" x14ac:dyDescent="0.35">
      <c r="A7">
        <f t="shared" si="27"/>
        <v>4</v>
      </c>
      <c r="B7">
        <v>1.31422E-2</v>
      </c>
      <c r="C7">
        <v>6.1060000000000003E-3</v>
      </c>
      <c r="D7">
        <v>1.3623700000000001E-2</v>
      </c>
      <c r="E7">
        <v>2.27656E-2</v>
      </c>
      <c r="F7">
        <v>0</v>
      </c>
      <c r="G7">
        <v>0</v>
      </c>
      <c r="H7">
        <v>0</v>
      </c>
      <c r="I7">
        <v>0</v>
      </c>
      <c r="J7">
        <v>3.0216688</v>
      </c>
      <c r="K7">
        <v>0.97005430000000004</v>
      </c>
      <c r="L7">
        <v>0.67670949999999996</v>
      </c>
      <c r="M7">
        <v>5.6207376</v>
      </c>
      <c r="N7">
        <v>2.9369787000000001</v>
      </c>
      <c r="O7">
        <v>0.95864839999999996</v>
      </c>
      <c r="P7">
        <v>0.61818620000000002</v>
      </c>
      <c r="Q7">
        <v>4.7864629000000001</v>
      </c>
      <c r="R7">
        <v>3.0906913999999999</v>
      </c>
      <c r="S7">
        <v>1.0019087</v>
      </c>
      <c r="T7">
        <v>0.55328379999999999</v>
      </c>
      <c r="U7">
        <v>5.7495697000000003</v>
      </c>
      <c r="V7">
        <v>2.9785656</v>
      </c>
      <c r="W7">
        <v>0.97848440000000003</v>
      </c>
      <c r="X7">
        <v>0.46454319999999999</v>
      </c>
      <c r="Y7">
        <v>4.8493931000000003</v>
      </c>
      <c r="AA7" s="5">
        <f t="shared" si="19"/>
        <v>-1.31422E-2</v>
      </c>
      <c r="AB7" s="5">
        <f t="shared" si="19"/>
        <v>-6.1060000000000003E-3</v>
      </c>
      <c r="AC7" s="5">
        <f t="shared" si="19"/>
        <v>-1.3623700000000001E-2</v>
      </c>
      <c r="AD7" s="5">
        <f t="shared" si="19"/>
        <v>-2.27656E-2</v>
      </c>
      <c r="AE7" s="5">
        <f t="shared" si="20"/>
        <v>-8.469009999999999E-2</v>
      </c>
      <c r="AF7" s="5">
        <f t="shared" si="20"/>
        <v>-1.140590000000008E-2</v>
      </c>
      <c r="AG7" s="5">
        <f t="shared" si="20"/>
        <v>-5.8523299999999945E-2</v>
      </c>
      <c r="AH7" s="5">
        <f t="shared" si="20"/>
        <v>-0.83427469999999992</v>
      </c>
      <c r="AI7" s="5">
        <f t="shared" si="28"/>
        <v>-1.4293499999999848E-2</v>
      </c>
      <c r="AJ7" s="5">
        <f t="shared" si="29"/>
        <v>-5.9123999999998733E-3</v>
      </c>
      <c r="AK7" s="5">
        <f t="shared" si="30"/>
        <v>-1.6593600000000056E-2</v>
      </c>
      <c r="AL7" s="5">
        <f t="shared" si="31"/>
        <v>-4.3136300000000016E-2</v>
      </c>
      <c r="AM7" s="5">
        <f t="shared" si="32"/>
        <v>2.7435699999999848E-2</v>
      </c>
      <c r="AN7" s="5">
        <f t="shared" si="33"/>
        <v>1.2018399999999874E-2</v>
      </c>
      <c r="AO7" s="5">
        <f t="shared" si="34"/>
        <v>3.0217300000000058E-2</v>
      </c>
      <c r="AP7" s="5">
        <f t="shared" si="35"/>
        <v>6.5901900000000013E-2</v>
      </c>
      <c r="AQ7" s="5">
        <f t="shared" si="36"/>
        <v>0.11212579999999983</v>
      </c>
      <c r="AR7" s="5">
        <f t="shared" si="37"/>
        <v>2.3424299999999953E-2</v>
      </c>
      <c r="AS7" s="5">
        <f t="shared" si="38"/>
        <v>8.8740600000000003E-2</v>
      </c>
      <c r="AT7" s="5">
        <f t="shared" si="39"/>
        <v>0.90017659999999999</v>
      </c>
      <c r="AU7" s="5"/>
      <c r="AV7" s="5">
        <f t="shared" si="40"/>
        <v>2008.75</v>
      </c>
      <c r="AW7" s="3">
        <f t="shared" si="3"/>
        <v>-3.1653855833034634</v>
      </c>
      <c r="AX7" s="3">
        <f t="shared" si="4"/>
        <v>-1.7478538713158276</v>
      </c>
      <c r="AY7" s="3">
        <f t="shared" si="5"/>
        <v>-13.039781753957001</v>
      </c>
      <c r="AZ7" s="3">
        <f t="shared" si="6"/>
        <v>-14.906164195209252</v>
      </c>
      <c r="BA7" s="3">
        <f t="shared" si="7"/>
        <v>-3.6278549194526453</v>
      </c>
      <c r="BB7" s="3">
        <f t="shared" si="8"/>
        <v>-2.3379675213919144</v>
      </c>
      <c r="BC7" s="3">
        <f t="shared" si="9"/>
        <v>-16.038893602162219</v>
      </c>
      <c r="BD7" s="3">
        <f t="shared" si="10"/>
        <v>-15.656416861943599</v>
      </c>
      <c r="BE7" s="3">
        <f t="shared" si="11"/>
        <v>-3.2026361480152938</v>
      </c>
      <c r="BF7" s="3">
        <f t="shared" si="12"/>
        <v>-1.7285307533510685</v>
      </c>
      <c r="BG7" s="3">
        <f t="shared" si="13"/>
        <v>-13.576558720858985</v>
      </c>
      <c r="BH7" s="3">
        <f t="shared" si="14"/>
        <v>-15.260463752617877</v>
      </c>
      <c r="BI7" s="3">
        <f t="shared" si="15"/>
        <v>-2.7401668118661084</v>
      </c>
      <c r="BJ7" s="3">
        <f t="shared" si="16"/>
        <v>-1.138417103274987</v>
      </c>
      <c r="BK7" s="3">
        <f t="shared" si="17"/>
        <v>-10.577446872653772</v>
      </c>
      <c r="BL7" s="3">
        <f t="shared" si="18"/>
        <v>-14.510211085883521</v>
      </c>
      <c r="BM7" s="2">
        <v>0</v>
      </c>
    </row>
    <row r="8" spans="1:65" x14ac:dyDescent="0.35">
      <c r="A8">
        <f t="shared" si="27"/>
        <v>5</v>
      </c>
      <c r="B8">
        <v>1.29088E-2</v>
      </c>
      <c r="C8">
        <v>5.8459000000000002E-3</v>
      </c>
      <c r="D8">
        <v>3.9668000000000004E-3</v>
      </c>
      <c r="E8">
        <v>2.42057E-2</v>
      </c>
      <c r="F8">
        <v>0</v>
      </c>
      <c r="G8">
        <v>0</v>
      </c>
      <c r="H8">
        <v>0</v>
      </c>
      <c r="I8">
        <v>0</v>
      </c>
      <c r="J8">
        <v>3.0391944999999998</v>
      </c>
      <c r="K8">
        <v>0.97867000000000004</v>
      </c>
      <c r="L8">
        <v>0.61060320000000001</v>
      </c>
      <c r="M8">
        <v>5.6456337999999997</v>
      </c>
      <c r="N8">
        <v>2.9604297000000002</v>
      </c>
      <c r="O8">
        <v>0.96733999999999998</v>
      </c>
      <c r="P8">
        <v>0.54032809999999998</v>
      </c>
      <c r="Q8">
        <v>4.7889210999999996</v>
      </c>
      <c r="R8">
        <v>3.0906913999999999</v>
      </c>
      <c r="S8">
        <v>1.0019087</v>
      </c>
      <c r="T8">
        <v>0.55328379999999999</v>
      </c>
      <c r="U8">
        <v>5.7495697000000003</v>
      </c>
      <c r="V8">
        <v>2.9893041999999999</v>
      </c>
      <c r="W8">
        <v>0.98077740000000002</v>
      </c>
      <c r="X8">
        <v>0.47661910000000002</v>
      </c>
      <c r="Y8">
        <v>4.8354603999999997</v>
      </c>
      <c r="AA8" s="5">
        <f t="shared" si="19"/>
        <v>-1.29088E-2</v>
      </c>
      <c r="AB8" s="5">
        <f t="shared" si="19"/>
        <v>-5.8459000000000002E-3</v>
      </c>
      <c r="AC8" s="5">
        <f t="shared" si="19"/>
        <v>-3.9668000000000004E-3</v>
      </c>
      <c r="AD8" s="5">
        <f t="shared" si="19"/>
        <v>-2.42057E-2</v>
      </c>
      <c r="AE8" s="5">
        <f t="shared" si="20"/>
        <v>-7.8764799999999635E-2</v>
      </c>
      <c r="AF8" s="5">
        <f t="shared" si="20"/>
        <v>-1.1330000000000062E-2</v>
      </c>
      <c r="AG8" s="5">
        <f t="shared" si="20"/>
        <v>-7.0275100000000035E-2</v>
      </c>
      <c r="AH8" s="5">
        <f t="shared" si="20"/>
        <v>-0.8567127000000001</v>
      </c>
      <c r="AI8" s="5">
        <f t="shared" si="28"/>
        <v>-9.7136000000003775E-3</v>
      </c>
      <c r="AJ8" s="5">
        <f t="shared" si="29"/>
        <v>-3.9553999999999007E-3</v>
      </c>
      <c r="AK8" s="5">
        <f t="shared" si="30"/>
        <v>-2.4227999999999333E-3</v>
      </c>
      <c r="AL8" s="5">
        <f t="shared" si="31"/>
        <v>-3.3190900000000578E-2</v>
      </c>
      <c r="AM8" s="5">
        <f t="shared" si="32"/>
        <v>2.2622400000000376E-2</v>
      </c>
      <c r="AN8" s="5">
        <f t="shared" si="33"/>
        <v>9.8012999999999018E-3</v>
      </c>
      <c r="AO8" s="5">
        <f t="shared" si="34"/>
        <v>6.3895999999999337E-3</v>
      </c>
      <c r="AP8" s="5">
        <f t="shared" si="35"/>
        <v>5.7396600000000575E-2</v>
      </c>
      <c r="AQ8" s="5">
        <f t="shared" si="36"/>
        <v>0.10138720000000001</v>
      </c>
      <c r="AR8" s="5">
        <f t="shared" si="37"/>
        <v>2.1131299999999964E-2</v>
      </c>
      <c r="AS8" s="5">
        <f t="shared" si="38"/>
        <v>7.6664699999999975E-2</v>
      </c>
      <c r="AT8" s="5">
        <f t="shared" si="39"/>
        <v>0.91410930000000068</v>
      </c>
      <c r="AU8" s="5"/>
      <c r="AV8" s="5">
        <f t="shared" si="40"/>
        <v>2009</v>
      </c>
      <c r="AW8" s="3">
        <f t="shared" si="3"/>
        <v>-2.9661194902862071</v>
      </c>
      <c r="AX8" s="3">
        <f t="shared" si="4"/>
        <v>-1.7143178814596645</v>
      </c>
      <c r="AY8" s="3">
        <f t="shared" si="5"/>
        <v>-13.418412033751943</v>
      </c>
      <c r="AZ8" s="3">
        <f t="shared" si="6"/>
        <v>-15.321466578620658</v>
      </c>
      <c r="BA8" s="3">
        <f t="shared" si="7"/>
        <v>-3.2804051546524513</v>
      </c>
      <c r="BB8" s="3">
        <f t="shared" si="8"/>
        <v>-2.109104352522337</v>
      </c>
      <c r="BC8" s="3">
        <f t="shared" si="9"/>
        <v>-13.856306654921033</v>
      </c>
      <c r="BD8" s="3">
        <f t="shared" si="10"/>
        <v>-15.89874282244114</v>
      </c>
      <c r="BE8" s="3">
        <f t="shared" si="11"/>
        <v>-2.8627380915480618</v>
      </c>
      <c r="BF8" s="3">
        <f t="shared" si="12"/>
        <v>-1.5256280337719399</v>
      </c>
      <c r="BG8" s="3">
        <f t="shared" si="13"/>
        <v>-13.139350908159608</v>
      </c>
      <c r="BH8" s="3">
        <f t="shared" si="14"/>
        <v>-15.477742621330432</v>
      </c>
      <c r="BI8" s="3">
        <f t="shared" si="15"/>
        <v>-2.5484524271818154</v>
      </c>
      <c r="BJ8" s="3">
        <f t="shared" si="16"/>
        <v>-1.1308415627092629</v>
      </c>
      <c r="BK8" s="3">
        <f t="shared" si="17"/>
        <v>-12.701456286990517</v>
      </c>
      <c r="BL8" s="3">
        <f t="shared" si="18"/>
        <v>-14.900466377509956</v>
      </c>
      <c r="BM8" s="2">
        <v>0</v>
      </c>
    </row>
    <row r="9" spans="1:65" x14ac:dyDescent="0.35">
      <c r="A9">
        <f t="shared" si="27"/>
        <v>6</v>
      </c>
      <c r="B9">
        <v>1.31463E-2</v>
      </c>
      <c r="C9">
        <v>5.8972E-3</v>
      </c>
      <c r="D9">
        <v>2.6450000000000002E-3</v>
      </c>
      <c r="E9">
        <v>2.4577000000000002E-2</v>
      </c>
      <c r="F9">
        <v>0</v>
      </c>
      <c r="G9">
        <v>0</v>
      </c>
      <c r="H9">
        <v>0</v>
      </c>
      <c r="I9">
        <v>0</v>
      </c>
      <c r="J9">
        <v>3.0472283999999998</v>
      </c>
      <c r="K9">
        <v>0.98257079999999997</v>
      </c>
      <c r="L9">
        <v>0.58493839999999997</v>
      </c>
      <c r="M9">
        <v>5.6605252999999998</v>
      </c>
      <c r="N9">
        <v>3.0089106000000001</v>
      </c>
      <c r="O9">
        <v>0.97806289999999996</v>
      </c>
      <c r="P9">
        <v>0.55076610000000004</v>
      </c>
      <c r="Q9">
        <v>4.7975282000000004</v>
      </c>
      <c r="R9">
        <v>3.0906913999999999</v>
      </c>
      <c r="S9">
        <v>1.0019087</v>
      </c>
      <c r="T9">
        <v>0.55328379999999999</v>
      </c>
      <c r="U9">
        <v>5.7495697000000003</v>
      </c>
      <c r="V9">
        <v>3.0328406999999999</v>
      </c>
      <c r="W9">
        <v>0.98887480000000005</v>
      </c>
      <c r="X9">
        <v>0.5204742</v>
      </c>
      <c r="Y9">
        <v>4.8352662000000004</v>
      </c>
      <c r="AA9" s="5">
        <f t="shared" si="19"/>
        <v>-1.31463E-2</v>
      </c>
      <c r="AB9" s="5">
        <f t="shared" si="19"/>
        <v>-5.8972E-3</v>
      </c>
      <c r="AC9" s="5">
        <f t="shared" si="19"/>
        <v>-2.6450000000000002E-3</v>
      </c>
      <c r="AD9" s="5">
        <f t="shared" si="19"/>
        <v>-2.4577000000000002E-2</v>
      </c>
      <c r="AE9" s="5">
        <f t="shared" si="20"/>
        <v>-3.8317799999999735E-2</v>
      </c>
      <c r="AF9" s="5">
        <f t="shared" si="20"/>
        <v>-4.5079000000000091E-3</v>
      </c>
      <c r="AG9" s="5">
        <f t="shared" si="20"/>
        <v>-3.4172299999999933E-2</v>
      </c>
      <c r="AH9" s="5">
        <f t="shared" si="20"/>
        <v>-0.86299709999999941</v>
      </c>
      <c r="AI9" s="5">
        <f t="shared" si="28"/>
        <v>-6.3866000000001866E-3</v>
      </c>
      <c r="AJ9" s="5">
        <f t="shared" si="29"/>
        <v>-2.6287999999999225E-3</v>
      </c>
      <c r="AK9" s="5">
        <f t="shared" si="30"/>
        <v>4.0076999999999405E-3</v>
      </c>
      <c r="AL9" s="5">
        <f t="shared" si="31"/>
        <v>-2.6729400000000569E-2</v>
      </c>
      <c r="AM9" s="5">
        <f t="shared" si="32"/>
        <v>1.9532900000000186E-2</v>
      </c>
      <c r="AN9" s="5">
        <f t="shared" si="33"/>
        <v>8.5259999999999225E-3</v>
      </c>
      <c r="AO9" s="5">
        <f t="shared" si="34"/>
        <v>-1.3626999999999403E-3</v>
      </c>
      <c r="AP9" s="5">
        <f t="shared" si="35"/>
        <v>5.1306400000000571E-2</v>
      </c>
      <c r="AQ9" s="5">
        <f t="shared" si="36"/>
        <v>5.7850699999999922E-2</v>
      </c>
      <c r="AR9" s="5">
        <f t="shared" si="37"/>
        <v>1.3033899999999932E-2</v>
      </c>
      <c r="AS9" s="5">
        <f t="shared" si="38"/>
        <v>3.2809599999999994E-2</v>
      </c>
      <c r="AT9" s="5">
        <f t="shared" si="39"/>
        <v>0.91430349999999994</v>
      </c>
      <c r="AU9" s="5"/>
      <c r="AV9" s="5">
        <f t="shared" si="40"/>
        <v>2009.25</v>
      </c>
      <c r="AW9" s="3">
        <f t="shared" si="3"/>
        <v>-1.6651322742865799</v>
      </c>
      <c r="AX9" s="3">
        <f t="shared" si="4"/>
        <v>-1.038527762060556</v>
      </c>
      <c r="AY9" s="3">
        <f t="shared" si="5"/>
        <v>-6.6543245979730354</v>
      </c>
      <c r="AZ9" s="3">
        <f t="shared" si="6"/>
        <v>-15.437226545840453</v>
      </c>
      <c r="BA9" s="3">
        <f t="shared" si="7"/>
        <v>-1.8717721219271495</v>
      </c>
      <c r="BB9" s="3">
        <f t="shared" si="8"/>
        <v>-1.3009069588875646</v>
      </c>
      <c r="BC9" s="3">
        <f t="shared" si="9"/>
        <v>-5.9299766232085585</v>
      </c>
      <c r="BD9" s="3">
        <f t="shared" si="10"/>
        <v>-15.902120466510734</v>
      </c>
      <c r="BE9" s="3">
        <f t="shared" si="11"/>
        <v>-1.4464206940880635</v>
      </c>
      <c r="BF9" s="3">
        <f t="shared" si="12"/>
        <v>-0.71231041311447685</v>
      </c>
      <c r="BG9" s="3">
        <f t="shared" si="13"/>
        <v>-5.4519217804678153</v>
      </c>
      <c r="BH9" s="3">
        <f t="shared" si="14"/>
        <v>-15.474662390822049</v>
      </c>
      <c r="BI9" s="3">
        <f t="shared" si="15"/>
        <v>-1.2397808464474886</v>
      </c>
      <c r="BJ9" s="3">
        <f t="shared" si="16"/>
        <v>-0.44993121628747301</v>
      </c>
      <c r="BK9" s="3">
        <f t="shared" si="17"/>
        <v>-6.1762697552322932</v>
      </c>
      <c r="BL9" s="3">
        <f t="shared" si="18"/>
        <v>-15.009768470151762</v>
      </c>
      <c r="BM9" s="2">
        <v>0</v>
      </c>
    </row>
    <row r="10" spans="1:65" x14ac:dyDescent="0.35">
      <c r="A10">
        <f t="shared" si="27"/>
        <v>7</v>
      </c>
      <c r="B10">
        <v>1.3208599999999999E-2</v>
      </c>
      <c r="C10">
        <v>5.8847999999999999E-3</v>
      </c>
      <c r="D10">
        <v>2.7859E-3</v>
      </c>
      <c r="E10">
        <v>2.48471E-2</v>
      </c>
      <c r="F10">
        <v>0</v>
      </c>
      <c r="G10">
        <v>0</v>
      </c>
      <c r="H10">
        <v>0</v>
      </c>
      <c r="I10">
        <v>0</v>
      </c>
      <c r="J10">
        <v>3.0522402999999998</v>
      </c>
      <c r="K10">
        <v>0.98498370000000002</v>
      </c>
      <c r="L10">
        <v>0.57220040000000005</v>
      </c>
      <c r="M10">
        <v>5.6702085000000002</v>
      </c>
      <c r="N10">
        <v>3.0408415</v>
      </c>
      <c r="O10">
        <v>0.98488609999999999</v>
      </c>
      <c r="P10">
        <v>0.56237950000000003</v>
      </c>
      <c r="Q10">
        <v>4.8110125000000004</v>
      </c>
      <c r="R10">
        <v>3.0906913999999999</v>
      </c>
      <c r="S10">
        <v>1.0019087</v>
      </c>
      <c r="T10">
        <v>0.55328379999999999</v>
      </c>
      <c r="U10">
        <v>5.7495697000000003</v>
      </c>
      <c r="V10">
        <v>3.0616690000000002</v>
      </c>
      <c r="W10">
        <v>0.99405719999999997</v>
      </c>
      <c r="X10">
        <v>0.54907969999999995</v>
      </c>
      <c r="Y10">
        <v>4.8432729999999999</v>
      </c>
      <c r="AA10" s="5">
        <f t="shared" si="19"/>
        <v>-1.3208599999999999E-2</v>
      </c>
      <c r="AB10" s="5">
        <f t="shared" si="19"/>
        <v>-5.8847999999999999E-3</v>
      </c>
      <c r="AC10" s="5">
        <f t="shared" si="19"/>
        <v>-2.7859E-3</v>
      </c>
      <c r="AD10" s="5">
        <f t="shared" si="19"/>
        <v>-2.48471E-2</v>
      </c>
      <c r="AE10" s="5">
        <f t="shared" si="20"/>
        <v>-1.139879999999982E-2</v>
      </c>
      <c r="AF10" s="5">
        <f t="shared" si="20"/>
        <v>-9.7600000000030995E-5</v>
      </c>
      <c r="AG10" s="5">
        <f t="shared" si="20"/>
        <v>-9.8209000000000213E-3</v>
      </c>
      <c r="AH10" s="5">
        <f t="shared" si="20"/>
        <v>-0.85919599999999985</v>
      </c>
      <c r="AI10" s="5">
        <f t="shared" si="28"/>
        <v>-4.4149999999998496E-3</v>
      </c>
      <c r="AJ10" s="5">
        <f t="shared" si="29"/>
        <v>-1.8690999999999803E-3</v>
      </c>
      <c r="AK10" s="5">
        <f t="shared" si="30"/>
        <v>8.4026999999999782E-3</v>
      </c>
      <c r="AL10" s="5">
        <f t="shared" si="31"/>
        <v>-2.225360000000054E-2</v>
      </c>
      <c r="AM10" s="5">
        <f t="shared" si="32"/>
        <v>1.762359999999985E-2</v>
      </c>
      <c r="AN10" s="5">
        <f t="shared" si="33"/>
        <v>7.7538999999999803E-3</v>
      </c>
      <c r="AO10" s="5">
        <f t="shared" si="34"/>
        <v>-5.6167999999999782E-3</v>
      </c>
      <c r="AP10" s="5">
        <f t="shared" si="35"/>
        <v>4.7100700000000537E-2</v>
      </c>
      <c r="AQ10" s="5">
        <f t="shared" si="36"/>
        <v>2.9022399999999671E-2</v>
      </c>
      <c r="AR10" s="5">
        <f t="shared" si="37"/>
        <v>7.8515000000000112E-3</v>
      </c>
      <c r="AS10" s="5">
        <f t="shared" si="38"/>
        <v>4.2041000000000439E-3</v>
      </c>
      <c r="AT10" s="5">
        <f t="shared" si="39"/>
        <v>0.9062967000000004</v>
      </c>
      <c r="AU10" s="5"/>
      <c r="AV10" s="5">
        <f t="shared" si="40"/>
        <v>2009.5</v>
      </c>
      <c r="AW10" s="3">
        <f t="shared" si="3"/>
        <v>-0.79617783904274053</v>
      </c>
      <c r="AX10" s="3">
        <f t="shared" si="4"/>
        <v>-0.59710031462946989</v>
      </c>
      <c r="AY10" s="3">
        <f t="shared" si="5"/>
        <v>-2.2785413200241944</v>
      </c>
      <c r="AZ10" s="3">
        <f t="shared" si="6"/>
        <v>-15.375813254337968</v>
      </c>
      <c r="BA10" s="3">
        <f t="shared" si="7"/>
        <v>-0.93902613505831323</v>
      </c>
      <c r="BB10" s="3">
        <f t="shared" si="8"/>
        <v>-0.78365423915372845</v>
      </c>
      <c r="BC10" s="3">
        <f t="shared" si="9"/>
        <v>-0.75984512830486706</v>
      </c>
      <c r="BD10" s="3">
        <f t="shared" si="10"/>
        <v>-15.762861349432816</v>
      </c>
      <c r="BE10" s="3">
        <f t="shared" si="11"/>
        <v>-0.51165897701723495</v>
      </c>
      <c r="BF10" s="3">
        <f t="shared" si="12"/>
        <v>-0.19629533110152531</v>
      </c>
      <c r="BG10" s="3">
        <f t="shared" si="13"/>
        <v>-0.25632415046311424</v>
      </c>
      <c r="BH10" s="3">
        <f t="shared" si="14"/>
        <v>-15.330705530885218</v>
      </c>
      <c r="BI10" s="3">
        <f t="shared" si="15"/>
        <v>-0.36881068100166264</v>
      </c>
      <c r="BJ10" s="3">
        <f t="shared" si="16"/>
        <v>-9.7414065772690669E-3</v>
      </c>
      <c r="BK10" s="3">
        <f t="shared" si="17"/>
        <v>-1.7750203421824424</v>
      </c>
      <c r="BL10" s="3">
        <f t="shared" si="18"/>
        <v>-14.943657435790364</v>
      </c>
      <c r="BM10" s="2">
        <v>0</v>
      </c>
    </row>
    <row r="11" spans="1:65" x14ac:dyDescent="0.35">
      <c r="A11">
        <f t="shared" si="27"/>
        <v>8</v>
      </c>
      <c r="B11">
        <v>1.33323E-2</v>
      </c>
      <c r="C11">
        <v>5.9080000000000001E-3</v>
      </c>
      <c r="D11">
        <v>3.114E-3</v>
      </c>
      <c r="E11">
        <v>2.5186099999999999E-2</v>
      </c>
      <c r="F11">
        <v>0</v>
      </c>
      <c r="G11">
        <v>0</v>
      </c>
      <c r="H11">
        <v>0</v>
      </c>
      <c r="I11">
        <v>0</v>
      </c>
      <c r="J11">
        <v>3.0555626</v>
      </c>
      <c r="K11">
        <v>0.98658179999999995</v>
      </c>
      <c r="L11">
        <v>0.56517030000000001</v>
      </c>
      <c r="M11">
        <v>5.6769458999999998</v>
      </c>
      <c r="N11">
        <v>3.0703285999999999</v>
      </c>
      <c r="O11">
        <v>0.99072269999999996</v>
      </c>
      <c r="P11">
        <v>0.58301210000000003</v>
      </c>
      <c r="Q11">
        <v>4.8284779000000002</v>
      </c>
      <c r="R11">
        <v>3.0906913999999999</v>
      </c>
      <c r="S11">
        <v>1.0019087</v>
      </c>
      <c r="T11">
        <v>0.55328379999999999</v>
      </c>
      <c r="U11">
        <v>5.7495697000000003</v>
      </c>
      <c r="V11">
        <v>3.0891685999999998</v>
      </c>
      <c r="W11">
        <v>0.99880800000000003</v>
      </c>
      <c r="X11">
        <v>0.57580379999999998</v>
      </c>
      <c r="Y11">
        <v>4.8570570999999996</v>
      </c>
      <c r="AA11" s="5">
        <f t="shared" si="19"/>
        <v>-1.33323E-2</v>
      </c>
      <c r="AB11" s="5">
        <f t="shared" si="19"/>
        <v>-5.9080000000000001E-3</v>
      </c>
      <c r="AC11" s="5">
        <f t="shared" si="19"/>
        <v>-3.114E-3</v>
      </c>
      <c r="AD11" s="5">
        <f t="shared" si="19"/>
        <v>-2.5186099999999999E-2</v>
      </c>
      <c r="AE11" s="5">
        <f t="shared" si="20"/>
        <v>1.4765999999999835E-2</v>
      </c>
      <c r="AF11" s="5">
        <f t="shared" si="20"/>
        <v>4.1409000000000029E-3</v>
      </c>
      <c r="AG11" s="5">
        <f t="shared" si="20"/>
        <v>1.7841800000000019E-2</v>
      </c>
      <c r="AH11" s="5">
        <f t="shared" si="20"/>
        <v>-0.84846799999999956</v>
      </c>
      <c r="AI11" s="5">
        <f t="shared" si="28"/>
        <v>-2.9564999999998811E-3</v>
      </c>
      <c r="AJ11" s="5">
        <f t="shared" si="29"/>
        <v>-1.3335999999999591E-3</v>
      </c>
      <c r="AK11" s="5">
        <f t="shared" si="30"/>
        <v>7.7921999999999662E-3</v>
      </c>
      <c r="AL11" s="5">
        <f t="shared" si="31"/>
        <v>-1.8858500000001222E-2</v>
      </c>
      <c r="AM11" s="5">
        <f t="shared" si="32"/>
        <v>1.6288799999999881E-2</v>
      </c>
      <c r="AN11" s="5">
        <f t="shared" si="33"/>
        <v>7.2415999999999592E-3</v>
      </c>
      <c r="AO11" s="5">
        <f t="shared" si="34"/>
        <v>-4.6781999999999657E-3</v>
      </c>
      <c r="AP11" s="5">
        <f t="shared" si="35"/>
        <v>4.4044600000001224E-2</v>
      </c>
      <c r="AQ11" s="5">
        <f t="shared" si="36"/>
        <v>1.5228000000000463E-3</v>
      </c>
      <c r="AR11" s="5">
        <f t="shared" si="37"/>
        <v>3.1006999999999563E-3</v>
      </c>
      <c r="AS11" s="5">
        <f t="shared" si="38"/>
        <v>-2.2519999999999984E-2</v>
      </c>
      <c r="AT11" s="5">
        <f t="shared" si="39"/>
        <v>0.89251260000000077</v>
      </c>
      <c r="AU11" s="5"/>
      <c r="AV11" s="5">
        <f t="shared" si="40"/>
        <v>2009.75</v>
      </c>
      <c r="AW11" s="3">
        <f t="shared" si="3"/>
        <v>4.6387678821633076E-2</v>
      </c>
      <c r="AX11" s="3">
        <f t="shared" si="4"/>
        <v>-0.17637335617506836</v>
      </c>
      <c r="AY11" s="3">
        <f t="shared" si="5"/>
        <v>2.6618888895716841</v>
      </c>
      <c r="AZ11" s="3">
        <f t="shared" si="6"/>
        <v>-15.195121471438107</v>
      </c>
      <c r="BA11" s="3">
        <f t="shared" si="7"/>
        <v>-4.9270528917899938E-2</v>
      </c>
      <c r="BB11" s="3">
        <f t="shared" si="8"/>
        <v>-0.30947929686606734</v>
      </c>
      <c r="BC11" s="3">
        <f t="shared" si="9"/>
        <v>4.070243878458033</v>
      </c>
      <c r="BD11" s="3">
        <f t="shared" si="10"/>
        <v>-15.523119930174961</v>
      </c>
      <c r="BE11" s="3">
        <f t="shared" si="11"/>
        <v>0.38209896982921132</v>
      </c>
      <c r="BF11" s="3">
        <f t="shared" si="12"/>
        <v>0.28019519143809779</v>
      </c>
      <c r="BG11" s="3">
        <f t="shared" si="13"/>
        <v>4.633065345488145</v>
      </c>
      <c r="BH11" s="3">
        <f t="shared" si="14"/>
        <v>-15.085068018220577</v>
      </c>
      <c r="BI11" s="3">
        <f t="shared" si="15"/>
        <v>0.47775717756874192</v>
      </c>
      <c r="BJ11" s="3">
        <f t="shared" si="16"/>
        <v>0.41330113212910541</v>
      </c>
      <c r="BK11" s="3">
        <f t="shared" si="17"/>
        <v>3.2247103566018049</v>
      </c>
      <c r="BL11" s="3">
        <f t="shared" si="18"/>
        <v>-14.757069559483721</v>
      </c>
      <c r="BM11" s="2">
        <v>0</v>
      </c>
    </row>
    <row r="12" spans="1:65" x14ac:dyDescent="0.35">
      <c r="A12">
        <f t="shared" si="27"/>
        <v>9</v>
      </c>
      <c r="B12">
        <v>1.34851E-2</v>
      </c>
      <c r="C12">
        <v>5.9465999999999998E-3</v>
      </c>
      <c r="D12">
        <v>3.3538000000000001E-3</v>
      </c>
      <c r="E12">
        <v>2.5594200000000001E-2</v>
      </c>
      <c r="F12">
        <v>0</v>
      </c>
      <c r="G12">
        <v>0</v>
      </c>
      <c r="H12">
        <v>0</v>
      </c>
      <c r="I12">
        <v>0</v>
      </c>
      <c r="J12">
        <v>3.0579497</v>
      </c>
      <c r="K12">
        <v>0.98773500000000003</v>
      </c>
      <c r="L12">
        <v>0.56066039999999995</v>
      </c>
      <c r="M12">
        <v>5.6817399999999996</v>
      </c>
      <c r="N12">
        <v>3.0752440999999999</v>
      </c>
      <c r="O12">
        <v>0.99195949999999999</v>
      </c>
      <c r="P12">
        <v>0.58263509999999996</v>
      </c>
      <c r="Q12">
        <v>4.8484313999999999</v>
      </c>
      <c r="R12">
        <v>3.0906913999999999</v>
      </c>
      <c r="S12">
        <v>1.0019087</v>
      </c>
      <c r="T12">
        <v>0.55328379999999999</v>
      </c>
      <c r="U12">
        <v>5.7495697000000003</v>
      </c>
      <c r="V12">
        <v>3.0925341999999998</v>
      </c>
      <c r="W12">
        <v>0.9992181</v>
      </c>
      <c r="X12">
        <v>0.57871459999999997</v>
      </c>
      <c r="Y12">
        <v>4.8743727000000003</v>
      </c>
      <c r="AA12" s="5">
        <f t="shared" si="19"/>
        <v>-1.34851E-2</v>
      </c>
      <c r="AB12" s="5">
        <f t="shared" si="19"/>
        <v>-5.9465999999999998E-3</v>
      </c>
      <c r="AC12" s="5">
        <f t="shared" si="19"/>
        <v>-3.3538000000000001E-3</v>
      </c>
      <c r="AD12" s="5">
        <f t="shared" si="19"/>
        <v>-2.5594200000000001E-2</v>
      </c>
      <c r="AE12" s="5">
        <f t="shared" si="20"/>
        <v>1.7294399999999932E-2</v>
      </c>
      <c r="AF12" s="5">
        <f t="shared" si="20"/>
        <v>4.2244999999999644E-3</v>
      </c>
      <c r="AG12" s="5">
        <f t="shared" si="20"/>
        <v>2.1974700000000014E-2</v>
      </c>
      <c r="AH12" s="5">
        <f t="shared" si="20"/>
        <v>-0.83330859999999962</v>
      </c>
      <c r="AI12" s="5">
        <f t="shared" si="28"/>
        <v>-1.9665000000000099E-3</v>
      </c>
      <c r="AJ12" s="5">
        <f t="shared" si="29"/>
        <v>-9.6849999999995204E-4</v>
      </c>
      <c r="AK12" s="5">
        <f t="shared" si="30"/>
        <v>6.8098999999999625E-3</v>
      </c>
      <c r="AL12" s="5">
        <f t="shared" si="31"/>
        <v>-1.6294200000000369E-2</v>
      </c>
      <c r="AM12" s="5"/>
      <c r="AN12" s="5"/>
      <c r="AO12" s="5"/>
      <c r="AP12" s="5"/>
      <c r="AQ12" s="5"/>
      <c r="AR12" s="5"/>
      <c r="AS12" s="5"/>
      <c r="AT12" s="5"/>
      <c r="AU12" s="5"/>
      <c r="AV12" s="5">
        <f t="shared" si="40"/>
        <v>2010</v>
      </c>
      <c r="AW12" s="3">
        <f t="shared" si="3"/>
        <v>0.12325073930059573</v>
      </c>
      <c r="AX12" s="3">
        <f t="shared" si="4"/>
        <v>-0.1718819289621934</v>
      </c>
      <c r="AY12" s="3">
        <f t="shared" si="5"/>
        <v>3.3655241668019222</v>
      </c>
      <c r="AZ12" s="3">
        <f t="shared" si="6"/>
        <v>-14.938557923734702</v>
      </c>
      <c r="BA12" s="3">
        <f t="shared" si="7"/>
        <v>5.9624199297280939E-2</v>
      </c>
      <c r="BB12" s="3">
        <f t="shared" si="8"/>
        <v>-0.26854742353270189</v>
      </c>
      <c r="BC12" s="3">
        <f t="shared" si="9"/>
        <v>4.5963391662651203</v>
      </c>
      <c r="BD12" s="3">
        <f t="shared" si="10"/>
        <v>-15.221956523111633</v>
      </c>
      <c r="BE12" s="3">
        <f t="shared" si="11"/>
        <v>0.49593757565054702</v>
      </c>
      <c r="BF12" s="3">
        <f t="shared" si="12"/>
        <v>0.32497971122517705</v>
      </c>
      <c r="BG12" s="3">
        <f t="shared" si="13"/>
        <v>5.2025018625161152</v>
      </c>
      <c r="BH12" s="3">
        <f t="shared" si="14"/>
        <v>-14.776806688681422</v>
      </c>
      <c r="BI12" s="3">
        <f t="shared" si="15"/>
        <v>0.55956411565386099</v>
      </c>
      <c r="BJ12" s="3">
        <f t="shared" si="16"/>
        <v>0.4216452057956942</v>
      </c>
      <c r="BK12" s="3">
        <f t="shared" si="17"/>
        <v>3.9716868630529243</v>
      </c>
      <c r="BL12" s="3">
        <f t="shared" si="18"/>
        <v>-14.493408089304486</v>
      </c>
      <c r="BM12" s="2">
        <v>0</v>
      </c>
    </row>
    <row r="13" spans="1:65" x14ac:dyDescent="0.35">
      <c r="A13">
        <f t="shared" si="27"/>
        <v>10</v>
      </c>
      <c r="B13">
        <v>1.36647E-2</v>
      </c>
      <c r="C13">
        <v>5.9981000000000001E-3</v>
      </c>
      <c r="D13">
        <v>3.6135E-3</v>
      </c>
      <c r="E13">
        <v>2.6093999999999999E-2</v>
      </c>
      <c r="F13">
        <v>0</v>
      </c>
      <c r="G13">
        <v>0</v>
      </c>
      <c r="H13">
        <v>0</v>
      </c>
      <c r="I13">
        <v>0</v>
      </c>
      <c r="J13">
        <v>3.0597053000000001</v>
      </c>
      <c r="K13">
        <v>0.98859070000000004</v>
      </c>
      <c r="L13">
        <v>0.55759630000000004</v>
      </c>
      <c r="M13">
        <v>5.6852130000000001</v>
      </c>
      <c r="N13">
        <v>3.0732761000000002</v>
      </c>
      <c r="O13">
        <v>0.99192020000000003</v>
      </c>
      <c r="P13">
        <v>0.57682909999999998</v>
      </c>
      <c r="Q13">
        <v>4.8674815999999996</v>
      </c>
      <c r="R13">
        <v>3.0906913999999999</v>
      </c>
      <c r="S13">
        <v>1.0019087</v>
      </c>
      <c r="T13">
        <v>0.55328379999999999</v>
      </c>
      <c r="U13">
        <v>5.7495697000000003</v>
      </c>
      <c r="V13">
        <v>3.0894132999999999</v>
      </c>
      <c r="W13">
        <v>0.99855689999999997</v>
      </c>
      <c r="X13">
        <v>0.57501400000000003</v>
      </c>
      <c r="Y13">
        <v>4.8914467999999998</v>
      </c>
      <c r="AA13" s="5">
        <f t="shared" si="19"/>
        <v>-1.36647E-2</v>
      </c>
      <c r="AB13" s="5">
        <f t="shared" si="19"/>
        <v>-5.9981000000000001E-3</v>
      </c>
      <c r="AC13" s="5">
        <f t="shared" si="19"/>
        <v>-3.6135E-3</v>
      </c>
      <c r="AD13" s="5">
        <f t="shared" si="19"/>
        <v>-2.6093999999999999E-2</v>
      </c>
      <c r="AE13" s="5">
        <f t="shared" si="20"/>
        <v>1.3570800000000105E-2</v>
      </c>
      <c r="AF13" s="5">
        <f t="shared" si="20"/>
        <v>3.3294999999999852E-3</v>
      </c>
      <c r="AG13" s="5">
        <f t="shared" si="20"/>
        <v>1.9232799999999939E-2</v>
      </c>
      <c r="AH13" s="5">
        <f t="shared" si="20"/>
        <v>-0.81773140000000044</v>
      </c>
      <c r="AI13" s="5">
        <f t="shared" si="28"/>
        <v>-1.1842000000000536E-3</v>
      </c>
      <c r="AJ13" s="5">
        <f t="shared" si="29"/>
        <v>-6.8320000000000099E-4</v>
      </c>
      <c r="AK13" s="5">
        <f t="shared" si="30"/>
        <v>6.1109000000000944E-3</v>
      </c>
      <c r="AL13" s="5">
        <f t="shared" si="31"/>
        <v>-1.4297500000000185E-2</v>
      </c>
      <c r="AM13" s="5">
        <f>SUM(AM4:AM11)</f>
        <v>0.14804899999999943</v>
      </c>
      <c r="AN13" s="5">
        <f t="shared" ref="AN13:AT13" si="41">SUM(AN4:AN11)</f>
        <v>6.6713999999999496E-2</v>
      </c>
      <c r="AO13" s="5">
        <f t="shared" si="41"/>
        <v>8.6519799999999925E-2</v>
      </c>
      <c r="AP13" s="5">
        <f t="shared" si="41"/>
        <v>0.3286768000000046</v>
      </c>
      <c r="AQ13" s="5">
        <f t="shared" si="41"/>
        <v>0.48095169999999898</v>
      </c>
      <c r="AR13" s="5">
        <f t="shared" si="41"/>
        <v>0.11041529999999977</v>
      </c>
      <c r="AS13" s="5">
        <f t="shared" si="41"/>
        <v>0.30372520000000003</v>
      </c>
      <c r="AT13" s="5">
        <f t="shared" si="41"/>
        <v>6.7508775000000032</v>
      </c>
      <c r="AU13" s="5"/>
      <c r="AV13" s="5">
        <f t="shared" si="40"/>
        <v>2010.25</v>
      </c>
      <c r="AW13" s="3">
        <f t="shared" si="3"/>
        <v>-3.0381551519473964E-3</v>
      </c>
      <c r="AX13" s="3">
        <f t="shared" si="4"/>
        <v>-0.266351614673075</v>
      </c>
      <c r="AY13" s="3">
        <f t="shared" si="5"/>
        <v>2.8230177713498819</v>
      </c>
      <c r="AZ13" s="3">
        <f t="shared" si="6"/>
        <v>-14.676322647240893</v>
      </c>
      <c r="BA13" s="3">
        <f t="shared" si="7"/>
        <v>-4.1353206599660797E-2</v>
      </c>
      <c r="BB13" s="3">
        <f t="shared" si="8"/>
        <v>-0.33454146071393692</v>
      </c>
      <c r="BC13" s="3">
        <f t="shared" si="9"/>
        <v>3.9274961601984431</v>
      </c>
      <c r="BD13" s="3">
        <f t="shared" si="10"/>
        <v>-14.924993430377938</v>
      </c>
      <c r="BE13" s="3">
        <f t="shared" si="11"/>
        <v>0.400771167254037</v>
      </c>
      <c r="BF13" s="3">
        <f t="shared" si="12"/>
        <v>0.26412586296534596</v>
      </c>
      <c r="BG13" s="3">
        <f t="shared" si="13"/>
        <v>4.580596793182826</v>
      </c>
      <c r="BH13" s="3">
        <f t="shared" si="14"/>
        <v>-14.471150771509055</v>
      </c>
      <c r="BI13" s="3">
        <f t="shared" si="15"/>
        <v>0.43908621870174758</v>
      </c>
      <c r="BJ13" s="3">
        <f t="shared" si="16"/>
        <v>0.33231570900621837</v>
      </c>
      <c r="BK13" s="3">
        <f t="shared" si="17"/>
        <v>3.4761184043342568</v>
      </c>
      <c r="BL13" s="3">
        <f t="shared" si="18"/>
        <v>-14.222479988372005</v>
      </c>
      <c r="BM13" s="2">
        <v>0</v>
      </c>
    </row>
    <row r="14" spans="1:65" x14ac:dyDescent="0.35">
      <c r="A14">
        <f t="shared" si="27"/>
        <v>11</v>
      </c>
      <c r="B14">
        <v>1.3874299999999999E-2</v>
      </c>
      <c r="C14">
        <v>6.0635000000000003E-3</v>
      </c>
      <c r="D14">
        <v>3.8116000000000001E-3</v>
      </c>
      <c r="E14">
        <v>2.66634E-2</v>
      </c>
      <c r="F14">
        <v>0</v>
      </c>
      <c r="G14">
        <v>0</v>
      </c>
      <c r="H14">
        <v>0</v>
      </c>
      <c r="I14">
        <v>0</v>
      </c>
      <c r="J14">
        <v>3.0610243000000001</v>
      </c>
      <c r="K14">
        <v>0.98924210000000001</v>
      </c>
      <c r="L14">
        <v>0.55540489999999998</v>
      </c>
      <c r="M14">
        <v>5.6877314999999999</v>
      </c>
      <c r="N14">
        <v>3.0798098999999999</v>
      </c>
      <c r="O14">
        <v>0.99324369999999995</v>
      </c>
      <c r="P14">
        <v>0.58048569999999999</v>
      </c>
      <c r="Q14">
        <v>4.8863623</v>
      </c>
      <c r="R14">
        <v>3.0906913999999999</v>
      </c>
      <c r="S14">
        <v>1.0019087</v>
      </c>
      <c r="T14">
        <v>0.55328379999999999</v>
      </c>
      <c r="U14">
        <v>5.7495697000000003</v>
      </c>
      <c r="V14">
        <v>3.0951268000000001</v>
      </c>
      <c r="W14">
        <v>0.99940759999999995</v>
      </c>
      <c r="X14">
        <v>0.5801231</v>
      </c>
      <c r="Y14">
        <v>4.9088317000000004</v>
      </c>
      <c r="AA14" s="5">
        <f t="shared" si="19"/>
        <v>-1.3874299999999999E-2</v>
      </c>
      <c r="AB14" s="5">
        <f t="shared" si="19"/>
        <v>-6.0635000000000003E-3</v>
      </c>
      <c r="AC14" s="5">
        <f t="shared" si="19"/>
        <v>-3.8116000000000001E-3</v>
      </c>
      <c r="AD14" s="5">
        <f t="shared" si="19"/>
        <v>-2.66634E-2</v>
      </c>
      <c r="AE14" s="5">
        <f t="shared" si="20"/>
        <v>1.8785599999999736E-2</v>
      </c>
      <c r="AF14" s="5">
        <f t="shared" si="20"/>
        <v>4.0015999999999385E-3</v>
      </c>
      <c r="AG14" s="5">
        <f t="shared" si="20"/>
        <v>2.5080800000000014E-2</v>
      </c>
      <c r="AH14" s="5">
        <f t="shared" si="20"/>
        <v>-0.80136919999999989</v>
      </c>
      <c r="AI14" s="5">
        <f t="shared" si="28"/>
        <v>-4.7589999999953642E-4</v>
      </c>
      <c r="AJ14" s="5">
        <f t="shared" si="29"/>
        <v>-4.3919999999997208E-4</v>
      </c>
      <c r="AK14" s="5">
        <f t="shared" si="30"/>
        <v>5.5700999999999945E-3</v>
      </c>
      <c r="AL14" s="5">
        <f t="shared" si="31"/>
        <v>-1.2705400000000089E-2</v>
      </c>
      <c r="AM14" s="7">
        <f>100*AM13/AQ13</f>
        <v>30.782508929690806</v>
      </c>
      <c r="AN14" s="7">
        <f t="shared" ref="AN14:AP14" si="42">100*AN13/AR13</f>
        <v>60.420974267152864</v>
      </c>
      <c r="AO14" s="11">
        <f t="shared" si="42"/>
        <v>28.486210561389019</v>
      </c>
      <c r="AP14" s="11">
        <f t="shared" si="42"/>
        <v>4.8686530010358577</v>
      </c>
      <c r="AQ14" s="5"/>
      <c r="AR14" s="5"/>
      <c r="AS14" s="5"/>
      <c r="AT14" s="5"/>
      <c r="AU14" s="5"/>
      <c r="AV14" s="5">
        <f t="shared" si="40"/>
        <v>2010.5</v>
      </c>
      <c r="AW14" s="3">
        <f t="shared" si="3"/>
        <v>0.15890619166959655</v>
      </c>
      <c r="AX14" s="3">
        <f t="shared" si="4"/>
        <v>-0.20579719489411177</v>
      </c>
      <c r="AY14" s="3">
        <f t="shared" si="5"/>
        <v>3.8441754484768964</v>
      </c>
      <c r="AZ14" s="3">
        <f t="shared" si="6"/>
        <v>-14.401644700472104</v>
      </c>
      <c r="BA14" s="3">
        <f t="shared" si="7"/>
        <v>0.1435083425022699</v>
      </c>
      <c r="BB14" s="3">
        <f t="shared" si="8"/>
        <v>-0.24963352449180587</v>
      </c>
      <c r="BC14" s="3">
        <f t="shared" si="9"/>
        <v>4.8509101477397332</v>
      </c>
      <c r="BD14" s="3">
        <f t="shared" si="10"/>
        <v>-14.622624715724379</v>
      </c>
      <c r="BE14" s="3">
        <f t="shared" si="11"/>
        <v>0.59241437045445866</v>
      </c>
      <c r="BF14" s="3">
        <f t="shared" si="12"/>
        <v>0.35556134007021567</v>
      </c>
      <c r="BG14" s="3">
        <f t="shared" si="13"/>
        <v>5.5398151906851485</v>
      </c>
      <c r="BH14" s="3">
        <f t="shared" si="14"/>
        <v>-14.158878707044799</v>
      </c>
      <c r="BI14" s="3">
        <f t="shared" si="15"/>
        <v>0.60781221962178877</v>
      </c>
      <c r="BJ14" s="3">
        <f t="shared" si="16"/>
        <v>0.39939766966789875</v>
      </c>
      <c r="BK14" s="3">
        <f t="shared" si="17"/>
        <v>4.5330804914223064</v>
      </c>
      <c r="BL14" s="3">
        <f t="shared" si="18"/>
        <v>-13.937898691792533</v>
      </c>
      <c r="BM14" s="2">
        <v>0</v>
      </c>
    </row>
    <row r="15" spans="1:65" x14ac:dyDescent="0.35">
      <c r="A15">
        <f t="shared" si="27"/>
        <v>12</v>
      </c>
      <c r="B15">
        <v>1.4105299999999999E-2</v>
      </c>
      <c r="C15">
        <v>6.1384999999999999E-3</v>
      </c>
      <c r="D15">
        <v>3.9842999999999996E-3</v>
      </c>
      <c r="E15">
        <v>2.7292799999999999E-2</v>
      </c>
      <c r="F15">
        <v>0</v>
      </c>
      <c r="G15">
        <v>0</v>
      </c>
      <c r="H15">
        <v>0</v>
      </c>
      <c r="I15">
        <v>0</v>
      </c>
      <c r="J15">
        <v>3.0620245000000001</v>
      </c>
      <c r="K15">
        <v>0.98974519999999999</v>
      </c>
      <c r="L15">
        <v>0.55377359999999998</v>
      </c>
      <c r="M15">
        <v>5.6895391000000002</v>
      </c>
      <c r="N15">
        <v>3.0816281000000001</v>
      </c>
      <c r="O15">
        <v>0.99375040000000003</v>
      </c>
      <c r="P15">
        <v>0.58026979999999995</v>
      </c>
      <c r="Q15">
        <v>4.9024197000000003</v>
      </c>
      <c r="R15">
        <v>3.0906913999999999</v>
      </c>
      <c r="S15">
        <v>1.0019087</v>
      </c>
      <c r="T15">
        <v>0.55328379999999999</v>
      </c>
      <c r="U15">
        <v>5.7495697000000003</v>
      </c>
      <c r="V15">
        <v>3.0963083</v>
      </c>
      <c r="W15">
        <v>0.99954200000000004</v>
      </c>
      <c r="X15">
        <v>0.58073450000000004</v>
      </c>
      <c r="Y15">
        <v>4.9237070999999997</v>
      </c>
      <c r="AA15" s="5">
        <f t="shared" si="19"/>
        <v>-1.4105299999999999E-2</v>
      </c>
      <c r="AB15" s="5">
        <f t="shared" si="19"/>
        <v>-6.1384999999999999E-3</v>
      </c>
      <c r="AC15" s="5">
        <f t="shared" si="19"/>
        <v>-3.9842999999999996E-3</v>
      </c>
      <c r="AD15" s="5">
        <f t="shared" si="19"/>
        <v>-2.7292799999999999E-2</v>
      </c>
      <c r="AE15" s="5">
        <f t="shared" si="20"/>
        <v>1.9603599999999943E-2</v>
      </c>
      <c r="AF15" s="5">
        <f t="shared" si="20"/>
        <v>4.0052000000000421E-3</v>
      </c>
      <c r="AG15" s="5">
        <f t="shared" si="20"/>
        <v>2.649619999999997E-2</v>
      </c>
      <c r="AH15" s="5">
        <f t="shared" si="20"/>
        <v>-0.78711939999999991</v>
      </c>
      <c r="AI15" s="5">
        <f t="shared" si="28"/>
        <v>1.1860000000020292E-4</v>
      </c>
      <c r="AJ15" s="5">
        <f t="shared" si="29"/>
        <v>-2.3339999999998605E-4</v>
      </c>
      <c r="AK15" s="5">
        <f t="shared" si="30"/>
        <v>4.9388000000000799E-3</v>
      </c>
      <c r="AL15" s="5">
        <f t="shared" si="31"/>
        <v>-1.1450400000000749E-2</v>
      </c>
      <c r="AM15" s="5"/>
      <c r="AN15" s="5"/>
      <c r="AO15" s="5"/>
      <c r="AP15" s="5"/>
      <c r="AQ15" s="5"/>
      <c r="AR15" s="5"/>
      <c r="AS15" s="5"/>
      <c r="AT15" s="5"/>
      <c r="AU15" s="5"/>
      <c r="AV15" s="5">
        <f t="shared" si="40"/>
        <v>2010.75</v>
      </c>
      <c r="AW15" s="3">
        <f t="shared" si="3"/>
        <v>0.17789870577178762</v>
      </c>
      <c r="AX15" s="3">
        <f t="shared" si="4"/>
        <v>-0.21292359273853573</v>
      </c>
      <c r="AY15" s="3">
        <f t="shared" si="5"/>
        <v>4.0687798919830964</v>
      </c>
      <c r="AZ15" s="3">
        <f t="shared" si="6"/>
        <v>-14.164750450803298</v>
      </c>
      <c r="BA15" s="3">
        <f t="shared" si="7"/>
        <v>0.18173603485615378</v>
      </c>
      <c r="BB15" s="3">
        <f t="shared" si="8"/>
        <v>-0.23621912854933227</v>
      </c>
      <c r="BC15" s="3">
        <f t="shared" si="9"/>
        <v>4.9614140157365982</v>
      </c>
      <c r="BD15" s="3">
        <f t="shared" si="10"/>
        <v>-14.363902745626349</v>
      </c>
      <c r="BE15" s="3">
        <f t="shared" si="11"/>
        <v>0.63811611861347128</v>
      </c>
      <c r="BF15" s="3">
        <f t="shared" si="12"/>
        <v>0.37646144803413645</v>
      </c>
      <c r="BG15" s="3">
        <f t="shared" si="13"/>
        <v>5.6815326962401755</v>
      </c>
      <c r="BH15" s="3">
        <f t="shared" si="14"/>
        <v>-13.889209830780919</v>
      </c>
      <c r="BI15" s="3">
        <f t="shared" si="15"/>
        <v>0.63427878952909833</v>
      </c>
      <c r="BJ15" s="3">
        <f t="shared" si="16"/>
        <v>0.39975698384493935</v>
      </c>
      <c r="BK15" s="3">
        <f t="shared" si="17"/>
        <v>4.788898572486664</v>
      </c>
      <c r="BL15" s="3">
        <f t="shared" si="18"/>
        <v>-13.690057535957861</v>
      </c>
      <c r="BM15" s="2">
        <v>0</v>
      </c>
    </row>
    <row r="16" spans="1:65" x14ac:dyDescent="0.35">
      <c r="A16">
        <f t="shared" si="27"/>
        <v>13</v>
      </c>
      <c r="B16">
        <v>1.4353400000000001E-2</v>
      </c>
      <c r="C16">
        <v>6.2211000000000002E-3</v>
      </c>
      <c r="D16">
        <v>4.1307999999999996E-3</v>
      </c>
      <c r="E16">
        <v>2.79709E-2</v>
      </c>
      <c r="F16">
        <v>0</v>
      </c>
      <c r="G16">
        <v>0</v>
      </c>
      <c r="H16">
        <v>0</v>
      </c>
      <c r="I16">
        <v>0</v>
      </c>
      <c r="J16">
        <v>3.062786</v>
      </c>
      <c r="K16">
        <v>0.99013799999999996</v>
      </c>
      <c r="L16">
        <v>0.55252049999999997</v>
      </c>
      <c r="M16">
        <v>5.6908019999999997</v>
      </c>
      <c r="N16">
        <v>3.0540600000000002</v>
      </c>
      <c r="O16">
        <v>0.98914279999999999</v>
      </c>
      <c r="P16">
        <v>0.55183859999999996</v>
      </c>
      <c r="Q16">
        <v>4.9170636999999999</v>
      </c>
      <c r="R16">
        <v>3.0906913999999999</v>
      </c>
      <c r="S16">
        <v>1.0019087</v>
      </c>
      <c r="T16">
        <v>0.55328379999999999</v>
      </c>
      <c r="U16">
        <v>5.7495697000000003</v>
      </c>
      <c r="V16">
        <v>3.0680836999999999</v>
      </c>
      <c r="W16">
        <v>0.99459920000000002</v>
      </c>
      <c r="X16">
        <v>0.55262750000000005</v>
      </c>
      <c r="Y16">
        <v>4.9374067999999998</v>
      </c>
      <c r="AA16" s="5">
        <f t="shared" si="19"/>
        <v>-1.4353400000000001E-2</v>
      </c>
      <c r="AB16" s="5">
        <f t="shared" si="19"/>
        <v>-6.2211000000000002E-3</v>
      </c>
      <c r="AC16" s="5">
        <f t="shared" si="19"/>
        <v>-4.1307999999999996E-3</v>
      </c>
      <c r="AD16" s="5">
        <f t="shared" si="19"/>
        <v>-2.79709E-2</v>
      </c>
      <c r="AE16" s="5">
        <f t="shared" si="20"/>
        <v>-8.7259999999997895E-3</v>
      </c>
      <c r="AF16" s="5">
        <f t="shared" si="20"/>
        <v>-9.9519999999997388E-4</v>
      </c>
      <c r="AG16" s="5">
        <f t="shared" si="20"/>
        <v>-6.8190000000001305E-4</v>
      </c>
      <c r="AH16" s="5">
        <f t="shared" si="20"/>
        <v>-0.77373829999999977</v>
      </c>
      <c r="AI16" s="5">
        <f t="shared" si="28"/>
        <v>4.716999999997834E-4</v>
      </c>
      <c r="AJ16" s="5">
        <f t="shared" si="29"/>
        <v>-9.3199999999994676E-5</v>
      </c>
      <c r="AK16" s="5">
        <f t="shared" si="30"/>
        <v>4.1564000000000696E-3</v>
      </c>
      <c r="AL16" s="5">
        <f t="shared" si="31"/>
        <v>-1.0453700000000787E-2</v>
      </c>
      <c r="AM16" s="7"/>
      <c r="AN16" s="7"/>
      <c r="AO16" s="7"/>
      <c r="AP16" s="7"/>
      <c r="AQ16" s="5"/>
      <c r="AR16" s="5"/>
      <c r="AS16" s="5"/>
      <c r="AT16" s="5"/>
      <c r="AU16" s="5"/>
      <c r="AV16" s="5">
        <f t="shared" si="40"/>
        <v>2011</v>
      </c>
      <c r="AW16" s="3">
        <f t="shared" si="3"/>
        <v>-0.74673906298117598</v>
      </c>
      <c r="AX16" s="3">
        <f t="shared" si="4"/>
        <v>-0.7202552488066003</v>
      </c>
      <c r="AY16" s="3">
        <f t="shared" si="5"/>
        <v>-0.86984292690297682</v>
      </c>
      <c r="AZ16" s="3">
        <f t="shared" si="6"/>
        <v>-13.943812177805233</v>
      </c>
      <c r="BA16" s="3">
        <f t="shared" si="7"/>
        <v>-0.73147710573757085</v>
      </c>
      <c r="BB16" s="3">
        <f t="shared" si="8"/>
        <v>-0.72955749361193978</v>
      </c>
      <c r="BC16" s="3">
        <f t="shared" si="9"/>
        <v>-0.11861905228382669</v>
      </c>
      <c r="BD16" s="3">
        <f t="shared" si="10"/>
        <v>-14.125629262308108</v>
      </c>
      <c r="BE16" s="3">
        <f t="shared" si="11"/>
        <v>-0.26706969191424085</v>
      </c>
      <c r="BF16" s="3">
        <f t="shared" si="12"/>
        <v>-0.10863265285549366</v>
      </c>
      <c r="BG16" s="3">
        <f t="shared" si="13"/>
        <v>0.62797790211823423</v>
      </c>
      <c r="BH16" s="3">
        <f t="shared" si="14"/>
        <v>-13.639142421388524</v>
      </c>
      <c r="BI16" s="3">
        <f t="shared" si="15"/>
        <v>-0.28233164915784831</v>
      </c>
      <c r="BJ16" s="3">
        <f t="shared" si="16"/>
        <v>-9.9330408050152058E-2</v>
      </c>
      <c r="BK16" s="3">
        <f t="shared" si="17"/>
        <v>-0.12324597250091419</v>
      </c>
      <c r="BL16" s="3">
        <f t="shared" si="18"/>
        <v>-13.457325336885638</v>
      </c>
      <c r="BM16" s="2">
        <v>0</v>
      </c>
    </row>
    <row r="17" spans="1:65" x14ac:dyDescent="0.35">
      <c r="A17">
        <f t="shared" si="27"/>
        <v>14</v>
      </c>
      <c r="B17">
        <v>1.4614E-2</v>
      </c>
      <c r="C17">
        <v>6.3089000000000001E-3</v>
      </c>
      <c r="D17">
        <v>4.2598999999999996E-3</v>
      </c>
      <c r="E17">
        <v>2.8689900000000001E-2</v>
      </c>
      <c r="F17">
        <v>0</v>
      </c>
      <c r="G17">
        <v>0</v>
      </c>
      <c r="H17">
        <v>0</v>
      </c>
      <c r="I17">
        <v>0</v>
      </c>
      <c r="J17">
        <v>3.0633639000000001</v>
      </c>
      <c r="K17">
        <v>0.99044639999999995</v>
      </c>
      <c r="L17">
        <v>0.55152889999999999</v>
      </c>
      <c r="M17">
        <v>5.6916368000000004</v>
      </c>
      <c r="N17">
        <v>3.0515137000000001</v>
      </c>
      <c r="O17">
        <v>0.98889519999999997</v>
      </c>
      <c r="P17">
        <v>0.54850540000000003</v>
      </c>
      <c r="Q17">
        <v>4.9287856000000003</v>
      </c>
      <c r="R17">
        <v>3.0906913999999999</v>
      </c>
      <c r="S17">
        <v>1.0019087</v>
      </c>
      <c r="T17">
        <v>0.55328379999999999</v>
      </c>
      <c r="U17">
        <v>5.7495697000000003</v>
      </c>
      <c r="V17">
        <v>3.0651188</v>
      </c>
      <c r="W17">
        <v>0.99409970000000003</v>
      </c>
      <c r="X17">
        <v>0.54964970000000002</v>
      </c>
      <c r="Y17">
        <v>4.9483645000000003</v>
      </c>
      <c r="AA17" s="5">
        <f t="shared" si="19"/>
        <v>-1.4614E-2</v>
      </c>
      <c r="AB17" s="5">
        <f t="shared" si="19"/>
        <v>-6.3089000000000001E-3</v>
      </c>
      <c r="AC17" s="5">
        <f t="shared" si="19"/>
        <v>-4.2598999999999996E-3</v>
      </c>
      <c r="AD17" s="5">
        <f t="shared" si="19"/>
        <v>-2.8689900000000001E-2</v>
      </c>
      <c r="AE17" s="5">
        <f t="shared" si="20"/>
        <v>-1.1850200000000033E-2</v>
      </c>
      <c r="AF17" s="5">
        <f t="shared" si="20"/>
        <v>-1.5511999999999748E-3</v>
      </c>
      <c r="AG17" s="5">
        <f t="shared" si="20"/>
        <v>-3.0234999999999568E-3</v>
      </c>
      <c r="AH17" s="5">
        <f t="shared" si="20"/>
        <v>-0.76285120000000006</v>
      </c>
      <c r="AI17" s="5">
        <f t="shared" si="28"/>
        <v>8.9160000000020057E-4</v>
      </c>
      <c r="AJ17" s="5">
        <f t="shared" si="29"/>
        <v>5.1100000000019186E-5</v>
      </c>
      <c r="AK17" s="5">
        <f t="shared" si="30"/>
        <v>3.6492999999999829E-3</v>
      </c>
      <c r="AL17" s="5">
        <f t="shared" si="31"/>
        <v>-9.6640999999999533E-3</v>
      </c>
      <c r="AM17" s="1"/>
      <c r="AN17" s="11"/>
      <c r="AO17" s="5"/>
      <c r="AP17" s="5"/>
      <c r="AQ17" s="5"/>
      <c r="AR17" s="5"/>
      <c r="AS17" s="5"/>
      <c r="AT17" s="5"/>
      <c r="AU17" s="5"/>
      <c r="AV17" s="5">
        <f t="shared" si="40"/>
        <v>2011.25</v>
      </c>
      <c r="AW17" s="3">
        <f t="shared" si="3"/>
        <v>-0.85625501141912896</v>
      </c>
      <c r="AX17" s="3">
        <f t="shared" si="4"/>
        <v>-0.78451260079885266</v>
      </c>
      <c r="AY17" s="3">
        <f t="shared" si="5"/>
        <v>-1.316394949571984</v>
      </c>
      <c r="AZ17" s="3">
        <f t="shared" si="6"/>
        <v>-13.766962421553044</v>
      </c>
      <c r="BA17" s="3">
        <f t="shared" si="7"/>
        <v>-0.82740709732456097</v>
      </c>
      <c r="BB17" s="3">
        <f t="shared" si="8"/>
        <v>-0.77941233567489288</v>
      </c>
      <c r="BC17" s="3">
        <f t="shared" si="9"/>
        <v>-0.65682385784654707</v>
      </c>
      <c r="BD17" s="3">
        <f t="shared" si="10"/>
        <v>-13.935046304421702</v>
      </c>
      <c r="BE17" s="3">
        <f t="shared" si="11"/>
        <v>-0.35456791318602465</v>
      </c>
      <c r="BF17" s="3">
        <f t="shared" si="12"/>
        <v>-0.14972422137864391</v>
      </c>
      <c r="BG17" s="3">
        <f t="shared" si="13"/>
        <v>0.11310651061896439</v>
      </c>
      <c r="BH17" s="3">
        <f t="shared" si="14"/>
        <v>-13.436054179845845</v>
      </c>
      <c r="BI17" s="3">
        <f t="shared" si="15"/>
        <v>-0.38341582728058948</v>
      </c>
      <c r="BJ17" s="3">
        <f t="shared" si="16"/>
        <v>-0.15482448650260996</v>
      </c>
      <c r="BK17" s="3">
        <f t="shared" si="17"/>
        <v>-0.54646458110646956</v>
      </c>
      <c r="BL17" s="3">
        <f t="shared" si="18"/>
        <v>-13.267970296977181</v>
      </c>
      <c r="BM17" s="2">
        <v>0</v>
      </c>
    </row>
    <row r="18" spans="1:65" x14ac:dyDescent="0.35">
      <c r="A18">
        <f t="shared" si="27"/>
        <v>15</v>
      </c>
      <c r="B18">
        <v>1.4884100000000001E-2</v>
      </c>
      <c r="C18">
        <v>6.4006000000000002E-3</v>
      </c>
      <c r="D18">
        <v>4.3762999999999996E-3</v>
      </c>
      <c r="E18">
        <v>2.9443899999999999E-2</v>
      </c>
      <c r="F18">
        <v>0</v>
      </c>
      <c r="G18">
        <v>0</v>
      </c>
      <c r="H18">
        <v>0</v>
      </c>
      <c r="I18">
        <v>0</v>
      </c>
      <c r="J18">
        <v>3.0637976</v>
      </c>
      <c r="K18">
        <v>0.99068909999999999</v>
      </c>
      <c r="L18">
        <v>0.55073329999999998</v>
      </c>
      <c r="M18">
        <v>5.6921334999999997</v>
      </c>
      <c r="N18">
        <v>3.0326176</v>
      </c>
      <c r="O18">
        <v>0.98579839999999996</v>
      </c>
      <c r="P18">
        <v>0.52937350000000005</v>
      </c>
      <c r="Q18">
        <v>4.9394134999999997</v>
      </c>
      <c r="R18">
        <v>3.0906913999999999</v>
      </c>
      <c r="S18">
        <v>1.0019087</v>
      </c>
      <c r="T18">
        <v>0.55328379999999999</v>
      </c>
      <c r="U18">
        <v>5.7495697000000003</v>
      </c>
      <c r="V18">
        <v>3.0457958999999999</v>
      </c>
      <c r="W18">
        <v>0.9907743</v>
      </c>
      <c r="X18">
        <v>0.53061619999999998</v>
      </c>
      <c r="Y18">
        <v>4.9583681999999998</v>
      </c>
      <c r="AA18" s="5">
        <f t="shared" si="19"/>
        <v>-1.4884100000000001E-2</v>
      </c>
      <c r="AB18" s="5">
        <f t="shared" si="19"/>
        <v>-6.4006000000000002E-3</v>
      </c>
      <c r="AC18" s="5">
        <f t="shared" si="19"/>
        <v>-4.3762999999999996E-3</v>
      </c>
      <c r="AD18" s="5">
        <f t="shared" si="19"/>
        <v>-2.9443899999999999E-2</v>
      </c>
      <c r="AE18" s="5">
        <f t="shared" si="20"/>
        <v>-3.1179999999999986E-2</v>
      </c>
      <c r="AF18" s="5">
        <f t="shared" si="20"/>
        <v>-4.8907000000000256E-3</v>
      </c>
      <c r="AG18" s="5">
        <f t="shared" si="20"/>
        <v>-2.1359799999999929E-2</v>
      </c>
      <c r="AH18" s="5">
        <f t="shared" si="20"/>
        <v>-0.75272000000000006</v>
      </c>
      <c r="AI18" s="5">
        <f t="shared" si="28"/>
        <v>1.1686000000000057E-3</v>
      </c>
      <c r="AJ18" s="5">
        <f t="shared" si="29"/>
        <v>1.5690000000003618E-4</v>
      </c>
      <c r="AK18" s="5">
        <f t="shared" si="30"/>
        <v>3.0684999999999185E-3</v>
      </c>
      <c r="AL18" s="5">
        <f t="shared" si="31"/>
        <v>-9.0376000000005341E-3</v>
      </c>
      <c r="AM18" s="5"/>
      <c r="AN18" s="5"/>
      <c r="AO18" s="5"/>
      <c r="AP18" s="5"/>
      <c r="AQ18" s="5"/>
      <c r="AR18" s="5"/>
      <c r="AS18" s="5"/>
      <c r="AT18" s="5"/>
      <c r="AU18" s="5"/>
      <c r="AV18" s="5">
        <f t="shared" si="40"/>
        <v>2011.5</v>
      </c>
      <c r="AW18" s="3">
        <f t="shared" si="3"/>
        <v>-1.490414086634466</v>
      </c>
      <c r="AX18" s="3">
        <f t="shared" si="4"/>
        <v>-1.1269789353061834</v>
      </c>
      <c r="AY18" s="3">
        <f t="shared" si="5"/>
        <v>-4.651518804635149</v>
      </c>
      <c r="AZ18" s="3">
        <f t="shared" si="6"/>
        <v>-13.603868477322747</v>
      </c>
      <c r="BA18" s="3">
        <f t="shared" si="7"/>
        <v>-1.4526037766177491</v>
      </c>
      <c r="BB18" s="3">
        <f t="shared" si="8"/>
        <v>-1.1113188257572759</v>
      </c>
      <c r="BC18" s="3">
        <f t="shared" si="9"/>
        <v>-4.0969209653346095</v>
      </c>
      <c r="BD18" s="3">
        <f t="shared" si="10"/>
        <v>-13.761055892582718</v>
      </c>
      <c r="BE18" s="3">
        <f t="shared" si="11"/>
        <v>-0.97102544757460418</v>
      </c>
      <c r="BF18" s="3">
        <f t="shared" si="12"/>
        <v>-0.47247818089612459</v>
      </c>
      <c r="BG18" s="3">
        <f t="shared" si="13"/>
        <v>-3.3059525690070828</v>
      </c>
      <c r="BH18" s="3">
        <f t="shared" si="14"/>
        <v>-13.248949743143388</v>
      </c>
      <c r="BI18" s="3">
        <f t="shared" si="15"/>
        <v>-1.0088357575913269</v>
      </c>
      <c r="BJ18" s="3">
        <f t="shared" si="16"/>
        <v>-0.4881382904450301</v>
      </c>
      <c r="BK18" s="3">
        <f t="shared" si="17"/>
        <v>-3.8605504083076223</v>
      </c>
      <c r="BL18" s="3">
        <f t="shared" si="18"/>
        <v>-13.091762327883425</v>
      </c>
      <c r="BM18" s="2">
        <v>0</v>
      </c>
    </row>
    <row r="19" spans="1:65" x14ac:dyDescent="0.35">
      <c r="A19">
        <f t="shared" si="27"/>
        <v>16</v>
      </c>
      <c r="B19">
        <v>1.51614E-2</v>
      </c>
      <c r="C19">
        <v>6.4951000000000002E-3</v>
      </c>
      <c r="D19">
        <v>4.4841999999999998E-3</v>
      </c>
      <c r="E19">
        <v>3.0228999999999999E-2</v>
      </c>
      <c r="F19">
        <v>0</v>
      </c>
      <c r="G19">
        <v>0</v>
      </c>
      <c r="H19">
        <v>0</v>
      </c>
      <c r="I19">
        <v>0</v>
      </c>
      <c r="J19">
        <v>3.0641167</v>
      </c>
      <c r="K19">
        <v>0.99087950000000002</v>
      </c>
      <c r="L19">
        <v>0.55008040000000002</v>
      </c>
      <c r="M19">
        <v>5.6923577999999999</v>
      </c>
      <c r="N19">
        <v>3.0432229</v>
      </c>
      <c r="O19">
        <v>0.98797950000000001</v>
      </c>
      <c r="P19">
        <v>0.5396628</v>
      </c>
      <c r="Q19">
        <v>4.9500780000000004</v>
      </c>
      <c r="R19">
        <v>3.0906913999999999</v>
      </c>
      <c r="S19">
        <v>1.0019087</v>
      </c>
      <c r="T19">
        <v>0.55328379999999999</v>
      </c>
      <c r="U19">
        <v>5.7495697000000003</v>
      </c>
      <c r="V19">
        <v>3.0561672</v>
      </c>
      <c r="W19">
        <v>0.99278549999999999</v>
      </c>
      <c r="X19">
        <v>0.54115369999999996</v>
      </c>
      <c r="Y19">
        <v>4.9685078999999996</v>
      </c>
      <c r="AA19" s="5">
        <f t="shared" si="19"/>
        <v>-1.51614E-2</v>
      </c>
      <c r="AB19" s="5">
        <f t="shared" si="19"/>
        <v>-6.4951000000000002E-3</v>
      </c>
      <c r="AC19" s="5">
        <f t="shared" si="19"/>
        <v>-4.4841999999999998E-3</v>
      </c>
      <c r="AD19" s="5">
        <f t="shared" si="19"/>
        <v>-3.0228999999999999E-2</v>
      </c>
      <c r="AE19" s="5">
        <f t="shared" si="20"/>
        <v>-2.0893800000000073E-2</v>
      </c>
      <c r="AF19" s="5">
        <f t="shared" si="20"/>
        <v>-2.9000000000000137E-3</v>
      </c>
      <c r="AG19" s="5">
        <f t="shared" si="20"/>
        <v>-1.0417600000000027E-2</v>
      </c>
      <c r="AH19" s="5">
        <f t="shared" si="20"/>
        <v>-0.74227979999999949</v>
      </c>
      <c r="AI19" s="5">
        <f t="shared" si="28"/>
        <v>1.5310000000001781E-3</v>
      </c>
      <c r="AJ19" s="5">
        <f t="shared" si="29"/>
        <v>2.7190000000001588E-4</v>
      </c>
      <c r="AK19" s="5">
        <f t="shared" si="30"/>
        <v>2.771699999999995E-3</v>
      </c>
      <c r="AL19" s="5">
        <f t="shared" si="31"/>
        <v>-8.553000000001254E-3</v>
      </c>
      <c r="AM19" s="5"/>
      <c r="AN19" s="5"/>
      <c r="AO19" s="5"/>
      <c r="AP19" s="5"/>
      <c r="AQ19" s="5"/>
      <c r="AR19" s="5"/>
      <c r="AS19" s="5"/>
      <c r="AT19" s="5"/>
      <c r="AU19" s="5"/>
      <c r="AV19" s="5">
        <f t="shared" si="40"/>
        <v>2011.75</v>
      </c>
      <c r="AW19" s="3">
        <f t="shared" si="3"/>
        <v>-1.1665739258212604</v>
      </c>
      <c r="AX19" s="3">
        <f t="shared" si="4"/>
        <v>-0.93772017350483272</v>
      </c>
      <c r="AY19" s="3">
        <f t="shared" si="5"/>
        <v>-2.6933374879221166</v>
      </c>
      <c r="AZ19" s="3">
        <f t="shared" si="6"/>
        <v>-13.435941127907352</v>
      </c>
      <c r="BA19" s="3">
        <f t="shared" si="7"/>
        <v>-1.1170380840998844</v>
      </c>
      <c r="BB19" s="3">
        <f t="shared" si="8"/>
        <v>-0.9105819721896814</v>
      </c>
      <c r="BC19" s="3">
        <f t="shared" si="9"/>
        <v>-2.1923830048882746</v>
      </c>
      <c r="BD19" s="3">
        <f t="shared" si="10"/>
        <v>-13.584700086338646</v>
      </c>
      <c r="BE19" s="3">
        <f t="shared" si="11"/>
        <v>-0.62648765256860262</v>
      </c>
      <c r="BF19" s="3">
        <f t="shared" si="12"/>
        <v>-0.26230933018148483</v>
      </c>
      <c r="BG19" s="3">
        <f t="shared" si="13"/>
        <v>-1.3819128628020527</v>
      </c>
      <c r="BH19" s="3">
        <f t="shared" si="14"/>
        <v>-13.058939001991757</v>
      </c>
      <c r="BI19" s="3">
        <f t="shared" si="15"/>
        <v>-0.67602349428998554</v>
      </c>
      <c r="BJ19" s="3">
        <f t="shared" si="16"/>
        <v>-0.28944753149663371</v>
      </c>
      <c r="BK19" s="3">
        <f t="shared" si="17"/>
        <v>-1.8828673458359031</v>
      </c>
      <c r="BL19" s="3">
        <f t="shared" si="18"/>
        <v>-12.910180043560468</v>
      </c>
      <c r="BM19" s="2">
        <v>0</v>
      </c>
    </row>
    <row r="20" spans="1:65" x14ac:dyDescent="0.35">
      <c r="A20">
        <f t="shared" si="27"/>
        <v>17</v>
      </c>
      <c r="B20">
        <v>1.54442E-2</v>
      </c>
      <c r="C20">
        <v>6.5915000000000001E-3</v>
      </c>
      <c r="D20">
        <v>4.5859000000000004E-3</v>
      </c>
      <c r="E20">
        <v>3.1042E-2</v>
      </c>
      <c r="F20">
        <v>0</v>
      </c>
      <c r="G20">
        <v>0</v>
      </c>
      <c r="H20">
        <v>0</v>
      </c>
      <c r="I20">
        <v>0</v>
      </c>
      <c r="J20">
        <v>3.0643433</v>
      </c>
      <c r="K20">
        <v>0.99102809999999997</v>
      </c>
      <c r="L20">
        <v>0.54952970000000001</v>
      </c>
      <c r="M20">
        <v>5.6923542999999999</v>
      </c>
      <c r="N20">
        <v>3.0466829</v>
      </c>
      <c r="O20">
        <v>0.98874640000000003</v>
      </c>
      <c r="P20">
        <v>0.54291500000000004</v>
      </c>
      <c r="Q20">
        <v>4.9616848999999998</v>
      </c>
      <c r="R20">
        <v>3.0906913999999999</v>
      </c>
      <c r="S20">
        <v>1.0019087</v>
      </c>
      <c r="T20">
        <v>0.55328379999999999</v>
      </c>
      <c r="U20">
        <v>5.7495697000000003</v>
      </c>
      <c r="V20">
        <v>3.0594003999999999</v>
      </c>
      <c r="W20">
        <v>0.99339999999999995</v>
      </c>
      <c r="X20">
        <v>0.54453050000000003</v>
      </c>
      <c r="Y20">
        <v>4.9797012</v>
      </c>
      <c r="AA20" s="5">
        <f t="shared" si="19"/>
        <v>-1.54442E-2</v>
      </c>
      <c r="AB20" s="5">
        <f t="shared" si="19"/>
        <v>-6.5915000000000001E-3</v>
      </c>
      <c r="AC20" s="5">
        <f t="shared" si="19"/>
        <v>-4.5859000000000004E-3</v>
      </c>
      <c r="AD20" s="5">
        <f t="shared" si="19"/>
        <v>-3.1042E-2</v>
      </c>
      <c r="AE20" s="5">
        <f t="shared" si="20"/>
        <v>-1.7660400000000021E-2</v>
      </c>
      <c r="AF20" s="5">
        <f t="shared" si="20"/>
        <v>-2.2816999999999421E-3</v>
      </c>
      <c r="AG20" s="5">
        <f t="shared" si="20"/>
        <v>-6.6146999999999734E-3</v>
      </c>
      <c r="AH20" s="5">
        <f t="shared" si="20"/>
        <v>-0.73066940000000002</v>
      </c>
      <c r="AI20" s="5">
        <f t="shared" si="28"/>
        <v>1.813600000000061E-3</v>
      </c>
      <c r="AJ20" s="5">
        <f t="shared" si="29"/>
        <v>3.6449999999990657E-4</v>
      </c>
      <c r="AK20" s="5">
        <f t="shared" si="30"/>
        <v>2.4473000000000099E-3</v>
      </c>
      <c r="AL20" s="5">
        <f t="shared" si="31"/>
        <v>-8.1571000000002503E-3</v>
      </c>
      <c r="AM20" s="5"/>
      <c r="AN20" s="5"/>
      <c r="AO20" s="5"/>
      <c r="AP20" s="5"/>
      <c r="AQ20" s="5"/>
      <c r="AR20" s="5"/>
      <c r="AS20" s="5"/>
      <c r="AT20" s="5"/>
      <c r="AU20" s="5"/>
      <c r="AV20" s="5">
        <f t="shared" si="40"/>
        <v>2012</v>
      </c>
      <c r="AW20" s="3">
        <f t="shared" si="3"/>
        <v>-1.0711066138793417</v>
      </c>
      <c r="AX20" s="3">
        <f t="shared" si="4"/>
        <v>-0.88562959878479375</v>
      </c>
      <c r="AY20" s="3">
        <f t="shared" si="5"/>
        <v>-2.0243860384128314</v>
      </c>
      <c r="AZ20" s="3">
        <f t="shared" si="6"/>
        <v>-13.248146204749897</v>
      </c>
      <c r="BA20" s="3">
        <f t="shared" si="7"/>
        <v>-1.0124271870041752</v>
      </c>
      <c r="BB20" s="3">
        <f t="shared" si="8"/>
        <v>-0.84924903836048493</v>
      </c>
      <c r="BC20" s="3">
        <f t="shared" si="9"/>
        <v>-1.5820633100047325</v>
      </c>
      <c r="BD20" s="3">
        <f t="shared" si="10"/>
        <v>-13.39001943049756</v>
      </c>
      <c r="BE20" s="3">
        <f t="shared" si="11"/>
        <v>-0.51272669927511461</v>
      </c>
      <c r="BF20" s="3">
        <f t="shared" si="12"/>
        <v>-0.19135476116736619</v>
      </c>
      <c r="BG20" s="3">
        <f t="shared" si="13"/>
        <v>-0.75321200439989966</v>
      </c>
      <c r="BH20" s="3">
        <f t="shared" si="14"/>
        <v>-12.850118157537947</v>
      </c>
      <c r="BI20" s="3">
        <f t="shared" si="15"/>
        <v>-0.57140612615028541</v>
      </c>
      <c r="BJ20" s="3">
        <f t="shared" si="16"/>
        <v>-0.22773532159167217</v>
      </c>
      <c r="BK20" s="3">
        <f t="shared" si="17"/>
        <v>-1.1955347328080044</v>
      </c>
      <c r="BL20" s="3">
        <f t="shared" si="18"/>
        <v>-12.708244931790286</v>
      </c>
      <c r="BM20" s="2">
        <v>0</v>
      </c>
    </row>
    <row r="21" spans="1:65" x14ac:dyDescent="0.35">
      <c r="A21">
        <f t="shared" si="27"/>
        <v>18</v>
      </c>
      <c r="B21">
        <v>1.5731200000000001E-2</v>
      </c>
      <c r="C21">
        <v>6.6892000000000002E-3</v>
      </c>
      <c r="D21">
        <v>4.6835000000000002E-3</v>
      </c>
      <c r="E21">
        <v>3.1880899999999997E-2</v>
      </c>
      <c r="F21">
        <v>0</v>
      </c>
      <c r="G21">
        <v>0</v>
      </c>
      <c r="H21">
        <v>0</v>
      </c>
      <c r="I21">
        <v>0</v>
      </c>
      <c r="J21">
        <v>3.0644939</v>
      </c>
      <c r="K21">
        <v>0.99114239999999998</v>
      </c>
      <c r="L21">
        <v>0.54905530000000002</v>
      </c>
      <c r="M21">
        <v>5.6921575999999998</v>
      </c>
      <c r="N21">
        <v>3.0534913000000001</v>
      </c>
      <c r="O21">
        <v>0.9901065</v>
      </c>
      <c r="P21">
        <v>0.54923440000000001</v>
      </c>
      <c r="Q21">
        <v>4.9721194999999998</v>
      </c>
      <c r="R21">
        <v>3.0906913999999999</v>
      </c>
      <c r="S21">
        <v>1.0019087</v>
      </c>
      <c r="T21">
        <v>0.55328379999999999</v>
      </c>
      <c r="U21">
        <v>5.7495697000000003</v>
      </c>
      <c r="V21">
        <v>3.0660302000000001</v>
      </c>
      <c r="W21">
        <v>0.99463100000000004</v>
      </c>
      <c r="X21">
        <v>0.5509231</v>
      </c>
      <c r="Y21">
        <v>4.9897961000000004</v>
      </c>
      <c r="AA21" s="5">
        <f t="shared" si="19"/>
        <v>-1.5731200000000001E-2</v>
      </c>
      <c r="AB21" s="5">
        <f t="shared" si="19"/>
        <v>-6.6892000000000002E-3</v>
      </c>
      <c r="AC21" s="5">
        <f t="shared" si="19"/>
        <v>-4.6835000000000002E-3</v>
      </c>
      <c r="AD21" s="5">
        <f t="shared" si="19"/>
        <v>-3.1880899999999997E-2</v>
      </c>
      <c r="AE21" s="5">
        <f t="shared" si="20"/>
        <v>-1.1002599999999862E-2</v>
      </c>
      <c r="AF21" s="5">
        <f t="shared" si="20"/>
        <v>-1.0358999999999785E-3</v>
      </c>
      <c r="AG21" s="5">
        <f t="shared" si="20"/>
        <v>1.790999999999876E-4</v>
      </c>
      <c r="AH21" s="5">
        <f t="shared" si="20"/>
        <v>-0.72003810000000001</v>
      </c>
      <c r="AI21" s="5">
        <f t="shared" si="28"/>
        <v>2.0726000000001465E-3</v>
      </c>
      <c r="AJ21" s="5">
        <f t="shared" si="29"/>
        <v>4.4740000000003614E-4</v>
      </c>
      <c r="AK21" s="5">
        <f t="shared" si="30"/>
        <v>2.1437000000000192E-3</v>
      </c>
      <c r="AL21" s="5">
        <f t="shared" si="31"/>
        <v>-7.8545999999999339E-3</v>
      </c>
      <c r="AM21" s="5"/>
      <c r="AN21" s="5"/>
      <c r="AO21" s="5"/>
      <c r="AP21" s="5"/>
      <c r="AQ21" s="5"/>
      <c r="AR21" s="5"/>
      <c r="AS21" s="5"/>
      <c r="AT21" s="5"/>
      <c r="AU21" s="5"/>
      <c r="AV21" s="5">
        <f t="shared" si="40"/>
        <v>2012.25</v>
      </c>
      <c r="AW21" s="3">
        <f t="shared" si="3"/>
        <v>-0.86497797871375537</v>
      </c>
      <c r="AX21" s="3">
        <f t="shared" si="4"/>
        <v>-0.77103831916021681</v>
      </c>
      <c r="AY21" s="3">
        <f t="shared" si="5"/>
        <v>-0.81412107132000122</v>
      </c>
      <c r="AZ21" s="3">
        <f t="shared" si="6"/>
        <v>-13.077830850541737</v>
      </c>
      <c r="BA21" s="3">
        <f t="shared" si="7"/>
        <v>-0.79791854987527122</v>
      </c>
      <c r="BB21" s="3">
        <f t="shared" si="8"/>
        <v>-0.72638355171483615</v>
      </c>
      <c r="BC21" s="3">
        <f t="shared" si="9"/>
        <v>-0.42667072486127255</v>
      </c>
      <c r="BD21" s="3">
        <f t="shared" si="10"/>
        <v>-13.214442812998682</v>
      </c>
      <c r="BE21" s="3">
        <f t="shared" si="11"/>
        <v>-0.28893211402470925</v>
      </c>
      <c r="BF21" s="3">
        <f t="shared" si="12"/>
        <v>-5.873788699508057E-2</v>
      </c>
      <c r="BG21" s="3">
        <f t="shared" si="13"/>
        <v>0.41982071407114363</v>
      </c>
      <c r="BH21" s="3">
        <f t="shared" si="14"/>
        <v>-12.659950882933028</v>
      </c>
      <c r="BI21" s="3">
        <f t="shared" si="15"/>
        <v>-0.35599154286318796</v>
      </c>
      <c r="BJ21" s="3">
        <f t="shared" si="16"/>
        <v>-0.10339265444046733</v>
      </c>
      <c r="BK21" s="3">
        <f t="shared" si="17"/>
        <v>3.2370367612423789E-2</v>
      </c>
      <c r="BL21" s="3">
        <f t="shared" si="18"/>
        <v>-12.523338920476082</v>
      </c>
      <c r="BM21" s="2">
        <v>0</v>
      </c>
    </row>
    <row r="22" spans="1:65" x14ac:dyDescent="0.35">
      <c r="A22">
        <f t="shared" si="27"/>
        <v>19</v>
      </c>
      <c r="B22">
        <v>1.6021400000000002E-2</v>
      </c>
      <c r="C22">
        <v>6.7879000000000004E-3</v>
      </c>
      <c r="D22">
        <v>4.7783000000000001E-3</v>
      </c>
      <c r="E22">
        <v>3.2744000000000002E-2</v>
      </c>
      <c r="F22">
        <v>0</v>
      </c>
      <c r="G22">
        <v>0</v>
      </c>
      <c r="H22">
        <v>0</v>
      </c>
      <c r="I22">
        <v>0</v>
      </c>
      <c r="J22">
        <v>3.0645813</v>
      </c>
      <c r="K22">
        <v>0.99122840000000001</v>
      </c>
      <c r="L22">
        <v>0.54864120000000005</v>
      </c>
      <c r="M22">
        <v>5.6917966</v>
      </c>
      <c r="N22">
        <v>3.0409126</v>
      </c>
      <c r="O22">
        <v>0.98802310000000004</v>
      </c>
      <c r="P22">
        <v>0.53683809999999998</v>
      </c>
      <c r="Q22">
        <v>4.9809783000000003</v>
      </c>
      <c r="R22">
        <v>3.0906913999999999</v>
      </c>
      <c r="S22">
        <v>1.0019087</v>
      </c>
      <c r="T22">
        <v>0.55328379999999999</v>
      </c>
      <c r="U22">
        <v>5.7495697000000003</v>
      </c>
      <c r="V22">
        <v>3.0532113999999999</v>
      </c>
      <c r="W22">
        <v>0.99241670000000004</v>
      </c>
      <c r="X22">
        <v>0.53850260000000005</v>
      </c>
      <c r="Y22">
        <v>4.9983867000000002</v>
      </c>
      <c r="AA22" s="5">
        <f t="shared" si="19"/>
        <v>-1.6021400000000002E-2</v>
      </c>
      <c r="AB22" s="5">
        <f t="shared" si="19"/>
        <v>-6.7879000000000004E-3</v>
      </c>
      <c r="AC22" s="5">
        <f t="shared" si="19"/>
        <v>-4.7783000000000001E-3</v>
      </c>
      <c r="AD22" s="5">
        <f t="shared" si="19"/>
        <v>-3.2744000000000002E-2</v>
      </c>
      <c r="AE22" s="5">
        <f t="shared" si="20"/>
        <v>-2.3668699999999987E-2</v>
      </c>
      <c r="AF22" s="5">
        <f t="shared" si="20"/>
        <v>-3.2052999999999665E-3</v>
      </c>
      <c r="AG22" s="5">
        <f t="shared" si="20"/>
        <v>-1.1803100000000066E-2</v>
      </c>
      <c r="AH22" s="5">
        <f t="shared" si="20"/>
        <v>-0.71081829999999968</v>
      </c>
      <c r="AI22" s="5">
        <f t="shared" si="28"/>
        <v>2.2101000000000343E-3</v>
      </c>
      <c r="AJ22" s="5">
        <f t="shared" si="29"/>
        <v>5.0120000000002107E-4</v>
      </c>
      <c r="AK22" s="5">
        <f t="shared" si="30"/>
        <v>1.8002000000001267E-3</v>
      </c>
      <c r="AL22" s="5">
        <f t="shared" si="31"/>
        <v>-7.6207000000004799E-3</v>
      </c>
      <c r="AM22" s="5"/>
      <c r="AN22" s="5"/>
      <c r="AO22" s="5"/>
      <c r="AP22" s="5"/>
      <c r="AQ22" s="5"/>
      <c r="AR22" s="5"/>
      <c r="AS22" s="5"/>
      <c r="AT22" s="5"/>
      <c r="AU22" s="5"/>
      <c r="AV22" s="5">
        <f t="shared" si="40"/>
        <v>2012.5</v>
      </c>
      <c r="AW22" s="3">
        <f t="shared" si="3"/>
        <v>-1.2841819147650908</v>
      </c>
      <c r="AX22" s="3">
        <f t="shared" si="4"/>
        <v>-0.99741623163866799</v>
      </c>
      <c r="AY22" s="3">
        <f t="shared" si="5"/>
        <v>-2.9969068315392691</v>
      </c>
      <c r="AZ22" s="3">
        <f t="shared" si="6"/>
        <v>-12.932486060652497</v>
      </c>
      <c r="BA22" s="3">
        <f t="shared" si="7"/>
        <v>-1.2126736431854686</v>
      </c>
      <c r="BB22" s="3">
        <f t="shared" si="8"/>
        <v>-0.94739171343655815</v>
      </c>
      <c r="BC22" s="3">
        <f t="shared" si="9"/>
        <v>-2.6715403559619744</v>
      </c>
      <c r="BD22" s="3">
        <f t="shared" si="10"/>
        <v>-13.065029892584834</v>
      </c>
      <c r="BE22" s="3">
        <f t="shared" si="11"/>
        <v>-0.69429772250959398</v>
      </c>
      <c r="BF22" s="3">
        <f t="shared" si="12"/>
        <v>-0.26989485169656546</v>
      </c>
      <c r="BG22" s="3">
        <f t="shared" si="13"/>
        <v>-1.8079148531006919</v>
      </c>
      <c r="BH22" s="3">
        <f t="shared" si="14"/>
        <v>-12.495526404349876</v>
      </c>
      <c r="BI22" s="3">
        <f t="shared" si="15"/>
        <v>-0.76580599408921868</v>
      </c>
      <c r="BJ22" s="3">
        <f t="shared" si="16"/>
        <v>-0.31991936989867104</v>
      </c>
      <c r="BK22" s="3">
        <f t="shared" si="17"/>
        <v>-2.1332813286779886</v>
      </c>
      <c r="BL22" s="3">
        <f t="shared" si="18"/>
        <v>-12.362982572417543</v>
      </c>
      <c r="BM22" s="2">
        <v>0</v>
      </c>
    </row>
    <row r="23" spans="1:65" x14ac:dyDescent="0.35">
      <c r="A23">
        <f t="shared" si="27"/>
        <v>20</v>
      </c>
      <c r="B23">
        <v>1.6314200000000001E-2</v>
      </c>
      <c r="C23">
        <v>6.8871999999999996E-3</v>
      </c>
      <c r="D23">
        <v>4.8712E-3</v>
      </c>
      <c r="E23">
        <v>3.3630199999999999E-2</v>
      </c>
      <c r="F23">
        <v>0</v>
      </c>
      <c r="G23">
        <v>0</v>
      </c>
      <c r="H23">
        <v>0</v>
      </c>
      <c r="I23">
        <v>0</v>
      </c>
      <c r="J23">
        <v>3.0646157999999999</v>
      </c>
      <c r="K23">
        <v>0.99129089999999997</v>
      </c>
      <c r="L23">
        <v>0.54827429999999999</v>
      </c>
      <c r="M23">
        <v>5.6912932999999999</v>
      </c>
      <c r="N23">
        <v>3.0246409000000001</v>
      </c>
      <c r="O23">
        <v>0.98533459999999995</v>
      </c>
      <c r="P23">
        <v>0.52086440000000001</v>
      </c>
      <c r="Q23">
        <v>4.9891642000000003</v>
      </c>
      <c r="R23">
        <v>3.0906913999999999</v>
      </c>
      <c r="S23">
        <v>1.0019087</v>
      </c>
      <c r="T23">
        <v>0.55328379999999999</v>
      </c>
      <c r="U23">
        <v>5.7495697000000003</v>
      </c>
      <c r="V23">
        <v>3.0367084000000002</v>
      </c>
      <c r="W23">
        <v>0.98960950000000003</v>
      </c>
      <c r="X23">
        <v>0.52248360000000005</v>
      </c>
      <c r="Y23">
        <v>5.0063674000000002</v>
      </c>
      <c r="AA23" s="5">
        <f t="shared" si="19"/>
        <v>-1.6314200000000001E-2</v>
      </c>
      <c r="AB23" s="5">
        <f t="shared" si="19"/>
        <v>-6.8871999999999996E-3</v>
      </c>
      <c r="AC23" s="5">
        <f t="shared" si="19"/>
        <v>-4.8712E-3</v>
      </c>
      <c r="AD23" s="5">
        <f t="shared" si="19"/>
        <v>-3.3630199999999999E-2</v>
      </c>
      <c r="AE23" s="5">
        <f t="shared" si="20"/>
        <v>-3.9974899999999813E-2</v>
      </c>
      <c r="AF23" s="5">
        <f t="shared" si="20"/>
        <v>-5.9563000000000255E-3</v>
      </c>
      <c r="AG23" s="5">
        <f t="shared" si="20"/>
        <v>-2.7409899999999987E-2</v>
      </c>
      <c r="AH23" s="5">
        <f t="shared" si="20"/>
        <v>-0.70212909999999962</v>
      </c>
      <c r="AI23" s="5">
        <f t="shared" si="28"/>
        <v>2.3061000000001441E-3</v>
      </c>
      <c r="AJ23" s="5">
        <f t="shared" si="29"/>
        <v>5.4430000000007042E-4</v>
      </c>
      <c r="AK23" s="5">
        <f t="shared" si="30"/>
        <v>1.4809000000000419E-3</v>
      </c>
      <c r="AL23" s="5">
        <f t="shared" si="31"/>
        <v>-7.4430000000005325E-3</v>
      </c>
      <c r="AM23" s="5"/>
      <c r="AN23" s="5"/>
      <c r="AO23" s="5"/>
      <c r="AP23" s="5"/>
      <c r="AQ23" s="5"/>
      <c r="AR23" s="5"/>
      <c r="AS23" s="5"/>
      <c r="AT23" s="5"/>
      <c r="AU23" s="5"/>
      <c r="AV23" s="5">
        <f t="shared" si="40"/>
        <v>2012.75</v>
      </c>
      <c r="AW23" s="3">
        <f t="shared" si="3"/>
        <v>-1.8212462104757472</v>
      </c>
      <c r="AX23" s="3">
        <f t="shared" si="4"/>
        <v>-1.2819032313024157</v>
      </c>
      <c r="AY23" s="3">
        <f t="shared" si="5"/>
        <v>-5.8344560241958989</v>
      </c>
      <c r="AZ23" s="3">
        <f t="shared" si="6"/>
        <v>-12.796771556661007</v>
      </c>
      <c r="BA23" s="3">
        <f t="shared" si="7"/>
        <v>-1.7466318377823056</v>
      </c>
      <c r="BB23" s="3">
        <f t="shared" si="8"/>
        <v>-1.2275769239252992</v>
      </c>
      <c r="BC23" s="3">
        <f t="shared" si="9"/>
        <v>-5.566799533982369</v>
      </c>
      <c r="BD23" s="3">
        <f t="shared" si="10"/>
        <v>-12.926224722521409</v>
      </c>
      <c r="BE23" s="3">
        <f t="shared" si="11"/>
        <v>-1.2187823087092944</v>
      </c>
      <c r="BF23" s="3">
        <f t="shared" si="12"/>
        <v>-0.54016897946888498</v>
      </c>
      <c r="BG23" s="3">
        <f t="shared" si="13"/>
        <v>-4.6863833714271017</v>
      </c>
      <c r="BH23" s="3">
        <f t="shared" si="14"/>
        <v>-12.341307906920406</v>
      </c>
      <c r="BI23" s="3">
        <f t="shared" si="15"/>
        <v>-1.2933966814027378</v>
      </c>
      <c r="BJ23" s="3">
        <f t="shared" si="16"/>
        <v>-0.59449528684599962</v>
      </c>
      <c r="BK23" s="3">
        <f t="shared" si="17"/>
        <v>-4.9540398616406236</v>
      </c>
      <c r="BL23" s="3">
        <f t="shared" si="18"/>
        <v>-12.211854741060007</v>
      </c>
      <c r="BM23" s="2">
        <v>0</v>
      </c>
    </row>
    <row r="24" spans="1:65" x14ac:dyDescent="0.35">
      <c r="A24">
        <f t="shared" si="27"/>
        <v>21</v>
      </c>
      <c r="B24">
        <v>1.6608999999999999E-2</v>
      </c>
      <c r="C24">
        <v>6.9867999999999996E-3</v>
      </c>
      <c r="D24">
        <v>4.9630999999999998E-3</v>
      </c>
      <c r="E24">
        <v>3.4538800000000001E-2</v>
      </c>
      <c r="F24">
        <v>0</v>
      </c>
      <c r="G24">
        <v>0</v>
      </c>
      <c r="H24">
        <v>0</v>
      </c>
      <c r="I24">
        <v>0</v>
      </c>
      <c r="J24">
        <v>3.0646054999999999</v>
      </c>
      <c r="K24">
        <v>0.99133369999999998</v>
      </c>
      <c r="L24">
        <v>0.54794549999999997</v>
      </c>
      <c r="M24">
        <v>5.6906651999999998</v>
      </c>
      <c r="N24">
        <v>3.0349680999999999</v>
      </c>
      <c r="O24">
        <v>0.98732679999999995</v>
      </c>
      <c r="P24">
        <v>0.53130909999999998</v>
      </c>
      <c r="Q24">
        <v>4.9957909999999996</v>
      </c>
      <c r="R24">
        <v>3.0906913999999999</v>
      </c>
      <c r="S24">
        <v>1.0019087</v>
      </c>
      <c r="T24">
        <v>0.55328379999999999</v>
      </c>
      <c r="U24">
        <v>5.7495697000000003</v>
      </c>
      <c r="V24">
        <v>3.0469287</v>
      </c>
      <c r="W24">
        <v>0.99151339999999999</v>
      </c>
      <c r="X24">
        <v>0.53299629999999998</v>
      </c>
      <c r="Y24">
        <v>5.0128344</v>
      </c>
      <c r="AA24" s="5">
        <f t="shared" si="19"/>
        <v>-1.6608999999999999E-2</v>
      </c>
      <c r="AB24" s="5">
        <f t="shared" si="19"/>
        <v>-6.9867999999999996E-3</v>
      </c>
      <c r="AC24" s="5">
        <f t="shared" si="19"/>
        <v>-4.9630999999999998E-3</v>
      </c>
      <c r="AD24" s="5">
        <f t="shared" si="19"/>
        <v>-3.4538800000000001E-2</v>
      </c>
      <c r="AE24" s="5">
        <f t="shared" si="20"/>
        <v>-2.9637399999999925E-2</v>
      </c>
      <c r="AF24" s="5">
        <f t="shared" si="20"/>
        <v>-4.0069000000000354E-3</v>
      </c>
      <c r="AG24" s="5">
        <f t="shared" si="20"/>
        <v>-1.6636399999999996E-2</v>
      </c>
      <c r="AH24" s="5">
        <f t="shared" si="20"/>
        <v>-0.69487420000000011</v>
      </c>
      <c r="AI24" s="5">
        <f t="shared" si="28"/>
        <v>2.4837000000001025E-3</v>
      </c>
      <c r="AJ24" s="5">
        <f t="shared" si="29"/>
        <v>5.9840000000003883E-4</v>
      </c>
      <c r="AK24" s="5">
        <f t="shared" si="30"/>
        <v>1.3119999999999798E-3</v>
      </c>
      <c r="AL24" s="5">
        <f t="shared" si="31"/>
        <v>-7.3223000000002259E-3</v>
      </c>
      <c r="AM24" s="5"/>
      <c r="AN24" s="5"/>
      <c r="AO24" s="5"/>
      <c r="AP24" s="5"/>
      <c r="AQ24" s="5"/>
      <c r="AR24" s="5"/>
      <c r="AS24" s="5"/>
      <c r="AT24" s="5"/>
      <c r="AU24" s="5"/>
      <c r="AV24" s="5">
        <f t="shared" si="40"/>
        <v>2013</v>
      </c>
      <c r="AW24" s="3">
        <f t="shared" si="3"/>
        <v>-1.4963124432287198</v>
      </c>
      <c r="AX24" s="3">
        <f t="shared" si="4"/>
        <v>-1.097275630005013</v>
      </c>
      <c r="AY24" s="3">
        <f t="shared" si="5"/>
        <v>-3.903873563621417</v>
      </c>
      <c r="AZ24" s="3">
        <f t="shared" si="6"/>
        <v>-12.686392861712767</v>
      </c>
      <c r="BA24" s="3">
        <f t="shared" si="7"/>
        <v>-1.4159517834747211</v>
      </c>
      <c r="BB24" s="3">
        <f t="shared" si="8"/>
        <v>-1.0375496290230832</v>
      </c>
      <c r="BC24" s="3">
        <f t="shared" si="9"/>
        <v>-3.6667439024963344</v>
      </c>
      <c r="BD24" s="3">
        <f t="shared" si="10"/>
        <v>-12.813746740038654</v>
      </c>
      <c r="BE24" s="3">
        <f t="shared" si="11"/>
        <v>-0.87856393556470724</v>
      </c>
      <c r="BF24" s="3">
        <f t="shared" si="12"/>
        <v>-0.34020065900216623</v>
      </c>
      <c r="BG24" s="3">
        <f t="shared" si="13"/>
        <v>-2.7697178193180454</v>
      </c>
      <c r="BH24" s="3">
        <f t="shared" si="14"/>
        <v>-12.213027002699006</v>
      </c>
      <c r="BI24" s="3">
        <f t="shared" si="15"/>
        <v>-0.958924595318702</v>
      </c>
      <c r="BJ24" s="3">
        <f t="shared" si="16"/>
        <v>-0.39992665998409188</v>
      </c>
      <c r="BK24" s="3">
        <f t="shared" si="17"/>
        <v>-3.006847480443128</v>
      </c>
      <c r="BL24" s="3">
        <f t="shared" si="18"/>
        <v>-12.085673124373116</v>
      </c>
      <c r="BM24" s="2">
        <v>0</v>
      </c>
    </row>
    <row r="25" spans="1:65" x14ac:dyDescent="0.35">
      <c r="A25">
        <f t="shared" si="27"/>
        <v>22</v>
      </c>
      <c r="B25">
        <v>1.6905300000000002E-2</v>
      </c>
      <c r="C25">
        <v>7.0864999999999999E-3</v>
      </c>
      <c r="D25">
        <v>5.0543000000000003E-3</v>
      </c>
      <c r="E25">
        <v>3.5468899999999998E-2</v>
      </c>
      <c r="F25">
        <v>0</v>
      </c>
      <c r="G25">
        <v>0</v>
      </c>
      <c r="H25">
        <v>0</v>
      </c>
      <c r="I25">
        <v>0</v>
      </c>
      <c r="J25">
        <v>3.0645573000000002</v>
      </c>
      <c r="K25">
        <v>0.99135980000000001</v>
      </c>
      <c r="L25">
        <v>0.54764800000000002</v>
      </c>
      <c r="M25">
        <v>5.6899267</v>
      </c>
      <c r="N25">
        <v>3.0186988000000001</v>
      </c>
      <c r="O25">
        <v>0.98470990000000003</v>
      </c>
      <c r="P25">
        <v>0.51526349999999999</v>
      </c>
      <c r="Q25">
        <v>5.0031344000000004</v>
      </c>
      <c r="R25">
        <v>3.0906913999999999</v>
      </c>
      <c r="S25">
        <v>1.0019087</v>
      </c>
      <c r="T25">
        <v>0.55328379999999999</v>
      </c>
      <c r="U25">
        <v>5.7495697000000003</v>
      </c>
      <c r="V25">
        <v>3.0304598</v>
      </c>
      <c r="W25">
        <v>0.98879870000000003</v>
      </c>
      <c r="X25">
        <v>0.51687179999999999</v>
      </c>
      <c r="Y25">
        <v>5.0200639000000002</v>
      </c>
      <c r="AA25" s="5">
        <f t="shared" si="19"/>
        <v>-1.6905300000000002E-2</v>
      </c>
      <c r="AB25" s="5">
        <f t="shared" si="19"/>
        <v>-7.0864999999999999E-3</v>
      </c>
      <c r="AC25" s="5">
        <f t="shared" si="19"/>
        <v>-5.0543000000000003E-3</v>
      </c>
      <c r="AD25" s="5">
        <f t="shared" si="19"/>
        <v>-3.5468899999999998E-2</v>
      </c>
      <c r="AE25" s="5">
        <f t="shared" si="20"/>
        <v>-4.5858500000000024E-2</v>
      </c>
      <c r="AF25" s="5">
        <f t="shared" si="20"/>
        <v>-6.6498999999999864E-3</v>
      </c>
      <c r="AG25" s="5">
        <f t="shared" si="20"/>
        <v>-3.2384500000000038E-2</v>
      </c>
      <c r="AH25" s="5">
        <f t="shared" si="20"/>
        <v>-0.68679229999999958</v>
      </c>
      <c r="AI25" s="5">
        <f t="shared" si="28"/>
        <v>2.5322000000001926E-3</v>
      </c>
      <c r="AJ25" s="5">
        <f t="shared" si="29"/>
        <v>6.264000000000304E-4</v>
      </c>
      <c r="AK25" s="5">
        <f t="shared" si="30"/>
        <v>1.026800000000036E-3</v>
      </c>
      <c r="AL25" s="5">
        <f t="shared" si="31"/>
        <v>-7.2446000000004895E-3</v>
      </c>
      <c r="AM25" s="5"/>
      <c r="AN25" s="5"/>
      <c r="AO25" s="5"/>
      <c r="AP25" s="5"/>
      <c r="AQ25" s="5"/>
      <c r="AR25" s="5"/>
      <c r="AS25" s="5"/>
      <c r="AT25" s="5"/>
      <c r="AU25" s="5"/>
      <c r="AV25" s="5">
        <f t="shared" si="40"/>
        <v>2013.25</v>
      </c>
      <c r="AW25" s="3">
        <f t="shared" si="3"/>
        <v>-2.030736552992642</v>
      </c>
      <c r="AX25" s="3">
        <f t="shared" si="4"/>
        <v>-1.3710231281552887</v>
      </c>
      <c r="AY25" s="3">
        <f t="shared" si="5"/>
        <v>-6.7666539305868048</v>
      </c>
      <c r="AZ25" s="3">
        <f t="shared" si="6"/>
        <v>-12.562004422696182</v>
      </c>
      <c r="BA25" s="3">
        <f t="shared" si="7"/>
        <v>-1.9488066650717646</v>
      </c>
      <c r="BB25" s="3">
        <f t="shared" si="8"/>
        <v>-1.3085024613520129</v>
      </c>
      <c r="BC25" s="3">
        <f t="shared" si="9"/>
        <v>-6.5810710525050613</v>
      </c>
      <c r="BD25" s="3">
        <f t="shared" si="10"/>
        <v>-12.688006895542113</v>
      </c>
      <c r="BE25" s="3">
        <f t="shared" si="11"/>
        <v>-1.4018319654948381</v>
      </c>
      <c r="BF25" s="3">
        <f t="shared" si="12"/>
        <v>-0.60120248481722527</v>
      </c>
      <c r="BG25" s="3">
        <f t="shared" si="13"/>
        <v>-5.6675615660534513</v>
      </c>
      <c r="BH25" s="3">
        <f t="shared" si="14"/>
        <v>-12.071110295436551</v>
      </c>
      <c r="BI25" s="3">
        <f t="shared" si="15"/>
        <v>-1.4837618534157124</v>
      </c>
      <c r="BJ25" s="3">
        <f t="shared" si="16"/>
        <v>-0.66372315162050066</v>
      </c>
      <c r="BK25" s="3">
        <f t="shared" si="17"/>
        <v>-5.8531444441351868</v>
      </c>
      <c r="BL25" s="3">
        <f t="shared" si="18"/>
        <v>-11.945107822590611</v>
      </c>
      <c r="BM25" s="2">
        <v>0</v>
      </c>
    </row>
    <row r="26" spans="1:65" x14ac:dyDescent="0.35">
      <c r="A26">
        <f t="shared" si="27"/>
        <v>23</v>
      </c>
      <c r="B26">
        <v>1.72029E-2</v>
      </c>
      <c r="C26">
        <v>7.1862000000000002E-3</v>
      </c>
      <c r="D26">
        <v>5.1453999999999996E-3</v>
      </c>
      <c r="E26">
        <v>3.6420300000000003E-2</v>
      </c>
      <c r="F26">
        <v>0</v>
      </c>
      <c r="G26">
        <v>0</v>
      </c>
      <c r="H26">
        <v>0</v>
      </c>
      <c r="I26">
        <v>0</v>
      </c>
      <c r="J26">
        <v>3.0644765999999999</v>
      </c>
      <c r="K26">
        <v>0.99137169999999997</v>
      </c>
      <c r="L26">
        <v>0.54737590000000003</v>
      </c>
      <c r="M26">
        <v>5.6890896</v>
      </c>
      <c r="N26">
        <v>3.0257779</v>
      </c>
      <c r="O26">
        <v>0.98611550000000003</v>
      </c>
      <c r="P26">
        <v>0.52244590000000002</v>
      </c>
      <c r="Q26">
        <v>5.0101263999999999</v>
      </c>
      <c r="R26">
        <v>3.0906913999999999</v>
      </c>
      <c r="S26">
        <v>1.0019087</v>
      </c>
      <c r="T26">
        <v>0.55328379999999999</v>
      </c>
      <c r="U26">
        <v>5.7495697000000003</v>
      </c>
      <c r="V26">
        <v>3.0374417999999999</v>
      </c>
      <c r="W26">
        <v>0.99013019999999996</v>
      </c>
      <c r="X26">
        <v>0.52408480000000002</v>
      </c>
      <c r="Y26">
        <v>5.0269737000000001</v>
      </c>
      <c r="AA26" s="5">
        <f t="shared" si="19"/>
        <v>-1.72029E-2</v>
      </c>
      <c r="AB26" s="5">
        <f t="shared" si="19"/>
        <v>-7.1862000000000002E-3</v>
      </c>
      <c r="AC26" s="5">
        <f t="shared" si="19"/>
        <v>-5.1453999999999996E-3</v>
      </c>
      <c r="AD26" s="5">
        <f t="shared" si="19"/>
        <v>-3.6420300000000003E-2</v>
      </c>
      <c r="AE26" s="5">
        <f t="shared" si="20"/>
        <v>-3.8698699999999864E-2</v>
      </c>
      <c r="AF26" s="5">
        <f t="shared" si="20"/>
        <v>-5.2561999999999331E-3</v>
      </c>
      <c r="AG26" s="5">
        <f t="shared" si="20"/>
        <v>-2.4930000000000008E-2</v>
      </c>
      <c r="AH26" s="5">
        <f t="shared" si="20"/>
        <v>-0.6789632000000001</v>
      </c>
      <c r="AI26" s="5">
        <f t="shared" si="28"/>
        <v>2.6519999999998559E-3</v>
      </c>
      <c r="AJ26" s="5">
        <f t="shared" si="29"/>
        <v>6.6389999999990831E-4</v>
      </c>
      <c r="AK26" s="5">
        <f t="shared" si="30"/>
        <v>8.764000000000341E-4</v>
      </c>
      <c r="AL26" s="5">
        <f t="shared" si="31"/>
        <v>-7.2125000000001771E-3</v>
      </c>
      <c r="AM26" s="11"/>
      <c r="AN26" s="11"/>
      <c r="AO26" s="5"/>
      <c r="AP26" s="5"/>
      <c r="AQ26" s="5"/>
      <c r="AR26" s="5"/>
      <c r="AS26" s="5"/>
      <c r="AT26" s="5"/>
      <c r="AU26" s="5"/>
      <c r="AV26" s="5">
        <f t="shared" si="40"/>
        <v>2013.5</v>
      </c>
      <c r="AW26" s="3">
        <f t="shared" si="3"/>
        <v>-1.8087085627507122</v>
      </c>
      <c r="AX26" s="3">
        <f t="shared" si="4"/>
        <v>-1.2418696434116137</v>
      </c>
      <c r="AY26" s="3">
        <f t="shared" si="5"/>
        <v>-5.435799855336449</v>
      </c>
      <c r="AZ26" s="3">
        <f t="shared" si="6"/>
        <v>-12.442383296962207</v>
      </c>
      <c r="BA26" s="3">
        <f t="shared" si="7"/>
        <v>-1.7229025194815635</v>
      </c>
      <c r="BB26" s="3">
        <f t="shared" si="8"/>
        <v>-1.1756061205976178</v>
      </c>
      <c r="BC26" s="3">
        <f t="shared" si="9"/>
        <v>-5.2774001335300209</v>
      </c>
      <c r="BD26" s="3">
        <f t="shared" si="10"/>
        <v>-12.567827467158111</v>
      </c>
      <c r="BE26" s="3">
        <f t="shared" si="11"/>
        <v>-1.1662989064518052</v>
      </c>
      <c r="BF26" s="3">
        <f t="shared" si="12"/>
        <v>-0.45835513754895968</v>
      </c>
      <c r="BG26" s="3">
        <f t="shared" si="13"/>
        <v>-4.3474253177121778</v>
      </c>
      <c r="BH26" s="3">
        <f t="shared" si="14"/>
        <v>-11.934383541780536</v>
      </c>
      <c r="BI26" s="3">
        <f t="shared" si="15"/>
        <v>-1.2521049497209547</v>
      </c>
      <c r="BJ26" s="3">
        <f t="shared" si="16"/>
        <v>-0.52461866036295857</v>
      </c>
      <c r="BK26" s="3">
        <f t="shared" si="17"/>
        <v>-4.5058250395185997</v>
      </c>
      <c r="BL26" s="3">
        <f t="shared" si="18"/>
        <v>-11.808939371584625</v>
      </c>
      <c r="BM26" s="2">
        <v>0</v>
      </c>
    </row>
    <row r="27" spans="1:65" x14ac:dyDescent="0.35">
      <c r="A27">
        <f t="shared" si="27"/>
        <v>24</v>
      </c>
      <c r="B27">
        <v>1.6318900000000001E-2</v>
      </c>
      <c r="C27">
        <v>6.6861999999999998E-3</v>
      </c>
      <c r="D27">
        <v>1.304E-4</v>
      </c>
      <c r="E27">
        <v>3.6084900000000003E-2</v>
      </c>
      <c r="F27">
        <v>0</v>
      </c>
      <c r="G27">
        <v>0</v>
      </c>
      <c r="H27">
        <v>0</v>
      </c>
      <c r="I27">
        <v>0</v>
      </c>
      <c r="J27">
        <v>3.0655505000000001</v>
      </c>
      <c r="K27">
        <v>0.99197109999999999</v>
      </c>
      <c r="L27">
        <v>0.55223140000000004</v>
      </c>
      <c r="M27">
        <v>5.6894722</v>
      </c>
      <c r="N27">
        <v>3.0421501000000002</v>
      </c>
      <c r="O27">
        <v>0.98938930000000003</v>
      </c>
      <c r="P27">
        <v>0.53853770000000001</v>
      </c>
      <c r="Q27">
        <v>5.0178507000000003</v>
      </c>
      <c r="R27">
        <v>3.0906913999999999</v>
      </c>
      <c r="S27">
        <v>1.0019087</v>
      </c>
      <c r="T27">
        <v>0.55328379999999999</v>
      </c>
      <c r="U27">
        <v>5.7495697000000003</v>
      </c>
      <c r="V27">
        <v>3.0537548999999999</v>
      </c>
      <c r="W27">
        <v>0.99334020000000001</v>
      </c>
      <c r="X27">
        <v>0.54019030000000001</v>
      </c>
      <c r="Y27">
        <v>5.0346425000000004</v>
      </c>
      <c r="AA27" s="5">
        <f t="shared" si="19"/>
        <v>-1.6318900000000001E-2</v>
      </c>
      <c r="AB27" s="5">
        <f t="shared" si="19"/>
        <v>-6.6861999999999998E-3</v>
      </c>
      <c r="AC27" s="5">
        <f t="shared" si="19"/>
        <v>-1.304E-4</v>
      </c>
      <c r="AD27" s="5">
        <f t="shared" si="19"/>
        <v>-3.6084900000000003E-2</v>
      </c>
      <c r="AE27" s="5">
        <f t="shared" si="20"/>
        <v>-2.3400399999999877E-2</v>
      </c>
      <c r="AF27" s="5">
        <f t="shared" si="20"/>
        <v>-2.5817999999999675E-3</v>
      </c>
      <c r="AG27" s="5">
        <f t="shared" si="20"/>
        <v>-1.3693700000000031E-2</v>
      </c>
      <c r="AH27" s="5">
        <f t="shared" si="20"/>
        <v>-0.67162149999999965</v>
      </c>
      <c r="AI27" s="5">
        <f t="shared" si="28"/>
        <v>2.7827999999999464E-3</v>
      </c>
      <c r="AJ27" s="5">
        <f t="shared" si="29"/>
        <v>6.9949999999998833E-4</v>
      </c>
      <c r="AK27" s="5">
        <f t="shared" si="30"/>
        <v>7.3060000000004996E-4</v>
      </c>
      <c r="AL27" s="5">
        <f t="shared" si="31"/>
        <v>-7.2208000000003603E-3</v>
      </c>
      <c r="AM27" s="7"/>
      <c r="AN27" s="7"/>
      <c r="AO27" s="5"/>
      <c r="AP27" s="5"/>
      <c r="AQ27" s="5"/>
      <c r="AR27" s="5"/>
      <c r="AS27" s="5"/>
      <c r="AT27" s="5"/>
      <c r="AU27" s="5"/>
      <c r="AV27" s="5">
        <f t="shared" si="40"/>
        <v>2013.75</v>
      </c>
      <c r="AW27" s="3">
        <f t="shared" si="3"/>
        <v>-1.285126687187206</v>
      </c>
      <c r="AX27" s="3">
        <f t="shared" si="4"/>
        <v>-0.92503438686578598</v>
      </c>
      <c r="AY27" s="3">
        <f t="shared" si="5"/>
        <v>-2.4985549911275244</v>
      </c>
      <c r="AZ27" s="3">
        <f t="shared" si="6"/>
        <v>-12.308858522055999</v>
      </c>
      <c r="BA27" s="3">
        <f t="shared" si="7"/>
        <v>-1.1950885811504808</v>
      </c>
      <c r="BB27" s="3">
        <f t="shared" si="8"/>
        <v>-0.85521764607892703</v>
      </c>
      <c r="BC27" s="3">
        <f t="shared" si="9"/>
        <v>-2.3665070258699026</v>
      </c>
      <c r="BD27" s="3">
        <f t="shared" si="10"/>
        <v>-12.43444705088104</v>
      </c>
      <c r="BE27" s="3">
        <f t="shared" si="11"/>
        <v>-0.66708698254377696</v>
      </c>
      <c r="BF27" s="3">
        <f t="shared" si="12"/>
        <v>-0.18787140984002759</v>
      </c>
      <c r="BG27" s="3">
        <f t="shared" si="13"/>
        <v>-2.3429386510141823</v>
      </c>
      <c r="BH27" s="3">
        <f t="shared" si="14"/>
        <v>-11.806836605528936</v>
      </c>
      <c r="BI27" s="3">
        <f t="shared" si="15"/>
        <v>-0.75712508858049943</v>
      </c>
      <c r="BJ27" s="3">
        <f t="shared" si="16"/>
        <v>-0.25768815062689521</v>
      </c>
      <c r="BK27" s="3">
        <f t="shared" si="17"/>
        <v>-2.4749866162717993</v>
      </c>
      <c r="BL27" s="3">
        <f t="shared" si="18"/>
        <v>-11.68124807670389</v>
      </c>
      <c r="BM27" s="2">
        <v>0</v>
      </c>
    </row>
    <row r="28" spans="1:65" x14ac:dyDescent="0.35">
      <c r="A28">
        <f t="shared" si="27"/>
        <v>25</v>
      </c>
      <c r="B28">
        <v>1.5798699999999999E-2</v>
      </c>
      <c r="C28">
        <v>6.4072E-3</v>
      </c>
      <c r="D28">
        <v>-5.6799999999999998E-5</v>
      </c>
      <c r="E28">
        <v>3.5400300000000003E-2</v>
      </c>
      <c r="F28">
        <v>0</v>
      </c>
      <c r="G28">
        <v>0</v>
      </c>
      <c r="H28">
        <v>0</v>
      </c>
      <c r="I28">
        <v>0</v>
      </c>
      <c r="J28">
        <v>3.0662375000000002</v>
      </c>
      <c r="K28">
        <v>0.99233910000000003</v>
      </c>
      <c r="L28">
        <v>0.55227789999999999</v>
      </c>
      <c r="M28">
        <v>5.6901460999999998</v>
      </c>
      <c r="N28">
        <v>3.0082021999999999</v>
      </c>
      <c r="O28">
        <v>0.98387049999999998</v>
      </c>
      <c r="P28">
        <v>0.50563950000000002</v>
      </c>
      <c r="Q28">
        <v>5.0265443999999997</v>
      </c>
      <c r="R28">
        <v>3.0906913999999999</v>
      </c>
      <c r="S28">
        <v>1.0019087</v>
      </c>
      <c r="T28">
        <v>0.55328379999999999</v>
      </c>
      <c r="U28">
        <v>5.7495697000000003</v>
      </c>
      <c r="V28">
        <v>3.0195618999999998</v>
      </c>
      <c r="W28">
        <v>0.98772959999999999</v>
      </c>
      <c r="X28">
        <v>0.50717020000000002</v>
      </c>
      <c r="Y28">
        <v>5.0433247999999997</v>
      </c>
      <c r="AA28" s="5">
        <f t="shared" si="19"/>
        <v>-1.5798699999999999E-2</v>
      </c>
      <c r="AB28" s="5">
        <f t="shared" si="19"/>
        <v>-6.4072E-3</v>
      </c>
      <c r="AC28" s="5">
        <f t="shared" si="19"/>
        <v>5.6799999999999998E-5</v>
      </c>
      <c r="AD28" s="5">
        <f t="shared" si="19"/>
        <v>-3.5400300000000003E-2</v>
      </c>
      <c r="AE28" s="5">
        <f t="shared" si="20"/>
        <v>-5.8035300000000234E-2</v>
      </c>
      <c r="AF28" s="5">
        <f t="shared" si="20"/>
        <v>-8.4686000000000483E-3</v>
      </c>
      <c r="AG28" s="5">
        <f t="shared" si="20"/>
        <v>-4.6638399999999969E-2</v>
      </c>
      <c r="AH28" s="5">
        <f t="shared" si="20"/>
        <v>-0.66360170000000007</v>
      </c>
      <c r="AI28" s="5">
        <f t="shared" si="28"/>
        <v>2.7045000000001651E-3</v>
      </c>
      <c r="AJ28" s="5">
        <f t="shared" si="29"/>
        <v>6.9670000000004832E-4</v>
      </c>
      <c r="AK28" s="5">
        <f t="shared" si="30"/>
        <v>4.6799999999998926E-4</v>
      </c>
      <c r="AL28" s="5">
        <f t="shared" si="31"/>
        <v>-7.2429000000004962E-3</v>
      </c>
      <c r="AM28" s="5"/>
      <c r="AN28" s="5"/>
      <c r="AO28" s="5"/>
      <c r="AP28" s="5"/>
      <c r="AQ28" s="5"/>
      <c r="AR28" s="5"/>
      <c r="AS28" s="5"/>
      <c r="AT28" s="5"/>
      <c r="AU28" s="5"/>
      <c r="AV28" s="5">
        <f t="shared" si="40"/>
        <v>2014</v>
      </c>
      <c r="AW28" s="3">
        <f t="shared" si="3"/>
        <v>-2.3889153087234862</v>
      </c>
      <c r="AX28" s="3">
        <f t="shared" si="4"/>
        <v>-1.4847460651853854</v>
      </c>
      <c r="AY28" s="3">
        <f t="shared" si="5"/>
        <v>-8.4191151087380423</v>
      </c>
      <c r="AZ28" s="3">
        <f t="shared" si="6"/>
        <v>-12.157466323088492</v>
      </c>
      <c r="BA28" s="3">
        <f t="shared" si="7"/>
        <v>-2.3014106164077095</v>
      </c>
      <c r="BB28" s="3">
        <f t="shared" si="8"/>
        <v>-1.4152087909806552</v>
      </c>
      <c r="BC28" s="3">
        <f t="shared" si="9"/>
        <v>-8.3345292235196435</v>
      </c>
      <c r="BD28" s="3">
        <f t="shared" si="10"/>
        <v>-12.283439228504363</v>
      </c>
      <c r="BE28" s="3">
        <f t="shared" si="11"/>
        <v>-1.7902402032114926</v>
      </c>
      <c r="BF28" s="3">
        <f t="shared" si="12"/>
        <v>-0.77570940346161821</v>
      </c>
      <c r="BG28" s="3">
        <f t="shared" si="13"/>
        <v>-8.3447952027512713</v>
      </c>
      <c r="BH28" s="3">
        <f t="shared" si="14"/>
        <v>-11.667735761164884</v>
      </c>
      <c r="BI28" s="3">
        <f t="shared" si="15"/>
        <v>-1.8777448955272673</v>
      </c>
      <c r="BJ28" s="3">
        <f t="shared" si="16"/>
        <v>-0.84524667766634298</v>
      </c>
      <c r="BK28" s="3">
        <f t="shared" si="17"/>
        <v>-8.4293810879696771</v>
      </c>
      <c r="BL28" s="3">
        <f t="shared" si="18"/>
        <v>-11.541762855749015</v>
      </c>
      <c r="BM28" s="2">
        <v>0</v>
      </c>
    </row>
    <row r="29" spans="1:65" x14ac:dyDescent="0.35">
      <c r="A29">
        <f t="shared" si="27"/>
        <v>26</v>
      </c>
      <c r="B29">
        <v>1.52785E-2</v>
      </c>
      <c r="C29">
        <v>6.1381999999999999E-3</v>
      </c>
      <c r="D29">
        <v>3.9530000000000001E-4</v>
      </c>
      <c r="E29">
        <v>3.4830600000000003E-2</v>
      </c>
      <c r="F29">
        <v>0</v>
      </c>
      <c r="G29">
        <v>0</v>
      </c>
      <c r="H29">
        <v>0</v>
      </c>
      <c r="I29">
        <v>0</v>
      </c>
      <c r="J29">
        <v>3.0669043</v>
      </c>
      <c r="K29">
        <v>0.99268769999999995</v>
      </c>
      <c r="L29">
        <v>0.55170149999999996</v>
      </c>
      <c r="M29">
        <v>5.6906553999999998</v>
      </c>
      <c r="N29">
        <v>3.0305488999999999</v>
      </c>
      <c r="O29">
        <v>0.98801620000000001</v>
      </c>
      <c r="P29">
        <v>0.52793579999999996</v>
      </c>
      <c r="Q29">
        <v>5.0356953999999998</v>
      </c>
      <c r="R29">
        <v>3.0906913999999999</v>
      </c>
      <c r="S29">
        <v>1.0019087</v>
      </c>
      <c r="T29">
        <v>0.55328379999999999</v>
      </c>
      <c r="U29">
        <v>5.7495697000000003</v>
      </c>
      <c r="V29">
        <v>3.0418858000000002</v>
      </c>
      <c r="W29">
        <v>0.99182590000000004</v>
      </c>
      <c r="X29">
        <v>0.52955890000000005</v>
      </c>
      <c r="Y29">
        <v>5.0524820999999998</v>
      </c>
      <c r="AA29" s="5">
        <f t="shared" si="19"/>
        <v>-1.52785E-2</v>
      </c>
      <c r="AB29" s="5">
        <f t="shared" si="19"/>
        <v>-6.1381999999999999E-3</v>
      </c>
      <c r="AC29" s="5">
        <f t="shared" si="19"/>
        <v>-3.9530000000000001E-4</v>
      </c>
      <c r="AD29" s="5">
        <f t="shared" si="19"/>
        <v>-3.4830600000000003E-2</v>
      </c>
      <c r="AE29" s="5">
        <f t="shared" si="20"/>
        <v>-3.6355400000000149E-2</v>
      </c>
      <c r="AF29" s="5">
        <f t="shared" si="20"/>
        <v>-4.6714999999999396E-3</v>
      </c>
      <c r="AG29" s="5">
        <f t="shared" si="20"/>
        <v>-2.3765700000000001E-2</v>
      </c>
      <c r="AH29" s="5">
        <f t="shared" si="20"/>
        <v>-0.65495999999999999</v>
      </c>
      <c r="AI29" s="5">
        <f t="shared" si="28"/>
        <v>2.8283000000004777E-3</v>
      </c>
      <c r="AJ29" s="5">
        <f t="shared" si="29"/>
        <v>7.2689999999999214E-4</v>
      </c>
      <c r="AK29" s="5">
        <f t="shared" si="30"/>
        <v>4.3610000000006421E-4</v>
      </c>
      <c r="AL29" s="5">
        <f t="shared" si="31"/>
        <v>-7.297000000000553E-3</v>
      </c>
      <c r="AM29" s="5"/>
      <c r="AN29" s="5"/>
      <c r="AO29" s="5"/>
      <c r="AP29" s="5"/>
      <c r="AQ29" s="5"/>
      <c r="AR29" s="5"/>
      <c r="AS29" s="5"/>
      <c r="AT29" s="5"/>
      <c r="AU29" s="5"/>
      <c r="AV29" s="5">
        <f t="shared" si="40"/>
        <v>2014.25</v>
      </c>
      <c r="AW29" s="3">
        <f t="shared" si="3"/>
        <v>-1.6706261906316544</v>
      </c>
      <c r="AX29" s="3">
        <f t="shared" si="4"/>
        <v>-1.0789106831790103</v>
      </c>
      <c r="AY29" s="3">
        <f t="shared" si="5"/>
        <v>-4.3668366939353733</v>
      </c>
      <c r="AZ29" s="3">
        <f t="shared" si="6"/>
        <v>-11.997256072919683</v>
      </c>
      <c r="BA29" s="3">
        <f t="shared" si="7"/>
        <v>-1.5791159220878432</v>
      </c>
      <c r="BB29" s="3">
        <f t="shared" si="8"/>
        <v>-1.0063591622669759</v>
      </c>
      <c r="BC29" s="3">
        <f t="shared" si="9"/>
        <v>-4.2880163850812076</v>
      </c>
      <c r="BD29" s="3">
        <f t="shared" si="10"/>
        <v>-12.124169918315809</v>
      </c>
      <c r="BE29" s="3">
        <f t="shared" si="11"/>
        <v>-1.0847766943021131</v>
      </c>
      <c r="BF29" s="3">
        <f t="shared" si="12"/>
        <v>-0.39370852853158822</v>
      </c>
      <c r="BG29" s="3">
        <f t="shared" si="13"/>
        <v>-4.2165702303230184</v>
      </c>
      <c r="BH29" s="3">
        <f t="shared" si="14"/>
        <v>-11.518375018568786</v>
      </c>
      <c r="BI29" s="3">
        <f t="shared" si="15"/>
        <v>-1.1762869628459234</v>
      </c>
      <c r="BJ29" s="3">
        <f t="shared" si="16"/>
        <v>-0.46626004944362093</v>
      </c>
      <c r="BK29" s="3">
        <f t="shared" si="17"/>
        <v>-4.2953905391771814</v>
      </c>
      <c r="BL29" s="3">
        <f t="shared" si="18"/>
        <v>-11.391461173172662</v>
      </c>
      <c r="BM29" s="2">
        <v>0</v>
      </c>
    </row>
    <row r="30" spans="1:65" x14ac:dyDescent="0.35">
      <c r="A30">
        <f t="shared" si="27"/>
        <v>27</v>
      </c>
      <c r="B30">
        <v>1.4862200000000001E-2</v>
      </c>
      <c r="C30">
        <v>5.9214000000000003E-3</v>
      </c>
      <c r="D30">
        <v>9.0629999999999997E-4</v>
      </c>
      <c r="E30">
        <v>3.4448300000000001E-2</v>
      </c>
      <c r="F30">
        <v>0</v>
      </c>
      <c r="G30">
        <v>0</v>
      </c>
      <c r="H30">
        <v>0</v>
      </c>
      <c r="I30">
        <v>0</v>
      </c>
      <c r="J30">
        <v>3.0674496000000002</v>
      </c>
      <c r="K30">
        <v>0.99297630000000003</v>
      </c>
      <c r="L30">
        <v>0.5510813</v>
      </c>
      <c r="M30">
        <v>5.6909353999999999</v>
      </c>
      <c r="N30">
        <v>3.0520912999999998</v>
      </c>
      <c r="O30">
        <v>0.99202939999999995</v>
      </c>
      <c r="P30">
        <v>0.54898570000000002</v>
      </c>
      <c r="Q30">
        <v>5.0447975999999999</v>
      </c>
      <c r="R30">
        <v>3.0906913999999999</v>
      </c>
      <c r="S30">
        <v>1.0019087</v>
      </c>
      <c r="T30">
        <v>0.55328379999999999</v>
      </c>
      <c r="U30">
        <v>5.7495697000000003</v>
      </c>
      <c r="V30">
        <v>3.0634058999999998</v>
      </c>
      <c r="W30">
        <v>0.99579280000000003</v>
      </c>
      <c r="X30">
        <v>0.5506993</v>
      </c>
      <c r="Y30">
        <v>5.0616136000000003</v>
      </c>
      <c r="AA30" s="5">
        <f t="shared" si="19"/>
        <v>-1.4862200000000001E-2</v>
      </c>
      <c r="AB30" s="5">
        <f t="shared" si="19"/>
        <v>-5.9214000000000003E-3</v>
      </c>
      <c r="AC30" s="5">
        <f t="shared" si="19"/>
        <v>-9.0629999999999997E-4</v>
      </c>
      <c r="AD30" s="5">
        <f t="shared" si="19"/>
        <v>-3.4448300000000001E-2</v>
      </c>
      <c r="AE30" s="5">
        <f t="shared" si="20"/>
        <v>-1.535830000000038E-2</v>
      </c>
      <c r="AF30" s="5">
        <f t="shared" si="20"/>
        <v>-9.4690000000008379E-4</v>
      </c>
      <c r="AG30" s="5">
        <f t="shared" si="20"/>
        <v>-2.0955999999999753E-3</v>
      </c>
      <c r="AH30" s="5">
        <f t="shared" si="20"/>
        <v>-0.64613779999999998</v>
      </c>
      <c r="AI30" s="5">
        <f t="shared" si="28"/>
        <v>2.9350000000003054E-3</v>
      </c>
      <c r="AJ30" s="5">
        <f t="shared" si="29"/>
        <v>7.5240000000013213E-4</v>
      </c>
      <c r="AK30" s="5">
        <f t="shared" si="30"/>
        <v>4.1739999999998575E-4</v>
      </c>
      <c r="AL30" s="5">
        <f t="shared" si="31"/>
        <v>-7.3700000000000987E-3</v>
      </c>
      <c r="AM30" s="5"/>
      <c r="AN30" s="5"/>
      <c r="AO30" s="5"/>
      <c r="AP30" s="5"/>
      <c r="AQ30" s="5"/>
      <c r="AR30" s="5"/>
      <c r="AS30" s="5"/>
      <c r="AT30" s="5"/>
      <c r="AU30" s="5"/>
      <c r="AV30" s="5">
        <f t="shared" si="40"/>
        <v>2014.5</v>
      </c>
      <c r="AW30" s="3">
        <f t="shared" si="3"/>
        <v>-0.97779092406315238</v>
      </c>
      <c r="AX30" s="3">
        <f t="shared" si="4"/>
        <v>-0.68552154502701534</v>
      </c>
      <c r="AY30" s="3">
        <f t="shared" si="5"/>
        <v>-0.54256061717331594</v>
      </c>
      <c r="AZ30" s="3">
        <f t="shared" si="6"/>
        <v>-11.837165831731721</v>
      </c>
      <c r="BA30" s="3">
        <f t="shared" si="7"/>
        <v>-0.88282835355222056</v>
      </c>
      <c r="BB30" s="3">
        <f t="shared" si="8"/>
        <v>-0.61042488202766898</v>
      </c>
      <c r="BC30" s="3">
        <f t="shared" si="9"/>
        <v>-0.46712012894648092</v>
      </c>
      <c r="BD30" s="3">
        <f t="shared" si="10"/>
        <v>-11.965349337359978</v>
      </c>
      <c r="BE30" s="3">
        <f t="shared" si="11"/>
        <v>-0.40195860382566911</v>
      </c>
      <c r="BF30" s="3">
        <f t="shared" si="12"/>
        <v>-1.9412946508985833E-2</v>
      </c>
      <c r="BG30" s="3">
        <f t="shared" si="13"/>
        <v>-0.30331630891776751</v>
      </c>
      <c r="BH30" s="3">
        <f t="shared" si="14"/>
        <v>-11.366203630856059</v>
      </c>
      <c r="BI30" s="3">
        <f t="shared" si="15"/>
        <v>-0.49692117433660254</v>
      </c>
      <c r="BJ30" s="3">
        <f t="shared" si="16"/>
        <v>-9.4509609508339823E-2</v>
      </c>
      <c r="BK30" s="3">
        <f t="shared" si="17"/>
        <v>-0.37875679714460742</v>
      </c>
      <c r="BL30" s="3">
        <f t="shared" si="18"/>
        <v>-11.238020125227806</v>
      </c>
      <c r="BM30" s="2">
        <v>0</v>
      </c>
    </row>
    <row r="31" spans="1:65" x14ac:dyDescent="0.35">
      <c r="A31">
        <f t="shared" si="27"/>
        <v>28</v>
      </c>
      <c r="B31">
        <v>1.4521900000000001E-2</v>
      </c>
      <c r="C31">
        <v>5.7409000000000002E-3</v>
      </c>
      <c r="D31">
        <v>1.294E-3</v>
      </c>
      <c r="E31">
        <v>3.4219600000000003E-2</v>
      </c>
      <c r="F31">
        <v>0</v>
      </c>
      <c r="G31">
        <v>0</v>
      </c>
      <c r="H31">
        <v>0</v>
      </c>
      <c r="I31">
        <v>0</v>
      </c>
      <c r="J31">
        <v>3.0679039000000001</v>
      </c>
      <c r="K31">
        <v>0.99322160000000004</v>
      </c>
      <c r="L31">
        <v>0.55059769999999997</v>
      </c>
      <c r="M31">
        <v>5.6910267000000001</v>
      </c>
      <c r="N31">
        <v>3.0332184999999998</v>
      </c>
      <c r="O31">
        <v>0.9889618</v>
      </c>
      <c r="P31">
        <v>0.53009799999999996</v>
      </c>
      <c r="Q31">
        <v>5.0557504</v>
      </c>
      <c r="R31">
        <v>3.0906913999999999</v>
      </c>
      <c r="S31">
        <v>1.0019087</v>
      </c>
      <c r="T31">
        <v>0.55328379999999999</v>
      </c>
      <c r="U31">
        <v>5.7495697000000003</v>
      </c>
      <c r="V31">
        <v>3.0443660000000001</v>
      </c>
      <c r="W31">
        <v>0.99265680000000001</v>
      </c>
      <c r="X31">
        <v>0.53174399999999999</v>
      </c>
      <c r="Y31">
        <v>5.0726275999999997</v>
      </c>
      <c r="AA31" s="5">
        <f t="shared" si="19"/>
        <v>-1.4521900000000001E-2</v>
      </c>
      <c r="AB31" s="5">
        <f t="shared" si="19"/>
        <v>-5.7409000000000002E-3</v>
      </c>
      <c r="AC31" s="5">
        <f t="shared" si="19"/>
        <v>-1.294E-3</v>
      </c>
      <c r="AD31" s="5">
        <f t="shared" si="19"/>
        <v>-3.4219600000000003E-2</v>
      </c>
      <c r="AE31" s="5">
        <f t="shared" si="20"/>
        <v>-3.468540000000031E-2</v>
      </c>
      <c r="AF31" s="5">
        <f t="shared" si="20"/>
        <v>-4.2598000000000358E-3</v>
      </c>
      <c r="AG31" s="5">
        <f t="shared" si="20"/>
        <v>-2.049970000000001E-2</v>
      </c>
      <c r="AH31" s="5">
        <f t="shared" si="20"/>
        <v>-0.63527630000000013</v>
      </c>
      <c r="AI31" s="5">
        <f t="shared" si="28"/>
        <v>2.8819000000005757E-3</v>
      </c>
      <c r="AJ31" s="5">
        <f t="shared" si="29"/>
        <v>7.4880000000005636E-4</v>
      </c>
      <c r="AK31" s="5">
        <f t="shared" si="30"/>
        <v>2.5390000000001176E-4</v>
      </c>
      <c r="AL31" s="5">
        <f t="shared" si="31"/>
        <v>-7.4462000000005135E-3</v>
      </c>
      <c r="AM31" s="5"/>
      <c r="AN31" s="5"/>
      <c r="AO31" s="5"/>
      <c r="AP31" s="5"/>
      <c r="AQ31" s="5"/>
      <c r="AR31" s="5"/>
      <c r="AS31" s="5"/>
      <c r="AT31" s="5"/>
      <c r="AU31" s="5"/>
      <c r="AV31" s="5">
        <f t="shared" si="40"/>
        <v>2014.75</v>
      </c>
      <c r="AW31" s="3">
        <f t="shared" si="3"/>
        <v>-1.592113013935986</v>
      </c>
      <c r="AX31" s="3">
        <f t="shared" si="4"/>
        <v>-0.99816480284082132</v>
      </c>
      <c r="AY31" s="3">
        <f t="shared" si="5"/>
        <v>-3.9389730912056362</v>
      </c>
      <c r="AZ31" s="3">
        <f t="shared" si="6"/>
        <v>-11.644278353560965</v>
      </c>
      <c r="BA31" s="3">
        <f t="shared" si="7"/>
        <v>-1.4988685056036246</v>
      </c>
      <c r="BB31" s="3">
        <f t="shared" si="8"/>
        <v>-0.92342745401851278</v>
      </c>
      <c r="BC31" s="3">
        <f t="shared" si="9"/>
        <v>-3.8930834410839426</v>
      </c>
      <c r="BD31" s="3">
        <f t="shared" si="10"/>
        <v>-11.773787175760312</v>
      </c>
      <c r="BE31" s="3">
        <f t="shared" si="11"/>
        <v>-1.029009237221149</v>
      </c>
      <c r="BF31" s="3">
        <f t="shared" si="12"/>
        <v>-0.35043113209815735</v>
      </c>
      <c r="BG31" s="3">
        <f t="shared" si="13"/>
        <v>-3.6592070832364838</v>
      </c>
      <c r="BH31" s="3">
        <f t="shared" si="14"/>
        <v>-11.178619158230234</v>
      </c>
      <c r="BI31" s="3">
        <f t="shared" si="15"/>
        <v>-1.1222537455535131</v>
      </c>
      <c r="BJ31" s="3">
        <f t="shared" si="16"/>
        <v>-0.42516848092047071</v>
      </c>
      <c r="BK31" s="3">
        <f t="shared" si="17"/>
        <v>-3.7050967333581806</v>
      </c>
      <c r="BL31" s="3">
        <f t="shared" si="18"/>
        <v>-11.049110336030887</v>
      </c>
      <c r="BM31" s="2">
        <v>0</v>
      </c>
    </row>
    <row r="32" spans="1:65" x14ac:dyDescent="0.35">
      <c r="A32">
        <f t="shared" si="27"/>
        <v>29</v>
      </c>
      <c r="B32">
        <v>1.42436E-2</v>
      </c>
      <c r="C32">
        <v>5.5893000000000002E-3</v>
      </c>
      <c r="D32">
        <v>1.6524E-3</v>
      </c>
      <c r="E32">
        <v>3.4137800000000003E-2</v>
      </c>
      <c r="F32">
        <v>0</v>
      </c>
      <c r="G32">
        <v>0</v>
      </c>
      <c r="H32">
        <v>0</v>
      </c>
      <c r="I32">
        <v>0</v>
      </c>
      <c r="J32">
        <v>3.0682832000000002</v>
      </c>
      <c r="K32">
        <v>0.99343199999999998</v>
      </c>
      <c r="L32">
        <v>0.55015530000000001</v>
      </c>
      <c r="M32">
        <v>5.6909424</v>
      </c>
      <c r="N32">
        <v>3.0532770999999999</v>
      </c>
      <c r="O32">
        <v>0.99270460000000005</v>
      </c>
      <c r="P32">
        <v>0.55005720000000002</v>
      </c>
      <c r="Q32">
        <v>5.0681070000000004</v>
      </c>
      <c r="R32">
        <v>3.0906913999999999</v>
      </c>
      <c r="S32">
        <v>1.0019087</v>
      </c>
      <c r="T32">
        <v>0.55328379999999999</v>
      </c>
      <c r="U32">
        <v>5.7495697000000003</v>
      </c>
      <c r="V32">
        <v>3.0644054000000001</v>
      </c>
      <c r="W32">
        <v>0.99635969999999996</v>
      </c>
      <c r="X32">
        <v>0.5517666</v>
      </c>
      <c r="Y32">
        <v>5.0850546000000003</v>
      </c>
      <c r="AA32" s="5">
        <f t="shared" si="19"/>
        <v>-1.42436E-2</v>
      </c>
      <c r="AB32" s="5">
        <f t="shared" si="19"/>
        <v>-5.5893000000000002E-3</v>
      </c>
      <c r="AC32" s="5">
        <f t="shared" si="19"/>
        <v>-1.6524E-3</v>
      </c>
      <c r="AD32" s="5">
        <f t="shared" si="19"/>
        <v>-3.4137800000000003E-2</v>
      </c>
      <c r="AE32" s="5">
        <f t="shared" si="20"/>
        <v>-1.5006100000000355E-2</v>
      </c>
      <c r="AF32" s="5">
        <f t="shared" si="20"/>
        <v>-7.2739999999993366E-4</v>
      </c>
      <c r="AG32" s="5">
        <f t="shared" si="20"/>
        <v>-9.8099999999989862E-5</v>
      </c>
      <c r="AH32" s="5">
        <f t="shared" si="20"/>
        <v>-0.62283539999999959</v>
      </c>
      <c r="AI32" s="5">
        <f t="shared" si="28"/>
        <v>2.9637000000005478E-3</v>
      </c>
      <c r="AJ32" s="5">
        <f t="shared" si="29"/>
        <v>7.6769999999990769E-4</v>
      </c>
      <c r="AK32" s="5">
        <f t="shared" si="30"/>
        <v>2.3329999999999358E-4</v>
      </c>
      <c r="AL32" s="5">
        <f t="shared" si="31"/>
        <v>-7.5419000000004344E-3</v>
      </c>
      <c r="AM32" s="5"/>
      <c r="AN32" s="5"/>
      <c r="AO32" s="5"/>
      <c r="AP32" s="5"/>
      <c r="AQ32" s="5"/>
      <c r="AR32" s="5"/>
      <c r="AS32" s="5"/>
      <c r="AT32" s="5"/>
      <c r="AU32" s="5"/>
      <c r="AV32" s="5">
        <f t="shared" si="40"/>
        <v>2015</v>
      </c>
      <c r="AW32" s="3">
        <f t="shared" si="3"/>
        <v>-0.94638047654969237</v>
      </c>
      <c r="AX32" s="3">
        <f t="shared" si="4"/>
        <v>-0.63046662834646849</v>
      </c>
      <c r="AY32" s="3">
        <f t="shared" si="5"/>
        <v>-0.31638374374958922</v>
      </c>
      <c r="AZ32" s="3">
        <f t="shared" si="6"/>
        <v>-11.426475967410214</v>
      </c>
      <c r="BA32" s="3">
        <f t="shared" si="7"/>
        <v>-0.85048931122660165</v>
      </c>
      <c r="BB32" s="3">
        <f t="shared" si="8"/>
        <v>-0.55384288009476579</v>
      </c>
      <c r="BC32" s="3">
        <f t="shared" si="9"/>
        <v>-0.27421731849007625</v>
      </c>
      <c r="BD32" s="3">
        <f t="shared" si="10"/>
        <v>-11.557649261996076</v>
      </c>
      <c r="BE32" s="3">
        <f t="shared" si="11"/>
        <v>-0.38963450055220322</v>
      </c>
      <c r="BF32" s="3">
        <f t="shared" si="12"/>
        <v>4.0223225928663082E-3</v>
      </c>
      <c r="BG32" s="3">
        <f t="shared" si="13"/>
        <v>2.4435922396426932E-2</v>
      </c>
      <c r="BH32" s="3">
        <f t="shared" si="14"/>
        <v>-10.963903959630231</v>
      </c>
      <c r="BI32" s="3">
        <f t="shared" si="15"/>
        <v>-0.48552566587529106</v>
      </c>
      <c r="BJ32" s="3">
        <f t="shared" si="16"/>
        <v>-7.2601425658838342E-2</v>
      </c>
      <c r="BK32" s="3">
        <f t="shared" si="17"/>
        <v>-1.7730502863085792E-2</v>
      </c>
      <c r="BL32" s="3">
        <f t="shared" si="18"/>
        <v>-10.83273066504437</v>
      </c>
      <c r="BM32" s="2">
        <v>0</v>
      </c>
    </row>
    <row r="33" spans="1:65" x14ac:dyDescent="0.35">
      <c r="A33">
        <f t="shared" si="27"/>
        <v>30</v>
      </c>
      <c r="B33">
        <v>1.4022E-2</v>
      </c>
      <c r="C33">
        <v>5.4641000000000004E-3</v>
      </c>
      <c r="D33">
        <v>1.9394E-3</v>
      </c>
      <c r="E33">
        <v>3.4172899999999999E-2</v>
      </c>
      <c r="F33">
        <v>0</v>
      </c>
      <c r="G33">
        <v>0</v>
      </c>
      <c r="H33">
        <v>0</v>
      </c>
      <c r="I33">
        <v>0</v>
      </c>
      <c r="J33">
        <v>3.0685943</v>
      </c>
      <c r="K33">
        <v>0.99361060000000001</v>
      </c>
      <c r="L33">
        <v>0.54979480000000003</v>
      </c>
      <c r="M33">
        <v>5.6907180000000004</v>
      </c>
      <c r="N33">
        <v>3.0584353000000002</v>
      </c>
      <c r="O33">
        <v>0.99372499999999997</v>
      </c>
      <c r="P33">
        <v>0.55486279999999999</v>
      </c>
      <c r="Q33">
        <v>5.0804923000000004</v>
      </c>
      <c r="R33">
        <v>3.0906913999999999</v>
      </c>
      <c r="S33">
        <v>1.0019087</v>
      </c>
      <c r="T33">
        <v>0.55328379999999999</v>
      </c>
      <c r="U33">
        <v>5.7495697000000003</v>
      </c>
      <c r="V33">
        <v>3.0694908000000001</v>
      </c>
      <c r="W33">
        <v>0.99733229999999995</v>
      </c>
      <c r="X33">
        <v>0.55660609999999999</v>
      </c>
      <c r="Y33">
        <v>5.0975330999999997</v>
      </c>
      <c r="AA33" s="5">
        <f t="shared" si="19"/>
        <v>-1.4022E-2</v>
      </c>
      <c r="AB33" s="5">
        <f t="shared" si="19"/>
        <v>-5.4641000000000004E-3</v>
      </c>
      <c r="AC33" s="5">
        <f t="shared" si="19"/>
        <v>-1.9394E-3</v>
      </c>
      <c r="AD33" s="5">
        <f t="shared" si="19"/>
        <v>-3.4172899999999999E-2</v>
      </c>
      <c r="AE33" s="5">
        <f t="shared" si="20"/>
        <v>-1.0158999999999807E-2</v>
      </c>
      <c r="AF33" s="5">
        <f t="shared" si="20"/>
        <v>1.1439999999995898E-4</v>
      </c>
      <c r="AG33" s="5">
        <f t="shared" si="20"/>
        <v>5.0679999999999614E-3</v>
      </c>
      <c r="AH33" s="5">
        <f t="shared" si="20"/>
        <v>-0.61022569999999998</v>
      </c>
      <c r="AI33" s="5">
        <f t="shared" si="28"/>
        <v>2.980400000000015E-3</v>
      </c>
      <c r="AJ33" s="5">
        <f t="shared" si="29"/>
        <v>7.7330000000000541E-4</v>
      </c>
      <c r="AK33" s="5">
        <f t="shared" si="30"/>
        <v>1.9370000000003881E-4</v>
      </c>
      <c r="AL33" s="5">
        <f t="shared" si="31"/>
        <v>-7.6380000000006998E-3</v>
      </c>
      <c r="AM33" s="5"/>
      <c r="AN33" s="5"/>
      <c r="AO33" s="5"/>
      <c r="AP33" s="5"/>
      <c r="AQ33" s="5"/>
      <c r="AR33" s="5"/>
      <c r="AS33" s="5"/>
      <c r="AT33" s="5"/>
      <c r="AU33" s="5"/>
      <c r="AV33" s="5">
        <f t="shared" si="40"/>
        <v>2015.25</v>
      </c>
      <c r="AW33" s="3">
        <f t="shared" si="3"/>
        <v>-0.78238157326220947</v>
      </c>
      <c r="AX33" s="3">
        <f t="shared" si="4"/>
        <v>-0.53395084801639525</v>
      </c>
      <c r="AY33" s="3">
        <f t="shared" si="5"/>
        <v>0.56546025746641437</v>
      </c>
      <c r="AZ33" s="3">
        <f t="shared" si="6"/>
        <v>-11.207770905012246</v>
      </c>
      <c r="BA33" s="3">
        <f t="shared" si="7"/>
        <v>-0.68595007576621181</v>
      </c>
      <c r="BB33" s="3">
        <f t="shared" si="8"/>
        <v>-0.45676816660041342</v>
      </c>
      <c r="BC33" s="3">
        <f t="shared" si="9"/>
        <v>0.60046941551514799</v>
      </c>
      <c r="BD33" s="3">
        <f t="shared" si="10"/>
        <v>-11.340615629026997</v>
      </c>
      <c r="BE33" s="3">
        <f t="shared" si="11"/>
        <v>-0.23226518182952821</v>
      </c>
      <c r="BF33" s="3">
        <f t="shared" si="12"/>
        <v>8.8600887486060043E-2</v>
      </c>
      <c r="BG33" s="3">
        <f t="shared" si="13"/>
        <v>0.95099476977277053</v>
      </c>
      <c r="BH33" s="3">
        <f t="shared" si="14"/>
        <v>-10.746259846193375</v>
      </c>
      <c r="BI33" s="3">
        <f t="shared" si="15"/>
        <v>-0.32869667932553237</v>
      </c>
      <c r="BJ33" s="3">
        <f t="shared" si="16"/>
        <v>1.1418206070069955E-2</v>
      </c>
      <c r="BK33" s="3">
        <f t="shared" si="17"/>
        <v>0.91598561172403048</v>
      </c>
      <c r="BL33" s="3">
        <f t="shared" si="18"/>
        <v>-10.613415122178621</v>
      </c>
      <c r="BM33" s="2">
        <v>0</v>
      </c>
    </row>
    <row r="34" spans="1:65" x14ac:dyDescent="0.35">
      <c r="A34">
        <f t="shared" si="27"/>
        <v>31</v>
      </c>
      <c r="B34">
        <v>1.3845700000000001E-2</v>
      </c>
      <c r="C34">
        <v>5.3597999999999996E-3</v>
      </c>
      <c r="D34">
        <v>2.1843000000000001E-3</v>
      </c>
      <c r="E34">
        <v>3.4305799999999997E-2</v>
      </c>
      <c r="F34">
        <v>0</v>
      </c>
      <c r="G34">
        <v>0</v>
      </c>
      <c r="H34">
        <v>0</v>
      </c>
      <c r="I34">
        <v>0</v>
      </c>
      <c r="J34">
        <v>3.0688504000000001</v>
      </c>
      <c r="K34">
        <v>0.99376379999999997</v>
      </c>
      <c r="L34">
        <v>0.54948640000000004</v>
      </c>
      <c r="M34">
        <v>5.6903784000000002</v>
      </c>
      <c r="N34">
        <v>3.0604878000000002</v>
      </c>
      <c r="O34">
        <v>0.99415759999999997</v>
      </c>
      <c r="P34">
        <v>0.55667160000000004</v>
      </c>
      <c r="Q34">
        <v>5.0910921</v>
      </c>
      <c r="R34">
        <v>3.0906913999999999</v>
      </c>
      <c r="S34">
        <v>1.0019087</v>
      </c>
      <c r="T34">
        <v>0.55328379999999999</v>
      </c>
      <c r="U34">
        <v>5.7495697000000003</v>
      </c>
      <c r="V34">
        <v>3.0714644</v>
      </c>
      <c r="W34">
        <v>0.99771840000000001</v>
      </c>
      <c r="X34">
        <v>0.55842009999999997</v>
      </c>
      <c r="Y34">
        <v>5.1082368000000002</v>
      </c>
      <c r="AA34" s="5">
        <f t="shared" si="19"/>
        <v>-1.3845700000000001E-2</v>
      </c>
      <c r="AB34" s="5">
        <f t="shared" si="19"/>
        <v>-5.3597999999999996E-3</v>
      </c>
      <c r="AC34" s="5">
        <f t="shared" si="19"/>
        <v>-2.1843000000000001E-3</v>
      </c>
      <c r="AD34" s="5">
        <f t="shared" si="19"/>
        <v>-3.4305799999999997E-2</v>
      </c>
      <c r="AE34" s="5">
        <f t="shared" si="20"/>
        <v>-8.3625999999998868E-3</v>
      </c>
      <c r="AF34" s="5">
        <f t="shared" si="20"/>
        <v>3.9379999999999971E-4</v>
      </c>
      <c r="AG34" s="5">
        <f t="shared" si="20"/>
        <v>7.1852000000000027E-3</v>
      </c>
      <c r="AH34" s="5">
        <f t="shared" si="20"/>
        <v>-0.59928630000000016</v>
      </c>
      <c r="AI34" s="5">
        <f t="shared" si="28"/>
        <v>2.9813000000000062E-3</v>
      </c>
      <c r="AJ34" s="5">
        <f t="shared" si="29"/>
        <v>7.7570000000001978E-4</v>
      </c>
      <c r="AK34" s="5">
        <f t="shared" si="30"/>
        <v>1.3539999999997998E-4</v>
      </c>
      <c r="AL34" s="5">
        <f t="shared" si="31"/>
        <v>-7.7407999999998811E-3</v>
      </c>
      <c r="AM34" s="5"/>
      <c r="AN34" s="5"/>
      <c r="AO34" s="5"/>
      <c r="AP34" s="5"/>
      <c r="AQ34" s="5"/>
      <c r="AR34" s="5"/>
      <c r="AS34" s="5"/>
      <c r="AT34" s="5"/>
      <c r="AU34" s="5"/>
      <c r="AV34" s="5">
        <f t="shared" si="40"/>
        <v>2015.5</v>
      </c>
      <c r="AW34" s="3">
        <f t="shared" si="3"/>
        <v>-0.71855443089529702</v>
      </c>
      <c r="AX34" s="3">
        <f t="shared" si="4"/>
        <v>-0.49565394531457807</v>
      </c>
      <c r="AY34" s="3">
        <f t="shared" si="5"/>
        <v>0.90385802006131444</v>
      </c>
      <c r="AZ34" s="3">
        <f t="shared" si="6"/>
        <v>-11.019817709140915</v>
      </c>
      <c r="BA34" s="3">
        <f t="shared" si="7"/>
        <v>-0.62209381370135775</v>
      </c>
      <c r="BB34" s="3">
        <f t="shared" si="8"/>
        <v>-0.41823172111390788</v>
      </c>
      <c r="BC34" s="3">
        <f t="shared" si="9"/>
        <v>0.92833009027193325</v>
      </c>
      <c r="BD34" s="3">
        <f t="shared" si="10"/>
        <v>-11.154450393044199</v>
      </c>
      <c r="BE34" s="3">
        <f t="shared" si="11"/>
        <v>-0.17411314503932071</v>
      </c>
      <c r="BF34" s="3">
        <f t="shared" si="12"/>
        <v>0.11672720278804301</v>
      </c>
      <c r="BG34" s="3">
        <f t="shared" si="13"/>
        <v>1.3231184430124305</v>
      </c>
      <c r="BH34" s="3">
        <f t="shared" si="14"/>
        <v>-10.557783132883836</v>
      </c>
      <c r="BI34" s="3">
        <f t="shared" si="15"/>
        <v>-0.27057376223326235</v>
      </c>
      <c r="BJ34" s="3">
        <f t="shared" si="16"/>
        <v>3.9304978587370254E-2</v>
      </c>
      <c r="BK34" s="3">
        <f t="shared" si="17"/>
        <v>1.2986463728018067</v>
      </c>
      <c r="BL34" s="3">
        <f t="shared" si="18"/>
        <v>-10.423150448980557</v>
      </c>
      <c r="BM34" s="2">
        <v>0</v>
      </c>
    </row>
    <row r="35" spans="1:65" x14ac:dyDescent="0.35">
      <c r="A35">
        <f t="shared" si="27"/>
        <v>32</v>
      </c>
      <c r="B35">
        <v>1.37073E-2</v>
      </c>
      <c r="C35">
        <v>5.2728999999999996E-3</v>
      </c>
      <c r="D35">
        <v>2.3904E-3</v>
      </c>
      <c r="E35">
        <v>3.4518E-2</v>
      </c>
      <c r="F35">
        <v>0</v>
      </c>
      <c r="G35">
        <v>0</v>
      </c>
      <c r="H35">
        <v>0</v>
      </c>
      <c r="I35">
        <v>0</v>
      </c>
      <c r="J35">
        <v>3.0690599999999999</v>
      </c>
      <c r="K35">
        <v>0.99389539999999998</v>
      </c>
      <c r="L35">
        <v>0.54922629999999995</v>
      </c>
      <c r="M35">
        <v>5.6899477999999997</v>
      </c>
      <c r="N35">
        <v>3.0388183</v>
      </c>
      <c r="O35">
        <v>0.99053659999999999</v>
      </c>
      <c r="P35">
        <v>0.53512870000000001</v>
      </c>
      <c r="Q35">
        <v>5.1013663999999999</v>
      </c>
      <c r="R35">
        <v>3.0906913999999999</v>
      </c>
      <c r="S35">
        <v>1.0019087</v>
      </c>
      <c r="T35">
        <v>0.55328379999999999</v>
      </c>
      <c r="U35">
        <v>5.7495697000000003</v>
      </c>
      <c r="V35">
        <v>3.0496335000000001</v>
      </c>
      <c r="W35">
        <v>0.99403870000000005</v>
      </c>
      <c r="X35">
        <v>0.53677859999999999</v>
      </c>
      <c r="Y35">
        <v>5.1186261000000002</v>
      </c>
      <c r="AA35" s="5">
        <f t="shared" si="19"/>
        <v>-1.37073E-2</v>
      </c>
      <c r="AB35" s="5">
        <f t="shared" si="19"/>
        <v>-5.2728999999999996E-3</v>
      </c>
      <c r="AC35" s="5">
        <f t="shared" si="19"/>
        <v>-2.3904E-3</v>
      </c>
      <c r="AD35" s="5">
        <f t="shared" si="19"/>
        <v>-3.4518E-2</v>
      </c>
      <c r="AE35" s="5">
        <f t="shared" si="20"/>
        <v>-3.0241699999999927E-2</v>
      </c>
      <c r="AF35" s="5">
        <f t="shared" si="20"/>
        <v>-3.3587999999999951E-3</v>
      </c>
      <c r="AG35" s="5">
        <f t="shared" si="20"/>
        <v>-1.4097599999999932E-2</v>
      </c>
      <c r="AH35" s="5">
        <f t="shared" si="20"/>
        <v>-0.58858139999999981</v>
      </c>
      <c r="AI35" s="5">
        <f t="shared" si="28"/>
        <v>2.8911000000001671E-3</v>
      </c>
      <c r="AJ35" s="5">
        <f t="shared" si="29"/>
        <v>7.6170000000006302E-4</v>
      </c>
      <c r="AK35" s="5">
        <f t="shared" si="30"/>
        <v>-1.7200000000064386E-5</v>
      </c>
      <c r="AL35" s="5">
        <f t="shared" si="31"/>
        <v>-7.8442000000003009E-3</v>
      </c>
      <c r="AM35" s="5"/>
      <c r="AN35" s="5"/>
      <c r="AO35" s="5"/>
      <c r="AP35" s="5"/>
      <c r="AQ35" s="5"/>
      <c r="AR35" s="5"/>
      <c r="AS35" s="5"/>
      <c r="AT35" s="5"/>
      <c r="AU35" s="5"/>
      <c r="AV35" s="5">
        <f t="shared" si="40"/>
        <v>2015.75</v>
      </c>
      <c r="AW35" s="3">
        <f t="shared" ref="AW35:AW66" si="43">100*(AA35+AE35)/R35</f>
        <v>-1.4219795609487227</v>
      </c>
      <c r="AX35" s="3">
        <f t="shared" ref="AX35:AX66" si="44">100*(AB35+AF35)/S35</f>
        <v>-0.86152560607568296</v>
      </c>
      <c r="AY35" s="3">
        <f t="shared" ref="AY35:AY66" si="45">100*(AC35+AG35)/T35</f>
        <v>-2.9800258023097612</v>
      </c>
      <c r="AZ35" s="3">
        <f t="shared" ref="AZ35:AZ66" si="46">100*(AD35+AH35)/U35</f>
        <v>-10.837322313007176</v>
      </c>
      <c r="BA35" s="3">
        <f t="shared" ref="BA35:BA66" si="47">100*(V35-R35)/R35</f>
        <v>-1.3284373845929671</v>
      </c>
      <c r="BB35" s="3">
        <f t="shared" ref="BB35:BB66" si="48">100*(W35-S35)/S35</f>
        <v>-0.78550071478568184</v>
      </c>
      <c r="BC35" s="3">
        <f t="shared" ref="BC35:BC66" si="49">100*(X35-T35)/T35</f>
        <v>-2.9831345143306196</v>
      </c>
      <c r="BD35" s="3">
        <f t="shared" ref="BD35:BD66" si="50">100*(Y35-U35)/U35</f>
        <v>-10.973753392362564</v>
      </c>
      <c r="BE35" s="3">
        <f t="shared" ref="BE35:BE66" si="51">100*(V35-AA35-V$3)/R35</f>
        <v>-0.88493467837001361</v>
      </c>
      <c r="BF35" s="3">
        <f t="shared" ref="BF35:BF66" si="52">100*(W35-AB35-W$3)/S35</f>
        <v>-0.25921523587926804</v>
      </c>
      <c r="BG35" s="3">
        <f t="shared" ref="BG35:BG66" si="53">100*(X35-AC35-X$3)/T35</f>
        <v>-2.5510958390612526</v>
      </c>
      <c r="BH35" s="3">
        <f t="shared" ref="BH35:BH66" si="54">100*(Y35-AD35-Y$3)/U35</f>
        <v>-10.373395421226041</v>
      </c>
      <c r="BI35" s="3">
        <f t="shared" ref="BI35:BI66" si="55">100*(AE35/R35)</f>
        <v>-0.97847685472577195</v>
      </c>
      <c r="BJ35" s="3">
        <f t="shared" ref="BJ35:BJ66" si="56">100*(AF35/S35)</f>
        <v>-0.33524012716927154</v>
      </c>
      <c r="BK35" s="3">
        <f t="shared" ref="BK35:BK66" si="57">100*(AG35/T35)</f>
        <v>-2.5479871270403964</v>
      </c>
      <c r="BL35" s="3">
        <f t="shared" ref="BL35:BL66" si="58">100*(AH35/U35)</f>
        <v>-10.236964341870658</v>
      </c>
      <c r="BM35" s="2">
        <v>0</v>
      </c>
    </row>
    <row r="36" spans="1:65" x14ac:dyDescent="0.35">
      <c r="A36">
        <f t="shared" si="27"/>
        <v>33</v>
      </c>
      <c r="B36">
        <v>1.3599999999999999E-2</v>
      </c>
      <c r="C36">
        <v>5.2002999999999997E-3</v>
      </c>
      <c r="D36">
        <v>2.5666E-3</v>
      </c>
      <c r="E36">
        <v>3.4794899999999997E-2</v>
      </c>
      <c r="F36">
        <v>0</v>
      </c>
      <c r="G36">
        <v>0</v>
      </c>
      <c r="H36">
        <v>0</v>
      </c>
      <c r="I36">
        <v>0</v>
      </c>
      <c r="J36">
        <v>3.0692311999999999</v>
      </c>
      <c r="K36">
        <v>0.99400909999999998</v>
      </c>
      <c r="L36">
        <v>0.54900510000000002</v>
      </c>
      <c r="M36">
        <v>5.6894467000000004</v>
      </c>
      <c r="N36">
        <v>3.0388630000000001</v>
      </c>
      <c r="O36">
        <v>0.99074709999999999</v>
      </c>
      <c r="P36">
        <v>0.53521510000000005</v>
      </c>
      <c r="Q36">
        <v>5.1095588000000003</v>
      </c>
      <c r="R36">
        <v>3.0906913999999999</v>
      </c>
      <c r="S36">
        <v>1.0019087</v>
      </c>
      <c r="T36">
        <v>0.55328379999999999</v>
      </c>
      <c r="U36">
        <v>5.7495697000000003</v>
      </c>
      <c r="V36">
        <v>3.0495961</v>
      </c>
      <c r="W36">
        <v>0.99420589999999998</v>
      </c>
      <c r="X36">
        <v>0.53685799999999995</v>
      </c>
      <c r="Y36">
        <v>5.1269283999999997</v>
      </c>
      <c r="AA36" s="5">
        <f t="shared" si="19"/>
        <v>-1.3599999999999999E-2</v>
      </c>
      <c r="AB36" s="5">
        <f t="shared" si="19"/>
        <v>-5.2002999999999997E-3</v>
      </c>
      <c r="AC36" s="5">
        <f t="shared" si="19"/>
        <v>-2.5666E-3</v>
      </c>
      <c r="AD36" s="5">
        <f t="shared" si="19"/>
        <v>-3.4794899999999997E-2</v>
      </c>
      <c r="AE36" s="5">
        <f t="shared" si="20"/>
        <v>-3.0368199999999845E-2</v>
      </c>
      <c r="AF36" s="5">
        <f t="shared" si="20"/>
        <v>-3.2619999999999871E-3</v>
      </c>
      <c r="AG36" s="5">
        <f t="shared" si="20"/>
        <v>-1.3789999999999969E-2</v>
      </c>
      <c r="AH36" s="5">
        <f t="shared" si="20"/>
        <v>-0.57988790000000012</v>
      </c>
      <c r="AI36" s="5">
        <f t="shared" si="28"/>
        <v>2.8729000000000116E-3</v>
      </c>
      <c r="AJ36" s="5">
        <f t="shared" si="29"/>
        <v>7.5949999999997721E-4</v>
      </c>
      <c r="AK36" s="5">
        <f t="shared" si="30"/>
        <v>-6.9200000000078227E-5</v>
      </c>
      <c r="AL36" s="5">
        <f t="shared" si="31"/>
        <v>-7.9585000000005346E-3</v>
      </c>
      <c r="AM36" s="5"/>
      <c r="AN36" s="5"/>
      <c r="AO36" s="5"/>
      <c r="AP36" s="5"/>
      <c r="AQ36" s="5"/>
      <c r="AR36" s="5"/>
      <c r="AS36" s="5"/>
      <c r="AT36" s="5"/>
      <c r="AU36" s="5"/>
      <c r="AV36" s="5">
        <f t="shared" si="40"/>
        <v>2016</v>
      </c>
      <c r="AW36" s="3">
        <f t="shared" si="43"/>
        <v>-1.4226007811714831</v>
      </c>
      <c r="AX36" s="3">
        <f t="shared" si="44"/>
        <v>-0.84461787785653397</v>
      </c>
      <c r="AY36" s="3">
        <f t="shared" si="45"/>
        <v>-2.9562766883830629</v>
      </c>
      <c r="AZ36" s="3">
        <f t="shared" si="46"/>
        <v>-10.690935706023357</v>
      </c>
      <c r="BA36" s="3">
        <f t="shared" si="47"/>
        <v>-1.3296474698185603</v>
      </c>
      <c r="BB36" s="3">
        <f t="shared" si="48"/>
        <v>-0.76881256745250437</v>
      </c>
      <c r="BC36" s="3">
        <f t="shared" si="49"/>
        <v>-2.9687838320948572</v>
      </c>
      <c r="BD36" s="3">
        <f t="shared" si="50"/>
        <v>-10.829354760235372</v>
      </c>
      <c r="BE36" s="3">
        <f t="shared" si="51"/>
        <v>-0.88961647869470251</v>
      </c>
      <c r="BF36" s="3">
        <f t="shared" si="52"/>
        <v>-0.24977325778286616</v>
      </c>
      <c r="BG36" s="3">
        <f t="shared" si="53"/>
        <v>-2.5048989325189117</v>
      </c>
      <c r="BH36" s="3">
        <f t="shared" si="54"/>
        <v>-10.224180776519692</v>
      </c>
      <c r="BI36" s="3">
        <f t="shared" si="55"/>
        <v>-0.98256979004762002</v>
      </c>
      <c r="BJ36" s="3">
        <f t="shared" si="56"/>
        <v>-0.3255785681869004</v>
      </c>
      <c r="BK36" s="3">
        <f t="shared" si="57"/>
        <v>-2.492391788807113</v>
      </c>
      <c r="BL36" s="3">
        <f t="shared" si="58"/>
        <v>-10.085761722307671</v>
      </c>
      <c r="BM36" s="2">
        <v>0</v>
      </c>
    </row>
    <row r="37" spans="1:65" x14ac:dyDescent="0.35">
      <c r="A37">
        <f t="shared" si="27"/>
        <v>34</v>
      </c>
      <c r="B37">
        <v>1.35187E-2</v>
      </c>
      <c r="C37">
        <v>5.1396999999999997E-3</v>
      </c>
      <c r="D37">
        <v>2.7179999999999999E-3</v>
      </c>
      <c r="E37">
        <v>3.5123700000000001E-2</v>
      </c>
      <c r="F37">
        <v>0</v>
      </c>
      <c r="G37">
        <v>0</v>
      </c>
      <c r="H37">
        <v>0</v>
      </c>
      <c r="I37">
        <v>0</v>
      </c>
      <c r="J37">
        <v>3.0693703000000001</v>
      </c>
      <c r="K37">
        <v>0.99410779999999999</v>
      </c>
      <c r="L37">
        <v>0.54881749999999996</v>
      </c>
      <c r="M37">
        <v>5.6888934000000004</v>
      </c>
      <c r="N37">
        <v>3.0309694</v>
      </c>
      <c r="O37">
        <v>0.98956520000000003</v>
      </c>
      <c r="P37">
        <v>0.52763230000000005</v>
      </c>
      <c r="Q37">
        <v>5.1171645000000003</v>
      </c>
      <c r="R37">
        <v>3.0906913999999999</v>
      </c>
      <c r="S37">
        <v>1.0019087</v>
      </c>
      <c r="T37">
        <v>0.55328379999999999</v>
      </c>
      <c r="U37">
        <v>5.7495697000000003</v>
      </c>
      <c r="V37">
        <v>3.0415944000000001</v>
      </c>
      <c r="W37">
        <v>0.99297760000000002</v>
      </c>
      <c r="X37">
        <v>0.52924510000000002</v>
      </c>
      <c r="Y37">
        <v>5.1346467000000002</v>
      </c>
      <c r="AA37" s="5">
        <f t="shared" si="19"/>
        <v>-1.35187E-2</v>
      </c>
      <c r="AB37" s="5">
        <f t="shared" si="19"/>
        <v>-5.1396999999999997E-3</v>
      </c>
      <c r="AC37" s="5">
        <f t="shared" si="19"/>
        <v>-2.7179999999999999E-3</v>
      </c>
      <c r="AD37" s="5">
        <f t="shared" si="19"/>
        <v>-3.5123700000000001E-2</v>
      </c>
      <c r="AE37" s="5">
        <f t="shared" si="20"/>
        <v>-3.8400900000000071E-2</v>
      </c>
      <c r="AF37" s="5">
        <f t="shared" si="20"/>
        <v>-4.5425999999999522E-3</v>
      </c>
      <c r="AG37" s="5">
        <f t="shared" si="20"/>
        <v>-2.1185199999999904E-2</v>
      </c>
      <c r="AH37" s="5">
        <f t="shared" si="20"/>
        <v>-0.5717289000000001</v>
      </c>
      <c r="AI37" s="5">
        <f t="shared" si="28"/>
        <v>2.8226000000003484E-3</v>
      </c>
      <c r="AJ37" s="5">
        <f t="shared" si="29"/>
        <v>7.5119999999998313E-4</v>
      </c>
      <c r="AK37" s="5">
        <f t="shared" si="30"/>
        <v>-1.3550000000006612E-4</v>
      </c>
      <c r="AL37" s="5">
        <f t="shared" si="31"/>
        <v>-8.0704000000000331E-3</v>
      </c>
      <c r="AM37" s="5"/>
      <c r="AN37" s="5"/>
      <c r="AO37" s="5"/>
      <c r="AP37" s="5"/>
      <c r="AQ37" s="5"/>
      <c r="AR37" s="5"/>
      <c r="AS37" s="5"/>
      <c r="AT37" s="5"/>
      <c r="AU37" s="5"/>
      <c r="AV37" s="5">
        <f t="shared" si="40"/>
        <v>2016.25</v>
      </c>
      <c r="AW37" s="3">
        <f t="shared" si="43"/>
        <v>-1.6798700769672466</v>
      </c>
      <c r="AX37" s="3">
        <f t="shared" si="44"/>
        <v>-0.96638546007235515</v>
      </c>
      <c r="AY37" s="3">
        <f t="shared" si="45"/>
        <v>-4.3202421614368438</v>
      </c>
      <c r="AZ37" s="3">
        <f t="shared" si="46"/>
        <v>-10.554748123150851</v>
      </c>
      <c r="BA37" s="3">
        <f t="shared" si="47"/>
        <v>-1.5885442331770725</v>
      </c>
      <c r="BB37" s="3">
        <f t="shared" si="48"/>
        <v>-0.89140856846536709</v>
      </c>
      <c r="BC37" s="3">
        <f t="shared" si="49"/>
        <v>-4.3447323055545759</v>
      </c>
      <c r="BD37" s="3">
        <f t="shared" si="50"/>
        <v>-10.695113409965273</v>
      </c>
      <c r="BE37" s="3">
        <f t="shared" si="51"/>
        <v>-1.1511437214339684</v>
      </c>
      <c r="BF37" s="3">
        <f t="shared" si="52"/>
        <v>-0.37841771410908004</v>
      </c>
      <c r="BG37" s="3">
        <f t="shared" si="53"/>
        <v>-3.8534835106323322</v>
      </c>
      <c r="BH37" s="3">
        <f t="shared" si="54"/>
        <v>-10.084220737423191</v>
      </c>
      <c r="BI37" s="3">
        <f t="shared" si="55"/>
        <v>-1.242469565224146</v>
      </c>
      <c r="BJ37" s="3">
        <f t="shared" si="56"/>
        <v>-0.45339460571606499</v>
      </c>
      <c r="BK37" s="3">
        <f t="shared" si="57"/>
        <v>-3.8289933665146001</v>
      </c>
      <c r="BL37" s="3">
        <f t="shared" si="58"/>
        <v>-9.9438554506087655</v>
      </c>
      <c r="BM37" s="2">
        <v>0</v>
      </c>
    </row>
    <row r="38" spans="1:65" x14ac:dyDescent="0.35">
      <c r="A38">
        <f t="shared" si="27"/>
        <v>35</v>
      </c>
      <c r="B38">
        <v>1.3459E-2</v>
      </c>
      <c r="C38">
        <v>5.0889999999999998E-3</v>
      </c>
      <c r="D38">
        <v>2.8490999999999998E-3</v>
      </c>
      <c r="E38">
        <v>3.5493799999999999E-2</v>
      </c>
      <c r="F38">
        <v>0</v>
      </c>
      <c r="G38">
        <v>0</v>
      </c>
      <c r="H38">
        <v>0</v>
      </c>
      <c r="I38">
        <v>0</v>
      </c>
      <c r="J38">
        <v>3.0694824999999999</v>
      </c>
      <c r="K38">
        <v>0.99419369999999996</v>
      </c>
      <c r="L38">
        <v>0.54865830000000004</v>
      </c>
      <c r="M38">
        <v>5.6883042000000001</v>
      </c>
      <c r="N38">
        <v>3.0323587000000001</v>
      </c>
      <c r="O38">
        <v>0.99007559999999994</v>
      </c>
      <c r="P38">
        <v>0.52919179999999999</v>
      </c>
      <c r="Q38">
        <v>5.1252224999999996</v>
      </c>
      <c r="R38">
        <v>3.0906913999999999</v>
      </c>
      <c r="S38">
        <v>1.0019087</v>
      </c>
      <c r="T38">
        <v>0.55328379999999999</v>
      </c>
      <c r="U38">
        <v>5.7495697000000003</v>
      </c>
      <c r="V38">
        <v>3.0429092</v>
      </c>
      <c r="W38">
        <v>0.99344880000000002</v>
      </c>
      <c r="X38">
        <v>0.53080660000000002</v>
      </c>
      <c r="Y38">
        <v>5.1428178000000004</v>
      </c>
      <c r="AA38" s="5">
        <f t="shared" si="19"/>
        <v>-1.3459E-2</v>
      </c>
      <c r="AB38" s="5">
        <f t="shared" si="19"/>
        <v>-5.0889999999999998E-3</v>
      </c>
      <c r="AC38" s="5">
        <f t="shared" si="19"/>
        <v>-2.8490999999999998E-3</v>
      </c>
      <c r="AD38" s="5">
        <f t="shared" si="19"/>
        <v>-3.5493799999999999E-2</v>
      </c>
      <c r="AE38" s="5">
        <f t="shared" si="20"/>
        <v>-3.7123799999999818E-2</v>
      </c>
      <c r="AF38" s="5">
        <f t="shared" si="20"/>
        <v>-4.1181000000000134E-3</v>
      </c>
      <c r="AG38" s="5">
        <f t="shared" si="20"/>
        <v>-1.9466500000000053E-2</v>
      </c>
      <c r="AH38" s="5">
        <f t="shared" si="20"/>
        <v>-0.56308170000000057</v>
      </c>
      <c r="AI38" s="5">
        <f t="shared" si="28"/>
        <v>2.8005999999999309E-3</v>
      </c>
      <c r="AJ38" s="5">
        <f t="shared" si="29"/>
        <v>7.4720000000004852E-4</v>
      </c>
      <c r="AK38" s="5">
        <f t="shared" si="30"/>
        <v>-1.6159999999992153E-4</v>
      </c>
      <c r="AL38" s="5">
        <f t="shared" si="31"/>
        <v>-8.1763999999993064E-3</v>
      </c>
      <c r="AM38" s="5"/>
      <c r="AN38" s="5"/>
      <c r="AO38" s="5"/>
      <c r="AP38" s="5"/>
      <c r="AQ38" s="5"/>
      <c r="AR38" s="5"/>
      <c r="AS38" s="5"/>
      <c r="AT38" s="5"/>
      <c r="AU38" s="5"/>
      <c r="AV38" s="5">
        <f t="shared" si="40"/>
        <v>2016.5</v>
      </c>
      <c r="AW38" s="3">
        <f t="shared" si="43"/>
        <v>-1.6366176189573576</v>
      </c>
      <c r="AX38" s="3">
        <f t="shared" si="44"/>
        <v>-0.91895598870436135</v>
      </c>
      <c r="AY38" s="3">
        <f t="shared" si="45"/>
        <v>-4.0333008123498377</v>
      </c>
      <c r="AZ38" s="3">
        <f t="shared" si="46"/>
        <v>-10.410787784692836</v>
      </c>
      <c r="BA38" s="3">
        <f t="shared" si="47"/>
        <v>-1.5460035900057796</v>
      </c>
      <c r="BB38" s="3">
        <f t="shared" si="48"/>
        <v>-0.8443783350718449</v>
      </c>
      <c r="BC38" s="3">
        <f t="shared" si="49"/>
        <v>-4.0625082462201085</v>
      </c>
      <c r="BD38" s="3">
        <f t="shared" si="50"/>
        <v>-10.552996687734733</v>
      </c>
      <c r="BE38" s="3">
        <f t="shared" si="51"/>
        <v>-1.1105346848928295</v>
      </c>
      <c r="BF38" s="3">
        <f t="shared" si="52"/>
        <v>-0.33644782204206375</v>
      </c>
      <c r="BG38" s="3">
        <f t="shared" si="53"/>
        <v>-3.5475645590924452</v>
      </c>
      <c r="BH38" s="3">
        <f t="shared" si="54"/>
        <v>-9.9356670117417583</v>
      </c>
      <c r="BI38" s="3">
        <f t="shared" si="55"/>
        <v>-1.201148713844411</v>
      </c>
      <c r="BJ38" s="3">
        <f t="shared" si="56"/>
        <v>-0.41102547567458125</v>
      </c>
      <c r="BK38" s="3">
        <f t="shared" si="57"/>
        <v>-3.5183571252221832</v>
      </c>
      <c r="BL38" s="3">
        <f t="shared" si="58"/>
        <v>-9.7934581086998644</v>
      </c>
      <c r="BM38" s="2">
        <v>0</v>
      </c>
    </row>
    <row r="39" spans="1:65" x14ac:dyDescent="0.35">
      <c r="A39">
        <f t="shared" si="27"/>
        <v>36</v>
      </c>
      <c r="B39">
        <v>1.3417500000000001E-2</v>
      </c>
      <c r="C39">
        <v>5.0467000000000003E-3</v>
      </c>
      <c r="D39">
        <v>2.9629000000000001E-3</v>
      </c>
      <c r="E39">
        <v>3.58956E-2</v>
      </c>
      <c r="F39">
        <v>0</v>
      </c>
      <c r="G39">
        <v>0</v>
      </c>
      <c r="H39">
        <v>0</v>
      </c>
      <c r="I39">
        <v>0</v>
      </c>
      <c r="J39">
        <v>3.0695722999999999</v>
      </c>
      <c r="K39">
        <v>0.99426890000000001</v>
      </c>
      <c r="L39">
        <v>0.54852449999999997</v>
      </c>
      <c r="M39">
        <v>5.6876939000000002</v>
      </c>
      <c r="N39">
        <v>3.0418794999999998</v>
      </c>
      <c r="O39">
        <v>0.99184139999999998</v>
      </c>
      <c r="P39">
        <v>0.5386474</v>
      </c>
      <c r="Q39">
        <v>5.1337130000000002</v>
      </c>
      <c r="R39">
        <v>3.0906913999999999</v>
      </c>
      <c r="S39">
        <v>1.0019087</v>
      </c>
      <c r="T39">
        <v>0.55328379999999999</v>
      </c>
      <c r="U39">
        <v>5.7495697000000003</v>
      </c>
      <c r="V39">
        <v>3.0523866000000002</v>
      </c>
      <c r="W39">
        <v>0.99518180000000001</v>
      </c>
      <c r="X39">
        <v>0.54028390000000004</v>
      </c>
      <c r="Y39">
        <v>5.1514129000000004</v>
      </c>
      <c r="AA39" s="5">
        <f t="shared" si="19"/>
        <v>-1.3417500000000001E-2</v>
      </c>
      <c r="AB39" s="5">
        <f t="shared" si="19"/>
        <v>-5.0467000000000003E-3</v>
      </c>
      <c r="AC39" s="5">
        <f t="shared" si="19"/>
        <v>-2.9629000000000001E-3</v>
      </c>
      <c r="AD39" s="5">
        <f t="shared" si="19"/>
        <v>-3.58956E-2</v>
      </c>
      <c r="AE39" s="5">
        <f t="shared" si="20"/>
        <v>-2.7692800000000073E-2</v>
      </c>
      <c r="AF39" s="5">
        <f t="shared" si="20"/>
        <v>-2.4275000000000269E-3</v>
      </c>
      <c r="AG39" s="5">
        <f t="shared" si="20"/>
        <v>-9.877099999999972E-3</v>
      </c>
      <c r="AH39" s="5">
        <f t="shared" si="20"/>
        <v>-0.5539809</v>
      </c>
      <c r="AI39" s="5">
        <f t="shared" si="28"/>
        <v>2.8055000000003771E-3</v>
      </c>
      <c r="AJ39" s="5">
        <f t="shared" si="29"/>
        <v>7.4730000000004706E-4</v>
      </c>
      <c r="AK39" s="5">
        <f t="shared" si="30"/>
        <v>-1.598999999999802E-4</v>
      </c>
      <c r="AL39" s="5">
        <f t="shared" si="31"/>
        <v>-8.2802999999999072E-3</v>
      </c>
      <c r="AM39" s="5"/>
      <c r="AN39" s="5"/>
      <c r="AO39" s="5"/>
      <c r="AP39" s="5"/>
      <c r="AQ39" s="5"/>
      <c r="AR39" s="5"/>
      <c r="AS39" s="5"/>
      <c r="AT39" s="5"/>
      <c r="AU39" s="5"/>
      <c r="AV39" s="5">
        <f t="shared" si="40"/>
        <v>2016.75</v>
      </c>
      <c r="AW39" s="3">
        <f t="shared" si="43"/>
        <v>-1.3301327981176017</v>
      </c>
      <c r="AX39" s="3">
        <f t="shared" si="44"/>
        <v>-0.74599611721108194</v>
      </c>
      <c r="AY39" s="3">
        <f t="shared" si="45"/>
        <v>-2.3206896713766016</v>
      </c>
      <c r="AZ39" s="3">
        <f t="shared" si="46"/>
        <v>-10.259489505797276</v>
      </c>
      <c r="BA39" s="3">
        <f t="shared" si="47"/>
        <v>-1.2393602285883247</v>
      </c>
      <c r="BB39" s="3">
        <f t="shared" si="48"/>
        <v>-0.67140848262920361</v>
      </c>
      <c r="BC39" s="3">
        <f t="shared" si="49"/>
        <v>-2.3495898488262177</v>
      </c>
      <c r="BD39" s="3">
        <f t="shared" si="50"/>
        <v>-10.403505500594243</v>
      </c>
      <c r="BE39" s="3">
        <f t="shared" si="51"/>
        <v>-0.80523406510270201</v>
      </c>
      <c r="BF39" s="3">
        <f t="shared" si="52"/>
        <v>-0.16769991117953367</v>
      </c>
      <c r="BG39" s="3">
        <f t="shared" si="53"/>
        <v>-1.8140780554210991</v>
      </c>
      <c r="BH39" s="3">
        <f t="shared" si="54"/>
        <v>-9.7791874755427344</v>
      </c>
      <c r="BI39" s="3">
        <f t="shared" si="55"/>
        <v>-0.8960066346319816</v>
      </c>
      <c r="BJ39" s="3">
        <f t="shared" si="56"/>
        <v>-0.24228754576140787</v>
      </c>
      <c r="BK39" s="3">
        <f t="shared" si="57"/>
        <v>-1.7851778779714809</v>
      </c>
      <c r="BL39" s="3">
        <f t="shared" si="58"/>
        <v>-9.6351714807457682</v>
      </c>
      <c r="BM39" s="2">
        <v>0</v>
      </c>
    </row>
    <row r="40" spans="1:65" x14ac:dyDescent="0.35">
      <c r="A40">
        <f t="shared" si="27"/>
        <v>37</v>
      </c>
      <c r="B40">
        <v>1.3391200000000001E-2</v>
      </c>
      <c r="C40">
        <v>5.0115999999999997E-3</v>
      </c>
      <c r="D40">
        <v>3.0617999999999999E-3</v>
      </c>
      <c r="E40">
        <v>3.63208E-2</v>
      </c>
      <c r="F40">
        <v>0</v>
      </c>
      <c r="G40">
        <v>0</v>
      </c>
      <c r="H40">
        <v>0</v>
      </c>
      <c r="I40">
        <v>0</v>
      </c>
      <c r="J40">
        <v>3.0696431999999998</v>
      </c>
      <c r="K40">
        <v>0.99433490000000002</v>
      </c>
      <c r="L40">
        <v>0.54841289999999998</v>
      </c>
      <c r="M40">
        <v>5.6870760000000002</v>
      </c>
      <c r="N40">
        <v>3.0413847999999999</v>
      </c>
      <c r="O40">
        <v>0.99192840000000004</v>
      </c>
      <c r="P40">
        <v>0.53827060000000004</v>
      </c>
      <c r="Q40">
        <v>5.1421209000000001</v>
      </c>
      <c r="R40">
        <v>3.0906913999999999</v>
      </c>
      <c r="S40">
        <v>1.0019087</v>
      </c>
      <c r="T40">
        <v>0.55328379999999999</v>
      </c>
      <c r="U40">
        <v>5.7495697000000003</v>
      </c>
      <c r="V40">
        <v>3.0518130000000001</v>
      </c>
      <c r="W40">
        <v>0.99523099999999998</v>
      </c>
      <c r="X40">
        <v>0.5399081</v>
      </c>
      <c r="Y40">
        <v>5.1599275000000002</v>
      </c>
      <c r="AA40" s="5">
        <f t="shared" si="19"/>
        <v>-1.3391200000000001E-2</v>
      </c>
      <c r="AB40" s="5">
        <f t="shared" si="19"/>
        <v>-5.0115999999999997E-3</v>
      </c>
      <c r="AC40" s="5">
        <f t="shared" si="19"/>
        <v>-3.0617999999999999E-3</v>
      </c>
      <c r="AD40" s="5">
        <f t="shared" si="19"/>
        <v>-3.63208E-2</v>
      </c>
      <c r="AE40" s="5">
        <f t="shared" si="20"/>
        <v>-2.8258399999999906E-2</v>
      </c>
      <c r="AF40" s="5">
        <f t="shared" si="20"/>
        <v>-2.4064999999999781E-3</v>
      </c>
      <c r="AG40" s="5">
        <f t="shared" si="20"/>
        <v>-1.0142299999999937E-2</v>
      </c>
      <c r="AH40" s="5">
        <f t="shared" si="20"/>
        <v>-0.54495510000000014</v>
      </c>
      <c r="AI40" s="5">
        <f t="shared" si="28"/>
        <v>2.7712000000001472E-3</v>
      </c>
      <c r="AJ40" s="5">
        <f t="shared" si="29"/>
        <v>7.4039999999996921E-4</v>
      </c>
      <c r="AK40" s="5">
        <f t="shared" si="30"/>
        <v>-1.7160000000005296E-4</v>
      </c>
      <c r="AL40" s="5">
        <f t="shared" si="31"/>
        <v>-8.3662999999999377E-3</v>
      </c>
      <c r="AM40" s="5"/>
      <c r="AN40" s="5"/>
      <c r="AO40" s="5"/>
      <c r="AP40" s="5"/>
      <c r="AQ40" s="5"/>
      <c r="AR40" s="5"/>
      <c r="AS40" s="5"/>
      <c r="AT40" s="5"/>
      <c r="AU40" s="5"/>
      <c r="AV40" s="5">
        <f t="shared" si="40"/>
        <v>2017</v>
      </c>
      <c r="AW40" s="3">
        <f t="shared" si="43"/>
        <v>-1.3475819682288537</v>
      </c>
      <c r="AX40" s="3">
        <f t="shared" si="44"/>
        <v>-0.74039680461902146</v>
      </c>
      <c r="AY40" s="3">
        <f t="shared" si="45"/>
        <v>-2.3864967671202257</v>
      </c>
      <c r="AZ40" s="3">
        <f t="shared" si="46"/>
        <v>-10.109902659324231</v>
      </c>
      <c r="BA40" s="3">
        <f t="shared" si="47"/>
        <v>-1.2579191827433744</v>
      </c>
      <c r="BB40" s="3">
        <f t="shared" si="48"/>
        <v>-0.66649785554312568</v>
      </c>
      <c r="BC40" s="3">
        <f t="shared" si="49"/>
        <v>-2.4175115917003156</v>
      </c>
      <c r="BD40" s="3">
        <f t="shared" si="50"/>
        <v>-10.255414418230291</v>
      </c>
      <c r="BE40" s="3">
        <f t="shared" si="51"/>
        <v>-0.82464396154205855</v>
      </c>
      <c r="BF40" s="3">
        <f t="shared" si="52"/>
        <v>-0.16629259731949664</v>
      </c>
      <c r="BG40" s="3">
        <f t="shared" si="53"/>
        <v>-1.8641247041753233</v>
      </c>
      <c r="BH40" s="3">
        <f t="shared" si="54"/>
        <v>-9.6237010571417141</v>
      </c>
      <c r="BI40" s="3">
        <f t="shared" si="55"/>
        <v>-0.91430674702753911</v>
      </c>
      <c r="BJ40" s="3">
        <f t="shared" si="56"/>
        <v>-0.24019154639539292</v>
      </c>
      <c r="BK40" s="3">
        <f t="shared" si="57"/>
        <v>-1.8331098795952343</v>
      </c>
      <c r="BL40" s="3">
        <f t="shared" si="58"/>
        <v>-9.4781892982356588</v>
      </c>
      <c r="BM40" s="2">
        <v>0</v>
      </c>
    </row>
    <row r="41" spans="1:65" x14ac:dyDescent="0.35">
      <c r="A41">
        <f t="shared" si="27"/>
        <v>38</v>
      </c>
      <c r="B41">
        <v>1.33778E-2</v>
      </c>
      <c r="C41">
        <v>4.9824999999999999E-3</v>
      </c>
      <c r="D41">
        <v>3.1476999999999998E-3</v>
      </c>
      <c r="E41">
        <v>3.67619E-2</v>
      </c>
      <c r="F41">
        <v>0</v>
      </c>
      <c r="G41">
        <v>0</v>
      </c>
      <c r="H41">
        <v>0</v>
      </c>
      <c r="I41">
        <v>0</v>
      </c>
      <c r="J41">
        <v>3.0696984999999999</v>
      </c>
      <c r="K41">
        <v>0.99439310000000003</v>
      </c>
      <c r="L41">
        <v>0.54832159999999996</v>
      </c>
      <c r="M41">
        <v>5.6864629000000004</v>
      </c>
      <c r="N41">
        <v>3.0320510000000001</v>
      </c>
      <c r="O41">
        <v>0.99037149999999996</v>
      </c>
      <c r="P41">
        <v>0.52905440000000004</v>
      </c>
      <c r="Q41">
        <v>5.1516014999999999</v>
      </c>
      <c r="R41">
        <v>3.0906913999999999</v>
      </c>
      <c r="S41">
        <v>1.0019087</v>
      </c>
      <c r="T41">
        <v>0.55328379999999999</v>
      </c>
      <c r="U41">
        <v>5.7495697000000003</v>
      </c>
      <c r="V41">
        <v>3.0423735000000001</v>
      </c>
      <c r="W41">
        <v>0.99363290000000004</v>
      </c>
      <c r="X41">
        <v>0.53063550000000004</v>
      </c>
      <c r="Y41">
        <v>5.1695092000000002</v>
      </c>
      <c r="AA41" s="5">
        <f t="shared" si="19"/>
        <v>-1.33778E-2</v>
      </c>
      <c r="AB41" s="5">
        <f t="shared" si="19"/>
        <v>-4.9824999999999999E-3</v>
      </c>
      <c r="AC41" s="5">
        <f t="shared" si="19"/>
        <v>-3.1476999999999998E-3</v>
      </c>
      <c r="AD41" s="5">
        <f t="shared" si="19"/>
        <v>-3.67619E-2</v>
      </c>
      <c r="AE41" s="5">
        <f t="shared" si="20"/>
        <v>-3.7647499999999834E-2</v>
      </c>
      <c r="AF41" s="5">
        <f t="shared" si="20"/>
        <v>-4.0216000000000696E-3</v>
      </c>
      <c r="AG41" s="5">
        <f t="shared" si="20"/>
        <v>-1.9267199999999929E-2</v>
      </c>
      <c r="AH41" s="5">
        <f t="shared" si="20"/>
        <v>-0.53486140000000049</v>
      </c>
      <c r="AI41" s="5">
        <f t="shared" si="28"/>
        <v>2.7074000000000334E-3</v>
      </c>
      <c r="AJ41" s="5">
        <f t="shared" si="29"/>
        <v>7.2830000000012607E-4</v>
      </c>
      <c r="AK41" s="5">
        <f t="shared" si="30"/>
        <v>-2.3340000000002595E-4</v>
      </c>
      <c r="AL41" s="5">
        <f t="shared" si="31"/>
        <v>-8.4371999999995895E-3</v>
      </c>
      <c r="AM41" s="5"/>
      <c r="AN41" s="5"/>
      <c r="AO41" s="5"/>
      <c r="AP41" s="5"/>
      <c r="AQ41" s="5"/>
      <c r="AR41" s="5"/>
      <c r="AS41" s="5"/>
      <c r="AT41" s="5"/>
      <c r="AU41" s="5"/>
      <c r="AV41" s="5">
        <f t="shared" si="40"/>
        <v>2017.25</v>
      </c>
      <c r="AW41" s="3">
        <f t="shared" si="43"/>
        <v>-1.6509348037788516</v>
      </c>
      <c r="AX41" s="3">
        <f t="shared" si="44"/>
        <v>-0.89869466149960275</v>
      </c>
      <c r="AY41" s="3">
        <f t="shared" si="45"/>
        <v>-4.051248202098078</v>
      </c>
      <c r="AZ41" s="3">
        <f t="shared" si="46"/>
        <v>-9.9420187914236511</v>
      </c>
      <c r="BA41" s="3">
        <f t="shared" si="47"/>
        <v>-1.563336281325266</v>
      </c>
      <c r="BB41" s="3">
        <f t="shared" si="48"/>
        <v>-0.82600340729648769</v>
      </c>
      <c r="BC41" s="3">
        <f t="shared" si="49"/>
        <v>-4.0934327012646952</v>
      </c>
      <c r="BD41" s="3">
        <f t="shared" si="50"/>
        <v>-10.088763686089415</v>
      </c>
      <c r="BE41" s="3">
        <f t="shared" si="51"/>
        <v>-1.1304946200710815</v>
      </c>
      <c r="BF41" s="3">
        <f t="shared" si="52"/>
        <v>-0.32870260533718726</v>
      </c>
      <c r="BG41" s="3">
        <f t="shared" si="53"/>
        <v>-3.5245203275425703</v>
      </c>
      <c r="BH41" s="3">
        <f t="shared" si="54"/>
        <v>-9.4493784465296589</v>
      </c>
      <c r="BI41" s="3">
        <f t="shared" si="55"/>
        <v>-1.2180931425246737</v>
      </c>
      <c r="BJ41" s="3">
        <f t="shared" si="56"/>
        <v>-0.40139385954030238</v>
      </c>
      <c r="BK41" s="3">
        <f t="shared" si="57"/>
        <v>-3.4823358283759496</v>
      </c>
      <c r="BL41" s="3">
        <f t="shared" si="58"/>
        <v>-9.3026335518638987</v>
      </c>
      <c r="BM41" s="2">
        <v>0</v>
      </c>
    </row>
    <row r="42" spans="1:65" x14ac:dyDescent="0.35">
      <c r="A42">
        <f t="shared" si="27"/>
        <v>39</v>
      </c>
      <c r="B42">
        <v>1.33753E-2</v>
      </c>
      <c r="C42">
        <v>4.9586999999999999E-3</v>
      </c>
      <c r="D42">
        <v>3.222E-3</v>
      </c>
      <c r="E42">
        <v>3.7212000000000002E-2</v>
      </c>
      <c r="F42">
        <v>0</v>
      </c>
      <c r="G42">
        <v>0</v>
      </c>
      <c r="H42">
        <v>0</v>
      </c>
      <c r="I42">
        <v>0</v>
      </c>
      <c r="J42">
        <v>3.0697407999999999</v>
      </c>
      <c r="K42">
        <v>0.99444460000000001</v>
      </c>
      <c r="L42">
        <v>0.54824859999999997</v>
      </c>
      <c r="M42">
        <v>5.6858659999999999</v>
      </c>
      <c r="N42">
        <v>3.0406819999999999</v>
      </c>
      <c r="O42">
        <v>0.99192970000000003</v>
      </c>
      <c r="P42">
        <v>0.53759829999999997</v>
      </c>
      <c r="Q42">
        <v>5.1598207</v>
      </c>
      <c r="R42">
        <v>3.0906913999999999</v>
      </c>
      <c r="S42">
        <v>1.0019087</v>
      </c>
      <c r="T42">
        <v>0.55328379999999999</v>
      </c>
      <c r="U42">
        <v>5.7495697000000003</v>
      </c>
      <c r="V42">
        <v>3.0509596999999999</v>
      </c>
      <c r="W42">
        <v>0.99516110000000002</v>
      </c>
      <c r="X42">
        <v>0.53919170000000005</v>
      </c>
      <c r="Y42">
        <v>5.1778105999999999</v>
      </c>
      <c r="AA42" s="5">
        <f t="shared" si="19"/>
        <v>-1.33753E-2</v>
      </c>
      <c r="AB42" s="5">
        <f t="shared" si="19"/>
        <v>-4.9586999999999999E-3</v>
      </c>
      <c r="AC42" s="5">
        <f t="shared" si="19"/>
        <v>-3.222E-3</v>
      </c>
      <c r="AD42" s="5">
        <f t="shared" si="19"/>
        <v>-3.7212000000000002E-2</v>
      </c>
      <c r="AE42" s="5">
        <f t="shared" si="20"/>
        <v>-2.9058800000000051E-2</v>
      </c>
      <c r="AF42" s="5">
        <f t="shared" si="20"/>
        <v>-2.5148999999999866E-3</v>
      </c>
      <c r="AG42" s="5">
        <f t="shared" si="20"/>
        <v>-1.0650300000000001E-2</v>
      </c>
      <c r="AH42" s="5">
        <f t="shared" si="20"/>
        <v>-0.52604529999999983</v>
      </c>
      <c r="AI42" s="5">
        <f t="shared" si="28"/>
        <v>2.7024000000001255E-3</v>
      </c>
      <c r="AJ42" s="5">
        <f t="shared" si="29"/>
        <v>7.2600000000002177E-4</v>
      </c>
      <c r="AK42" s="5">
        <f t="shared" si="30"/>
        <v>-2.1979999999994018E-4</v>
      </c>
      <c r="AL42" s="5">
        <f t="shared" si="31"/>
        <v>-8.5018000000005589E-3</v>
      </c>
      <c r="AM42" s="5"/>
      <c r="AN42" s="5"/>
      <c r="AO42" s="5"/>
      <c r="AP42" s="5"/>
      <c r="AQ42" s="5"/>
      <c r="AR42" s="5"/>
      <c r="AS42" s="5"/>
      <c r="AT42" s="5"/>
      <c r="AU42" s="5"/>
      <c r="AV42" s="5">
        <f t="shared" si="40"/>
        <v>2017.5</v>
      </c>
      <c r="AW42" s="3">
        <f t="shared" si="43"/>
        <v>-1.3729646382683194</v>
      </c>
      <c r="AX42" s="3">
        <f t="shared" si="44"/>
        <v>-0.74593623151490618</v>
      </c>
      <c r="AY42" s="3">
        <f t="shared" si="45"/>
        <v>-2.5072666143487301</v>
      </c>
      <c r="AZ42" s="3">
        <f t="shared" si="46"/>
        <v>-9.7965122502993545</v>
      </c>
      <c r="BA42" s="3">
        <f t="shared" si="47"/>
        <v>-1.2855278919144089</v>
      </c>
      <c r="BB42" s="3">
        <f t="shared" si="48"/>
        <v>-0.67347453914712641</v>
      </c>
      <c r="BC42" s="3">
        <f t="shared" si="49"/>
        <v>-2.5469930621500105</v>
      </c>
      <c r="BD42" s="3">
        <f t="shared" si="50"/>
        <v>-9.9443807073075465</v>
      </c>
      <c r="BE42" s="3">
        <f t="shared" si="51"/>
        <v>-0.85276711871007438</v>
      </c>
      <c r="BF42" s="3">
        <f t="shared" si="52"/>
        <v>-0.17854920313597258</v>
      </c>
      <c r="BG42" s="3">
        <f t="shared" si="53"/>
        <v>-1.9646517754541148</v>
      </c>
      <c r="BH42" s="3">
        <f t="shared" si="54"/>
        <v>-9.2971670558233281</v>
      </c>
      <c r="BI42" s="3">
        <f t="shared" si="55"/>
        <v>-0.94020386506398057</v>
      </c>
      <c r="BJ42" s="3">
        <f t="shared" si="56"/>
        <v>-0.25101089550375066</v>
      </c>
      <c r="BK42" s="3">
        <f t="shared" si="57"/>
        <v>-1.9249253276528253</v>
      </c>
      <c r="BL42" s="3">
        <f t="shared" si="58"/>
        <v>-9.1492985988151396</v>
      </c>
      <c r="BM42" s="2">
        <v>0</v>
      </c>
    </row>
    <row r="43" spans="1:65" x14ac:dyDescent="0.35">
      <c r="A43">
        <f t="shared" si="27"/>
        <v>40</v>
      </c>
      <c r="B43">
        <v>1.33819E-2</v>
      </c>
      <c r="C43">
        <v>4.9392000000000004E-3</v>
      </c>
      <c r="D43">
        <v>3.2859999999999999E-3</v>
      </c>
      <c r="E43">
        <v>3.7664900000000001E-2</v>
      </c>
      <c r="F43">
        <v>0</v>
      </c>
      <c r="G43">
        <v>0</v>
      </c>
      <c r="H43">
        <v>0</v>
      </c>
      <c r="I43">
        <v>0</v>
      </c>
      <c r="J43">
        <v>3.0697722999999999</v>
      </c>
      <c r="K43">
        <v>0.99449030000000005</v>
      </c>
      <c r="L43">
        <v>0.54819220000000002</v>
      </c>
      <c r="M43">
        <v>5.6852954999999996</v>
      </c>
      <c r="N43">
        <v>3.0407630000000001</v>
      </c>
      <c r="O43">
        <v>0.99199000000000004</v>
      </c>
      <c r="P43">
        <v>0.53751559999999998</v>
      </c>
      <c r="Q43">
        <v>5.1686360999999996</v>
      </c>
      <c r="R43">
        <v>3.0906913999999999</v>
      </c>
      <c r="S43">
        <v>1.0019087</v>
      </c>
      <c r="T43">
        <v>0.55328379999999999</v>
      </c>
      <c r="U43">
        <v>5.7495697000000003</v>
      </c>
      <c r="V43">
        <v>3.050967</v>
      </c>
      <c r="W43">
        <v>0.99518720000000005</v>
      </c>
      <c r="X43">
        <v>0.53909070000000003</v>
      </c>
      <c r="Y43">
        <v>5.1866998000000004</v>
      </c>
      <c r="AA43" s="5">
        <f t="shared" si="19"/>
        <v>-1.33819E-2</v>
      </c>
      <c r="AB43" s="5">
        <f t="shared" si="19"/>
        <v>-4.9392000000000004E-3</v>
      </c>
      <c r="AC43" s="5">
        <f t="shared" si="19"/>
        <v>-3.2859999999999999E-3</v>
      </c>
      <c r="AD43" s="5">
        <f t="shared" si="19"/>
        <v>-3.7664900000000001E-2</v>
      </c>
      <c r="AE43" s="5">
        <f t="shared" si="20"/>
        <v>-2.9009299999999794E-2</v>
      </c>
      <c r="AF43" s="5">
        <f t="shared" si="20"/>
        <v>-2.5003000000000108E-3</v>
      </c>
      <c r="AG43" s="5">
        <f t="shared" si="20"/>
        <v>-1.0676600000000036E-2</v>
      </c>
      <c r="AH43" s="5">
        <f t="shared" si="20"/>
        <v>-0.51665939999999999</v>
      </c>
      <c r="AI43" s="5">
        <f t="shared" si="28"/>
        <v>2.6667999999999137E-3</v>
      </c>
      <c r="AJ43" s="5">
        <f t="shared" si="29"/>
        <v>7.1800000000007535E-4</v>
      </c>
      <c r="AK43" s="5">
        <f t="shared" si="30"/>
        <v>-2.3049999999992174E-4</v>
      </c>
      <c r="AL43" s="5">
        <f t="shared" si="31"/>
        <v>-8.545599999999931E-3</v>
      </c>
      <c r="AM43" s="5"/>
      <c r="AN43" s="5"/>
      <c r="AO43" s="5"/>
      <c r="AP43" s="5"/>
      <c r="AQ43" s="5"/>
      <c r="AR43" s="5"/>
      <c r="AS43" s="5"/>
      <c r="AT43" s="5"/>
      <c r="AU43" s="5"/>
      <c r="AV43" s="5">
        <f t="shared" si="40"/>
        <v>2017.75</v>
      </c>
      <c r="AW43" s="3">
        <f t="shared" si="43"/>
        <v>-1.3715765993330746</v>
      </c>
      <c r="AX43" s="3">
        <f t="shared" si="44"/>
        <v>-0.74253272778248269</v>
      </c>
      <c r="AY43" s="3">
        <f t="shared" si="45"/>
        <v>-2.5235873524581844</v>
      </c>
      <c r="AZ43" s="3">
        <f t="shared" si="46"/>
        <v>-9.641144101618595</v>
      </c>
      <c r="BA43" s="3">
        <f t="shared" si="47"/>
        <v>-1.2852916988088776</v>
      </c>
      <c r="BB43" s="3">
        <f t="shared" si="48"/>
        <v>-0.6708695113636538</v>
      </c>
      <c r="BC43" s="3">
        <f t="shared" si="49"/>
        <v>-2.565247708318942</v>
      </c>
      <c r="BD43" s="3">
        <f t="shared" si="50"/>
        <v>-9.7897743547660596</v>
      </c>
      <c r="BE43" s="3">
        <f t="shared" si="51"/>
        <v>-0.85231738115295863</v>
      </c>
      <c r="BF43" s="3">
        <f t="shared" si="52"/>
        <v>-0.17789046047807583</v>
      </c>
      <c r="BG43" s="3">
        <f t="shared" si="53"/>
        <v>-1.9713391210803475</v>
      </c>
      <c r="BH43" s="3">
        <f t="shared" si="54"/>
        <v>-9.1346835920608047</v>
      </c>
      <c r="BI43" s="3">
        <f t="shared" si="55"/>
        <v>-0.93860228167716109</v>
      </c>
      <c r="BJ43" s="3">
        <f t="shared" si="56"/>
        <v>-0.24955367689690794</v>
      </c>
      <c r="BK43" s="3">
        <f t="shared" si="57"/>
        <v>-1.9296787652195917</v>
      </c>
      <c r="BL43" s="3">
        <f t="shared" si="58"/>
        <v>-8.9860533389133437</v>
      </c>
      <c r="BM43" s="2">
        <v>0</v>
      </c>
    </row>
    <row r="44" spans="1:65" x14ac:dyDescent="0.35">
      <c r="A44">
        <f t="shared" si="27"/>
        <v>41</v>
      </c>
      <c r="B44">
        <v>1.2932300000000001E-2</v>
      </c>
      <c r="C44">
        <v>4.6882E-3</v>
      </c>
      <c r="D44">
        <v>1.3355999999999999E-3</v>
      </c>
      <c r="E44">
        <v>3.7601200000000001E-2</v>
      </c>
      <c r="F44">
        <v>0</v>
      </c>
      <c r="G44">
        <v>0</v>
      </c>
      <c r="H44">
        <v>0</v>
      </c>
      <c r="I44">
        <v>0</v>
      </c>
      <c r="J44">
        <v>3.0702588999999998</v>
      </c>
      <c r="K44">
        <v>0.9947665</v>
      </c>
      <c r="L44">
        <v>0.55015579999999997</v>
      </c>
      <c r="M44">
        <v>5.6852742999999997</v>
      </c>
      <c r="N44">
        <v>3.0436291</v>
      </c>
      <c r="O44">
        <v>0.99269629999999998</v>
      </c>
      <c r="P44">
        <v>0.54044809999999999</v>
      </c>
      <c r="Q44">
        <v>5.1770733</v>
      </c>
      <c r="R44">
        <v>3.0906913999999999</v>
      </c>
      <c r="S44">
        <v>1.0019087</v>
      </c>
      <c r="T44">
        <v>0.55328379999999999</v>
      </c>
      <c r="U44">
        <v>5.7495697000000003</v>
      </c>
      <c r="V44">
        <v>3.0537667000000002</v>
      </c>
      <c r="W44">
        <v>0.99586110000000005</v>
      </c>
      <c r="X44">
        <v>0.54201549999999998</v>
      </c>
      <c r="Y44">
        <v>5.1951964000000004</v>
      </c>
      <c r="AA44" s="5">
        <f t="shared" si="19"/>
        <v>-1.2932300000000001E-2</v>
      </c>
      <c r="AB44" s="5">
        <f t="shared" si="19"/>
        <v>-4.6882E-3</v>
      </c>
      <c r="AC44" s="5">
        <f t="shared" si="19"/>
        <v>-1.3355999999999999E-3</v>
      </c>
      <c r="AD44" s="5">
        <f t="shared" si="19"/>
        <v>-3.7601200000000001E-2</v>
      </c>
      <c r="AE44" s="5">
        <f t="shared" si="20"/>
        <v>-2.6629799999999815E-2</v>
      </c>
      <c r="AF44" s="5">
        <f t="shared" si="20"/>
        <v>-2.070200000000022E-3</v>
      </c>
      <c r="AG44" s="5">
        <f t="shared" si="20"/>
        <v>-9.7076999999999858E-3</v>
      </c>
      <c r="AH44" s="5">
        <f t="shared" si="20"/>
        <v>-0.50820099999999968</v>
      </c>
      <c r="AI44" s="5">
        <f t="shared" si="28"/>
        <v>2.637400000000116E-3</v>
      </c>
      <c r="AJ44" s="5">
        <f t="shared" si="29"/>
        <v>7.1080000000009122E-4</v>
      </c>
      <c r="AK44" s="5">
        <f t="shared" si="30"/>
        <v>-2.2500000000002379E-4</v>
      </c>
      <c r="AL44" s="5">
        <f t="shared" si="31"/>
        <v>-8.5711000000002757E-3</v>
      </c>
      <c r="AM44" s="5"/>
      <c r="AN44" s="5"/>
      <c r="AO44" s="5"/>
      <c r="AP44" s="5"/>
      <c r="AQ44" s="5"/>
      <c r="AR44" s="5"/>
      <c r="AS44" s="5"/>
      <c r="AT44" s="5"/>
      <c r="AU44" s="5"/>
      <c r="AV44" s="5">
        <f t="shared" si="40"/>
        <v>2018</v>
      </c>
      <c r="AW44" s="3">
        <f t="shared" si="43"/>
        <v>-1.2800404466133311</v>
      </c>
      <c r="AX44" s="3">
        <f t="shared" si="44"/>
        <v>-0.67455248167822301</v>
      </c>
      <c r="AY44" s="3">
        <f t="shared" si="45"/>
        <v>-1.9959557825477603</v>
      </c>
      <c r="AZ44" s="3">
        <f t="shared" si="46"/>
        <v>-9.4929225747102368</v>
      </c>
      <c r="BA44" s="3">
        <f t="shared" si="47"/>
        <v>-1.1947067895552335</v>
      </c>
      <c r="BB44" s="3">
        <f t="shared" si="48"/>
        <v>-0.60360789361345313</v>
      </c>
      <c r="BC44" s="3">
        <f t="shared" si="49"/>
        <v>-2.0366220735181493</v>
      </c>
      <c r="BD44" s="3">
        <f t="shared" si="50"/>
        <v>-9.6419963393086601</v>
      </c>
      <c r="BE44" s="3">
        <f t="shared" si="51"/>
        <v>-0.77627937878235209</v>
      </c>
      <c r="BF44" s="3">
        <f t="shared" si="52"/>
        <v>-0.13568102562637691</v>
      </c>
      <c r="BG44" s="3">
        <f t="shared" si="53"/>
        <v>-1.7952269703179484</v>
      </c>
      <c r="BH44" s="3">
        <f t="shared" si="54"/>
        <v>-8.9880134856004936</v>
      </c>
      <c r="BI44" s="3">
        <f t="shared" si="55"/>
        <v>-0.86161303584045346</v>
      </c>
      <c r="BJ44" s="3">
        <f t="shared" si="56"/>
        <v>-0.2066256136911499</v>
      </c>
      <c r="BK44" s="3">
        <f t="shared" si="57"/>
        <v>-1.7545606793475583</v>
      </c>
      <c r="BL44" s="3">
        <f t="shared" si="58"/>
        <v>-8.8389397210020721</v>
      </c>
      <c r="BM44" s="2">
        <v>0</v>
      </c>
    </row>
    <row r="45" spans="1:65" x14ac:dyDescent="0.35">
      <c r="A45">
        <f t="shared" si="27"/>
        <v>42</v>
      </c>
      <c r="B45">
        <v>1.26321E-2</v>
      </c>
      <c r="C45">
        <v>4.5275000000000003E-3</v>
      </c>
      <c r="D45">
        <v>1.2773999999999999E-3</v>
      </c>
      <c r="E45">
        <v>3.7386299999999997E-2</v>
      </c>
      <c r="F45">
        <v>0</v>
      </c>
      <c r="G45">
        <v>0</v>
      </c>
      <c r="H45">
        <v>0</v>
      </c>
      <c r="I45">
        <v>0</v>
      </c>
      <c r="J45">
        <v>3.0705957000000001</v>
      </c>
      <c r="K45">
        <v>0.99495140000000004</v>
      </c>
      <c r="L45">
        <v>0.55023239999999995</v>
      </c>
      <c r="M45">
        <v>5.6854398000000002</v>
      </c>
      <c r="N45">
        <v>3.0440529000000001</v>
      </c>
      <c r="O45">
        <v>0.99286730000000001</v>
      </c>
      <c r="P45">
        <v>0.54077379999999997</v>
      </c>
      <c r="Q45">
        <v>5.1857438</v>
      </c>
      <c r="R45">
        <v>3.0906913999999999</v>
      </c>
      <c r="S45">
        <v>1.0019087</v>
      </c>
      <c r="T45">
        <v>0.55328379999999999</v>
      </c>
      <c r="U45">
        <v>5.7495697000000003</v>
      </c>
      <c r="V45">
        <v>3.0541181000000002</v>
      </c>
      <c r="W45">
        <v>0.99599959999999998</v>
      </c>
      <c r="X45">
        <v>0.54230970000000001</v>
      </c>
      <c r="Y45">
        <v>5.2039036999999997</v>
      </c>
      <c r="AA45" s="5">
        <f t="shared" si="19"/>
        <v>-1.26321E-2</v>
      </c>
      <c r="AB45" s="5">
        <f t="shared" si="19"/>
        <v>-4.5275000000000003E-3</v>
      </c>
      <c r="AC45" s="5">
        <f t="shared" si="19"/>
        <v>-1.2773999999999999E-3</v>
      </c>
      <c r="AD45" s="5">
        <f t="shared" si="19"/>
        <v>-3.7386299999999997E-2</v>
      </c>
      <c r="AE45" s="5">
        <f t="shared" si="20"/>
        <v>-2.6542800000000089E-2</v>
      </c>
      <c r="AF45" s="5">
        <f t="shared" si="20"/>
        <v>-2.0841000000000331E-3</v>
      </c>
      <c r="AG45" s="5">
        <f t="shared" si="20"/>
        <v>-9.4585999999999837E-3</v>
      </c>
      <c r="AH45" s="5">
        <f t="shared" si="20"/>
        <v>-0.49969600000000014</v>
      </c>
      <c r="AI45" s="5">
        <f t="shared" si="28"/>
        <v>2.6016000000003911E-3</v>
      </c>
      <c r="AJ45" s="5">
        <f t="shared" si="29"/>
        <v>7.0250000000003296E-4</v>
      </c>
      <c r="AK45" s="5">
        <f t="shared" si="30"/>
        <v>-2.3810000000000324E-4</v>
      </c>
      <c r="AL45" s="5">
        <f t="shared" si="31"/>
        <v>-8.583700000000527E-3</v>
      </c>
      <c r="AM45" s="5"/>
      <c r="AN45" s="5"/>
      <c r="AO45" s="5"/>
      <c r="AP45" s="5"/>
      <c r="AQ45" s="5"/>
      <c r="AR45" s="5"/>
      <c r="AS45" s="5"/>
      <c r="AT45" s="5"/>
      <c r="AU45" s="5"/>
      <c r="AV45" s="5">
        <f t="shared" si="40"/>
        <v>2018.25</v>
      </c>
      <c r="AW45" s="3">
        <f t="shared" si="43"/>
        <v>-1.2675125054542842</v>
      </c>
      <c r="AX45" s="3">
        <f t="shared" si="44"/>
        <v>-0.65990044801487735</v>
      </c>
      <c r="AY45" s="3">
        <f t="shared" si="45"/>
        <v>-1.9404146660357637</v>
      </c>
      <c r="AZ45" s="3">
        <f t="shared" si="46"/>
        <v>-9.3412607903509741</v>
      </c>
      <c r="BA45" s="3">
        <f t="shared" si="47"/>
        <v>-1.1833371652698712</v>
      </c>
      <c r="BB45" s="3">
        <f t="shared" si="48"/>
        <v>-0.58978427874715533</v>
      </c>
      <c r="BC45" s="3">
        <f t="shared" si="49"/>
        <v>-1.9834486388359802</v>
      </c>
      <c r="BD45" s="3">
        <f t="shared" si="50"/>
        <v>-9.4905537017839894</v>
      </c>
      <c r="BE45" s="3">
        <f t="shared" si="51"/>
        <v>-0.77462279152166036</v>
      </c>
      <c r="BF45" s="3">
        <f t="shared" si="52"/>
        <v>-0.13789679638473873</v>
      </c>
      <c r="BG45" s="3">
        <f t="shared" si="53"/>
        <v>-1.752572549566787</v>
      </c>
      <c r="BH45" s="3">
        <f t="shared" si="54"/>
        <v>-8.8403085190879764</v>
      </c>
      <c r="BI45" s="3">
        <f t="shared" si="55"/>
        <v>-0.85879813170606711</v>
      </c>
      <c r="BJ45" s="3">
        <f t="shared" si="56"/>
        <v>-0.20801296565246247</v>
      </c>
      <c r="BK45" s="3">
        <f t="shared" si="57"/>
        <v>-1.7095385767665678</v>
      </c>
      <c r="BL45" s="3">
        <f t="shared" si="58"/>
        <v>-8.6910156076549541</v>
      </c>
      <c r="BM45" s="2">
        <v>0</v>
      </c>
    </row>
    <row r="46" spans="1:65" x14ac:dyDescent="0.35">
      <c r="A46">
        <f t="shared" si="27"/>
        <v>43</v>
      </c>
      <c r="B46">
        <v>1.2337300000000001E-2</v>
      </c>
      <c r="C46">
        <v>4.3739E-3</v>
      </c>
      <c r="D46">
        <v>1.4622999999999999E-3</v>
      </c>
      <c r="E46">
        <v>3.7198299999999997E-2</v>
      </c>
      <c r="F46">
        <v>0</v>
      </c>
      <c r="G46">
        <v>0</v>
      </c>
      <c r="H46">
        <v>0</v>
      </c>
      <c r="I46">
        <v>0</v>
      </c>
      <c r="J46">
        <v>3.0709266</v>
      </c>
      <c r="K46">
        <v>0.99512840000000002</v>
      </c>
      <c r="L46">
        <v>0.55007039999999996</v>
      </c>
      <c r="M46">
        <v>5.6856163000000004</v>
      </c>
      <c r="N46">
        <v>3.0446184000000001</v>
      </c>
      <c r="O46">
        <v>0.99309449999999999</v>
      </c>
      <c r="P46">
        <v>0.54119759999999995</v>
      </c>
      <c r="Q46">
        <v>5.1956974000000002</v>
      </c>
      <c r="R46">
        <v>3.0906913999999999</v>
      </c>
      <c r="S46">
        <v>1.0019087</v>
      </c>
      <c r="T46">
        <v>0.55328379999999999</v>
      </c>
      <c r="U46">
        <v>5.7495697000000003</v>
      </c>
      <c r="V46">
        <v>3.0546098000000002</v>
      </c>
      <c r="W46">
        <v>0.99619440000000004</v>
      </c>
      <c r="X46">
        <v>0.54271159999999996</v>
      </c>
      <c r="Y46">
        <v>5.2138789000000001</v>
      </c>
      <c r="AA46" s="5">
        <f t="shared" si="19"/>
        <v>-1.2337300000000001E-2</v>
      </c>
      <c r="AB46" s="5">
        <f t="shared" si="19"/>
        <v>-4.3739E-3</v>
      </c>
      <c r="AC46" s="5">
        <f t="shared" si="19"/>
        <v>-1.4622999999999999E-3</v>
      </c>
      <c r="AD46" s="5">
        <f t="shared" si="19"/>
        <v>-3.7198299999999997E-2</v>
      </c>
      <c r="AE46" s="5">
        <f t="shared" si="20"/>
        <v>-2.6308199999999893E-2</v>
      </c>
      <c r="AF46" s="5">
        <f t="shared" si="20"/>
        <v>-2.0339000000000329E-3</v>
      </c>
      <c r="AG46" s="5">
        <f t="shared" si="20"/>
        <v>-8.872800000000014E-3</v>
      </c>
      <c r="AH46" s="5">
        <f t="shared" si="20"/>
        <v>-0.48991890000000016</v>
      </c>
      <c r="AI46" s="5">
        <f t="shared" si="28"/>
        <v>2.5639000000001813E-3</v>
      </c>
      <c r="AJ46" s="5">
        <f t="shared" si="29"/>
        <v>6.9350000000008294E-4</v>
      </c>
      <c r="AK46" s="5">
        <f t="shared" si="30"/>
        <v>-2.3710000000001785E-4</v>
      </c>
      <c r="AL46" s="5">
        <f t="shared" si="31"/>
        <v>-8.5736000000000701E-3</v>
      </c>
      <c r="AM46" s="5"/>
      <c r="AN46" s="5"/>
      <c r="AO46" s="5"/>
      <c r="AP46" s="5"/>
      <c r="AQ46" s="5"/>
      <c r="AR46" s="5"/>
      <c r="AS46" s="5"/>
      <c r="AT46" s="5"/>
      <c r="AU46" s="5"/>
      <c r="AV46" s="5">
        <f t="shared" si="40"/>
        <v>2018.5</v>
      </c>
      <c r="AW46" s="3">
        <f t="shared" si="43"/>
        <v>-1.2503836520203828</v>
      </c>
      <c r="AX46" s="3">
        <f t="shared" si="44"/>
        <v>-0.63955927321521733</v>
      </c>
      <c r="AY46" s="3">
        <f t="shared" si="45"/>
        <v>-1.8679563724800934</v>
      </c>
      <c r="AZ46" s="3">
        <f t="shared" si="46"/>
        <v>-9.1679417331004807</v>
      </c>
      <c r="BA46" s="3">
        <f t="shared" si="47"/>
        <v>-1.167428103627548</v>
      </c>
      <c r="BB46" s="3">
        <f t="shared" si="48"/>
        <v>-0.57034138939006618</v>
      </c>
      <c r="BC46" s="3">
        <f t="shared" si="49"/>
        <v>-1.9108096062093327</v>
      </c>
      <c r="BD46" s="3">
        <f t="shared" si="50"/>
        <v>-9.3170589792137015</v>
      </c>
      <c r="BE46" s="3">
        <f t="shared" si="51"/>
        <v>-0.76825204871633967</v>
      </c>
      <c r="BF46" s="3">
        <f t="shared" si="52"/>
        <v>-0.13378464524760672</v>
      </c>
      <c r="BG46" s="3">
        <f t="shared" si="53"/>
        <v>-1.6465148627160247</v>
      </c>
      <c r="BH46" s="3">
        <f t="shared" si="54"/>
        <v>-8.6700836064305857</v>
      </c>
      <c r="BI46" s="3">
        <f t="shared" si="55"/>
        <v>-0.85120759710917404</v>
      </c>
      <c r="BJ46" s="3">
        <f t="shared" si="56"/>
        <v>-0.20300252907276212</v>
      </c>
      <c r="BK46" s="3">
        <f t="shared" si="57"/>
        <v>-1.60366162898679</v>
      </c>
      <c r="BL46" s="3">
        <f t="shared" si="58"/>
        <v>-8.5209663603173667</v>
      </c>
      <c r="BM46" s="2">
        <v>0</v>
      </c>
    </row>
    <row r="47" spans="1:65" x14ac:dyDescent="0.35">
      <c r="A47">
        <f t="shared" si="27"/>
        <v>44</v>
      </c>
      <c r="B47">
        <v>1.2088099999999999E-2</v>
      </c>
      <c r="C47">
        <v>4.2436000000000001E-3</v>
      </c>
      <c r="D47">
        <v>1.6604E-3</v>
      </c>
      <c r="E47">
        <v>3.70604E-2</v>
      </c>
      <c r="F47">
        <v>0</v>
      </c>
      <c r="G47">
        <v>0</v>
      </c>
      <c r="H47">
        <v>0</v>
      </c>
      <c r="I47">
        <v>0</v>
      </c>
      <c r="J47">
        <v>3.0712120999999999</v>
      </c>
      <c r="K47">
        <v>0.99528150000000004</v>
      </c>
      <c r="L47">
        <v>0.54989920000000003</v>
      </c>
      <c r="M47">
        <v>5.6857819000000003</v>
      </c>
      <c r="N47">
        <v>3.0450970000000002</v>
      </c>
      <c r="O47">
        <v>0.99324769999999996</v>
      </c>
      <c r="P47">
        <v>0.54167489999999996</v>
      </c>
      <c r="Q47">
        <v>5.2056199999999997</v>
      </c>
      <c r="R47">
        <v>3.0906913999999999</v>
      </c>
      <c r="S47">
        <v>1.0019087</v>
      </c>
      <c r="T47">
        <v>0.55328379999999999</v>
      </c>
      <c r="U47">
        <v>5.7495697000000003</v>
      </c>
      <c r="V47">
        <v>3.0550149000000002</v>
      </c>
      <c r="W47">
        <v>0.99631590000000003</v>
      </c>
      <c r="X47">
        <v>0.54316900000000001</v>
      </c>
      <c r="Y47">
        <v>5.2238001000000001</v>
      </c>
      <c r="AA47" s="5">
        <f t="shared" si="19"/>
        <v>-1.2088099999999999E-2</v>
      </c>
      <c r="AB47" s="5">
        <f t="shared" si="19"/>
        <v>-4.2436000000000001E-3</v>
      </c>
      <c r="AC47" s="5">
        <f t="shared" si="19"/>
        <v>-1.6604E-3</v>
      </c>
      <c r="AD47" s="5">
        <f t="shared" si="19"/>
        <v>-3.70604E-2</v>
      </c>
      <c r="AE47" s="5">
        <f t="shared" si="20"/>
        <v>-2.6115099999999725E-2</v>
      </c>
      <c r="AF47" s="5">
        <f t="shared" si="20"/>
        <v>-2.0338000000000855E-3</v>
      </c>
      <c r="AG47" s="5">
        <f t="shared" si="20"/>
        <v>-8.2243000000000732E-3</v>
      </c>
      <c r="AH47" s="5">
        <f t="shared" si="20"/>
        <v>-0.48016190000000059</v>
      </c>
      <c r="AI47" s="5">
        <f t="shared" si="28"/>
        <v>2.5267000000000553E-3</v>
      </c>
      <c r="AJ47" s="5">
        <f t="shared" si="29"/>
        <v>6.8460000000013232E-4</v>
      </c>
      <c r="AK47" s="5">
        <f t="shared" si="30"/>
        <v>-2.3009999999990677E-4</v>
      </c>
      <c r="AL47" s="5">
        <f t="shared" si="31"/>
        <v>-8.5472999999997024E-3</v>
      </c>
      <c r="AM47" s="5"/>
      <c r="AN47" s="5"/>
      <c r="AO47" s="5"/>
      <c r="AP47" s="5"/>
      <c r="AQ47" s="5"/>
      <c r="AR47" s="5"/>
      <c r="AS47" s="5"/>
      <c r="AT47" s="5"/>
      <c r="AU47" s="5"/>
      <c r="AV47" s="5">
        <f t="shared" si="40"/>
        <v>2018.75</v>
      </c>
      <c r="AW47" s="3">
        <f t="shared" si="43"/>
        <v>-1.236072938242871</v>
      </c>
      <c r="AX47" s="3">
        <f t="shared" si="44"/>
        <v>-0.62654411524723619</v>
      </c>
      <c r="AY47" s="3">
        <f t="shared" si="45"/>
        <v>-1.7865514949109431</v>
      </c>
      <c r="AZ47" s="3">
        <f t="shared" si="46"/>
        <v>-8.9958436367855601</v>
      </c>
      <c r="BA47" s="3">
        <f t="shared" si="47"/>
        <v>-1.1543210040316438</v>
      </c>
      <c r="BB47" s="3">
        <f t="shared" si="48"/>
        <v>-0.5582145359152938</v>
      </c>
      <c r="BC47" s="3">
        <f t="shared" si="49"/>
        <v>-1.8281395551433062</v>
      </c>
      <c r="BD47" s="3">
        <f t="shared" si="50"/>
        <v>-9.1445034573630828</v>
      </c>
      <c r="BE47" s="3">
        <f t="shared" si="51"/>
        <v>-0.76320786992837619</v>
      </c>
      <c r="BF47" s="3">
        <f t="shared" si="52"/>
        <v>-0.13466296879146167</v>
      </c>
      <c r="BG47" s="3">
        <f t="shared" si="53"/>
        <v>-1.5280404016889657</v>
      </c>
      <c r="BH47" s="3">
        <f t="shared" si="54"/>
        <v>-8.4999265249363027</v>
      </c>
      <c r="BI47" s="3">
        <f t="shared" si="55"/>
        <v>-0.84495980413960858</v>
      </c>
      <c r="BJ47" s="3">
        <f t="shared" si="56"/>
        <v>-0.20299254812340539</v>
      </c>
      <c r="BK47" s="3">
        <f t="shared" si="57"/>
        <v>-1.4864523414566038</v>
      </c>
      <c r="BL47" s="3">
        <f t="shared" si="58"/>
        <v>-8.3512667043587729</v>
      </c>
      <c r="BM47" s="2">
        <v>0</v>
      </c>
    </row>
    <row r="48" spans="1:65" x14ac:dyDescent="0.35">
      <c r="A48">
        <f t="shared" si="27"/>
        <v>45</v>
      </c>
      <c r="B48">
        <v>1.18721E-2</v>
      </c>
      <c r="C48">
        <v>4.1297E-3</v>
      </c>
      <c r="D48">
        <v>1.8021999999999999E-3</v>
      </c>
      <c r="E48">
        <v>3.6955399999999999E-2</v>
      </c>
      <c r="F48">
        <v>0</v>
      </c>
      <c r="G48">
        <v>0</v>
      </c>
      <c r="H48">
        <v>0</v>
      </c>
      <c r="I48">
        <v>0</v>
      </c>
      <c r="J48">
        <v>3.0714648000000002</v>
      </c>
      <c r="K48">
        <v>0.99541769999999996</v>
      </c>
      <c r="L48">
        <v>0.54978760000000004</v>
      </c>
      <c r="M48">
        <v>5.6859548000000002</v>
      </c>
      <c r="N48">
        <v>3.0456259999999999</v>
      </c>
      <c r="O48">
        <v>0.9933729</v>
      </c>
      <c r="P48">
        <v>0.54206509999999997</v>
      </c>
      <c r="Q48">
        <v>5.2150335999999999</v>
      </c>
      <c r="R48">
        <v>3.0906913999999999</v>
      </c>
      <c r="S48">
        <v>1.0019087</v>
      </c>
      <c r="T48">
        <v>0.55328379999999999</v>
      </c>
      <c r="U48">
        <v>5.7495697000000003</v>
      </c>
      <c r="V48">
        <v>3.0554701</v>
      </c>
      <c r="W48">
        <v>0.99640980000000001</v>
      </c>
      <c r="X48">
        <v>0.54353309999999999</v>
      </c>
      <c r="Y48">
        <v>5.2331906000000004</v>
      </c>
      <c r="AA48" s="5">
        <f t="shared" si="19"/>
        <v>-1.18721E-2</v>
      </c>
      <c r="AB48" s="5">
        <f t="shared" si="19"/>
        <v>-4.1297E-3</v>
      </c>
      <c r="AC48" s="5">
        <f t="shared" si="19"/>
        <v>-1.8021999999999999E-3</v>
      </c>
      <c r="AD48" s="5">
        <f t="shared" si="19"/>
        <v>-3.6955399999999999E-2</v>
      </c>
      <c r="AE48" s="5">
        <f t="shared" si="20"/>
        <v>-2.5838800000000273E-2</v>
      </c>
      <c r="AF48" s="5">
        <f t="shared" si="20"/>
        <v>-2.0447999999999578E-3</v>
      </c>
      <c r="AG48" s="5">
        <f t="shared" si="20"/>
        <v>-7.7225000000000765E-3</v>
      </c>
      <c r="AH48" s="5">
        <f t="shared" si="20"/>
        <v>-0.47092120000000026</v>
      </c>
      <c r="AI48" s="5">
        <f t="shared" si="28"/>
        <v>2.4896000000003693E-3</v>
      </c>
      <c r="AJ48" s="5">
        <f t="shared" si="29"/>
        <v>6.7559999999998455E-4</v>
      </c>
      <c r="AK48" s="5">
        <f t="shared" si="30"/>
        <v>-2.2599999999992418E-4</v>
      </c>
      <c r="AL48" s="5">
        <f t="shared" si="31"/>
        <v>-8.5024999999997464E-3</v>
      </c>
      <c r="AM48" s="5"/>
      <c r="AN48" s="5"/>
      <c r="AO48" s="5"/>
      <c r="AP48" s="5"/>
      <c r="AQ48" s="5"/>
      <c r="AR48" s="5"/>
      <c r="AS48" s="5"/>
      <c r="AT48" s="5"/>
      <c r="AU48" s="5"/>
      <c r="AV48" s="5">
        <f t="shared" si="40"/>
        <v>2019</v>
      </c>
      <c r="AW48" s="3">
        <f t="shared" si="43"/>
        <v>-1.2201444634686034</v>
      </c>
      <c r="AX48" s="3">
        <f t="shared" si="44"/>
        <v>-0.61627371835377398</v>
      </c>
      <c r="AY48" s="3">
        <f t="shared" si="45"/>
        <v>-1.7214854293583288</v>
      </c>
      <c r="AZ48" s="3">
        <f t="shared" si="46"/>
        <v>-8.8332975596417285</v>
      </c>
      <c r="BA48" s="3">
        <f t="shared" si="47"/>
        <v>-1.1395929079169762</v>
      </c>
      <c r="BB48" s="3">
        <f t="shared" si="48"/>
        <v>-0.54884242446442211</v>
      </c>
      <c r="BC48" s="3">
        <f t="shared" si="49"/>
        <v>-1.762332459399679</v>
      </c>
      <c r="BD48" s="3">
        <f t="shared" si="50"/>
        <v>-8.9811781914740489</v>
      </c>
      <c r="BE48" s="3">
        <f t="shared" si="51"/>
        <v>-0.75546850131979326</v>
      </c>
      <c r="BF48" s="3">
        <f t="shared" si="52"/>
        <v>-0.13665915866386533</v>
      </c>
      <c r="BG48" s="3">
        <f t="shared" si="53"/>
        <v>-1.4366045056804528</v>
      </c>
      <c r="BH48" s="3">
        <f t="shared" si="54"/>
        <v>-8.3384274826688305</v>
      </c>
      <c r="BI48" s="3">
        <f t="shared" si="55"/>
        <v>-0.836020056871426</v>
      </c>
      <c r="BJ48" s="3">
        <f t="shared" si="56"/>
        <v>-0.20409045255320746</v>
      </c>
      <c r="BK48" s="3">
        <f t="shared" si="57"/>
        <v>-1.3957574756390982</v>
      </c>
      <c r="BL48" s="3">
        <f t="shared" si="58"/>
        <v>-8.1905468508365118</v>
      </c>
      <c r="BM48" s="2">
        <v>0</v>
      </c>
    </row>
    <row r="49" spans="1:65" x14ac:dyDescent="0.35">
      <c r="A49">
        <f t="shared" si="27"/>
        <v>46</v>
      </c>
      <c r="B49">
        <v>1.16829E-2</v>
      </c>
      <c r="C49">
        <v>4.0289999999999996E-3</v>
      </c>
      <c r="D49">
        <v>1.9262000000000001E-3</v>
      </c>
      <c r="E49">
        <v>3.6877699999999999E-2</v>
      </c>
      <c r="F49">
        <v>0</v>
      </c>
      <c r="G49">
        <v>0</v>
      </c>
      <c r="H49">
        <v>0</v>
      </c>
      <c r="I49">
        <v>0</v>
      </c>
      <c r="J49">
        <v>3.0716912999999999</v>
      </c>
      <c r="K49">
        <v>0.99554010000000004</v>
      </c>
      <c r="L49">
        <v>0.54969659999999998</v>
      </c>
      <c r="M49">
        <v>5.6861408000000004</v>
      </c>
      <c r="N49">
        <v>3.0460869000000002</v>
      </c>
      <c r="O49">
        <v>0.99347529999999995</v>
      </c>
      <c r="P49">
        <v>0.54238690000000001</v>
      </c>
      <c r="Q49">
        <v>5.2245207999999996</v>
      </c>
      <c r="R49">
        <v>3.0906913999999999</v>
      </c>
      <c r="S49">
        <v>1.0019087</v>
      </c>
      <c r="T49">
        <v>0.55328379999999999</v>
      </c>
      <c r="U49">
        <v>5.7495697000000003</v>
      </c>
      <c r="V49">
        <v>3.0558567999999999</v>
      </c>
      <c r="W49">
        <v>0.99648130000000001</v>
      </c>
      <c r="X49">
        <v>0.54382220000000003</v>
      </c>
      <c r="Y49">
        <v>5.2426292999999999</v>
      </c>
      <c r="AA49" s="5">
        <f t="shared" si="19"/>
        <v>-1.16829E-2</v>
      </c>
      <c r="AB49" s="5">
        <f t="shared" si="19"/>
        <v>-4.0289999999999996E-3</v>
      </c>
      <c r="AC49" s="5">
        <f t="shared" si="19"/>
        <v>-1.9262000000000001E-3</v>
      </c>
      <c r="AD49" s="5">
        <f t="shared" si="19"/>
        <v>-3.6877699999999999E-2</v>
      </c>
      <c r="AE49" s="5">
        <f t="shared" si="20"/>
        <v>-2.560439999999975E-2</v>
      </c>
      <c r="AF49" s="5">
        <f t="shared" si="20"/>
        <v>-2.0648000000000888E-3</v>
      </c>
      <c r="AG49" s="5">
        <f t="shared" si="20"/>
        <v>-7.3096999999999746E-3</v>
      </c>
      <c r="AH49" s="5">
        <f t="shared" si="20"/>
        <v>-0.46162000000000081</v>
      </c>
      <c r="AI49" s="5">
        <f t="shared" si="28"/>
        <v>2.4526999999998078E-3</v>
      </c>
      <c r="AJ49" s="5">
        <f t="shared" si="29"/>
        <v>6.6640000000011725E-4</v>
      </c>
      <c r="AK49" s="5">
        <f t="shared" si="30"/>
        <v>-2.2569999999998494E-4</v>
      </c>
      <c r="AL49" s="5">
        <f t="shared" si="31"/>
        <v>-8.4426999999995811E-3</v>
      </c>
      <c r="AM49" s="5"/>
      <c r="AN49" s="5"/>
      <c r="AO49" s="5"/>
      <c r="AP49" s="5"/>
      <c r="AQ49" s="5"/>
      <c r="AR49" s="5"/>
      <c r="AS49" s="5"/>
      <c r="AT49" s="5"/>
      <c r="AU49" s="5"/>
      <c r="AV49" s="5">
        <f t="shared" si="40"/>
        <v>2019.25</v>
      </c>
      <c r="AW49" s="3">
        <f t="shared" si="43"/>
        <v>-1.2064387923038757</v>
      </c>
      <c r="AX49" s="3">
        <f t="shared" si="44"/>
        <v>-0.60821909221869097</v>
      </c>
      <c r="AY49" s="3">
        <f t="shared" si="45"/>
        <v>-1.6692879856594345</v>
      </c>
      <c r="AZ49" s="3">
        <f t="shared" si="46"/>
        <v>-8.6701740479813783</v>
      </c>
      <c r="BA49" s="3">
        <f t="shared" si="47"/>
        <v>-1.1270811443678894</v>
      </c>
      <c r="BB49" s="3">
        <f t="shared" si="48"/>
        <v>-0.54170604567062564</v>
      </c>
      <c r="BC49" s="3">
        <f t="shared" si="49"/>
        <v>-1.7100807939795017</v>
      </c>
      <c r="BD49" s="3">
        <f t="shared" si="50"/>
        <v>-8.8170146019797002</v>
      </c>
      <c r="BE49" s="3">
        <f t="shared" si="51"/>
        <v>-0.7490783453825286</v>
      </c>
      <c r="BF49" s="3">
        <f t="shared" si="52"/>
        <v>-0.13957359587755069</v>
      </c>
      <c r="BG49" s="3">
        <f t="shared" si="53"/>
        <v>-1.361941195458817</v>
      </c>
      <c r="BH49" s="3">
        <f t="shared" si="54"/>
        <v>-8.1756152986544457</v>
      </c>
      <c r="BI49" s="3">
        <f t="shared" si="55"/>
        <v>-0.8284359933185097</v>
      </c>
      <c r="BJ49" s="3">
        <f t="shared" si="56"/>
        <v>-0.20608664242561114</v>
      </c>
      <c r="BK49" s="3">
        <f t="shared" si="57"/>
        <v>-1.3211483871387477</v>
      </c>
      <c r="BL49" s="3">
        <f t="shared" si="58"/>
        <v>-8.028774744656122</v>
      </c>
      <c r="BM49" s="2">
        <v>0</v>
      </c>
    </row>
    <row r="50" spans="1:65" x14ac:dyDescent="0.35">
      <c r="A50">
        <f t="shared" si="27"/>
        <v>47</v>
      </c>
      <c r="B50">
        <v>1.1517899999999999E-2</v>
      </c>
      <c r="C50">
        <v>3.9402999999999999E-3</v>
      </c>
      <c r="D50">
        <v>2.0168E-3</v>
      </c>
      <c r="E50">
        <v>3.6813100000000001E-2</v>
      </c>
      <c r="F50">
        <v>0</v>
      </c>
      <c r="G50">
        <v>0</v>
      </c>
      <c r="H50">
        <v>0</v>
      </c>
      <c r="I50">
        <v>0</v>
      </c>
      <c r="J50">
        <v>3.0718944000000001</v>
      </c>
      <c r="K50">
        <v>0.99565029999999999</v>
      </c>
      <c r="L50">
        <v>0.54964100000000005</v>
      </c>
      <c r="M50">
        <v>5.6863535000000001</v>
      </c>
      <c r="N50">
        <v>3.0464988000000002</v>
      </c>
      <c r="O50">
        <v>0.99355510000000002</v>
      </c>
      <c r="P50">
        <v>0.54264590000000001</v>
      </c>
      <c r="Q50">
        <v>5.2339159999999998</v>
      </c>
      <c r="R50">
        <v>3.0906913999999999</v>
      </c>
      <c r="S50">
        <v>1.0019087</v>
      </c>
      <c r="T50">
        <v>0.55328379999999999</v>
      </c>
      <c r="U50">
        <v>5.7495697000000003</v>
      </c>
      <c r="V50">
        <v>3.0561937000000001</v>
      </c>
      <c r="W50">
        <v>0.99653060000000004</v>
      </c>
      <c r="X50">
        <v>0.54405409999999998</v>
      </c>
      <c r="Y50">
        <v>5.2519549000000003</v>
      </c>
      <c r="AA50" s="5">
        <f t="shared" si="19"/>
        <v>-1.1517899999999999E-2</v>
      </c>
      <c r="AB50" s="5">
        <f t="shared" si="19"/>
        <v>-3.9402999999999999E-3</v>
      </c>
      <c r="AC50" s="5">
        <f t="shared" si="19"/>
        <v>-2.0168E-3</v>
      </c>
      <c r="AD50" s="5">
        <f t="shared" si="19"/>
        <v>-3.6813100000000001E-2</v>
      </c>
      <c r="AE50" s="5">
        <f t="shared" si="20"/>
        <v>-2.5395599999999963E-2</v>
      </c>
      <c r="AF50" s="5">
        <f t="shared" si="20"/>
        <v>-2.0951999999999638E-3</v>
      </c>
      <c r="AG50" s="5">
        <f t="shared" si="20"/>
        <v>-6.9951000000000318E-3</v>
      </c>
      <c r="AH50" s="5">
        <f t="shared" si="20"/>
        <v>-0.45243750000000027</v>
      </c>
      <c r="AI50" s="5">
        <f t="shared" si="28"/>
        <v>2.4158000000002178E-3</v>
      </c>
      <c r="AJ50" s="5">
        <f t="shared" si="29"/>
        <v>6.5740000000002238E-4</v>
      </c>
      <c r="AK50" s="5">
        <f t="shared" si="30"/>
        <v>-2.1779999999997635E-4</v>
      </c>
      <c r="AL50" s="5">
        <f t="shared" si="31"/>
        <v>-8.3641999999997663E-3</v>
      </c>
      <c r="AM50" s="5"/>
      <c r="AN50" s="5"/>
      <c r="AO50" s="5"/>
      <c r="AP50" s="5"/>
      <c r="AQ50" s="5"/>
      <c r="AR50" s="5"/>
      <c r="AS50" s="5"/>
      <c r="AT50" s="5"/>
      <c r="AU50" s="5"/>
      <c r="AV50" s="5">
        <f t="shared" si="40"/>
        <v>2019.5</v>
      </c>
      <c r="AW50" s="3">
        <f t="shared" si="43"/>
        <v>-1.1943444110919634</v>
      </c>
      <c r="AX50" s="3">
        <f t="shared" si="44"/>
        <v>-0.60240019874066009</v>
      </c>
      <c r="AY50" s="3">
        <f t="shared" si="45"/>
        <v>-1.6288024337600397</v>
      </c>
      <c r="AZ50" s="3">
        <f t="shared" si="46"/>
        <v>-8.509342881781226</v>
      </c>
      <c r="BA50" s="3">
        <f t="shared" si="47"/>
        <v>-1.1161806707715867</v>
      </c>
      <c r="BB50" s="3">
        <f t="shared" si="48"/>
        <v>-0.53678543763517983</v>
      </c>
      <c r="BC50" s="3">
        <f t="shared" si="49"/>
        <v>-1.6681674034193676</v>
      </c>
      <c r="BD50" s="3">
        <f t="shared" si="50"/>
        <v>-8.6548181162148534</v>
      </c>
      <c r="BE50" s="3">
        <f t="shared" si="51"/>
        <v>-0.74351648307559548</v>
      </c>
      <c r="BF50" s="3">
        <f t="shared" si="52"/>
        <v>-0.14350608992615133</v>
      </c>
      <c r="BG50" s="3">
        <f t="shared" si="53"/>
        <v>-1.3036528450679319</v>
      </c>
      <c r="BH50" s="3">
        <f t="shared" si="54"/>
        <v>-8.0145423752320148</v>
      </c>
      <c r="BI50" s="3">
        <f t="shared" si="55"/>
        <v>-0.8216802233959678</v>
      </c>
      <c r="BJ50" s="3">
        <f t="shared" si="56"/>
        <v>-0.20912085103163228</v>
      </c>
      <c r="BK50" s="3">
        <f t="shared" si="57"/>
        <v>-1.2642878754086115</v>
      </c>
      <c r="BL50" s="3">
        <f t="shared" si="58"/>
        <v>-7.8690671407983848</v>
      </c>
      <c r="BM50" s="2">
        <v>0</v>
      </c>
    </row>
    <row r="51" spans="1:65" x14ac:dyDescent="0.35">
      <c r="A51">
        <f t="shared" si="27"/>
        <v>48</v>
      </c>
      <c r="B51">
        <v>1.1372E-2</v>
      </c>
      <c r="C51">
        <v>3.8609999999999998E-3</v>
      </c>
      <c r="D51">
        <v>2.0863000000000001E-3</v>
      </c>
      <c r="E51">
        <v>3.6752600000000003E-2</v>
      </c>
      <c r="F51">
        <v>0</v>
      </c>
      <c r="G51">
        <v>0</v>
      </c>
      <c r="H51">
        <v>0</v>
      </c>
      <c r="I51">
        <v>0</v>
      </c>
      <c r="J51">
        <v>3.0720792000000001</v>
      </c>
      <c r="K51">
        <v>0.99575069999999999</v>
      </c>
      <c r="L51">
        <v>0.54960830000000005</v>
      </c>
      <c r="M51">
        <v>5.6866013000000004</v>
      </c>
      <c r="N51">
        <v>3.0468928000000002</v>
      </c>
      <c r="O51">
        <v>0.99362010000000001</v>
      </c>
      <c r="P51">
        <v>0.54290530000000004</v>
      </c>
      <c r="Q51">
        <v>5.2437274</v>
      </c>
      <c r="R51">
        <v>3.0906913999999999</v>
      </c>
      <c r="S51">
        <v>1.0019087</v>
      </c>
      <c r="T51">
        <v>0.55328379999999999</v>
      </c>
      <c r="U51">
        <v>5.7495697000000003</v>
      </c>
      <c r="V51">
        <v>3.0565121</v>
      </c>
      <c r="W51">
        <v>0.99656529999999999</v>
      </c>
      <c r="X51">
        <v>0.54428080000000001</v>
      </c>
      <c r="Y51">
        <v>5.2616734000000003</v>
      </c>
      <c r="AA51" s="5">
        <f t="shared" si="19"/>
        <v>-1.1372E-2</v>
      </c>
      <c r="AB51" s="5">
        <f t="shared" si="19"/>
        <v>-3.8609999999999998E-3</v>
      </c>
      <c r="AC51" s="5">
        <f t="shared" si="19"/>
        <v>-2.0863000000000001E-3</v>
      </c>
      <c r="AD51" s="5">
        <f t="shared" si="19"/>
        <v>-3.6752600000000003E-2</v>
      </c>
      <c r="AE51" s="5">
        <f t="shared" si="20"/>
        <v>-2.5186399999999942E-2</v>
      </c>
      <c r="AF51" s="5">
        <f t="shared" si="20"/>
        <v>-2.1305999999999825E-3</v>
      </c>
      <c r="AG51" s="5">
        <f t="shared" si="20"/>
        <v>-6.7030000000000145E-3</v>
      </c>
      <c r="AH51" s="5">
        <f t="shared" si="20"/>
        <v>-0.44287390000000038</v>
      </c>
      <c r="AI51" s="5">
        <f t="shared" si="28"/>
        <v>2.3791000000000298E-3</v>
      </c>
      <c r="AJ51" s="5">
        <f t="shared" si="29"/>
        <v>6.4819999999998421E-4</v>
      </c>
      <c r="AK51" s="5">
        <f t="shared" si="30"/>
        <v>-2.1369999999996947E-4</v>
      </c>
      <c r="AL51" s="5">
        <f t="shared" si="31"/>
        <v>-8.2697999999996608E-3</v>
      </c>
      <c r="AM51" s="5"/>
      <c r="AN51" s="5"/>
      <c r="AO51" s="5"/>
      <c r="AP51" s="5"/>
      <c r="AQ51" s="5"/>
      <c r="AR51" s="5"/>
      <c r="AS51" s="5"/>
      <c r="AT51" s="5"/>
      <c r="AU51" s="5"/>
      <c r="AV51" s="5">
        <f t="shared" si="40"/>
        <v>2019.75</v>
      </c>
      <c r="AW51" s="3">
        <f t="shared" si="43"/>
        <v>-1.1828550724928391</v>
      </c>
      <c r="AX51" s="3">
        <f t="shared" si="44"/>
        <v>-0.59801856197076464</v>
      </c>
      <c r="AY51" s="3">
        <f t="shared" si="45"/>
        <v>-1.5885699165600029</v>
      </c>
      <c r="AZ51" s="3">
        <f t="shared" si="46"/>
        <v>-8.3419547031493568</v>
      </c>
      <c r="BA51" s="3">
        <f t="shared" si="47"/>
        <v>-1.1058787687441041</v>
      </c>
      <c r="BB51" s="3">
        <f t="shared" si="48"/>
        <v>-0.53332204820658791</v>
      </c>
      <c r="BC51" s="3">
        <f t="shared" si="49"/>
        <v>-1.6271938560283137</v>
      </c>
      <c r="BD51" s="3">
        <f t="shared" si="50"/>
        <v>-8.4857880755841606</v>
      </c>
      <c r="BE51" s="3">
        <f t="shared" si="51"/>
        <v>-0.73793520763670395</v>
      </c>
      <c r="BF51" s="3">
        <f t="shared" si="52"/>
        <v>-0.14795759334158839</v>
      </c>
      <c r="BG51" s="3">
        <f t="shared" si="53"/>
        <v>-1.2501179322438138</v>
      </c>
      <c r="BH51" s="3">
        <f t="shared" si="54"/>
        <v>-7.846564587259464</v>
      </c>
      <c r="BI51" s="3">
        <f t="shared" si="55"/>
        <v>-0.81491151138544415</v>
      </c>
      <c r="BJ51" s="3">
        <f t="shared" si="56"/>
        <v>-0.21265410710576549</v>
      </c>
      <c r="BK51" s="3">
        <f t="shared" si="57"/>
        <v>-1.2114939927755004</v>
      </c>
      <c r="BL51" s="3">
        <f t="shared" si="58"/>
        <v>-7.7027312148246567</v>
      </c>
      <c r="BM51" s="2">
        <v>0</v>
      </c>
    </row>
    <row r="52" spans="1:65" x14ac:dyDescent="0.35">
      <c r="A52">
        <f t="shared" si="27"/>
        <v>49</v>
      </c>
      <c r="B52">
        <v>1.1241900000000001E-2</v>
      </c>
      <c r="C52">
        <v>3.7897999999999999E-3</v>
      </c>
      <c r="D52">
        <v>2.1364999999999999E-3</v>
      </c>
      <c r="E52">
        <v>3.6687699999999997E-2</v>
      </c>
      <c r="F52">
        <v>0</v>
      </c>
      <c r="G52">
        <v>0</v>
      </c>
      <c r="H52">
        <v>0</v>
      </c>
      <c r="I52">
        <v>0</v>
      </c>
      <c r="J52">
        <v>3.0722493000000002</v>
      </c>
      <c r="K52">
        <v>0.99584280000000003</v>
      </c>
      <c r="L52">
        <v>0.54959610000000003</v>
      </c>
      <c r="M52">
        <v>5.6868911999999998</v>
      </c>
      <c r="N52">
        <v>3.0472777</v>
      </c>
      <c r="O52">
        <v>0.99367989999999995</v>
      </c>
      <c r="P52">
        <v>0.54306900000000002</v>
      </c>
      <c r="Q52">
        <v>5.2525066999999996</v>
      </c>
      <c r="R52">
        <v>3.0906913999999999</v>
      </c>
      <c r="S52">
        <v>1.0019087</v>
      </c>
      <c r="T52">
        <v>0.55328379999999999</v>
      </c>
      <c r="U52">
        <v>5.7495697000000003</v>
      </c>
      <c r="V52">
        <v>3.0568205000000002</v>
      </c>
      <c r="W52">
        <v>0.99659489999999995</v>
      </c>
      <c r="X52">
        <v>0.54441229999999996</v>
      </c>
      <c r="Y52">
        <v>5.2703315000000002</v>
      </c>
      <c r="AA52" s="5">
        <f t="shared" si="19"/>
        <v>-1.1241900000000001E-2</v>
      </c>
      <c r="AB52" s="5">
        <f t="shared" si="19"/>
        <v>-3.7897999999999999E-3</v>
      </c>
      <c r="AC52" s="5">
        <f t="shared" si="19"/>
        <v>-2.1364999999999999E-3</v>
      </c>
      <c r="AD52" s="5">
        <f t="shared" si="19"/>
        <v>-3.6687699999999997E-2</v>
      </c>
      <c r="AE52" s="5">
        <f t="shared" si="20"/>
        <v>-2.4971600000000205E-2</v>
      </c>
      <c r="AF52" s="5">
        <f t="shared" si="20"/>
        <v>-2.1629000000000786E-3</v>
      </c>
      <c r="AG52" s="5">
        <f t="shared" si="20"/>
        <v>-6.5271000000000079E-3</v>
      </c>
      <c r="AH52" s="5">
        <f t="shared" si="20"/>
        <v>-0.43438450000000017</v>
      </c>
      <c r="AI52" s="5">
        <f t="shared" si="28"/>
        <v>2.3426000000004998E-3</v>
      </c>
      <c r="AJ52" s="5">
        <f t="shared" si="29"/>
        <v>6.3890000000004291E-4</v>
      </c>
      <c r="AK52" s="5">
        <f t="shared" si="30"/>
        <v>-2.0790000000002473E-4</v>
      </c>
      <c r="AL52" s="5">
        <f t="shared" si="31"/>
        <v>-8.1660000000000066E-3</v>
      </c>
      <c r="AM52" s="5"/>
      <c r="AN52" s="5"/>
      <c r="AO52" s="5"/>
      <c r="AP52" s="5"/>
      <c r="AQ52" s="5"/>
      <c r="AR52" s="5"/>
      <c r="AS52" s="5"/>
      <c r="AT52" s="5"/>
      <c r="AU52" s="5"/>
      <c r="AV52" s="5">
        <f t="shared" si="40"/>
        <v>2020</v>
      </c>
      <c r="AW52" s="3">
        <f t="shared" si="43"/>
        <v>-1.1716957571370668</v>
      </c>
      <c r="AX52" s="3">
        <f t="shared" si="44"/>
        <v>-0.59413597266897455</v>
      </c>
      <c r="AY52" s="3">
        <f t="shared" si="45"/>
        <v>-1.5658510153378804</v>
      </c>
      <c r="AZ52" s="3">
        <f t="shared" si="46"/>
        <v>-8.1931731343303866</v>
      </c>
      <c r="BA52" s="3">
        <f t="shared" si="47"/>
        <v>-1.0959004189159651</v>
      </c>
      <c r="BB52" s="3">
        <f t="shared" si="48"/>
        <v>-0.53036768719545357</v>
      </c>
      <c r="BC52" s="3">
        <f t="shared" si="49"/>
        <v>-1.6034266681945202</v>
      </c>
      <c r="BD52" s="3">
        <f t="shared" si="50"/>
        <v>-8.3352011542707309</v>
      </c>
      <c r="BE52" s="3">
        <f t="shared" si="51"/>
        <v>-0.73216627192219152</v>
      </c>
      <c r="BF52" s="3">
        <f t="shared" si="52"/>
        <v>-0.15210966827616937</v>
      </c>
      <c r="BG52" s="3">
        <f t="shared" si="53"/>
        <v>-1.2172776430468499</v>
      </c>
      <c r="BH52" s="3">
        <f t="shared" si="54"/>
        <v>-7.6971064460702205</v>
      </c>
      <c r="BI52" s="3">
        <f t="shared" si="55"/>
        <v>-0.80796161014329049</v>
      </c>
      <c r="BJ52" s="3">
        <f t="shared" si="56"/>
        <v>-0.21587795374968582</v>
      </c>
      <c r="BK52" s="3">
        <f t="shared" si="57"/>
        <v>-1.1797019901902077</v>
      </c>
      <c r="BL52" s="3">
        <f t="shared" si="58"/>
        <v>-7.5550784261298745</v>
      </c>
      <c r="BM52" s="2">
        <v>0</v>
      </c>
    </row>
    <row r="53" spans="1:65" x14ac:dyDescent="0.35">
      <c r="A53">
        <f t="shared" si="27"/>
        <v>50</v>
      </c>
      <c r="B53">
        <v>1.1124500000000001E-2</v>
      </c>
      <c r="C53">
        <v>3.7250999999999999E-3</v>
      </c>
      <c r="D53">
        <v>2.1714999999999998E-3</v>
      </c>
      <c r="E53">
        <v>3.6611900000000003E-2</v>
      </c>
      <c r="F53">
        <v>3.8670000000000002E-4</v>
      </c>
      <c r="G53">
        <v>1.963E-4</v>
      </c>
      <c r="H53">
        <v>1.5762E-3</v>
      </c>
      <c r="I53">
        <v>3.3389999999999998E-4</v>
      </c>
      <c r="J53">
        <v>3.0724076999999999</v>
      </c>
      <c r="K53">
        <v>0.99592809999999998</v>
      </c>
      <c r="L53">
        <v>0.54959979999999997</v>
      </c>
      <c r="M53">
        <v>5.6872277999999996</v>
      </c>
      <c r="N53">
        <v>3.0475734000000001</v>
      </c>
      <c r="O53">
        <v>0.99368769999999995</v>
      </c>
      <c r="P53">
        <v>0.54216359999999997</v>
      </c>
      <c r="Q53">
        <v>5.2613244999999997</v>
      </c>
      <c r="R53">
        <v>3.0906913999999999</v>
      </c>
      <c r="S53">
        <v>1.0019087</v>
      </c>
      <c r="T53">
        <v>0.55328379999999999</v>
      </c>
      <c r="U53">
        <v>5.7495697000000003</v>
      </c>
      <c r="V53">
        <v>3.0574257</v>
      </c>
      <c r="W53">
        <v>0.99676909999999996</v>
      </c>
      <c r="X53">
        <v>0.54503389999999996</v>
      </c>
      <c r="Y53">
        <v>5.2793343999999998</v>
      </c>
      <c r="AA53" s="5">
        <f t="shared" si="19"/>
        <v>-1.07378E-2</v>
      </c>
      <c r="AB53" s="5">
        <f t="shared" si="19"/>
        <v>-3.5287999999999999E-3</v>
      </c>
      <c r="AC53" s="5">
        <f t="shared" si="19"/>
        <v>-5.9529999999999978E-4</v>
      </c>
      <c r="AD53" s="5">
        <f t="shared" si="19"/>
        <v>-3.6278000000000005E-2</v>
      </c>
      <c r="AE53" s="5">
        <f t="shared" si="20"/>
        <v>-2.4834299999999754E-2</v>
      </c>
      <c r="AF53" s="5">
        <f t="shared" si="20"/>
        <v>-2.2404000000000313E-3</v>
      </c>
      <c r="AG53" s="5">
        <f t="shared" si="20"/>
        <v>-7.4362000000000039E-3</v>
      </c>
      <c r="AH53" s="5">
        <f t="shared" si="20"/>
        <v>-0.42590329999999987</v>
      </c>
      <c r="AI53" s="5">
        <f t="shared" si="28"/>
        <v>2.3063999999999099E-3</v>
      </c>
      <c r="AJ53" s="5">
        <f t="shared" si="29"/>
        <v>6.2960000000000967E-4</v>
      </c>
      <c r="AK53" s="5">
        <f t="shared" si="30"/>
        <v>-2.1840000000002829E-4</v>
      </c>
      <c r="AL53" s="5">
        <f t="shared" si="31"/>
        <v>-8.0540000000006717E-3</v>
      </c>
      <c r="AM53" s="5"/>
      <c r="AN53" s="5"/>
      <c r="AO53" s="5"/>
      <c r="AP53" s="5"/>
      <c r="AQ53" s="5"/>
      <c r="AR53" s="5"/>
      <c r="AS53" s="5"/>
      <c r="AT53" s="5"/>
      <c r="AU53" s="5"/>
      <c r="AV53" s="5">
        <f t="shared" si="40"/>
        <v>2020.25</v>
      </c>
      <c r="AW53" s="3">
        <f t="shared" si="43"/>
        <v>-1.1509431190703723</v>
      </c>
      <c r="AX53" s="3">
        <f t="shared" si="44"/>
        <v>-0.57582093058978645</v>
      </c>
      <c r="AY53" s="3">
        <f t="shared" si="45"/>
        <v>-1.4516058485717462</v>
      </c>
      <c r="AZ53" s="3">
        <f t="shared" si="46"/>
        <v>-8.0385372143588381</v>
      </c>
      <c r="BA53" s="3">
        <f t="shared" si="47"/>
        <v>-1.0763190398109577</v>
      </c>
      <c r="BB53" s="3">
        <f t="shared" si="48"/>
        <v>-0.51298087340693044</v>
      </c>
      <c r="BC53" s="3">
        <f t="shared" si="49"/>
        <v>-1.4910792616736712</v>
      </c>
      <c r="BD53" s="3">
        <f t="shared" si="50"/>
        <v>-8.1786172624361875</v>
      </c>
      <c r="BE53" s="3">
        <f t="shared" si="51"/>
        <v>-0.72889515918671288</v>
      </c>
      <c r="BF53" s="3">
        <f t="shared" si="52"/>
        <v>-0.16077313232232759</v>
      </c>
      <c r="BG53" s="3">
        <f t="shared" si="53"/>
        <v>-1.3834852927195893</v>
      </c>
      <c r="BH53" s="3">
        <f t="shared" si="54"/>
        <v>-7.547648304880977</v>
      </c>
      <c r="BI53" s="3">
        <f t="shared" si="55"/>
        <v>-0.80351923844612094</v>
      </c>
      <c r="BJ53" s="3">
        <f t="shared" si="56"/>
        <v>-0.22361318950519454</v>
      </c>
      <c r="BK53" s="3">
        <f t="shared" si="57"/>
        <v>-1.3440118796176581</v>
      </c>
      <c r="BL53" s="3">
        <f t="shared" si="58"/>
        <v>-7.407568256803633</v>
      </c>
      <c r="BM53" s="2">
        <v>0</v>
      </c>
    </row>
    <row r="54" spans="1:65" x14ac:dyDescent="0.35">
      <c r="A54">
        <f t="shared" si="27"/>
        <v>51</v>
      </c>
      <c r="B54">
        <v>1.10175E-2</v>
      </c>
      <c r="C54">
        <v>3.666E-3</v>
      </c>
      <c r="D54">
        <v>2.1938000000000001E-3</v>
      </c>
      <c r="E54">
        <v>3.6519999999999997E-2</v>
      </c>
      <c r="F54">
        <v>2.4509999999999999E-4</v>
      </c>
      <c r="G54">
        <v>1.153E-4</v>
      </c>
      <c r="H54">
        <v>7.4300000000000004E-5</v>
      </c>
      <c r="I54">
        <v>4.6749999999999998E-4</v>
      </c>
      <c r="J54">
        <v>3.0725568000000001</v>
      </c>
      <c r="K54">
        <v>0.9960078</v>
      </c>
      <c r="L54">
        <v>0.54961660000000001</v>
      </c>
      <c r="M54">
        <v>5.6876142999999999</v>
      </c>
      <c r="N54">
        <v>3.0480692999999999</v>
      </c>
      <c r="O54">
        <v>0.99385040000000002</v>
      </c>
      <c r="P54">
        <v>0.5438925</v>
      </c>
      <c r="Q54">
        <v>5.2701231999999996</v>
      </c>
      <c r="R54">
        <v>3.0906913999999999</v>
      </c>
      <c r="S54">
        <v>1.0019087</v>
      </c>
      <c r="T54">
        <v>0.55328379999999999</v>
      </c>
      <c r="U54">
        <v>5.7495697000000003</v>
      </c>
      <c r="V54">
        <v>3.0577009999999998</v>
      </c>
      <c r="W54">
        <v>0.99682079999999995</v>
      </c>
      <c r="X54">
        <v>0.54523889999999997</v>
      </c>
      <c r="Y54">
        <v>5.2880985000000003</v>
      </c>
      <c r="AA54" s="5">
        <f t="shared" si="19"/>
        <v>-1.07724E-2</v>
      </c>
      <c r="AB54" s="5">
        <f t="shared" si="19"/>
        <v>-3.5506999999999999E-3</v>
      </c>
      <c r="AC54" s="5">
        <f t="shared" si="19"/>
        <v>-2.1195000000000003E-3</v>
      </c>
      <c r="AD54" s="5">
        <f t="shared" si="19"/>
        <v>-3.6052499999999994E-2</v>
      </c>
      <c r="AE54" s="5">
        <f t="shared" si="20"/>
        <v>-2.4487500000000217E-2</v>
      </c>
      <c r="AF54" s="5">
        <f t="shared" si="20"/>
        <v>-2.157399999999976E-3</v>
      </c>
      <c r="AG54" s="5">
        <f t="shared" si="20"/>
        <v>-5.7241000000000097E-3</v>
      </c>
      <c r="AH54" s="5">
        <f t="shared" si="20"/>
        <v>-0.41749110000000034</v>
      </c>
      <c r="AI54" s="5">
        <f t="shared" si="28"/>
        <v>2.2695000000001325E-3</v>
      </c>
      <c r="AJ54" s="5">
        <f t="shared" si="29"/>
        <v>6.2019999999994233E-4</v>
      </c>
      <c r="AK54" s="5">
        <f t="shared" si="30"/>
        <v>-2.0130000000001189E-4</v>
      </c>
      <c r="AL54" s="5">
        <f t="shared" si="31"/>
        <v>-7.9275999999997571E-3</v>
      </c>
      <c r="AM54" s="5"/>
      <c r="AN54" s="5"/>
      <c r="AO54" s="5"/>
      <c r="AP54" s="5"/>
      <c r="AQ54" s="5"/>
      <c r="AR54" s="5"/>
      <c r="AS54" s="5"/>
      <c r="AT54" s="5"/>
      <c r="AU54" s="5"/>
      <c r="AV54" s="5">
        <f t="shared" si="40"/>
        <v>2020.5</v>
      </c>
      <c r="AW54" s="3">
        <f t="shared" si="43"/>
        <v>-1.1408418194064998</v>
      </c>
      <c r="AX54" s="3">
        <f t="shared" si="44"/>
        <v>-0.56972257052962771</v>
      </c>
      <c r="AY54" s="3">
        <f t="shared" si="45"/>
        <v>-1.4176449771347019</v>
      </c>
      <c r="AZ54" s="3">
        <f t="shared" si="46"/>
        <v>-7.8883051022061759</v>
      </c>
      <c r="BA54" s="3">
        <f t="shared" si="47"/>
        <v>-1.0674116477627009</v>
      </c>
      <c r="BB54" s="3">
        <f t="shared" si="48"/>
        <v>-0.507820722586802</v>
      </c>
      <c r="BC54" s="3">
        <f t="shared" si="49"/>
        <v>-1.4540277521228746</v>
      </c>
      <c r="BD54" s="3">
        <f t="shared" si="50"/>
        <v>-8.0261867248952576</v>
      </c>
      <c r="BE54" s="3">
        <f t="shared" si="51"/>
        <v>-0.71886827652867813</v>
      </c>
      <c r="BF54" s="3">
        <f t="shared" si="52"/>
        <v>-0.1534271535919407</v>
      </c>
      <c r="BG54" s="3">
        <f t="shared" si="53"/>
        <v>-1.0709512911818437</v>
      </c>
      <c r="BH54" s="3">
        <f t="shared" si="54"/>
        <v>-7.3991397999749404</v>
      </c>
      <c r="BI54" s="3">
        <f t="shared" si="55"/>
        <v>-0.79229844817247741</v>
      </c>
      <c r="BJ54" s="3">
        <f t="shared" si="56"/>
        <v>-0.21532900153476819</v>
      </c>
      <c r="BK54" s="3">
        <f t="shared" si="57"/>
        <v>-1.0345685161936802</v>
      </c>
      <c r="BL54" s="3">
        <f t="shared" si="58"/>
        <v>-7.2612581772858631</v>
      </c>
      <c r="BM54" s="2">
        <v>0</v>
      </c>
    </row>
    <row r="55" spans="1:65" x14ac:dyDescent="0.35">
      <c r="A55">
        <f t="shared" si="27"/>
        <v>52</v>
      </c>
      <c r="B55">
        <v>1.0919E-2</v>
      </c>
      <c r="C55">
        <v>3.6115000000000001E-3</v>
      </c>
      <c r="D55">
        <v>2.2055999999999998E-3</v>
      </c>
      <c r="E55">
        <v>3.6408099999999999E-2</v>
      </c>
      <c r="F55">
        <v>2.476E-4</v>
      </c>
      <c r="G55">
        <v>1.122E-4</v>
      </c>
      <c r="H55">
        <v>-9.6500000000000001E-5</v>
      </c>
      <c r="I55">
        <v>4.616E-4</v>
      </c>
      <c r="J55">
        <v>3.0726985</v>
      </c>
      <c r="K55">
        <v>0.99608269999999999</v>
      </c>
      <c r="L55">
        <v>0.54964400000000002</v>
      </c>
      <c r="M55">
        <v>5.6880524000000001</v>
      </c>
      <c r="N55">
        <v>3.0485107</v>
      </c>
      <c r="O55">
        <v>0.99394640000000001</v>
      </c>
      <c r="P55">
        <v>0.54314810000000002</v>
      </c>
      <c r="Q55">
        <v>5.2788101000000003</v>
      </c>
      <c r="R55">
        <v>3.0906913999999999</v>
      </c>
      <c r="S55">
        <v>1.0019087</v>
      </c>
      <c r="T55">
        <v>0.55328379999999999</v>
      </c>
      <c r="U55">
        <v>5.7495697000000003</v>
      </c>
      <c r="V55">
        <v>3.0580657000000002</v>
      </c>
      <c r="W55">
        <v>0.99688399999999999</v>
      </c>
      <c r="X55">
        <v>0.54428410000000005</v>
      </c>
      <c r="Y55">
        <v>5.2965887</v>
      </c>
      <c r="AA55" s="5">
        <f t="shared" si="19"/>
        <v>-1.0671399999999999E-2</v>
      </c>
      <c r="AB55" s="5">
        <f t="shared" si="19"/>
        <v>-3.4993000000000003E-3</v>
      </c>
      <c r="AC55" s="5">
        <f t="shared" si="19"/>
        <v>-2.3020999999999996E-3</v>
      </c>
      <c r="AD55" s="5">
        <f t="shared" si="19"/>
        <v>-3.5946499999999999E-2</v>
      </c>
      <c r="AE55" s="5">
        <f t="shared" si="20"/>
        <v>-2.4187799999999982E-2</v>
      </c>
      <c r="AF55" s="5">
        <f t="shared" si="20"/>
        <v>-2.1362999999999799E-3</v>
      </c>
      <c r="AG55" s="5">
        <f t="shared" si="20"/>
        <v>-6.4958999999999989E-3</v>
      </c>
      <c r="AH55" s="5">
        <f t="shared" si="20"/>
        <v>-0.40924229999999984</v>
      </c>
      <c r="AI55" s="5">
        <f t="shared" si="28"/>
        <v>2.2335000000003324E-3</v>
      </c>
      <c r="AJ55" s="5">
        <f t="shared" si="29"/>
        <v>6.1089999999998715E-4</v>
      </c>
      <c r="AK55" s="5">
        <f t="shared" si="30"/>
        <v>-2.0169999999994533E-4</v>
      </c>
      <c r="AL55" s="5">
        <f t="shared" si="31"/>
        <v>-7.792200000000471E-3</v>
      </c>
      <c r="AM55" s="5"/>
      <c r="AN55" s="5"/>
      <c r="AO55" s="5"/>
      <c r="AP55" s="5"/>
      <c r="AQ55" s="5"/>
      <c r="AR55" s="5"/>
      <c r="AS55" s="5"/>
      <c r="AT55" s="5"/>
      <c r="AU55" s="5"/>
      <c r="AV55" s="5">
        <f t="shared" si="40"/>
        <v>2020.75</v>
      </c>
      <c r="AW55" s="3">
        <f t="shared" si="43"/>
        <v>-1.1278770827783058</v>
      </c>
      <c r="AX55" s="3">
        <f t="shared" si="44"/>
        <v>-0.56248638224221237</v>
      </c>
      <c r="AY55" s="3">
        <f t="shared" si="45"/>
        <v>-1.5901423464775217</v>
      </c>
      <c r="AZ55" s="3">
        <f t="shared" si="46"/>
        <v>-7.7429933582681816</v>
      </c>
      <c r="BA55" s="3">
        <f t="shared" si="47"/>
        <v>-1.0556116990521813</v>
      </c>
      <c r="BB55" s="3">
        <f t="shared" si="48"/>
        <v>-0.50151276259004374</v>
      </c>
      <c r="BC55" s="3">
        <f t="shared" si="49"/>
        <v>-1.6265974170940742</v>
      </c>
      <c r="BD55" s="3">
        <f t="shared" si="50"/>
        <v>-7.8785200221157474</v>
      </c>
      <c r="BE55" s="3">
        <f t="shared" si="51"/>
        <v>-0.71033620503164885</v>
      </c>
      <c r="BF55" s="3">
        <f t="shared" si="52"/>
        <v>-0.15224940156722963</v>
      </c>
      <c r="BG55" s="3">
        <f t="shared" si="53"/>
        <v>-1.2105180017922033</v>
      </c>
      <c r="BH55" s="3">
        <f t="shared" si="54"/>
        <v>-7.2533167134229295</v>
      </c>
      <c r="BI55" s="3">
        <f t="shared" si="55"/>
        <v>-0.78260158875777708</v>
      </c>
      <c r="BJ55" s="3">
        <f t="shared" si="56"/>
        <v>-0.21322302121939651</v>
      </c>
      <c r="BK55" s="3">
        <f t="shared" si="57"/>
        <v>-1.1740629311756461</v>
      </c>
      <c r="BL55" s="3">
        <f t="shared" si="58"/>
        <v>-7.1177900495753592</v>
      </c>
      <c r="BM55" s="2">
        <v>0</v>
      </c>
    </row>
    <row r="56" spans="1:65" x14ac:dyDescent="0.35">
      <c r="A56">
        <f t="shared" si="27"/>
        <v>53</v>
      </c>
      <c r="B56">
        <v>1.08273E-2</v>
      </c>
      <c r="C56">
        <v>3.5609999999999999E-3</v>
      </c>
      <c r="D56">
        <v>2.2085999999999998E-3</v>
      </c>
      <c r="E56">
        <v>3.6272800000000001E-2</v>
      </c>
      <c r="F56">
        <v>2.2770000000000001E-4</v>
      </c>
      <c r="G56">
        <v>1.014E-4</v>
      </c>
      <c r="H56">
        <v>-1.064E-4</v>
      </c>
      <c r="I56">
        <v>4.2269999999999997E-4</v>
      </c>
      <c r="J56">
        <v>3.0728344999999999</v>
      </c>
      <c r="K56">
        <v>0.99615359999999997</v>
      </c>
      <c r="L56">
        <v>0.54967999999999995</v>
      </c>
      <c r="M56">
        <v>5.6885425999999999</v>
      </c>
      <c r="N56">
        <v>3.0488715000000002</v>
      </c>
      <c r="O56">
        <v>0.99401220000000001</v>
      </c>
      <c r="P56">
        <v>0.54466490000000001</v>
      </c>
      <c r="Q56">
        <v>5.2875304999999999</v>
      </c>
      <c r="R56">
        <v>3.0906913999999999</v>
      </c>
      <c r="S56">
        <v>1.0019087</v>
      </c>
      <c r="T56">
        <v>0.55328379999999999</v>
      </c>
      <c r="U56">
        <v>5.7495697000000003</v>
      </c>
      <c r="V56">
        <v>3.0583266</v>
      </c>
      <c r="W56">
        <v>0.99690939999999995</v>
      </c>
      <c r="X56">
        <v>0.54576619999999998</v>
      </c>
      <c r="Y56">
        <v>5.3050604000000003</v>
      </c>
      <c r="AA56" s="5">
        <f t="shared" si="19"/>
        <v>-1.0599599999999999E-2</v>
      </c>
      <c r="AB56" s="5">
        <f t="shared" si="19"/>
        <v>-3.4595999999999997E-3</v>
      </c>
      <c r="AC56" s="5">
        <f t="shared" si="19"/>
        <v>-2.3149999999999998E-3</v>
      </c>
      <c r="AD56" s="5">
        <f t="shared" si="19"/>
        <v>-3.5850100000000003E-2</v>
      </c>
      <c r="AE56" s="5">
        <f t="shared" si="20"/>
        <v>-2.3962999999999735E-2</v>
      </c>
      <c r="AF56" s="5">
        <f t="shared" si="20"/>
        <v>-2.14139999999996E-3</v>
      </c>
      <c r="AG56" s="5">
        <f t="shared" si="20"/>
        <v>-5.0150999999999391E-3</v>
      </c>
      <c r="AH56" s="5">
        <f t="shared" si="20"/>
        <v>-0.40101209999999998</v>
      </c>
      <c r="AI56" s="5">
        <f t="shared" si="28"/>
        <v>2.1977999999998749E-3</v>
      </c>
      <c r="AJ56" s="5">
        <f t="shared" si="29"/>
        <v>6.0169999999992035E-4</v>
      </c>
      <c r="AK56" s="5">
        <f t="shared" si="30"/>
        <v>-1.8750000000007476E-4</v>
      </c>
      <c r="AL56" s="5">
        <f t="shared" si="31"/>
        <v>-7.6471000000000178E-3</v>
      </c>
      <c r="AM56" s="5"/>
      <c r="AN56" s="5"/>
      <c r="AO56" s="5"/>
      <c r="AP56" s="5"/>
      <c r="AQ56" s="5"/>
      <c r="AR56" s="5"/>
      <c r="AS56" s="5"/>
      <c r="AT56" s="5"/>
      <c r="AU56" s="5"/>
      <c r="AV56" s="5">
        <f t="shared" si="40"/>
        <v>2021</v>
      </c>
      <c r="AW56" s="3">
        <f t="shared" si="43"/>
        <v>-1.1182805245454055</v>
      </c>
      <c r="AX56" s="3">
        <f t="shared" si="44"/>
        <v>-0.55903297376297467</v>
      </c>
      <c r="AY56" s="3">
        <f t="shared" si="45"/>
        <v>-1.3248354641867226</v>
      </c>
      <c r="AZ56" s="3">
        <f t="shared" si="46"/>
        <v>-7.5981720858171347</v>
      </c>
      <c r="BA56" s="3">
        <f t="shared" si="47"/>
        <v>-1.0471702221709958</v>
      </c>
      <c r="BB56" s="3">
        <f t="shared" si="48"/>
        <v>-0.49897760145211234</v>
      </c>
      <c r="BC56" s="3">
        <f t="shared" si="49"/>
        <v>-1.3587240399953899</v>
      </c>
      <c r="BD56" s="3">
        <f t="shared" si="50"/>
        <v>-7.7311750825457421</v>
      </c>
      <c r="BE56" s="3">
        <f t="shared" si="51"/>
        <v>-0.7042178329418437</v>
      </c>
      <c r="BF56" s="3">
        <f t="shared" si="52"/>
        <v>-0.15367667732600224</v>
      </c>
      <c r="BG56" s="3">
        <f t="shared" si="53"/>
        <v>-0.94031309067788671</v>
      </c>
      <c r="BH56" s="3">
        <f t="shared" si="54"/>
        <v>-7.1076484210635753</v>
      </c>
      <c r="BI56" s="3">
        <f t="shared" si="55"/>
        <v>-0.77532813531625111</v>
      </c>
      <c r="BJ56" s="3">
        <f t="shared" si="56"/>
        <v>-0.21373204963685416</v>
      </c>
      <c r="BK56" s="3">
        <f t="shared" si="57"/>
        <v>-0.90642451486921161</v>
      </c>
      <c r="BL56" s="3">
        <f t="shared" si="58"/>
        <v>-6.9746454243349714</v>
      </c>
      <c r="BM56" s="2">
        <v>0</v>
      </c>
    </row>
    <row r="57" spans="1:65" x14ac:dyDescent="0.35">
      <c r="A57">
        <f t="shared" si="27"/>
        <v>54</v>
      </c>
      <c r="B57">
        <v>1.0741300000000001E-2</v>
      </c>
      <c r="C57">
        <v>3.5136999999999998E-3</v>
      </c>
      <c r="D57">
        <v>2.2039999999999998E-3</v>
      </c>
      <c r="E57">
        <v>3.6111999999999998E-2</v>
      </c>
      <c r="F57">
        <v>5.9230000000000003E-4</v>
      </c>
      <c r="G57">
        <v>2.8679999999999998E-4</v>
      </c>
      <c r="H57">
        <v>1.4656999999999999E-3</v>
      </c>
      <c r="I57">
        <v>7.0929999999999995E-4</v>
      </c>
      <c r="J57">
        <v>3.0729660000000001</v>
      </c>
      <c r="K57">
        <v>0.99622109999999997</v>
      </c>
      <c r="L57">
        <v>0.54972319999999997</v>
      </c>
      <c r="M57">
        <v>5.6890847000000004</v>
      </c>
      <c r="N57">
        <v>3.0492810000000001</v>
      </c>
      <c r="O57">
        <v>0.99408010000000002</v>
      </c>
      <c r="P57">
        <v>0.54383389999999998</v>
      </c>
      <c r="Q57">
        <v>5.2960995000000004</v>
      </c>
      <c r="R57">
        <v>3.0906913999999999</v>
      </c>
      <c r="S57">
        <v>1.0019087</v>
      </c>
      <c r="T57">
        <v>0.55328379999999999</v>
      </c>
      <c r="U57">
        <v>5.7495697000000003</v>
      </c>
      <c r="V57">
        <v>3.0590202999999998</v>
      </c>
      <c r="W57">
        <v>0.9971333</v>
      </c>
      <c r="X57">
        <v>0.54647230000000002</v>
      </c>
      <c r="Y57">
        <v>5.3136865999999996</v>
      </c>
      <c r="AA57" s="5">
        <f t="shared" si="19"/>
        <v>-1.0149E-2</v>
      </c>
      <c r="AB57" s="5">
        <f t="shared" si="19"/>
        <v>-3.2269E-3</v>
      </c>
      <c r="AC57" s="5">
        <f t="shared" si="19"/>
        <v>-7.3829999999999989E-4</v>
      </c>
      <c r="AD57" s="5">
        <f t="shared" si="19"/>
        <v>-3.5402699999999995E-2</v>
      </c>
      <c r="AE57" s="5">
        <f t="shared" si="20"/>
        <v>-2.3684999999999956E-2</v>
      </c>
      <c r="AF57" s="5">
        <f t="shared" si="20"/>
        <v>-2.1409999999999485E-3</v>
      </c>
      <c r="AG57" s="5">
        <f t="shared" si="20"/>
        <v>-5.8892999999999862E-3</v>
      </c>
      <c r="AH57" s="5">
        <f t="shared" si="20"/>
        <v>-0.39298520000000003</v>
      </c>
      <c r="AI57" s="5">
        <f t="shared" si="28"/>
        <v>2.1628999999998913E-3</v>
      </c>
      <c r="AJ57" s="5">
        <f t="shared" si="29"/>
        <v>5.9249999999996285E-4</v>
      </c>
      <c r="AK57" s="5">
        <f t="shared" si="30"/>
        <v>-1.8389999999998425E-4</v>
      </c>
      <c r="AL57" s="5">
        <f t="shared" si="31"/>
        <v>-7.4952000000007013E-3</v>
      </c>
      <c r="AM57" s="5"/>
      <c r="AN57" s="5"/>
      <c r="AO57" s="5"/>
      <c r="AP57" s="5"/>
      <c r="AQ57" s="5"/>
      <c r="AR57" s="5"/>
      <c r="AS57" s="5"/>
      <c r="AT57" s="5"/>
      <c r="AU57" s="5"/>
      <c r="AV57" s="5">
        <f t="shared" si="40"/>
        <v>2021.25</v>
      </c>
      <c r="AW57" s="3">
        <f t="shared" si="43"/>
        <v>-1.0947065113003505</v>
      </c>
      <c r="AX57" s="3">
        <f t="shared" si="44"/>
        <v>-0.53576738080026132</v>
      </c>
      <c r="AY57" s="3">
        <f t="shared" si="45"/>
        <v>-1.1978662668236419</v>
      </c>
      <c r="AZ57" s="3">
        <f t="shared" si="46"/>
        <v>-7.4507819254717447</v>
      </c>
      <c r="BA57" s="3">
        <f t="shared" si="47"/>
        <v>-1.0247254061016917</v>
      </c>
      <c r="BB57" s="3">
        <f t="shared" si="48"/>
        <v>-0.47663025583069446</v>
      </c>
      <c r="BC57" s="3">
        <f t="shared" si="49"/>
        <v>-1.2311041819767667</v>
      </c>
      <c r="BD57" s="3">
        <f t="shared" si="50"/>
        <v>-7.5811429853611614</v>
      </c>
      <c r="BE57" s="3">
        <f t="shared" si="51"/>
        <v>-0.696352278975503</v>
      </c>
      <c r="BF57" s="3">
        <f t="shared" si="52"/>
        <v>-0.15455500086983501</v>
      </c>
      <c r="BG57" s="3">
        <f t="shared" si="53"/>
        <v>-1.0976645258726174</v>
      </c>
      <c r="BH57" s="3">
        <f t="shared" si="54"/>
        <v>-6.9653977757674816</v>
      </c>
      <c r="BI57" s="3">
        <f t="shared" si="55"/>
        <v>-0.76633338417416752</v>
      </c>
      <c r="BJ57" s="3">
        <f t="shared" si="56"/>
        <v>-0.21369212583940517</v>
      </c>
      <c r="BK57" s="3">
        <f t="shared" si="57"/>
        <v>-1.0644266107194873</v>
      </c>
      <c r="BL57" s="3">
        <f t="shared" si="58"/>
        <v>-6.8350367158780596</v>
      </c>
      <c r="BM57" s="2">
        <v>0</v>
      </c>
    </row>
    <row r="58" spans="1:65" x14ac:dyDescent="0.35">
      <c r="A58">
        <f t="shared" si="27"/>
        <v>55</v>
      </c>
      <c r="B58">
        <v>1.0659699999999999E-2</v>
      </c>
      <c r="C58">
        <v>3.4692999999999998E-3</v>
      </c>
      <c r="D58">
        <v>2.1930999999999999E-3</v>
      </c>
      <c r="E58">
        <v>3.5923799999999999E-2</v>
      </c>
      <c r="F58">
        <v>8.1369999999999999E-4</v>
      </c>
      <c r="G58">
        <v>3.9060000000000001E-4</v>
      </c>
      <c r="H58">
        <v>1.5734E-3</v>
      </c>
      <c r="I58">
        <v>1.1439E-3</v>
      </c>
      <c r="J58">
        <v>3.0730940000000002</v>
      </c>
      <c r="K58">
        <v>0.99628570000000005</v>
      </c>
      <c r="L58">
        <v>0.54977209999999999</v>
      </c>
      <c r="M58">
        <v>5.6896778000000001</v>
      </c>
      <c r="N58">
        <v>3.0495298000000002</v>
      </c>
      <c r="O58">
        <v>0.99405750000000004</v>
      </c>
      <c r="P58">
        <v>0.54393389999999997</v>
      </c>
      <c r="Q58">
        <v>5.3047532000000004</v>
      </c>
      <c r="R58">
        <v>3.0906913999999999</v>
      </c>
      <c r="S58">
        <v>1.0019087</v>
      </c>
      <c r="T58">
        <v>0.55328379999999999</v>
      </c>
      <c r="U58">
        <v>5.7495697000000003</v>
      </c>
      <c r="V58">
        <v>3.0594098000000001</v>
      </c>
      <c r="W58">
        <v>0.9971854</v>
      </c>
      <c r="X58">
        <v>0.54664029999999997</v>
      </c>
      <c r="Y58">
        <v>5.3225255000000002</v>
      </c>
      <c r="AA58" s="5">
        <f t="shared" si="19"/>
        <v>-9.8459999999999989E-3</v>
      </c>
      <c r="AB58" s="5">
        <f t="shared" si="19"/>
        <v>-3.0786999999999998E-3</v>
      </c>
      <c r="AC58" s="5">
        <f t="shared" si="19"/>
        <v>-6.1969999999999994E-4</v>
      </c>
      <c r="AD58" s="5">
        <f t="shared" si="19"/>
        <v>-3.4779899999999996E-2</v>
      </c>
      <c r="AE58" s="5">
        <f t="shared" si="20"/>
        <v>-2.3564200000000035E-2</v>
      </c>
      <c r="AF58" s="5">
        <f t="shared" si="20"/>
        <v>-2.2282000000000135E-3</v>
      </c>
      <c r="AG58" s="5">
        <f t="shared" si="20"/>
        <v>-5.8382000000000156E-3</v>
      </c>
      <c r="AH58" s="5">
        <f t="shared" si="20"/>
        <v>-0.38492459999999973</v>
      </c>
      <c r="AI58" s="5">
        <f t="shared" si="28"/>
        <v>2.1286000000002372E-3</v>
      </c>
      <c r="AJ58" s="5">
        <f t="shared" si="29"/>
        <v>5.8360000000002785E-4</v>
      </c>
      <c r="AK58" s="5">
        <f t="shared" si="30"/>
        <v>-1.8560000000000885E-4</v>
      </c>
      <c r="AL58" s="5">
        <f t="shared" si="31"/>
        <v>-7.3397000000003931E-3</v>
      </c>
      <c r="AM58" s="5"/>
      <c r="AN58" s="5"/>
      <c r="AO58" s="5"/>
      <c r="AP58" s="5"/>
      <c r="AQ58" s="5"/>
      <c r="AR58" s="5"/>
      <c r="AS58" s="5"/>
      <c r="AT58" s="5"/>
      <c r="AU58" s="5"/>
      <c r="AV58" s="5">
        <f t="shared" si="40"/>
        <v>2021.5</v>
      </c>
      <c r="AW58" s="3">
        <f t="shared" si="43"/>
        <v>-1.0809943690916548</v>
      </c>
      <c r="AX58" s="3">
        <f t="shared" si="44"/>
        <v>-0.52967900168947668</v>
      </c>
      <c r="AY58" s="3">
        <f t="shared" si="45"/>
        <v>-1.1671948464784285</v>
      </c>
      <c r="AZ58" s="3">
        <f t="shared" si="46"/>
        <v>-7.2997549712285368</v>
      </c>
      <c r="BA58" s="3">
        <f t="shared" si="47"/>
        <v>-1.0121230479367755</v>
      </c>
      <c r="BB58" s="3">
        <f t="shared" si="48"/>
        <v>-0.47143018121311714</v>
      </c>
      <c r="BC58" s="3">
        <f t="shared" si="49"/>
        <v>-1.2007400180522227</v>
      </c>
      <c r="BD58" s="3">
        <f t="shared" si="50"/>
        <v>-7.4274114808974332</v>
      </c>
      <c r="BE58" s="3">
        <f t="shared" si="51"/>
        <v>-0.6935535524510722</v>
      </c>
      <c r="BF58" s="3">
        <f t="shared" si="52"/>
        <v>-0.16414669320666495</v>
      </c>
      <c r="BG58" s="3">
        <f t="shared" si="53"/>
        <v>-1.0887360157662349</v>
      </c>
      <c r="BH58" s="3">
        <f t="shared" si="54"/>
        <v>-6.8224983862705395</v>
      </c>
      <c r="BI58" s="3">
        <f t="shared" si="55"/>
        <v>-0.76242487360595224</v>
      </c>
      <c r="BJ58" s="3">
        <f t="shared" si="56"/>
        <v>-0.22239551368303453</v>
      </c>
      <c r="BK58" s="3">
        <f t="shared" si="57"/>
        <v>-1.0551908441924407</v>
      </c>
      <c r="BL58" s="3">
        <f t="shared" si="58"/>
        <v>-6.6948418766016466</v>
      </c>
      <c r="BM58" s="2">
        <v>0</v>
      </c>
    </row>
    <row r="59" spans="1:65" x14ac:dyDescent="0.35">
      <c r="A59">
        <f t="shared" si="27"/>
        <v>56</v>
      </c>
      <c r="B59">
        <v>1.0581699999999999E-2</v>
      </c>
      <c r="C59">
        <v>3.4272E-3</v>
      </c>
      <c r="D59">
        <v>2.1767000000000002E-3</v>
      </c>
      <c r="E59">
        <v>3.5707099999999999E-2</v>
      </c>
      <c r="F59">
        <v>1.0456E-3</v>
      </c>
      <c r="G59">
        <v>4.9529999999999995E-4</v>
      </c>
      <c r="H59">
        <v>1.4986999999999999E-3</v>
      </c>
      <c r="I59">
        <v>1.5804E-3</v>
      </c>
      <c r="J59">
        <v>3.0732194000000002</v>
      </c>
      <c r="K59">
        <v>0.99634780000000001</v>
      </c>
      <c r="L59">
        <v>0.54982580000000003</v>
      </c>
      <c r="M59">
        <v>5.6903204000000001</v>
      </c>
      <c r="N59">
        <v>3.0498525999999999</v>
      </c>
      <c r="O59">
        <v>0.99408560000000001</v>
      </c>
      <c r="P59">
        <v>0.54455249999999999</v>
      </c>
      <c r="Q59">
        <v>5.3139646000000003</v>
      </c>
      <c r="R59">
        <v>3.0906913999999999</v>
      </c>
      <c r="S59">
        <v>1.0019087</v>
      </c>
      <c r="T59">
        <v>0.55328379999999999</v>
      </c>
      <c r="U59">
        <v>5.7495697000000003</v>
      </c>
      <c r="V59">
        <v>3.0598825999999999</v>
      </c>
      <c r="W59">
        <v>0.99728899999999998</v>
      </c>
      <c r="X59">
        <v>0.54715270000000005</v>
      </c>
      <c r="Y59">
        <v>5.3319092000000001</v>
      </c>
      <c r="AA59" s="5">
        <f t="shared" si="19"/>
        <v>-9.5360999999999987E-3</v>
      </c>
      <c r="AB59" s="5">
        <f t="shared" si="19"/>
        <v>-2.9319000000000003E-3</v>
      </c>
      <c r="AC59" s="5">
        <f t="shared" si="19"/>
        <v>-6.7800000000000022E-4</v>
      </c>
      <c r="AD59" s="5">
        <f t="shared" si="19"/>
        <v>-3.4126699999999996E-2</v>
      </c>
      <c r="AE59" s="5">
        <f t="shared" si="20"/>
        <v>-2.3366800000000243E-2</v>
      </c>
      <c r="AF59" s="5">
        <f t="shared" si="20"/>
        <v>-2.262199999999992E-3</v>
      </c>
      <c r="AG59" s="5">
        <f t="shared" si="20"/>
        <v>-5.2733000000000363E-3</v>
      </c>
      <c r="AH59" s="5">
        <f t="shared" si="20"/>
        <v>-0.3763557999999998</v>
      </c>
      <c r="AI59" s="5">
        <f t="shared" si="28"/>
        <v>2.0941000000002721E-3</v>
      </c>
      <c r="AJ59" s="5">
        <f t="shared" si="29"/>
        <v>5.7439999999998794E-4</v>
      </c>
      <c r="AK59" s="5">
        <f t="shared" si="30"/>
        <v>-1.7979999999990885E-4</v>
      </c>
      <c r="AL59" s="5">
        <f t="shared" si="31"/>
        <v>-7.1780000000004063E-3</v>
      </c>
      <c r="AM59" s="5"/>
      <c r="AN59" s="5"/>
      <c r="AO59" s="5"/>
      <c r="AP59" s="5"/>
      <c r="AQ59" s="5"/>
      <c r="AR59" s="5"/>
      <c r="AS59" s="5"/>
      <c r="AT59" s="5"/>
      <c r="AU59" s="5"/>
      <c r="AV59" s="5">
        <f t="shared" si="40"/>
        <v>2021.75</v>
      </c>
      <c r="AW59" s="3">
        <f t="shared" si="43"/>
        <v>-1.0645805660183427</v>
      </c>
      <c r="AX59" s="3">
        <f t="shared" si="44"/>
        <v>-0.51842049080919173</v>
      </c>
      <c r="AY59" s="3">
        <f t="shared" si="45"/>
        <v>-1.0756324331202245</v>
      </c>
      <c r="AZ59" s="3">
        <f t="shared" si="46"/>
        <v>-7.1393603594369814</v>
      </c>
      <c r="BA59" s="3">
        <f t="shared" si="47"/>
        <v>-0.9968254999512397</v>
      </c>
      <c r="BB59" s="3">
        <f t="shared" si="48"/>
        <v>-0.46108991767413582</v>
      </c>
      <c r="BC59" s="3">
        <f t="shared" si="49"/>
        <v>-1.1081293180823195</v>
      </c>
      <c r="BD59" s="3">
        <f t="shared" si="50"/>
        <v>-7.2642044847286602</v>
      </c>
      <c r="BE59" s="3">
        <f t="shared" si="51"/>
        <v>-0.68828288712357122</v>
      </c>
      <c r="BF59" s="3">
        <f t="shared" si="52"/>
        <v>-0.16845846333104175</v>
      </c>
      <c r="BG59" s="3">
        <f t="shared" si="53"/>
        <v>-0.98558822795823564</v>
      </c>
      <c r="BH59" s="3">
        <f t="shared" si="54"/>
        <v>-6.6706522402885273</v>
      </c>
      <c r="BI59" s="3">
        <f t="shared" si="55"/>
        <v>-0.75603795319067579</v>
      </c>
      <c r="BJ59" s="3">
        <f t="shared" si="56"/>
        <v>-0.22578903646609635</v>
      </c>
      <c r="BK59" s="3">
        <f t="shared" si="57"/>
        <v>-0.95309134299613252</v>
      </c>
      <c r="BL59" s="3">
        <f t="shared" si="58"/>
        <v>-6.5458081149968459</v>
      </c>
      <c r="BM59" s="2">
        <v>0</v>
      </c>
    </row>
    <row r="60" spans="1:65" x14ac:dyDescent="0.35">
      <c r="A60">
        <f t="shared" si="27"/>
        <v>57</v>
      </c>
      <c r="B60">
        <v>1.05066E-2</v>
      </c>
      <c r="C60">
        <v>3.3873000000000002E-3</v>
      </c>
      <c r="D60">
        <v>2.1556000000000001E-3</v>
      </c>
      <c r="E60">
        <v>3.5461199999999998E-2</v>
      </c>
      <c r="F60">
        <v>8.7180000000000005E-4</v>
      </c>
      <c r="G60">
        <v>3.9320000000000002E-4</v>
      </c>
      <c r="H60">
        <v>-1.674E-4</v>
      </c>
      <c r="I60">
        <v>1.6513999999999999E-3</v>
      </c>
      <c r="J60">
        <v>3.0733429000000001</v>
      </c>
      <c r="K60">
        <v>0.99640779999999995</v>
      </c>
      <c r="L60">
        <v>0.54988329999999996</v>
      </c>
      <c r="M60">
        <v>5.6910103999999997</v>
      </c>
      <c r="N60">
        <v>3.0502364000000002</v>
      </c>
      <c r="O60">
        <v>0.99412630000000002</v>
      </c>
      <c r="P60">
        <v>0.54503290000000004</v>
      </c>
      <c r="Q60">
        <v>5.3236673999999997</v>
      </c>
      <c r="R60">
        <v>3.0906913999999999</v>
      </c>
      <c r="S60">
        <v>1.0019087</v>
      </c>
      <c r="T60">
        <v>0.55328379999999999</v>
      </c>
      <c r="U60">
        <v>5.7495697000000003</v>
      </c>
      <c r="V60">
        <v>3.0600101</v>
      </c>
      <c r="W60">
        <v>0.99719860000000005</v>
      </c>
      <c r="X60">
        <v>0.54593510000000001</v>
      </c>
      <c r="Y60">
        <v>5.3414048000000003</v>
      </c>
      <c r="AA60" s="5">
        <f t="shared" si="19"/>
        <v>-9.6347999999999989E-3</v>
      </c>
      <c r="AB60" s="5">
        <f t="shared" si="19"/>
        <v>-2.9941000000000004E-3</v>
      </c>
      <c r="AC60" s="5">
        <f t="shared" si="19"/>
        <v>-2.323E-3</v>
      </c>
      <c r="AD60" s="5">
        <f t="shared" si="19"/>
        <v>-3.3809800000000001E-2</v>
      </c>
      <c r="AE60" s="5">
        <f t="shared" si="20"/>
        <v>-2.3106499999999919E-2</v>
      </c>
      <c r="AF60" s="5">
        <f t="shared" si="20"/>
        <v>-2.2814999999999364E-3</v>
      </c>
      <c r="AG60" s="5">
        <f t="shared" si="20"/>
        <v>-4.8503999999999214E-3</v>
      </c>
      <c r="AH60" s="5">
        <f t="shared" si="20"/>
        <v>-0.36734299999999998</v>
      </c>
      <c r="AI60" s="5">
        <f t="shared" si="28"/>
        <v>2.0600000000000063E-3</v>
      </c>
      <c r="AJ60" s="5">
        <f t="shared" si="29"/>
        <v>5.6549999999999743E-4</v>
      </c>
      <c r="AK60" s="5">
        <f t="shared" si="30"/>
        <v>-1.7530000000006395E-4</v>
      </c>
      <c r="AL60" s="5">
        <f t="shared" si="31"/>
        <v>-7.0121000000000766E-3</v>
      </c>
      <c r="AM60" s="5"/>
      <c r="AN60" s="5"/>
      <c r="AO60" s="5"/>
      <c r="AP60" s="5"/>
      <c r="AQ60" s="5"/>
      <c r="AR60" s="5"/>
      <c r="AS60" s="5"/>
      <c r="AT60" s="5"/>
      <c r="AU60" s="5"/>
      <c r="AV60" s="5">
        <f t="shared" si="40"/>
        <v>2022</v>
      </c>
      <c r="AW60" s="3">
        <f t="shared" si="43"/>
        <v>-1.0593519624767429</v>
      </c>
      <c r="AX60" s="3">
        <f t="shared" si="44"/>
        <v>-0.52655496453917783</v>
      </c>
      <c r="AY60" s="3">
        <f t="shared" si="45"/>
        <v>-1.2965136517642342</v>
      </c>
      <c r="AZ60" s="3">
        <f t="shared" si="46"/>
        <v>-6.9770925639878749</v>
      </c>
      <c r="BA60" s="3">
        <f t="shared" si="47"/>
        <v>-0.99270020940945169</v>
      </c>
      <c r="BB60" s="3">
        <f t="shared" si="48"/>
        <v>-0.47011269589733468</v>
      </c>
      <c r="BC60" s="3">
        <f t="shared" si="49"/>
        <v>-1.3281972109069498</v>
      </c>
      <c r="BD60" s="3">
        <f t="shared" si="50"/>
        <v>-7.0990512559574679</v>
      </c>
      <c r="BE60" s="3">
        <f t="shared" si="51"/>
        <v>-0.68096413637413777</v>
      </c>
      <c r="BF60" s="3">
        <f t="shared" si="52"/>
        <v>-0.17127309105109365</v>
      </c>
      <c r="BG60" s="3">
        <f t="shared" si="53"/>
        <v>-0.90834034902160909</v>
      </c>
      <c r="BH60" s="3">
        <f t="shared" si="54"/>
        <v>-6.5110107283332832</v>
      </c>
      <c r="BI60" s="3">
        <f t="shared" si="55"/>
        <v>-0.74761588944143442</v>
      </c>
      <c r="BJ60" s="3">
        <f t="shared" si="56"/>
        <v>-0.22771535969294773</v>
      </c>
      <c r="BK60" s="3">
        <f t="shared" si="57"/>
        <v>-0.87665678987888707</v>
      </c>
      <c r="BL60" s="3">
        <f t="shared" si="58"/>
        <v>-6.3890520363636947</v>
      </c>
      <c r="BM60" s="2">
        <v>0</v>
      </c>
    </row>
    <row r="61" spans="1:65" x14ac:dyDescent="0.35">
      <c r="A61">
        <f t="shared" si="27"/>
        <v>58</v>
      </c>
      <c r="B61">
        <v>1.0433700000000001E-2</v>
      </c>
      <c r="C61">
        <v>3.3490999999999998E-3</v>
      </c>
      <c r="D61">
        <v>2.1305999999999999E-3</v>
      </c>
      <c r="E61">
        <v>3.5185800000000003E-2</v>
      </c>
      <c r="F61">
        <v>8.2169999999999997E-4</v>
      </c>
      <c r="G61">
        <v>3.6329999999999999E-4</v>
      </c>
      <c r="H61">
        <v>-3.5E-4</v>
      </c>
      <c r="I61">
        <v>1.5384999999999999E-3</v>
      </c>
      <c r="J61">
        <v>3.0734650999999999</v>
      </c>
      <c r="K61">
        <v>0.99646599999999996</v>
      </c>
      <c r="L61">
        <v>0.54994390000000004</v>
      </c>
      <c r="M61">
        <v>5.6917456</v>
      </c>
      <c r="N61">
        <v>3.0508427999999999</v>
      </c>
      <c r="O61">
        <v>0.99426590000000004</v>
      </c>
      <c r="P61">
        <v>0.54666380000000003</v>
      </c>
      <c r="Q61">
        <v>5.3320644000000001</v>
      </c>
      <c r="R61">
        <v>3.0906913999999999</v>
      </c>
      <c r="S61">
        <v>1.0019087</v>
      </c>
      <c r="T61">
        <v>0.55328379999999999</v>
      </c>
      <c r="U61">
        <v>5.7495697000000003</v>
      </c>
      <c r="V61">
        <v>3.0604836999999998</v>
      </c>
      <c r="W61">
        <v>0.99727940000000004</v>
      </c>
      <c r="X61">
        <v>0.54736030000000002</v>
      </c>
      <c r="Y61">
        <v>5.3493969000000003</v>
      </c>
      <c r="AA61" s="5">
        <f t="shared" si="19"/>
        <v>-9.6120000000000008E-3</v>
      </c>
      <c r="AB61" s="5">
        <f t="shared" si="19"/>
        <v>-2.9857999999999998E-3</v>
      </c>
      <c r="AC61" s="5">
        <f t="shared" si="19"/>
        <v>-2.4805999999999999E-3</v>
      </c>
      <c r="AD61" s="5">
        <f t="shared" si="19"/>
        <v>-3.3647300000000005E-2</v>
      </c>
      <c r="AE61" s="5">
        <f t="shared" si="20"/>
        <v>-2.2622300000000095E-2</v>
      </c>
      <c r="AF61" s="5">
        <f t="shared" si="20"/>
        <v>-2.2000999999999271E-3</v>
      </c>
      <c r="AG61" s="5">
        <f t="shared" si="20"/>
        <v>-3.280100000000008E-3</v>
      </c>
      <c r="AH61" s="5">
        <f t="shared" si="20"/>
        <v>-0.35968119999999981</v>
      </c>
      <c r="AI61" s="5">
        <f t="shared" si="28"/>
        <v>2.0266000000000381E-3</v>
      </c>
      <c r="AJ61" s="5">
        <f t="shared" si="29"/>
        <v>5.5659999999998003E-4</v>
      </c>
      <c r="AK61" s="5">
        <f t="shared" si="30"/>
        <v>-1.6279999999996297E-4</v>
      </c>
      <c r="AL61" s="5">
        <f t="shared" si="31"/>
        <v>-6.8443000000001919E-3</v>
      </c>
      <c r="AM61" s="5"/>
      <c r="AN61" s="5"/>
      <c r="AO61" s="5"/>
      <c r="AP61" s="5"/>
      <c r="AQ61" s="5"/>
      <c r="AR61" s="5"/>
      <c r="AS61" s="5"/>
      <c r="AT61" s="5"/>
      <c r="AU61" s="5"/>
      <c r="AV61" s="5">
        <f t="shared" si="40"/>
        <v>2022.25</v>
      </c>
      <c r="AW61" s="3">
        <f t="shared" si="43"/>
        <v>-1.0429478659694105</v>
      </c>
      <c r="AX61" s="3">
        <f t="shared" si="44"/>
        <v>-0.51760205296150519</v>
      </c>
      <c r="AY61" s="3">
        <f t="shared" si="45"/>
        <v>-1.0411835661915292</v>
      </c>
      <c r="AZ61" s="3">
        <f t="shared" si="46"/>
        <v>-6.8410075974902913</v>
      </c>
      <c r="BA61" s="3">
        <f t="shared" si="47"/>
        <v>-0.97737677724796657</v>
      </c>
      <c r="BB61" s="3">
        <f t="shared" si="48"/>
        <v>-0.46204808881287762</v>
      </c>
      <c r="BC61" s="3">
        <f t="shared" si="49"/>
        <v>-1.0706078869469828</v>
      </c>
      <c r="BD61" s="3">
        <f t="shared" si="50"/>
        <v>-6.9600478101865599</v>
      </c>
      <c r="BE61" s="3">
        <f t="shared" si="51"/>
        <v>-0.66637840322718356</v>
      </c>
      <c r="BF61" s="3">
        <f t="shared" si="52"/>
        <v>-0.16403690276368585</v>
      </c>
      <c r="BG61" s="3">
        <f t="shared" si="53"/>
        <v>-0.62226654747525867</v>
      </c>
      <c r="BH61" s="3">
        <f t="shared" si="54"/>
        <v>-6.3748335810243297</v>
      </c>
      <c r="BI61" s="3">
        <f t="shared" si="55"/>
        <v>-0.73194949194863312</v>
      </c>
      <c r="BJ61" s="3">
        <f t="shared" si="56"/>
        <v>-0.21959086691231716</v>
      </c>
      <c r="BK61" s="3">
        <f t="shared" si="57"/>
        <v>-0.59284222671981512</v>
      </c>
      <c r="BL61" s="3">
        <f t="shared" si="58"/>
        <v>-6.2557933683280647</v>
      </c>
      <c r="BM61" s="2">
        <v>0</v>
      </c>
    </row>
    <row r="62" spans="1:65" x14ac:dyDescent="0.35">
      <c r="A62">
        <f t="shared" si="27"/>
        <v>59</v>
      </c>
      <c r="B62">
        <v>1.0362400000000001E-2</v>
      </c>
      <c r="C62">
        <v>3.3124000000000001E-3</v>
      </c>
      <c r="D62">
        <v>2.1021999999999998E-3</v>
      </c>
      <c r="E62">
        <v>3.4881099999999998E-2</v>
      </c>
      <c r="F62">
        <v>1.1307000000000001E-3</v>
      </c>
      <c r="G62">
        <v>5.2070000000000003E-4</v>
      </c>
      <c r="H62">
        <v>1.2497000000000001E-3</v>
      </c>
      <c r="I62">
        <v>1.7329999999999999E-3</v>
      </c>
      <c r="J62">
        <v>3.0735863999999999</v>
      </c>
      <c r="K62">
        <v>0.99652260000000004</v>
      </c>
      <c r="L62">
        <v>0.55000689999999997</v>
      </c>
      <c r="M62">
        <v>5.6925232000000001</v>
      </c>
      <c r="N62">
        <v>3.0511263999999998</v>
      </c>
      <c r="O62">
        <v>0.99424330000000005</v>
      </c>
      <c r="P62">
        <v>0.54533120000000002</v>
      </c>
      <c r="Q62">
        <v>5.3405317999999999</v>
      </c>
      <c r="R62">
        <v>3.0906913999999999</v>
      </c>
      <c r="S62">
        <v>1.0019087</v>
      </c>
      <c r="T62">
        <v>0.55328379999999999</v>
      </c>
      <c r="U62">
        <v>5.7495697000000003</v>
      </c>
      <c r="V62">
        <v>3.0609934999999999</v>
      </c>
      <c r="W62">
        <v>0.99738550000000004</v>
      </c>
      <c r="X62">
        <v>0.54758759999999995</v>
      </c>
      <c r="Y62">
        <v>5.3577554999999997</v>
      </c>
      <c r="AA62" s="5">
        <f t="shared" si="19"/>
        <v>-9.2317000000000007E-3</v>
      </c>
      <c r="AB62" s="5">
        <f t="shared" si="19"/>
        <v>-2.7917000000000003E-3</v>
      </c>
      <c r="AC62" s="5">
        <f t="shared" si="19"/>
        <v>-8.5249999999999974E-4</v>
      </c>
      <c r="AD62" s="5">
        <f t="shared" si="19"/>
        <v>-3.31481E-2</v>
      </c>
      <c r="AE62" s="5">
        <f t="shared" si="20"/>
        <v>-2.2460000000000147E-2</v>
      </c>
      <c r="AF62" s="5">
        <f t="shared" si="20"/>
        <v>-2.2792999999999841E-3</v>
      </c>
      <c r="AG62" s="5">
        <f t="shared" si="20"/>
        <v>-4.6756999999999493E-3</v>
      </c>
      <c r="AH62" s="5">
        <f t="shared" si="20"/>
        <v>-0.35199140000000018</v>
      </c>
      <c r="AI62" s="5">
        <f t="shared" si="28"/>
        <v>1.9938000000002051E-3</v>
      </c>
      <c r="AJ62" s="5">
        <f t="shared" si="29"/>
        <v>5.4780000000003489E-4</v>
      </c>
      <c r="AK62" s="5">
        <f t="shared" si="30"/>
        <v>-1.6800000000009082E-4</v>
      </c>
      <c r="AL62" s="5">
        <f t="shared" si="31"/>
        <v>-6.6747000000004775E-3</v>
      </c>
      <c r="AM62" s="5"/>
      <c r="AN62" s="5"/>
      <c r="AO62" s="5"/>
      <c r="AP62" s="5"/>
      <c r="AQ62" s="5"/>
      <c r="AR62" s="5"/>
      <c r="AS62" s="5"/>
      <c r="AT62" s="5"/>
      <c r="AU62" s="5"/>
      <c r="AV62" s="5">
        <f t="shared" si="40"/>
        <v>2022.5</v>
      </c>
      <c r="AW62" s="3">
        <f t="shared" si="43"/>
        <v>-1.0253919236323674</v>
      </c>
      <c r="AX62" s="3">
        <f t="shared" si="44"/>
        <v>-0.50613394214462704</v>
      </c>
      <c r="AY62" s="3">
        <f t="shared" si="45"/>
        <v>-0.99916173218878812</v>
      </c>
      <c r="AZ62" s="3">
        <f t="shared" si="46"/>
        <v>-6.6985795476138019</v>
      </c>
      <c r="BA62" s="3">
        <f t="shared" si="47"/>
        <v>-0.96088208612480508</v>
      </c>
      <c r="BB62" s="3">
        <f t="shared" si="48"/>
        <v>-0.45145830153984584</v>
      </c>
      <c r="BC62" s="3">
        <f t="shared" si="49"/>
        <v>-1.0295258961133582</v>
      </c>
      <c r="BD62" s="3">
        <f t="shared" si="50"/>
        <v>-6.8146699743460912</v>
      </c>
      <c r="BE62" s="3">
        <f t="shared" si="51"/>
        <v>-0.66218840224552966</v>
      </c>
      <c r="BF62" s="3">
        <f t="shared" si="52"/>
        <v>-0.17282013820221312</v>
      </c>
      <c r="BG62" s="3">
        <f t="shared" si="53"/>
        <v>-0.87544583810333976</v>
      </c>
      <c r="BH62" s="3">
        <f t="shared" si="54"/>
        <v>-6.2381381340589828</v>
      </c>
      <c r="BI62" s="3">
        <f t="shared" si="55"/>
        <v>-0.72669823975309045</v>
      </c>
      <c r="BJ62" s="3">
        <f t="shared" si="56"/>
        <v>-0.22749577880698951</v>
      </c>
      <c r="BK62" s="3">
        <f t="shared" si="57"/>
        <v>-0.84508167417877578</v>
      </c>
      <c r="BL62" s="3">
        <f t="shared" si="58"/>
        <v>-6.1220477073266917</v>
      </c>
      <c r="BM62" s="2">
        <v>0</v>
      </c>
    </row>
    <row r="63" spans="1:65" x14ac:dyDescent="0.35">
      <c r="A63">
        <f t="shared" si="27"/>
        <v>60</v>
      </c>
      <c r="B63">
        <v>1.02924E-2</v>
      </c>
      <c r="C63">
        <v>3.2770999999999998E-3</v>
      </c>
      <c r="D63">
        <v>2.0709000000000001E-3</v>
      </c>
      <c r="E63">
        <v>3.4547500000000002E-2</v>
      </c>
      <c r="F63">
        <v>1.3047E-3</v>
      </c>
      <c r="G63">
        <v>6.0170000000000004E-4</v>
      </c>
      <c r="H63">
        <v>1.3768000000000001E-3</v>
      </c>
      <c r="I63">
        <v>2.0774000000000001E-3</v>
      </c>
      <c r="J63">
        <v>3.0737071999999999</v>
      </c>
      <c r="K63">
        <v>0.99657790000000002</v>
      </c>
      <c r="L63">
        <v>0.5500718</v>
      </c>
      <c r="M63">
        <v>5.6933406</v>
      </c>
      <c r="N63">
        <v>3.0515329000000002</v>
      </c>
      <c r="O63">
        <v>0.9943244</v>
      </c>
      <c r="P63">
        <v>0.54585099999999998</v>
      </c>
      <c r="Q63">
        <v>5.3493237000000002</v>
      </c>
      <c r="R63">
        <v>3.0906913999999999</v>
      </c>
      <c r="S63">
        <v>1.0019087</v>
      </c>
      <c r="T63">
        <v>0.55328379999999999</v>
      </c>
      <c r="U63">
        <v>5.7495697000000003</v>
      </c>
      <c r="V63">
        <v>3.0614903</v>
      </c>
      <c r="W63">
        <v>0.99751889999999999</v>
      </c>
      <c r="X63">
        <v>0.54820860000000005</v>
      </c>
      <c r="Y63">
        <v>5.3665804000000001</v>
      </c>
      <c r="AA63" s="5">
        <f t="shared" si="19"/>
        <v>-8.9876999999999995E-3</v>
      </c>
      <c r="AB63" s="5">
        <f t="shared" si="19"/>
        <v>-2.6753999999999997E-3</v>
      </c>
      <c r="AC63" s="5">
        <f t="shared" si="19"/>
        <v>-6.9410000000000001E-4</v>
      </c>
      <c r="AD63" s="5">
        <f t="shared" si="19"/>
        <v>-3.2470100000000002E-2</v>
      </c>
      <c r="AE63" s="5">
        <f t="shared" si="20"/>
        <v>-2.2174299999999647E-2</v>
      </c>
      <c r="AF63" s="5">
        <f t="shared" si="20"/>
        <v>-2.2535000000000194E-3</v>
      </c>
      <c r="AG63" s="5">
        <f t="shared" si="20"/>
        <v>-4.2208000000000245E-3</v>
      </c>
      <c r="AH63" s="5">
        <f t="shared" si="20"/>
        <v>-0.34401689999999974</v>
      </c>
      <c r="AI63" s="5">
        <f t="shared" si="28"/>
        <v>1.9608999999997795E-3</v>
      </c>
      <c r="AJ63" s="5">
        <f t="shared" si="29"/>
        <v>5.3910000000001977E-4</v>
      </c>
      <c r="AK63" s="5">
        <f t="shared" si="30"/>
        <v>-1.6029999999992231E-4</v>
      </c>
      <c r="AL63" s="5">
        <f t="shared" si="31"/>
        <v>-6.5023000000004605E-3</v>
      </c>
      <c r="AM63" s="5"/>
      <c r="AN63" s="5"/>
      <c r="AO63" s="5"/>
      <c r="AP63" s="5"/>
      <c r="AQ63" s="5"/>
      <c r="AR63" s="5"/>
      <c r="AS63" s="5"/>
      <c r="AT63" s="5"/>
      <c r="AU63" s="5"/>
      <c r="AV63" s="5">
        <f t="shared" si="40"/>
        <v>2022.75</v>
      </c>
      <c r="AW63" s="3">
        <f t="shared" si="43"/>
        <v>-1.0082533636324755</v>
      </c>
      <c r="AX63" s="3">
        <f t="shared" si="44"/>
        <v>-0.49195101310129546</v>
      </c>
      <c r="AY63" s="3">
        <f t="shared" si="45"/>
        <v>-0.88831445995708247</v>
      </c>
      <c r="AZ63" s="3">
        <f t="shared" si="46"/>
        <v>-6.5480900248935106</v>
      </c>
      <c r="BA63" s="3">
        <f t="shared" si="47"/>
        <v>-0.94480801286080751</v>
      </c>
      <c r="BB63" s="3">
        <f t="shared" si="48"/>
        <v>-0.43814371509100575</v>
      </c>
      <c r="BC63" s="3">
        <f t="shared" si="49"/>
        <v>-0.91728693303508013</v>
      </c>
      <c r="BD63" s="3">
        <f t="shared" si="50"/>
        <v>-6.661181966365243</v>
      </c>
      <c r="BE63" s="3">
        <f t="shared" si="51"/>
        <v>-0.65400900264581019</v>
      </c>
      <c r="BF63" s="3">
        <f t="shared" si="52"/>
        <v>-0.17111339586131999</v>
      </c>
      <c r="BG63" s="3">
        <f t="shared" si="53"/>
        <v>-0.79183594386821299</v>
      </c>
      <c r="BH63" s="3">
        <f t="shared" si="54"/>
        <v>-6.0964423128916927</v>
      </c>
      <c r="BI63" s="3">
        <f t="shared" si="55"/>
        <v>-0.71745435341747954</v>
      </c>
      <c r="BJ63" s="3">
        <f t="shared" si="56"/>
        <v>-0.22492069387160921</v>
      </c>
      <c r="BK63" s="3">
        <f t="shared" si="57"/>
        <v>-0.76286347079022099</v>
      </c>
      <c r="BL63" s="3">
        <f t="shared" si="58"/>
        <v>-5.9833503714199638</v>
      </c>
      <c r="BM63" s="2">
        <v>0</v>
      </c>
    </row>
    <row r="64" spans="1:65" x14ac:dyDescent="0.35">
      <c r="A64">
        <f t="shared" si="27"/>
        <v>61</v>
      </c>
      <c r="B64">
        <v>1.0223299999999999E-2</v>
      </c>
      <c r="C64">
        <v>3.2428000000000001E-3</v>
      </c>
      <c r="D64">
        <v>2.0371999999999999E-3</v>
      </c>
      <c r="E64">
        <v>3.4185800000000002E-2</v>
      </c>
      <c r="F64">
        <v>1.4909000000000001E-3</v>
      </c>
      <c r="G64">
        <v>6.8429999999999999E-4</v>
      </c>
      <c r="H64">
        <v>1.3531999999999999E-3</v>
      </c>
      <c r="I64">
        <v>2.4423000000000001E-3</v>
      </c>
      <c r="J64">
        <v>3.0738278999999999</v>
      </c>
      <c r="K64">
        <v>0.99663199999999996</v>
      </c>
      <c r="L64">
        <v>0.55013809999999996</v>
      </c>
      <c r="M64">
        <v>5.6941946000000003</v>
      </c>
      <c r="N64">
        <v>3.0519842000000001</v>
      </c>
      <c r="O64">
        <v>0.99440090000000003</v>
      </c>
      <c r="P64">
        <v>0.54623909999999998</v>
      </c>
      <c r="Q64">
        <v>5.3581031000000001</v>
      </c>
      <c r="R64">
        <v>3.0906913999999999</v>
      </c>
      <c r="S64">
        <v>1.0019087</v>
      </c>
      <c r="T64">
        <v>0.55328379999999999</v>
      </c>
      <c r="U64">
        <v>5.7495697000000003</v>
      </c>
      <c r="V64">
        <v>3.0620438000000001</v>
      </c>
      <c r="W64">
        <v>0.99764949999999997</v>
      </c>
      <c r="X64">
        <v>0.54854590000000003</v>
      </c>
      <c r="Y64">
        <v>5.3754057</v>
      </c>
      <c r="AA64" s="5">
        <f t="shared" si="19"/>
        <v>-8.7323999999999995E-3</v>
      </c>
      <c r="AB64" s="5">
        <f t="shared" si="19"/>
        <v>-2.5585E-3</v>
      </c>
      <c r="AC64" s="5">
        <f t="shared" si="19"/>
        <v>-6.8399999999999993E-4</v>
      </c>
      <c r="AD64" s="5">
        <f t="shared" si="19"/>
        <v>-3.1743500000000001E-2</v>
      </c>
      <c r="AE64" s="5">
        <f t="shared" si="20"/>
        <v>-2.1843699999999799E-2</v>
      </c>
      <c r="AF64" s="5">
        <f t="shared" si="20"/>
        <v>-2.2310999999999304E-3</v>
      </c>
      <c r="AG64" s="5">
        <f t="shared" si="20"/>
        <v>-3.8989999999999858E-3</v>
      </c>
      <c r="AH64" s="5">
        <f t="shared" si="20"/>
        <v>-0.33609150000000021</v>
      </c>
      <c r="AI64" s="5">
        <f t="shared" si="28"/>
        <v>1.9285000000000274E-3</v>
      </c>
      <c r="AJ64" s="5">
        <f t="shared" si="29"/>
        <v>5.3039999999991184E-4</v>
      </c>
      <c r="AK64" s="5">
        <f t="shared" si="30"/>
        <v>-1.5489999999997606E-4</v>
      </c>
      <c r="AL64" s="5">
        <f t="shared" si="31"/>
        <v>-6.3290000000001956E-3</v>
      </c>
      <c r="AM64" s="5"/>
      <c r="AN64" s="5"/>
      <c r="AO64" s="5"/>
      <c r="AP64" s="5"/>
      <c r="AQ64" s="5"/>
      <c r="AR64" s="5"/>
      <c r="AS64" s="5"/>
      <c r="AT64" s="5"/>
      <c r="AU64" s="5"/>
      <c r="AV64" s="5">
        <f t="shared" si="40"/>
        <v>2023</v>
      </c>
      <c r="AW64" s="3">
        <f t="shared" si="43"/>
        <v>-0.98929644027222519</v>
      </c>
      <c r="AX64" s="3">
        <f t="shared" si="44"/>
        <v>-0.47804755064008631</v>
      </c>
      <c r="AY64" s="3">
        <f t="shared" si="45"/>
        <v>-0.82832716229898395</v>
      </c>
      <c r="AZ64" s="3">
        <f t="shared" si="46"/>
        <v>-6.3976091984761947</v>
      </c>
      <c r="BA64" s="3">
        <f t="shared" si="47"/>
        <v>-0.92689939862646187</v>
      </c>
      <c r="BB64" s="3">
        <f t="shared" si="48"/>
        <v>-0.42510859522429723</v>
      </c>
      <c r="BC64" s="3">
        <f t="shared" si="49"/>
        <v>-0.85632364439370201</v>
      </c>
      <c r="BD64" s="3">
        <f t="shared" si="50"/>
        <v>-6.5076870013420374</v>
      </c>
      <c r="BE64" s="3">
        <f t="shared" si="51"/>
        <v>-0.64436067606101988</v>
      </c>
      <c r="BF64" s="3">
        <f t="shared" si="52"/>
        <v>-0.16974600579873192</v>
      </c>
      <c r="BG64" s="3">
        <f t="shared" si="53"/>
        <v>-0.73269811984373001</v>
      </c>
      <c r="BH64" s="3">
        <f t="shared" si="54"/>
        <v>-5.9555848153297486</v>
      </c>
      <c r="BI64" s="3">
        <f t="shared" si="55"/>
        <v>-0.70675771770678242</v>
      </c>
      <c r="BJ64" s="3">
        <f t="shared" si="56"/>
        <v>-0.22268496121452289</v>
      </c>
      <c r="BK64" s="3">
        <f t="shared" si="57"/>
        <v>-0.70470163774901529</v>
      </c>
      <c r="BL64" s="3">
        <f t="shared" si="58"/>
        <v>-5.8455070124639104</v>
      </c>
      <c r="BM64" s="2">
        <v>0</v>
      </c>
    </row>
    <row r="65" spans="1:65" x14ac:dyDescent="0.35">
      <c r="A65">
        <f t="shared" si="27"/>
        <v>62</v>
      </c>
      <c r="B65">
        <v>1.0154699999999999E-2</v>
      </c>
      <c r="C65">
        <v>3.2096E-3</v>
      </c>
      <c r="D65">
        <v>2.0016000000000001E-3</v>
      </c>
      <c r="E65">
        <v>3.3796800000000002E-2</v>
      </c>
      <c r="F65">
        <v>1.6674999999999999E-3</v>
      </c>
      <c r="G65">
        <v>7.6119999999999996E-4</v>
      </c>
      <c r="H65">
        <v>1.2928E-3</v>
      </c>
      <c r="I65">
        <v>2.7886E-3</v>
      </c>
      <c r="J65">
        <v>3.0739486</v>
      </c>
      <c r="K65">
        <v>0.99668500000000004</v>
      </c>
      <c r="L65">
        <v>0.55020530000000001</v>
      </c>
      <c r="M65">
        <v>5.6950820999999996</v>
      </c>
      <c r="N65">
        <v>3.0523525</v>
      </c>
      <c r="O65">
        <v>0.99443530000000002</v>
      </c>
      <c r="P65">
        <v>0.54648940000000001</v>
      </c>
      <c r="Q65">
        <v>5.3666619000000004</v>
      </c>
      <c r="R65">
        <v>3.0906913999999999</v>
      </c>
      <c r="S65">
        <v>1.0019087</v>
      </c>
      <c r="T65">
        <v>0.55328379999999999</v>
      </c>
      <c r="U65">
        <v>5.7495697000000003</v>
      </c>
      <c r="V65">
        <v>3.0625048000000001</v>
      </c>
      <c r="W65">
        <v>0.99773239999999996</v>
      </c>
      <c r="X65">
        <v>0.54870859999999999</v>
      </c>
      <c r="Y65">
        <v>5.3839839999999999</v>
      </c>
      <c r="AA65" s="5">
        <f t="shared" si="19"/>
        <v>-8.4871999999999986E-3</v>
      </c>
      <c r="AB65" s="5">
        <f t="shared" si="19"/>
        <v>-2.4483999999999999E-3</v>
      </c>
      <c r="AC65" s="5">
        <f t="shared" si="19"/>
        <v>-7.088000000000001E-4</v>
      </c>
      <c r="AD65" s="5">
        <f t="shared" si="19"/>
        <v>-3.1008200000000003E-2</v>
      </c>
      <c r="AE65" s="5">
        <f t="shared" si="20"/>
        <v>-2.1596100000000007E-2</v>
      </c>
      <c r="AF65" s="5">
        <f t="shared" si="20"/>
        <v>-2.2497000000000211E-3</v>
      </c>
      <c r="AG65" s="5">
        <f t="shared" si="20"/>
        <v>-3.7158999999999942E-3</v>
      </c>
      <c r="AH65" s="5">
        <f t="shared" si="20"/>
        <v>-0.32842019999999916</v>
      </c>
      <c r="AI65" s="5">
        <f t="shared" si="28"/>
        <v>1.8967000000002787E-3</v>
      </c>
      <c r="AJ65" s="5">
        <f t="shared" si="29"/>
        <v>5.2179999999999935E-4</v>
      </c>
      <c r="AK65" s="5">
        <f t="shared" si="30"/>
        <v>-1.505000000000074E-4</v>
      </c>
      <c r="AL65" s="5">
        <f t="shared" si="31"/>
        <v>-6.1573000000013089E-3</v>
      </c>
      <c r="AM65" s="5"/>
      <c r="AN65" s="5"/>
      <c r="AO65" s="5"/>
      <c r="AP65" s="5"/>
      <c r="AQ65" s="5"/>
      <c r="AR65" s="5"/>
      <c r="AS65" s="5"/>
      <c r="AT65" s="5"/>
      <c r="AU65" s="5"/>
      <c r="AV65" s="5">
        <f t="shared" si="40"/>
        <v>2023.25</v>
      </c>
      <c r="AW65" s="3">
        <f t="shared" si="43"/>
        <v>-0.97335178788797905</v>
      </c>
      <c r="AX65" s="3">
        <f t="shared" si="44"/>
        <v>-0.46891498197390852</v>
      </c>
      <c r="AY65" s="3">
        <f t="shared" si="45"/>
        <v>-0.79971616736293283</v>
      </c>
      <c r="AZ65" s="3">
        <f t="shared" si="46"/>
        <v>-6.2513965175515498</v>
      </c>
      <c r="BA65" s="3">
        <f t="shared" si="47"/>
        <v>-0.91198364223615891</v>
      </c>
      <c r="BB65" s="3">
        <f t="shared" si="48"/>
        <v>-0.41683438820323865</v>
      </c>
      <c r="BC65" s="3">
        <f t="shared" si="49"/>
        <v>-0.82691739754534677</v>
      </c>
      <c r="BD65" s="3">
        <f t="shared" si="50"/>
        <v>-6.3584880099809977</v>
      </c>
      <c r="BE65" s="3">
        <f t="shared" si="51"/>
        <v>-0.63737841959892605</v>
      </c>
      <c r="BF65" s="3">
        <f t="shared" si="52"/>
        <v>-0.17246082402519466</v>
      </c>
      <c r="BG65" s="3">
        <f t="shared" si="53"/>
        <v>-0.6988095440350951</v>
      </c>
      <c r="BH65" s="3">
        <f t="shared" si="54"/>
        <v>-5.8191746071014823</v>
      </c>
      <c r="BI65" s="3">
        <f t="shared" si="55"/>
        <v>-0.69874656525073997</v>
      </c>
      <c r="BJ65" s="3">
        <f t="shared" si="56"/>
        <v>-0.22454141779585518</v>
      </c>
      <c r="BK65" s="3">
        <f t="shared" si="57"/>
        <v>-0.67160831385267272</v>
      </c>
      <c r="BL65" s="3">
        <f t="shared" si="58"/>
        <v>-5.7120831146720272</v>
      </c>
      <c r="BM65" s="2">
        <v>0</v>
      </c>
    </row>
    <row r="66" spans="1:65" x14ac:dyDescent="0.35">
      <c r="A66">
        <f t="shared" si="27"/>
        <v>63</v>
      </c>
      <c r="B66">
        <v>1.0086400000000001E-2</v>
      </c>
      <c r="C66">
        <v>3.1771E-3</v>
      </c>
      <c r="D66">
        <v>1.9643999999999998E-3</v>
      </c>
      <c r="E66">
        <v>3.3381800000000003E-2</v>
      </c>
      <c r="F66">
        <v>1.4453999999999999E-3</v>
      </c>
      <c r="G66">
        <v>6.357E-4</v>
      </c>
      <c r="H66">
        <v>-3.501E-4</v>
      </c>
      <c r="I66">
        <v>2.7713E-3</v>
      </c>
      <c r="J66">
        <v>3.0740696000000001</v>
      </c>
      <c r="K66">
        <v>0.99673719999999999</v>
      </c>
      <c r="L66">
        <v>0.55027309999999996</v>
      </c>
      <c r="M66">
        <v>5.6960001</v>
      </c>
      <c r="N66">
        <v>3.0528368000000001</v>
      </c>
      <c r="O66">
        <v>0.99452249999999998</v>
      </c>
      <c r="P66">
        <v>0.54804200000000003</v>
      </c>
      <c r="Q66">
        <v>5.3752148000000002</v>
      </c>
      <c r="R66">
        <v>3.0906913999999999</v>
      </c>
      <c r="S66">
        <v>1.0019087</v>
      </c>
      <c r="T66">
        <v>0.55328379999999999</v>
      </c>
      <c r="U66">
        <v>5.7495697000000003</v>
      </c>
      <c r="V66">
        <v>3.0626831000000001</v>
      </c>
      <c r="W66">
        <v>0.9976661</v>
      </c>
      <c r="X66">
        <v>0.54859369999999996</v>
      </c>
      <c r="Y66">
        <v>5.3921882999999999</v>
      </c>
      <c r="AA66" s="5">
        <f t="shared" si="19"/>
        <v>-8.6410000000000011E-3</v>
      </c>
      <c r="AB66" s="5">
        <f t="shared" si="19"/>
        <v>-2.5414000000000001E-3</v>
      </c>
      <c r="AC66" s="5">
        <f t="shared" si="19"/>
        <v>-2.3144999999999997E-3</v>
      </c>
      <c r="AD66" s="5">
        <f t="shared" si="19"/>
        <v>-3.0610500000000002E-2</v>
      </c>
      <c r="AE66" s="5">
        <f t="shared" si="20"/>
        <v>-2.1232799999999941E-2</v>
      </c>
      <c r="AF66" s="5">
        <f t="shared" si="20"/>
        <v>-2.2147000000000139E-3</v>
      </c>
      <c r="AG66" s="5">
        <f t="shared" si="20"/>
        <v>-2.2310999999999304E-3</v>
      </c>
      <c r="AH66" s="5">
        <f t="shared" si="20"/>
        <v>-0.32078529999999983</v>
      </c>
      <c r="AI66" s="5">
        <f t="shared" si="28"/>
        <v>1.8655000000001795E-3</v>
      </c>
      <c r="AJ66" s="5">
        <f t="shared" si="29"/>
        <v>5.1350000000002869E-4</v>
      </c>
      <c r="AK66" s="5">
        <f t="shared" si="30"/>
        <v>-1.4450000000010028E-4</v>
      </c>
      <c r="AL66" s="5">
        <f t="shared" si="31"/>
        <v>-5.9856000000005904E-3</v>
      </c>
      <c r="AM66" s="5"/>
      <c r="AN66" s="5"/>
      <c r="AO66" s="5"/>
      <c r="AP66" s="5"/>
      <c r="AQ66" s="5"/>
      <c r="AR66" s="5"/>
      <c r="AS66" s="5"/>
      <c r="AT66" s="5"/>
      <c r="AU66" s="5"/>
      <c r="AV66" s="5">
        <f t="shared" si="40"/>
        <v>2023.5</v>
      </c>
      <c r="AW66" s="3">
        <f t="shared" si="43"/>
        <v>-0.9665733693114732</v>
      </c>
      <c r="AX66" s="3">
        <f t="shared" si="44"/>
        <v>-0.47470393260384047</v>
      </c>
      <c r="AY66" s="3">
        <f t="shared" si="45"/>
        <v>-0.82156752104434116</v>
      </c>
      <c r="AZ66" s="3">
        <f t="shared" si="46"/>
        <v>-6.1116886712409064</v>
      </c>
      <c r="BA66" s="3">
        <f t="shared" si="47"/>
        <v>-0.90621470652164637</v>
      </c>
      <c r="BB66" s="3">
        <f t="shared" si="48"/>
        <v>-0.42345175763020976</v>
      </c>
      <c r="BC66" s="3">
        <f t="shared" si="49"/>
        <v>-0.84768431680089507</v>
      </c>
      <c r="BD66" s="3">
        <f t="shared" si="50"/>
        <v>-6.2157938532339285</v>
      </c>
      <c r="BE66" s="3">
        <f t="shared" si="51"/>
        <v>-0.62663325105831869</v>
      </c>
      <c r="BF66" s="3">
        <f t="shared" si="52"/>
        <v>-0.16979591054554866</v>
      </c>
      <c r="BG66" s="3">
        <f t="shared" si="53"/>
        <v>-0.42936373701887409</v>
      </c>
      <c r="BH66" s="3">
        <f t="shared" si="54"/>
        <v>-5.6833974897286748</v>
      </c>
      <c r="BI66" s="3">
        <f t="shared" si="55"/>
        <v>-0.68699191384814229</v>
      </c>
      <c r="BJ66" s="3">
        <f t="shared" si="56"/>
        <v>-0.22104808551917093</v>
      </c>
      <c r="BK66" s="3">
        <f t="shared" si="57"/>
        <v>-0.40324694126231975</v>
      </c>
      <c r="BL66" s="3">
        <f t="shared" si="58"/>
        <v>-5.5792923077356518</v>
      </c>
      <c r="BM66" s="2">
        <v>0</v>
      </c>
    </row>
    <row r="67" spans="1:65" x14ac:dyDescent="0.35">
      <c r="A67">
        <f t="shared" si="27"/>
        <v>64</v>
      </c>
      <c r="B67">
        <v>1.00182E-2</v>
      </c>
      <c r="C67">
        <v>3.1454E-3</v>
      </c>
      <c r="D67">
        <v>1.9258999999999999E-3</v>
      </c>
      <c r="E67">
        <v>3.2942199999999998E-2</v>
      </c>
      <c r="F67">
        <v>1.3487E-3</v>
      </c>
      <c r="G67">
        <v>5.8319999999999997E-4</v>
      </c>
      <c r="H67">
        <v>-4.8109999999999998E-4</v>
      </c>
      <c r="I67">
        <v>2.5883999999999998E-3</v>
      </c>
      <c r="J67">
        <v>3.0741909000000001</v>
      </c>
      <c r="K67">
        <v>0.99678860000000002</v>
      </c>
      <c r="L67">
        <v>0.55034130000000003</v>
      </c>
      <c r="M67">
        <v>5.6969452</v>
      </c>
      <c r="N67">
        <v>3.0533603</v>
      </c>
      <c r="O67">
        <v>0.99463210000000002</v>
      </c>
      <c r="P67">
        <v>0.54827720000000002</v>
      </c>
      <c r="Q67">
        <v>5.3845432999999998</v>
      </c>
      <c r="R67">
        <v>3.0906913999999999</v>
      </c>
      <c r="S67">
        <v>1.0019087</v>
      </c>
      <c r="T67">
        <v>0.55328379999999999</v>
      </c>
      <c r="U67">
        <v>5.7495697000000003</v>
      </c>
      <c r="V67">
        <v>3.0630259999999998</v>
      </c>
      <c r="W67">
        <v>0.99769529999999995</v>
      </c>
      <c r="X67">
        <v>0.54866800000000004</v>
      </c>
      <c r="Y67">
        <v>5.4009980000000004</v>
      </c>
      <c r="AA67" s="5">
        <f t="shared" si="19"/>
        <v>-8.6695000000000001E-3</v>
      </c>
      <c r="AB67" s="5">
        <f t="shared" si="19"/>
        <v>-2.5622000000000002E-3</v>
      </c>
      <c r="AC67" s="5">
        <f t="shared" si="19"/>
        <v>-2.4069999999999999E-3</v>
      </c>
      <c r="AD67" s="5">
        <f t="shared" ref="AD67" si="59">I67-E67</f>
        <v>-3.0353799999999997E-2</v>
      </c>
      <c r="AE67" s="5">
        <f t="shared" si="20"/>
        <v>-2.0830600000000032E-2</v>
      </c>
      <c r="AF67" s="5">
        <f t="shared" si="20"/>
        <v>-2.1565000000000056E-3</v>
      </c>
      <c r="AG67" s="5">
        <f t="shared" si="20"/>
        <v>-2.0641000000000131E-3</v>
      </c>
      <c r="AH67" s="5">
        <f t="shared" ref="AH67" si="60">Q67-M67</f>
        <v>-0.31240190000000023</v>
      </c>
      <c r="AI67" s="5">
        <f t="shared" si="28"/>
        <v>1.8346999999999704E-3</v>
      </c>
      <c r="AJ67" s="5">
        <f t="shared" si="29"/>
        <v>5.0529999999997244E-4</v>
      </c>
      <c r="AK67" s="5">
        <f t="shared" si="30"/>
        <v>-1.4469999999993516E-4</v>
      </c>
      <c r="AL67" s="5">
        <f t="shared" si="31"/>
        <v>-5.8159999999997103E-3</v>
      </c>
      <c r="AM67" s="5"/>
      <c r="AN67" s="5"/>
      <c r="AO67" s="5"/>
      <c r="AP67" s="5"/>
      <c r="AQ67" s="5"/>
      <c r="AR67" s="5"/>
      <c r="AS67" s="5"/>
      <c r="AT67" s="5"/>
      <c r="AU67" s="5"/>
      <c r="AV67" s="5">
        <f t="shared" si="40"/>
        <v>2023.75</v>
      </c>
      <c r="AW67" s="3">
        <f t="shared" ref="AW67:AW98" si="61">100*(AA67+AE67)/R67</f>
        <v>-0.95448222362155066</v>
      </c>
      <c r="AX67" s="3">
        <f t="shared" ref="AX67:AX98" si="62">100*(AB67+AF67)/S67</f>
        <v>-0.47097105754246932</v>
      </c>
      <c r="AY67" s="3">
        <f t="shared" ref="AY67:AY98" si="63">100*(AC67+AG67)/T67</f>
        <v>-0.80810246025638421</v>
      </c>
      <c r="AZ67" s="3">
        <f t="shared" ref="AZ67:AZ98" si="64">100*(AD67+AH67)/U67</f>
        <v>-5.9614148168340355</v>
      </c>
      <c r="BA67" s="3">
        <f t="shared" ref="BA67:BA98" si="65">100*(V67-R67)/R67</f>
        <v>-0.89512010160574629</v>
      </c>
      <c r="BB67" s="3">
        <f t="shared" ref="BB67:BB98" si="66">100*(W67-S67)/S67</f>
        <v>-0.42053732041652436</v>
      </c>
      <c r="BC67" s="3">
        <f t="shared" ref="BC67:BC98" si="67">100*(X67-T67)/T67</f>
        <v>-0.83425540382710428</v>
      </c>
      <c r="BD67" s="3">
        <f t="shared" ref="BD67:BD98" si="68">100*(Y67-U67)/U67</f>
        <v>-6.0625702128630587</v>
      </c>
      <c r="BE67" s="3">
        <f t="shared" ref="BE67:BE98" si="69">100*(V67-AA67-V$3)/R67</f>
        <v>-0.61461652237425513</v>
      </c>
      <c r="BF67" s="3">
        <f t="shared" ref="BF67:BF98" si="70">100*(W67-AB67-W$3)/S67</f>
        <v>-0.1648054358645617</v>
      </c>
      <c r="BG67" s="3">
        <f t="shared" ref="BG67:BG98" si="71">100*(X67-AC67-X$3)/T67</f>
        <v>-0.39921645997947164</v>
      </c>
      <c r="BH67" s="3">
        <f t="shared" ref="BH67:BH98" si="72">100*(Y67-AD67-Y$3)/U67</f>
        <v>-5.5346385312973876</v>
      </c>
      <c r="BI67" s="3">
        <f t="shared" ref="BI67:BI98" si="73">100*(AE67/R67)</f>
        <v>-0.67397864439005573</v>
      </c>
      <c r="BJ67" s="3">
        <f t="shared" ref="BJ67:BJ98" si="74">100*(AF67/S67)</f>
        <v>-0.21523917299051359</v>
      </c>
      <c r="BK67" s="3">
        <f t="shared" ref="BK67:BK98" si="75">100*(AG67/T67)</f>
        <v>-0.3730635164087604</v>
      </c>
      <c r="BL67" s="3">
        <f t="shared" ref="BL67:BL98" si="76">100*(AH67/U67)</f>
        <v>-5.4334831352683706</v>
      </c>
      <c r="BM67" s="2">
        <v>0</v>
      </c>
    </row>
    <row r="68" spans="1:65" x14ac:dyDescent="0.35">
      <c r="A68">
        <f t="shared" si="27"/>
        <v>65</v>
      </c>
      <c r="B68">
        <v>9.9500000000000005E-3</v>
      </c>
      <c r="C68">
        <v>3.1143999999999998E-3</v>
      </c>
      <c r="D68">
        <v>1.8864000000000001E-3</v>
      </c>
      <c r="E68">
        <v>3.2479300000000003E-2</v>
      </c>
      <c r="F68">
        <v>1.2346E-3</v>
      </c>
      <c r="G68">
        <v>5.2689999999999996E-4</v>
      </c>
      <c r="H68">
        <v>-4.2959999999999998E-4</v>
      </c>
      <c r="I68">
        <v>2.3896E-3</v>
      </c>
      <c r="J68">
        <v>3.0743128</v>
      </c>
      <c r="K68">
        <v>0.99683929999999998</v>
      </c>
      <c r="L68">
        <v>0.55040940000000005</v>
      </c>
      <c r="M68">
        <v>5.6979144000000002</v>
      </c>
      <c r="N68">
        <v>3.0539635999999999</v>
      </c>
      <c r="O68">
        <v>0.99475630000000004</v>
      </c>
      <c r="P68">
        <v>0.54825429999999997</v>
      </c>
      <c r="Q68">
        <v>5.3929841999999999</v>
      </c>
      <c r="R68">
        <v>3.0906913999999999</v>
      </c>
      <c r="S68">
        <v>1.0019087</v>
      </c>
      <c r="T68">
        <v>0.55328379999999999</v>
      </c>
      <c r="U68">
        <v>5.7495697000000003</v>
      </c>
      <c r="V68">
        <v>3.063431</v>
      </c>
      <c r="W68">
        <v>0.99773529999999999</v>
      </c>
      <c r="X68">
        <v>0.54867310000000002</v>
      </c>
      <c r="Y68">
        <v>5.4089014000000004</v>
      </c>
      <c r="AA68" s="5">
        <f t="shared" ref="AA68:AD120" si="77">F68-B68</f>
        <v>-8.7153999999999999E-3</v>
      </c>
      <c r="AB68" s="5">
        <f t="shared" si="77"/>
        <v>-2.5875E-3</v>
      </c>
      <c r="AC68" s="5">
        <f t="shared" si="77"/>
        <v>-2.3159999999999999E-3</v>
      </c>
      <c r="AD68" s="5">
        <f t="shared" si="77"/>
        <v>-3.0089700000000004E-2</v>
      </c>
      <c r="AE68" s="5">
        <f t="shared" ref="AE68:AH120" si="78">N68-J68</f>
        <v>-2.0349200000000067E-2</v>
      </c>
      <c r="AF68" s="5">
        <f t="shared" si="78"/>
        <v>-2.082999999999946E-3</v>
      </c>
      <c r="AG68" s="5">
        <f t="shared" si="78"/>
        <v>-2.1551000000000764E-3</v>
      </c>
      <c r="AH68" s="5">
        <f t="shared" si="78"/>
        <v>-0.30493020000000026</v>
      </c>
      <c r="AI68" s="5">
        <f t="shared" si="28"/>
        <v>1.804200000000214E-3</v>
      </c>
      <c r="AJ68" s="5">
        <f t="shared" si="29"/>
        <v>4.9709999999995175E-4</v>
      </c>
      <c r="AK68" s="5">
        <f t="shared" si="30"/>
        <v>-1.3959999999989085E-4</v>
      </c>
      <c r="AL68" s="5">
        <f t="shared" si="31"/>
        <v>-5.6483999999996648E-3</v>
      </c>
      <c r="AM68" s="5"/>
      <c r="AN68" s="5"/>
      <c r="AO68" s="5"/>
      <c r="AP68" s="5"/>
      <c r="AQ68" s="5"/>
      <c r="AR68" s="5"/>
      <c r="AS68" s="5"/>
      <c r="AT68" s="5"/>
      <c r="AU68" s="5"/>
      <c r="AV68" s="5">
        <f t="shared" si="40"/>
        <v>2024</v>
      </c>
      <c r="AW68" s="3">
        <f t="shared" si="61"/>
        <v>-0.94039152533960746</v>
      </c>
      <c r="AX68" s="3">
        <f t="shared" si="62"/>
        <v>-0.46616023995000194</v>
      </c>
      <c r="AY68" s="3">
        <f t="shared" si="63"/>
        <v>-0.80810246025639587</v>
      </c>
      <c r="AZ68" s="3">
        <f t="shared" si="64"/>
        <v>-5.8268690959603511</v>
      </c>
      <c r="BA68" s="3">
        <f t="shared" si="65"/>
        <v>-0.88201623753183034</v>
      </c>
      <c r="BB68" s="3">
        <f t="shared" si="66"/>
        <v>-0.41654494067173925</v>
      </c>
      <c r="BC68" s="3">
        <f t="shared" si="67"/>
        <v>-0.83333363456511245</v>
      </c>
      <c r="BD68" s="3">
        <f t="shared" si="68"/>
        <v>-5.9251094912372304</v>
      </c>
      <c r="BE68" s="3">
        <f t="shared" si="69"/>
        <v>-0.60002755370529826</v>
      </c>
      <c r="BF68" s="3">
        <f t="shared" si="70"/>
        <v>-0.15828787593121299</v>
      </c>
      <c r="BG68" s="3">
        <f t="shared" si="71"/>
        <v>-0.41474194617662452</v>
      </c>
      <c r="BH68" s="3">
        <f t="shared" si="72"/>
        <v>-5.4017711968949511</v>
      </c>
      <c r="BI68" s="3">
        <f t="shared" si="73"/>
        <v>-0.65840284151306949</v>
      </c>
      <c r="BJ68" s="3">
        <f t="shared" si="74"/>
        <v>-0.20790317520947227</v>
      </c>
      <c r="BK68" s="3">
        <f t="shared" si="75"/>
        <v>-0.38951077186790511</v>
      </c>
      <c r="BL68" s="3">
        <f t="shared" si="76"/>
        <v>-5.3035308016180807</v>
      </c>
      <c r="BM68" s="2">
        <v>0</v>
      </c>
    </row>
    <row r="69" spans="1:65" x14ac:dyDescent="0.35">
      <c r="A69">
        <f t="shared" ref="A69:A121" si="79">A68+1</f>
        <v>66</v>
      </c>
      <c r="B69">
        <v>9.8816000000000008E-3</v>
      </c>
      <c r="C69">
        <v>3.0837999999999998E-3</v>
      </c>
      <c r="D69">
        <v>1.8462000000000001E-3</v>
      </c>
      <c r="E69">
        <v>3.19949E-2</v>
      </c>
      <c r="F69">
        <v>1.1322999999999999E-3</v>
      </c>
      <c r="G69">
        <v>4.7760000000000001E-4</v>
      </c>
      <c r="H69">
        <v>-3.5399999999999999E-4</v>
      </c>
      <c r="I69">
        <v>2.2128999999999998E-3</v>
      </c>
      <c r="J69">
        <v>3.0744354</v>
      </c>
      <c r="K69">
        <v>0.99688929999999998</v>
      </c>
      <c r="L69">
        <v>0.55047740000000001</v>
      </c>
      <c r="M69">
        <v>5.6989044</v>
      </c>
      <c r="N69">
        <v>3.0544964000000001</v>
      </c>
      <c r="O69">
        <v>0.99485920000000005</v>
      </c>
      <c r="P69">
        <v>0.54846700000000004</v>
      </c>
      <c r="Q69">
        <v>5.4016725000000001</v>
      </c>
      <c r="R69">
        <v>3.0906913999999999</v>
      </c>
      <c r="S69">
        <v>1.0019087</v>
      </c>
      <c r="T69">
        <v>0.55328379999999999</v>
      </c>
      <c r="U69">
        <v>5.7495697000000003</v>
      </c>
      <c r="V69">
        <v>3.0637772000000001</v>
      </c>
      <c r="W69">
        <v>0.99776129999999996</v>
      </c>
      <c r="X69">
        <v>0.54893910000000001</v>
      </c>
      <c r="Y69">
        <v>5.4170748</v>
      </c>
      <c r="AA69" s="5">
        <f t="shared" si="77"/>
        <v>-8.7493000000000015E-3</v>
      </c>
      <c r="AB69" s="5">
        <f t="shared" si="77"/>
        <v>-2.6061999999999999E-3</v>
      </c>
      <c r="AC69" s="5">
        <f t="shared" si="77"/>
        <v>-2.2002000000000002E-3</v>
      </c>
      <c r="AD69" s="5">
        <f t="shared" si="77"/>
        <v>-2.9781999999999999E-2</v>
      </c>
      <c r="AE69" s="5">
        <f t="shared" si="78"/>
        <v>-1.9938999999999929E-2</v>
      </c>
      <c r="AF69" s="5">
        <f t="shared" si="78"/>
        <v>-2.0300999999999236E-3</v>
      </c>
      <c r="AG69" s="5">
        <f t="shared" si="78"/>
        <v>-2.0103999999999678E-3</v>
      </c>
      <c r="AH69" s="5">
        <f t="shared" si="78"/>
        <v>-0.29723189999999988</v>
      </c>
      <c r="AI69" s="5">
        <f t="shared" ref="AI69:AI120" si="80">((V69-R69)-(AA69+AE69))</f>
        <v>1.7741000000001533E-3</v>
      </c>
      <c r="AJ69" s="5">
        <f t="shared" ref="AJ69:AJ120" si="81">((W69-S69)-(AB69+AF69))</f>
        <v>4.8889999999989983E-4</v>
      </c>
      <c r="AK69" s="5">
        <f t="shared" ref="AK69:AK120" si="82">((X69-T69)-(AC69+AG69))</f>
        <v>-1.3410000000001112E-4</v>
      </c>
      <c r="AL69" s="5">
        <f t="shared" ref="AL69:AL120" si="83">((Y69-U69)-(AD69+AH69))</f>
        <v>-5.4810000000005132E-3</v>
      </c>
      <c r="AM69" s="5"/>
      <c r="AN69" s="5"/>
      <c r="AO69" s="5"/>
      <c r="AP69" s="5"/>
      <c r="AQ69" s="5"/>
      <c r="AR69" s="5"/>
      <c r="AS69" s="5"/>
      <c r="AT69" s="5"/>
      <c r="AU69" s="5"/>
      <c r="AV69" s="5">
        <f t="shared" ref="AV69:AV120" si="84">AV68+0.25</f>
        <v>2024.25</v>
      </c>
      <c r="AW69" s="3">
        <f t="shared" si="61"/>
        <v>-0.92821625607784497</v>
      </c>
      <c r="AX69" s="3">
        <f t="shared" si="62"/>
        <v>-0.46274675526821191</v>
      </c>
      <c r="AY69" s="3">
        <f t="shared" si="63"/>
        <v>-0.76101993226622</v>
      </c>
      <c r="AZ69" s="3">
        <f t="shared" si="64"/>
        <v>-5.687623892967153</v>
      </c>
      <c r="BA69" s="3">
        <f t="shared" si="65"/>
        <v>-0.87081486039013078</v>
      </c>
      <c r="BB69" s="3">
        <f t="shared" si="66"/>
        <v>-0.41394989383763442</v>
      </c>
      <c r="BC69" s="3">
        <f t="shared" si="67"/>
        <v>-0.78525704168457111</v>
      </c>
      <c r="BD69" s="3">
        <f t="shared" si="68"/>
        <v>-5.7829527660130866</v>
      </c>
      <c r="BE69" s="3">
        <f t="shared" si="69"/>
        <v>-0.58772933460778154</v>
      </c>
      <c r="BF69" s="3">
        <f t="shared" si="70"/>
        <v>-0.1538263915664303</v>
      </c>
      <c r="BG69" s="3">
        <f t="shared" si="71"/>
        <v>-0.38759493771550763</v>
      </c>
      <c r="BH69" s="3">
        <f t="shared" si="72"/>
        <v>-5.2649661765123117</v>
      </c>
      <c r="BI69" s="3">
        <f t="shared" si="73"/>
        <v>-0.64513073029549084</v>
      </c>
      <c r="BJ69" s="3">
        <f t="shared" si="74"/>
        <v>-0.20262325299699702</v>
      </c>
      <c r="BK69" s="3">
        <f t="shared" si="75"/>
        <v>-0.3633578282971538</v>
      </c>
      <c r="BL69" s="3">
        <f t="shared" si="76"/>
        <v>-5.1696373034663772</v>
      </c>
      <c r="BM69" s="2">
        <v>0</v>
      </c>
    </row>
    <row r="70" spans="1:65" x14ac:dyDescent="0.35">
      <c r="A70">
        <f t="shared" si="79"/>
        <v>67</v>
      </c>
      <c r="B70">
        <v>9.8128E-3</v>
      </c>
      <c r="C70">
        <v>3.0536999999999999E-3</v>
      </c>
      <c r="D70">
        <v>1.8055E-3</v>
      </c>
      <c r="E70">
        <v>3.1490499999999998E-2</v>
      </c>
      <c r="F70">
        <v>1.0422999999999999E-3</v>
      </c>
      <c r="G70">
        <v>4.3439999999999999E-4</v>
      </c>
      <c r="H70">
        <v>-2.5980000000000003E-4</v>
      </c>
      <c r="I70">
        <v>2.0726999999999998E-3</v>
      </c>
      <c r="J70">
        <v>3.0745585000000002</v>
      </c>
      <c r="K70">
        <v>0.99693889999999996</v>
      </c>
      <c r="L70">
        <v>0.5505449</v>
      </c>
      <c r="M70">
        <v>5.6999123999999997</v>
      </c>
      <c r="N70">
        <v>3.0549965000000001</v>
      </c>
      <c r="O70">
        <v>0.99493799999999999</v>
      </c>
      <c r="P70">
        <v>0.54843580000000003</v>
      </c>
      <c r="Q70">
        <v>5.4098043999999996</v>
      </c>
      <c r="R70">
        <v>3.0906913999999999</v>
      </c>
      <c r="S70">
        <v>1.0019087</v>
      </c>
      <c r="T70">
        <v>0.55328379999999999</v>
      </c>
      <c r="U70">
        <v>5.7495697000000003</v>
      </c>
      <c r="V70">
        <v>3.0641036000000001</v>
      </c>
      <c r="W70">
        <v>0.99776949999999998</v>
      </c>
      <c r="X70">
        <v>0.54897280000000004</v>
      </c>
      <c r="Y70">
        <v>5.4247246000000002</v>
      </c>
      <c r="AA70" s="5">
        <f t="shared" si="77"/>
        <v>-8.7705000000000005E-3</v>
      </c>
      <c r="AB70" s="5">
        <f t="shared" si="77"/>
        <v>-2.6192999999999998E-3</v>
      </c>
      <c r="AC70" s="5">
        <f t="shared" si="77"/>
        <v>-2.0652999999999999E-3</v>
      </c>
      <c r="AD70" s="5">
        <f t="shared" si="77"/>
        <v>-2.9417799999999997E-2</v>
      </c>
      <c r="AE70" s="5">
        <f t="shared" si="78"/>
        <v>-1.9562000000000079E-2</v>
      </c>
      <c r="AF70" s="5">
        <f t="shared" si="78"/>
        <v>-2.0008999999999721E-3</v>
      </c>
      <c r="AG70" s="5">
        <f t="shared" si="78"/>
        <v>-2.1090999999999749E-3</v>
      </c>
      <c r="AH70" s="5">
        <f t="shared" si="78"/>
        <v>-0.29010800000000003</v>
      </c>
      <c r="AI70" s="5">
        <f t="shared" si="80"/>
        <v>1.7447000000003626E-3</v>
      </c>
      <c r="AJ70" s="5">
        <f t="shared" si="81"/>
        <v>4.8099999999996236E-4</v>
      </c>
      <c r="AK70" s="5">
        <f t="shared" si="82"/>
        <v>-1.3659999999997893E-4</v>
      </c>
      <c r="AL70" s="5">
        <f t="shared" si="83"/>
        <v>-5.3193000000000823E-3</v>
      </c>
      <c r="AM70" s="5"/>
      <c r="AN70" s="5"/>
      <c r="AO70" s="5"/>
      <c r="AP70" s="5"/>
      <c r="AQ70" s="5"/>
      <c r="AR70" s="5"/>
      <c r="AS70" s="5"/>
      <c r="AT70" s="5"/>
      <c r="AU70" s="5"/>
      <c r="AV70" s="5">
        <f t="shared" si="84"/>
        <v>2024.5</v>
      </c>
      <c r="AW70" s="3">
        <f t="shared" si="61"/>
        <v>-0.91670426882477107</v>
      </c>
      <c r="AX70" s="3">
        <f t="shared" si="62"/>
        <v>-0.46113982242094237</v>
      </c>
      <c r="AY70" s="3">
        <f t="shared" si="63"/>
        <v>-0.75447717789676383</v>
      </c>
      <c r="AZ70" s="3">
        <f t="shared" si="64"/>
        <v>-5.5573863205797815</v>
      </c>
      <c r="BA70" s="3">
        <f t="shared" si="65"/>
        <v>-0.86025411660315609</v>
      </c>
      <c r="BB70" s="3">
        <f t="shared" si="66"/>
        <v>-0.41313145598995293</v>
      </c>
      <c r="BC70" s="3">
        <f t="shared" si="67"/>
        <v>-0.77916613499255782</v>
      </c>
      <c r="BD70" s="3">
        <f t="shared" si="68"/>
        <v>-5.6499028092484922</v>
      </c>
      <c r="BE70" s="3">
        <f t="shared" si="69"/>
        <v>-0.57648266015817451</v>
      </c>
      <c r="BF70" s="3">
        <f t="shared" si="70"/>
        <v>-0.151700449352312</v>
      </c>
      <c r="BG70" s="3">
        <f t="shared" si="71"/>
        <v>-0.4058857316986158</v>
      </c>
      <c r="BH70" s="3">
        <f t="shared" si="72"/>
        <v>-5.1382506068236733</v>
      </c>
      <c r="BI70" s="3">
        <f t="shared" si="73"/>
        <v>-0.63293281237978272</v>
      </c>
      <c r="BJ70" s="3">
        <f t="shared" si="74"/>
        <v>-0.19970881578331162</v>
      </c>
      <c r="BK70" s="3">
        <f t="shared" si="75"/>
        <v>-0.38119677460283041</v>
      </c>
      <c r="BL70" s="3">
        <f t="shared" si="76"/>
        <v>-5.0457341181549635</v>
      </c>
      <c r="BM70" s="2">
        <v>0</v>
      </c>
    </row>
    <row r="71" spans="1:65" x14ac:dyDescent="0.35">
      <c r="A71">
        <f t="shared" si="79"/>
        <v>68</v>
      </c>
      <c r="B71">
        <v>9.7435999999999998E-3</v>
      </c>
      <c r="C71">
        <v>3.0241000000000001E-3</v>
      </c>
      <c r="D71">
        <v>1.7644E-3</v>
      </c>
      <c r="E71">
        <v>3.09678E-2</v>
      </c>
      <c r="F71">
        <v>9.6980000000000005E-4</v>
      </c>
      <c r="G71">
        <v>3.9960000000000001E-4</v>
      </c>
      <c r="H71">
        <v>-1.93E-4</v>
      </c>
      <c r="I71">
        <v>1.9602E-3</v>
      </c>
      <c r="J71">
        <v>3.0746823999999999</v>
      </c>
      <c r="K71">
        <v>0.99698790000000004</v>
      </c>
      <c r="L71">
        <v>0.55061190000000004</v>
      </c>
      <c r="M71">
        <v>5.7009352</v>
      </c>
      <c r="N71">
        <v>3.0556130000000001</v>
      </c>
      <c r="O71">
        <v>0.99509289999999995</v>
      </c>
      <c r="P71">
        <v>0.54858119999999999</v>
      </c>
      <c r="Q71">
        <v>5.4179117999999997</v>
      </c>
      <c r="R71">
        <v>3.0906913999999999</v>
      </c>
      <c r="S71">
        <v>1.0019087</v>
      </c>
      <c r="T71">
        <v>0.55328379999999999</v>
      </c>
      <c r="U71">
        <v>5.7495697000000003</v>
      </c>
      <c r="V71">
        <v>3.0645633999999999</v>
      </c>
      <c r="W71">
        <v>0.99786229999999998</v>
      </c>
      <c r="X71">
        <v>0.54916469999999995</v>
      </c>
      <c r="Y71">
        <v>5.4323804999999998</v>
      </c>
      <c r="AA71" s="5">
        <f t="shared" si="77"/>
        <v>-8.7738E-3</v>
      </c>
      <c r="AB71" s="5">
        <f t="shared" si="77"/>
        <v>-2.6245000000000001E-3</v>
      </c>
      <c r="AC71" s="5">
        <f t="shared" si="77"/>
        <v>-1.9573999999999998E-3</v>
      </c>
      <c r="AD71" s="5">
        <f t="shared" si="77"/>
        <v>-2.9007600000000001E-2</v>
      </c>
      <c r="AE71" s="5">
        <f t="shared" si="78"/>
        <v>-1.9069399999999792E-2</v>
      </c>
      <c r="AF71" s="5">
        <f t="shared" si="78"/>
        <v>-1.8950000000000911E-3</v>
      </c>
      <c r="AG71" s="5">
        <f t="shared" si="78"/>
        <v>-2.0307000000000519E-3</v>
      </c>
      <c r="AH71" s="5">
        <f t="shared" si="78"/>
        <v>-0.28302340000000026</v>
      </c>
      <c r="AI71" s="5">
        <f t="shared" si="80"/>
        <v>1.7151999999998613E-3</v>
      </c>
      <c r="AJ71" s="5">
        <f t="shared" si="81"/>
        <v>4.731000000000856E-4</v>
      </c>
      <c r="AK71" s="5">
        <f t="shared" si="82"/>
        <v>-1.309999999999905E-4</v>
      </c>
      <c r="AL71" s="5">
        <f t="shared" si="83"/>
        <v>-5.1582000000002237E-3</v>
      </c>
      <c r="AM71" s="5"/>
      <c r="AN71" s="5"/>
      <c r="AO71" s="5"/>
      <c r="AP71" s="5"/>
      <c r="AQ71" s="5"/>
      <c r="AR71" s="5"/>
      <c r="AS71" s="5"/>
      <c r="AT71" s="5"/>
      <c r="AU71" s="5"/>
      <c r="AV71" s="5">
        <f t="shared" si="84"/>
        <v>2024.75</v>
      </c>
      <c r="AW71" s="3">
        <f t="shared" si="61"/>
        <v>-0.9008728597102833</v>
      </c>
      <c r="AX71" s="3">
        <f t="shared" si="62"/>
        <v>-0.45108900641346772</v>
      </c>
      <c r="AY71" s="3">
        <f t="shared" si="63"/>
        <v>-0.72080548897329932</v>
      </c>
      <c r="AZ71" s="3">
        <f t="shared" si="64"/>
        <v>-5.4270322177327506</v>
      </c>
      <c r="BA71" s="3">
        <f t="shared" si="65"/>
        <v>-0.84537718647678417</v>
      </c>
      <c r="BB71" s="3">
        <f t="shared" si="66"/>
        <v>-0.40386913498206028</v>
      </c>
      <c r="BC71" s="3">
        <f t="shared" si="67"/>
        <v>-0.74448230727161036</v>
      </c>
      <c r="BD71" s="3">
        <f t="shared" si="68"/>
        <v>-5.5167467575877982</v>
      </c>
      <c r="BE71" s="3">
        <f t="shared" si="69"/>
        <v>-0.56149895780600301</v>
      </c>
      <c r="BF71" s="3">
        <f t="shared" si="70"/>
        <v>-0.14191911897760504</v>
      </c>
      <c r="BG71" s="3">
        <f t="shared" si="71"/>
        <v>-0.3907036497363639</v>
      </c>
      <c r="BH71" s="3">
        <f t="shared" si="72"/>
        <v>-5.0122290021112459</v>
      </c>
      <c r="BI71" s="3">
        <f t="shared" si="73"/>
        <v>-0.61699463103950758</v>
      </c>
      <c r="BJ71" s="3">
        <f t="shared" si="74"/>
        <v>-0.18913899040901541</v>
      </c>
      <c r="BK71" s="3">
        <f t="shared" si="75"/>
        <v>-0.36702683143805259</v>
      </c>
      <c r="BL71" s="3">
        <f t="shared" si="76"/>
        <v>-4.9225144622561974</v>
      </c>
      <c r="BM71" s="2">
        <v>0</v>
      </c>
    </row>
    <row r="72" spans="1:65" x14ac:dyDescent="0.35">
      <c r="A72">
        <f t="shared" si="79"/>
        <v>69</v>
      </c>
      <c r="B72">
        <v>9.6740000000000003E-3</v>
      </c>
      <c r="C72">
        <v>2.9948000000000002E-3</v>
      </c>
      <c r="D72">
        <v>1.7232E-3</v>
      </c>
      <c r="E72">
        <v>3.0428500000000001E-2</v>
      </c>
      <c r="F72">
        <v>9.0930000000000004E-4</v>
      </c>
      <c r="G72">
        <v>3.7050000000000001E-4</v>
      </c>
      <c r="H72">
        <v>-1.3329999999999999E-4</v>
      </c>
      <c r="I72">
        <v>1.8739E-3</v>
      </c>
      <c r="J72">
        <v>3.0748069999999998</v>
      </c>
      <c r="K72">
        <v>0.99703660000000005</v>
      </c>
      <c r="L72">
        <v>0.55067820000000001</v>
      </c>
      <c r="M72">
        <v>5.7019701999999999</v>
      </c>
      <c r="N72">
        <v>3.0563864999999999</v>
      </c>
      <c r="O72">
        <v>0.99532869999999996</v>
      </c>
      <c r="P72">
        <v>0.54799359999999997</v>
      </c>
      <c r="Q72">
        <v>5.4265344999999998</v>
      </c>
      <c r="R72">
        <v>3.0906913999999999</v>
      </c>
      <c r="S72">
        <v>1.0019087</v>
      </c>
      <c r="T72">
        <v>0.55328379999999999</v>
      </c>
      <c r="U72">
        <v>5.7495697000000003</v>
      </c>
      <c r="V72">
        <v>3.0651929999999998</v>
      </c>
      <c r="W72">
        <v>0.99804210000000004</v>
      </c>
      <c r="X72">
        <v>0.54860149999999996</v>
      </c>
      <c r="Y72">
        <v>5.4405751000000002</v>
      </c>
      <c r="AA72" s="5">
        <f t="shared" si="77"/>
        <v>-8.7647000000000003E-3</v>
      </c>
      <c r="AB72" s="5">
        <f t="shared" si="77"/>
        <v>-2.6243E-3</v>
      </c>
      <c r="AC72" s="5">
        <f t="shared" si="77"/>
        <v>-1.8565000000000001E-3</v>
      </c>
      <c r="AD72" s="5">
        <f t="shared" si="77"/>
        <v>-2.8554599999999999E-2</v>
      </c>
      <c r="AE72" s="5">
        <f t="shared" si="78"/>
        <v>-1.8420499999999951E-2</v>
      </c>
      <c r="AF72" s="5">
        <f t="shared" si="78"/>
        <v>-1.7079000000000955E-3</v>
      </c>
      <c r="AG72" s="5">
        <f t="shared" si="78"/>
        <v>-2.684600000000037E-3</v>
      </c>
      <c r="AH72" s="5">
        <f t="shared" si="78"/>
        <v>-0.27543570000000006</v>
      </c>
      <c r="AI72" s="5">
        <f t="shared" si="80"/>
        <v>1.6867999999999189E-3</v>
      </c>
      <c r="AJ72" s="5">
        <f t="shared" si="81"/>
        <v>4.656000000001527E-4</v>
      </c>
      <c r="AK72" s="5">
        <f t="shared" si="82"/>
        <v>-1.4119999999999064E-4</v>
      </c>
      <c r="AL72" s="5">
        <f t="shared" si="83"/>
        <v>-5.0043000000000726E-3</v>
      </c>
      <c r="AM72" s="5"/>
      <c r="AN72" s="5"/>
      <c r="AO72" s="5"/>
      <c r="AP72" s="5"/>
      <c r="AQ72" s="5"/>
      <c r="AR72" s="5"/>
      <c r="AS72" s="5"/>
      <c r="AT72" s="5"/>
      <c r="AU72" s="5"/>
      <c r="AV72" s="5">
        <f t="shared" si="84"/>
        <v>2025</v>
      </c>
      <c r="AW72" s="3">
        <f t="shared" si="61"/>
        <v>-0.87958312499267799</v>
      </c>
      <c r="AX72" s="3">
        <f t="shared" si="62"/>
        <v>-0.43239468825853045</v>
      </c>
      <c r="AY72" s="3">
        <f t="shared" si="63"/>
        <v>-0.82075419522495285</v>
      </c>
      <c r="AZ72" s="3">
        <f t="shared" si="64"/>
        <v>-5.287183491314142</v>
      </c>
      <c r="BA72" s="3">
        <f t="shared" si="65"/>
        <v>-0.82500634000534745</v>
      </c>
      <c r="BB72" s="3">
        <f t="shared" si="66"/>
        <v>-0.38592338802926279</v>
      </c>
      <c r="BC72" s="3">
        <f t="shared" si="67"/>
        <v>-0.84627455204725466</v>
      </c>
      <c r="BD72" s="3">
        <f t="shared" si="68"/>
        <v>-5.374221309118143</v>
      </c>
      <c r="BE72" s="3">
        <f t="shared" si="69"/>
        <v>-0.54142254383598676</v>
      </c>
      <c r="BF72" s="3">
        <f t="shared" si="70"/>
        <v>-0.123993333923532</v>
      </c>
      <c r="BG72" s="3">
        <f t="shared" si="71"/>
        <v>-0.510732466773831</v>
      </c>
      <c r="BH72" s="3">
        <f t="shared" si="72"/>
        <v>-4.8775824041232241</v>
      </c>
      <c r="BI72" s="3">
        <f t="shared" si="73"/>
        <v>-0.59599932882331608</v>
      </c>
      <c r="BJ72" s="3">
        <f t="shared" si="74"/>
        <v>-0.17046463415280208</v>
      </c>
      <c r="BK72" s="3">
        <f t="shared" si="75"/>
        <v>-0.48521210995153602</v>
      </c>
      <c r="BL72" s="3">
        <f t="shared" si="76"/>
        <v>-4.7905445863192169</v>
      </c>
      <c r="BM72" s="2">
        <v>0</v>
      </c>
    </row>
    <row r="73" spans="1:65" x14ac:dyDescent="0.35">
      <c r="A73">
        <f t="shared" si="79"/>
        <v>70</v>
      </c>
      <c r="B73">
        <v>9.6039000000000003E-3</v>
      </c>
      <c r="C73">
        <v>2.9658000000000002E-3</v>
      </c>
      <c r="D73">
        <v>1.6819999999999999E-3</v>
      </c>
      <c r="E73">
        <v>2.9874399999999999E-2</v>
      </c>
      <c r="F73">
        <v>1.2439E-3</v>
      </c>
      <c r="G73">
        <v>5.4149999999999999E-4</v>
      </c>
      <c r="H73">
        <v>1.5769E-3</v>
      </c>
      <c r="I73">
        <v>2.2317000000000001E-3</v>
      </c>
      <c r="J73">
        <v>3.0749323</v>
      </c>
      <c r="K73">
        <v>0.99708479999999999</v>
      </c>
      <c r="L73">
        <v>0.5507436</v>
      </c>
      <c r="M73">
        <v>5.7030146000000004</v>
      </c>
      <c r="N73">
        <v>3.0555786</v>
      </c>
      <c r="O73">
        <v>0.99478080000000002</v>
      </c>
      <c r="P73">
        <v>0.54648799999999997</v>
      </c>
      <c r="Q73">
        <v>5.4339997999999996</v>
      </c>
      <c r="R73">
        <v>3.0906913999999999</v>
      </c>
      <c r="S73">
        <v>1.0019087</v>
      </c>
      <c r="T73">
        <v>0.55328379999999999</v>
      </c>
      <c r="U73">
        <v>5.7495697000000003</v>
      </c>
      <c r="V73">
        <v>3.0646353999999998</v>
      </c>
      <c r="W73">
        <v>0.99763809999999997</v>
      </c>
      <c r="X73">
        <v>0.5487862</v>
      </c>
      <c r="Y73">
        <v>5.4480585000000001</v>
      </c>
      <c r="AA73" s="5">
        <f t="shared" si="77"/>
        <v>-8.3599999999999994E-3</v>
      </c>
      <c r="AB73" s="5">
        <f t="shared" si="77"/>
        <v>-2.4243000000000003E-3</v>
      </c>
      <c r="AC73" s="5">
        <f t="shared" si="77"/>
        <v>-1.050999999999999E-4</v>
      </c>
      <c r="AD73" s="5">
        <f t="shared" si="77"/>
        <v>-2.7642699999999999E-2</v>
      </c>
      <c r="AE73" s="5">
        <f t="shared" si="78"/>
        <v>-1.9353699999999918E-2</v>
      </c>
      <c r="AF73" s="5">
        <f t="shared" si="78"/>
        <v>-2.3039999999999727E-3</v>
      </c>
      <c r="AG73" s="5">
        <f t="shared" si="78"/>
        <v>-4.255600000000026E-3</v>
      </c>
      <c r="AH73" s="5">
        <f t="shared" si="78"/>
        <v>-0.26901480000000078</v>
      </c>
      <c r="AI73" s="5">
        <f t="shared" si="80"/>
        <v>1.6576999999998385E-3</v>
      </c>
      <c r="AJ73" s="5">
        <f t="shared" si="81"/>
        <v>4.5769999999996022E-4</v>
      </c>
      <c r="AK73" s="5">
        <f t="shared" si="82"/>
        <v>-1.3689999999996413E-4</v>
      </c>
      <c r="AL73" s="5">
        <f t="shared" si="83"/>
        <v>-4.8536999999994057E-3</v>
      </c>
      <c r="AM73" s="5"/>
      <c r="AN73" s="5"/>
      <c r="AO73" s="5"/>
      <c r="AP73" s="5"/>
      <c r="AQ73" s="5"/>
      <c r="AR73" s="5"/>
      <c r="AS73" s="5"/>
      <c r="AT73" s="5"/>
      <c r="AU73" s="5"/>
      <c r="AV73" s="5">
        <f t="shared" si="84"/>
        <v>2025.25</v>
      </c>
      <c r="AW73" s="3">
        <f t="shared" si="61"/>
        <v>-0.89668285872863007</v>
      </c>
      <c r="AX73" s="3">
        <f t="shared" si="62"/>
        <v>-0.47192922868121356</v>
      </c>
      <c r="AY73" s="3">
        <f t="shared" si="63"/>
        <v>-0.78814886682025143</v>
      </c>
      <c r="AZ73" s="3">
        <f t="shared" si="64"/>
        <v>-5.1596469906261122</v>
      </c>
      <c r="BA73" s="3">
        <f t="shared" si="65"/>
        <v>-0.84304761064142741</v>
      </c>
      <c r="BB73" s="3">
        <f t="shared" si="66"/>
        <v>-0.42624642345155933</v>
      </c>
      <c r="BC73" s="3">
        <f t="shared" si="67"/>
        <v>-0.81289204563733664</v>
      </c>
      <c r="BD73" s="3">
        <f t="shared" si="68"/>
        <v>-5.2440654819785939</v>
      </c>
      <c r="BE73" s="3">
        <f t="shared" si="69"/>
        <v>-0.57255797197998914</v>
      </c>
      <c r="BF73" s="3">
        <f t="shared" si="70"/>
        <v>-0.18427826806973205</v>
      </c>
      <c r="BG73" s="3">
        <f t="shared" si="71"/>
        <v>-0.79389636927739826</v>
      </c>
      <c r="BH73" s="3">
        <f t="shared" si="72"/>
        <v>-4.7632868943218449</v>
      </c>
      <c r="BI73" s="3">
        <f t="shared" si="73"/>
        <v>-0.62619322006719658</v>
      </c>
      <c r="BJ73" s="3">
        <f t="shared" si="74"/>
        <v>-0.22996107329939075</v>
      </c>
      <c r="BK73" s="3">
        <f t="shared" si="75"/>
        <v>-0.76915319046030739</v>
      </c>
      <c r="BL73" s="3">
        <f t="shared" si="76"/>
        <v>-4.6788684029693695</v>
      </c>
      <c r="BM73" s="2">
        <v>0</v>
      </c>
    </row>
    <row r="74" spans="1:65" x14ac:dyDescent="0.35">
      <c r="A74">
        <f t="shared" si="79"/>
        <v>71</v>
      </c>
      <c r="B74">
        <v>9.5332999999999998E-3</v>
      </c>
      <c r="C74">
        <v>2.9371000000000002E-3</v>
      </c>
      <c r="D74">
        <v>1.6409E-3</v>
      </c>
      <c r="E74">
        <v>2.9307E-2</v>
      </c>
      <c r="F74">
        <v>1.47E-3</v>
      </c>
      <c r="G74">
        <v>6.4510000000000001E-4</v>
      </c>
      <c r="H74">
        <v>1.683E-3</v>
      </c>
      <c r="I74">
        <v>2.7068999999999999E-3</v>
      </c>
      <c r="J74">
        <v>3.0750582999999998</v>
      </c>
      <c r="K74">
        <v>0.99713269999999998</v>
      </c>
      <c r="L74">
        <v>0.55080819999999997</v>
      </c>
      <c r="M74">
        <v>5.7040658999999998</v>
      </c>
      <c r="N74">
        <v>3.0559268999999998</v>
      </c>
      <c r="O74">
        <v>0.9948224</v>
      </c>
      <c r="P74">
        <v>0.54629450000000002</v>
      </c>
      <c r="Q74">
        <v>5.4407639999999997</v>
      </c>
      <c r="R74">
        <v>3.0906913999999999</v>
      </c>
      <c r="S74">
        <v>1.0019087</v>
      </c>
      <c r="T74">
        <v>0.55328379999999999</v>
      </c>
      <c r="U74">
        <v>5.7495697000000003</v>
      </c>
      <c r="V74">
        <v>3.0651253999999999</v>
      </c>
      <c r="W74">
        <v>0.99775619999999998</v>
      </c>
      <c r="X74">
        <v>0.54868159999999999</v>
      </c>
      <c r="Y74">
        <v>5.4549624999999997</v>
      </c>
      <c r="AA74" s="5">
        <f t="shared" si="77"/>
        <v>-8.0632999999999989E-3</v>
      </c>
      <c r="AB74" s="5">
        <f t="shared" si="77"/>
        <v>-2.2920000000000002E-3</v>
      </c>
      <c r="AC74" s="5">
        <f t="shared" si="77"/>
        <v>4.2099999999999993E-5</v>
      </c>
      <c r="AD74" s="5">
        <f t="shared" si="77"/>
        <v>-2.6600100000000002E-2</v>
      </c>
      <c r="AE74" s="5">
        <f t="shared" si="78"/>
        <v>-1.9131400000000021E-2</v>
      </c>
      <c r="AF74" s="5">
        <f t="shared" si="78"/>
        <v>-2.3102999999999874E-3</v>
      </c>
      <c r="AG74" s="5">
        <f t="shared" si="78"/>
        <v>-4.5136999999999539E-3</v>
      </c>
      <c r="AH74" s="5">
        <f t="shared" si="78"/>
        <v>-0.26330190000000009</v>
      </c>
      <c r="AI74" s="5">
        <f t="shared" si="80"/>
        <v>1.6287000000000419E-3</v>
      </c>
      <c r="AJ74" s="5">
        <f t="shared" si="81"/>
        <v>4.4979999999998459E-4</v>
      </c>
      <c r="AK74" s="5">
        <f t="shared" si="82"/>
        <v>-1.3060000000004665E-4</v>
      </c>
      <c r="AL74" s="5">
        <f t="shared" si="83"/>
        <v>-4.7052000000005201E-3</v>
      </c>
      <c r="AM74" s="5"/>
      <c r="AN74" s="5"/>
      <c r="AO74" s="5"/>
      <c r="AP74" s="5"/>
      <c r="AQ74" s="5"/>
      <c r="AR74" s="5"/>
      <c r="AS74" s="5"/>
      <c r="AT74" s="5"/>
      <c r="AU74" s="5"/>
      <c r="AV74" s="5">
        <f t="shared" si="84"/>
        <v>2025.5</v>
      </c>
      <c r="AW74" s="3">
        <f t="shared" si="61"/>
        <v>-0.87989049958206833</v>
      </c>
      <c r="AX74" s="3">
        <f t="shared" si="62"/>
        <v>-0.45935323248515442</v>
      </c>
      <c r="AY74" s="3">
        <f t="shared" si="63"/>
        <v>-0.80819282979186347</v>
      </c>
      <c r="AZ74" s="3">
        <f t="shared" si="64"/>
        <v>-5.042151241335505</v>
      </c>
      <c r="BA74" s="3">
        <f t="shared" si="65"/>
        <v>-0.82719355287299079</v>
      </c>
      <c r="BB74" s="3">
        <f t="shared" si="66"/>
        <v>-0.41445892225509207</v>
      </c>
      <c r="BC74" s="3">
        <f t="shared" si="67"/>
        <v>-0.83179735246179276</v>
      </c>
      <c r="BD74" s="3">
        <f t="shared" si="68"/>
        <v>-5.1239869307089299</v>
      </c>
      <c r="BE74" s="3">
        <f t="shared" si="69"/>
        <v>-0.56630370796644702</v>
      </c>
      <c r="BF74" s="3">
        <f t="shared" si="70"/>
        <v>-0.18569556287913686</v>
      </c>
      <c r="BG74" s="3">
        <f t="shared" si="71"/>
        <v>-0.83940646735003732</v>
      </c>
      <c r="BH74" s="3">
        <f t="shared" si="72"/>
        <v>-4.6613418739840835</v>
      </c>
      <c r="BI74" s="3">
        <f t="shared" si="73"/>
        <v>-0.6190006546755209</v>
      </c>
      <c r="BJ74" s="3">
        <f t="shared" si="74"/>
        <v>-0.23058987310919524</v>
      </c>
      <c r="BK74" s="3">
        <f t="shared" si="75"/>
        <v>-0.81580194468009981</v>
      </c>
      <c r="BL74" s="3">
        <f t="shared" si="76"/>
        <v>-4.5795061846106515</v>
      </c>
      <c r="BM74" s="2">
        <v>0</v>
      </c>
    </row>
    <row r="75" spans="1:65" x14ac:dyDescent="0.35">
      <c r="A75">
        <f t="shared" si="79"/>
        <v>72</v>
      </c>
      <c r="B75">
        <v>9.4620999999999993E-3</v>
      </c>
      <c r="C75">
        <v>2.9085999999999999E-3</v>
      </c>
      <c r="D75">
        <v>1.6000999999999999E-3</v>
      </c>
      <c r="E75">
        <v>2.8728199999999999E-2</v>
      </c>
      <c r="F75">
        <v>1.6904000000000001E-3</v>
      </c>
      <c r="G75">
        <v>7.425E-4</v>
      </c>
      <c r="H75">
        <v>1.5822E-3</v>
      </c>
      <c r="I75">
        <v>3.1599000000000002E-3</v>
      </c>
      <c r="J75">
        <v>3.0751849999999998</v>
      </c>
      <c r="K75">
        <v>0.99718019999999996</v>
      </c>
      <c r="L75">
        <v>0.55087169999999996</v>
      </c>
      <c r="M75">
        <v>5.7051217000000003</v>
      </c>
      <c r="N75">
        <v>3.0561856999999999</v>
      </c>
      <c r="O75">
        <v>0.99482979999999999</v>
      </c>
      <c r="P75">
        <v>0.54666049999999999</v>
      </c>
      <c r="Q75">
        <v>5.4479559999999996</v>
      </c>
      <c r="R75">
        <v>3.0906913999999999</v>
      </c>
      <c r="S75">
        <v>1.0019087</v>
      </c>
      <c r="T75">
        <v>0.55328379999999999</v>
      </c>
      <c r="U75">
        <v>5.7495697000000003</v>
      </c>
      <c r="V75">
        <v>3.0655209000000001</v>
      </c>
      <c r="W75">
        <v>0.99783429999999995</v>
      </c>
      <c r="X75">
        <v>0.54891970000000001</v>
      </c>
      <c r="Y75">
        <v>5.4622741000000001</v>
      </c>
      <c r="AA75" s="5">
        <f t="shared" si="77"/>
        <v>-7.7716999999999994E-3</v>
      </c>
      <c r="AB75" s="5">
        <f t="shared" si="77"/>
        <v>-2.1660999999999998E-3</v>
      </c>
      <c r="AC75" s="5">
        <f t="shared" si="77"/>
        <v>-1.7899999999999947E-5</v>
      </c>
      <c r="AD75" s="5">
        <f t="shared" si="77"/>
        <v>-2.5568299999999999E-2</v>
      </c>
      <c r="AE75" s="5">
        <f t="shared" si="78"/>
        <v>-1.8999299999999941E-2</v>
      </c>
      <c r="AF75" s="5">
        <f t="shared" si="78"/>
        <v>-2.3503999999999747E-3</v>
      </c>
      <c r="AG75" s="5">
        <f t="shared" si="78"/>
        <v>-4.2111999999999705E-3</v>
      </c>
      <c r="AH75" s="5">
        <f t="shared" si="78"/>
        <v>-0.25716570000000072</v>
      </c>
      <c r="AI75" s="5">
        <f t="shared" si="80"/>
        <v>1.6005000000001782E-3</v>
      </c>
      <c r="AJ75" s="5">
        <f t="shared" si="81"/>
        <v>4.4209999999994098E-4</v>
      </c>
      <c r="AK75" s="5">
        <f t="shared" si="82"/>
        <v>-1.3500000000001185E-4</v>
      </c>
      <c r="AL75" s="5">
        <f t="shared" si="83"/>
        <v>-4.5615999999994994E-3</v>
      </c>
      <c r="AM75" s="5"/>
      <c r="AN75" s="5"/>
      <c r="AO75" s="5"/>
      <c r="AP75" s="5"/>
      <c r="AQ75" s="5"/>
      <c r="AR75" s="5"/>
      <c r="AS75" s="5"/>
      <c r="AT75" s="5"/>
      <c r="AU75" s="5"/>
      <c r="AV75" s="5">
        <f t="shared" si="84"/>
        <v>2025.75</v>
      </c>
      <c r="AW75" s="3">
        <f t="shared" si="61"/>
        <v>-0.86618159289536123</v>
      </c>
      <c r="AX75" s="3">
        <f t="shared" si="62"/>
        <v>-0.4507895779325975</v>
      </c>
      <c r="AY75" s="3">
        <f t="shared" si="63"/>
        <v>-0.76436360507934087</v>
      </c>
      <c r="AZ75" s="3">
        <f t="shared" si="64"/>
        <v>-4.9174810421030406</v>
      </c>
      <c r="BA75" s="3">
        <f t="shared" si="65"/>
        <v>-0.81439706338846263</v>
      </c>
      <c r="BB75" s="3">
        <f t="shared" si="66"/>
        <v>-0.40666380080340991</v>
      </c>
      <c r="BC75" s="3">
        <f t="shared" si="67"/>
        <v>-0.78876337966157362</v>
      </c>
      <c r="BD75" s="3">
        <f t="shared" si="68"/>
        <v>-4.9968191532663777</v>
      </c>
      <c r="BE75" s="3">
        <f t="shared" si="69"/>
        <v>-0.56294200061512467</v>
      </c>
      <c r="BF75" s="3">
        <f t="shared" si="70"/>
        <v>-0.19046645667414347</v>
      </c>
      <c r="BG75" s="3">
        <f t="shared" si="71"/>
        <v>-0.78552815029103817</v>
      </c>
      <c r="BH75" s="3">
        <f t="shared" si="72"/>
        <v>-4.5521197873294836</v>
      </c>
      <c r="BI75" s="3">
        <f t="shared" si="73"/>
        <v>-0.61472653012202849</v>
      </c>
      <c r="BJ75" s="3">
        <f t="shared" si="74"/>
        <v>-0.23459223380333707</v>
      </c>
      <c r="BK75" s="3">
        <f t="shared" si="75"/>
        <v>-0.76112837570880809</v>
      </c>
      <c r="BL75" s="3">
        <f t="shared" si="76"/>
        <v>-4.472781676166143</v>
      </c>
      <c r="BM75" s="2">
        <v>0</v>
      </c>
    </row>
    <row r="76" spans="1:65" x14ac:dyDescent="0.35">
      <c r="A76">
        <f t="shared" si="79"/>
        <v>73</v>
      </c>
      <c r="B76">
        <v>9.3903000000000007E-3</v>
      </c>
      <c r="C76">
        <v>2.8804E-3</v>
      </c>
      <c r="D76">
        <v>1.5596E-3</v>
      </c>
      <c r="E76">
        <v>2.8139399999999998E-2</v>
      </c>
      <c r="F76">
        <v>1.8929000000000001E-3</v>
      </c>
      <c r="G76">
        <v>8.3060000000000002E-4</v>
      </c>
      <c r="H76">
        <v>1.4855000000000001E-3</v>
      </c>
      <c r="I76">
        <v>3.5747999999999999E-3</v>
      </c>
      <c r="J76">
        <v>3.0753124000000001</v>
      </c>
      <c r="K76">
        <v>0.99722739999999999</v>
      </c>
      <c r="L76">
        <v>0.55093409999999998</v>
      </c>
      <c r="M76">
        <v>5.7061795999999996</v>
      </c>
      <c r="N76">
        <v>3.0564561000000001</v>
      </c>
      <c r="O76">
        <v>0.99485800000000002</v>
      </c>
      <c r="P76">
        <v>0.54689699999999997</v>
      </c>
      <c r="Q76">
        <v>5.4547030999999997</v>
      </c>
      <c r="R76">
        <v>3.0906913999999999</v>
      </c>
      <c r="S76">
        <v>1.0019087</v>
      </c>
      <c r="T76">
        <v>0.55328379999999999</v>
      </c>
      <c r="U76">
        <v>5.7495697000000003</v>
      </c>
      <c r="V76">
        <v>3.0659098999999999</v>
      </c>
      <c r="W76">
        <v>0.99792389999999997</v>
      </c>
      <c r="X76">
        <v>0.54904839999999999</v>
      </c>
      <c r="Y76">
        <v>5.4691093000000004</v>
      </c>
      <c r="AA76" s="5">
        <f t="shared" si="77"/>
        <v>-7.4974000000000004E-3</v>
      </c>
      <c r="AB76" s="5">
        <f t="shared" si="77"/>
        <v>-2.0498000000000001E-3</v>
      </c>
      <c r="AC76" s="5">
        <f t="shared" si="77"/>
        <v>-7.4099999999999904E-5</v>
      </c>
      <c r="AD76" s="5">
        <f t="shared" si="77"/>
        <v>-2.4564599999999999E-2</v>
      </c>
      <c r="AE76" s="5">
        <f t="shared" si="78"/>
        <v>-1.8856299999999937E-2</v>
      </c>
      <c r="AF76" s="5">
        <f t="shared" si="78"/>
        <v>-2.369399999999966E-3</v>
      </c>
      <c r="AG76" s="5">
        <f t="shared" si="78"/>
        <v>-4.0371000000000157E-3</v>
      </c>
      <c r="AH76" s="5">
        <f t="shared" si="78"/>
        <v>-0.25147649999999988</v>
      </c>
      <c r="AI76" s="5">
        <f t="shared" si="80"/>
        <v>1.5721999999999264E-3</v>
      </c>
      <c r="AJ76" s="5">
        <f t="shared" si="81"/>
        <v>4.3439999999995548E-4</v>
      </c>
      <c r="AK76" s="5">
        <f t="shared" si="82"/>
        <v>-1.2419999999998491E-4</v>
      </c>
      <c r="AL76" s="5">
        <f t="shared" si="83"/>
        <v>-4.4193000000000704E-3</v>
      </c>
      <c r="AM76" s="5"/>
      <c r="AN76" s="5"/>
      <c r="AO76" s="5"/>
      <c r="AP76" s="5"/>
      <c r="AQ76" s="5"/>
      <c r="AR76" s="5"/>
      <c r="AS76" s="5"/>
      <c r="AT76" s="5"/>
      <c r="AU76" s="5"/>
      <c r="AV76" s="5">
        <f t="shared" si="84"/>
        <v>2026</v>
      </c>
      <c r="AW76" s="3">
        <f t="shared" si="61"/>
        <v>-0.85267975961624443</v>
      </c>
      <c r="AX76" s="3">
        <f t="shared" si="62"/>
        <v>-0.44107811420341653</v>
      </c>
      <c r="AY76" s="3">
        <f t="shared" si="63"/>
        <v>-0.74305446861086755</v>
      </c>
      <c r="AZ76" s="3">
        <f t="shared" si="64"/>
        <v>-4.8010740699430059</v>
      </c>
      <c r="BA76" s="3">
        <f t="shared" si="65"/>
        <v>-0.80181088283353086</v>
      </c>
      <c r="BB76" s="3">
        <f t="shared" si="66"/>
        <v>-0.39772087017509783</v>
      </c>
      <c r="BC76" s="3">
        <f t="shared" si="67"/>
        <v>-0.7655022612265171</v>
      </c>
      <c r="BD76" s="3">
        <f t="shared" si="68"/>
        <v>-4.8779372132839773</v>
      </c>
      <c r="BE76" s="3">
        <f t="shared" si="69"/>
        <v>-0.55923085688852381</v>
      </c>
      <c r="BF76" s="3">
        <f t="shared" si="70"/>
        <v>-0.19313137015378948</v>
      </c>
      <c r="BG76" s="3">
        <f t="shared" si="71"/>
        <v>-0.75210949606694333</v>
      </c>
      <c r="BH76" s="3">
        <f t="shared" si="72"/>
        <v>-4.4506948059086966</v>
      </c>
      <c r="BI76" s="3">
        <f t="shared" si="73"/>
        <v>-0.6100997336712406</v>
      </c>
      <c r="BJ76" s="3">
        <f t="shared" si="74"/>
        <v>-0.23648861418210723</v>
      </c>
      <c r="BK76" s="3">
        <f t="shared" si="75"/>
        <v>-0.72966170345128767</v>
      </c>
      <c r="BL76" s="3">
        <f t="shared" si="76"/>
        <v>-4.3738316625677198</v>
      </c>
      <c r="BM76" s="2">
        <v>0</v>
      </c>
    </row>
    <row r="77" spans="1:65" x14ac:dyDescent="0.35">
      <c r="A77">
        <f t="shared" si="79"/>
        <v>74</v>
      </c>
      <c r="B77">
        <v>9.3179999999999999E-3</v>
      </c>
      <c r="C77">
        <v>2.8522999999999999E-3</v>
      </c>
      <c r="D77">
        <v>1.5196000000000001E-3</v>
      </c>
      <c r="E77">
        <v>2.7542400000000002E-2</v>
      </c>
      <c r="F77">
        <v>2.0741000000000002E-3</v>
      </c>
      <c r="G77">
        <v>9.0819999999999996E-4</v>
      </c>
      <c r="H77">
        <v>1.3956999999999999E-3</v>
      </c>
      <c r="I77">
        <v>3.9490999999999997E-3</v>
      </c>
      <c r="J77">
        <v>3.0754402999999999</v>
      </c>
      <c r="K77">
        <v>0.99727440000000001</v>
      </c>
      <c r="L77">
        <v>0.55099540000000002</v>
      </c>
      <c r="M77">
        <v>5.7072377000000003</v>
      </c>
      <c r="N77">
        <v>3.0567508999999999</v>
      </c>
      <c r="O77">
        <v>0.99487239999999999</v>
      </c>
      <c r="P77">
        <v>0.54716350000000002</v>
      </c>
      <c r="Q77">
        <v>5.4617133999999998</v>
      </c>
      <c r="R77">
        <v>3.0906913999999999</v>
      </c>
      <c r="S77">
        <v>1.0019087</v>
      </c>
      <c r="T77">
        <v>0.55328379999999999</v>
      </c>
      <c r="U77">
        <v>5.7495697000000003</v>
      </c>
      <c r="V77">
        <v>3.0663027</v>
      </c>
      <c r="W77">
        <v>0.99798949999999997</v>
      </c>
      <c r="X77">
        <v>0.5492013</v>
      </c>
      <c r="Y77">
        <v>5.4761712999999999</v>
      </c>
      <c r="AA77" s="5">
        <f t="shared" si="77"/>
        <v>-7.2438999999999993E-3</v>
      </c>
      <c r="AB77" s="5">
        <f t="shared" si="77"/>
        <v>-1.9440999999999998E-3</v>
      </c>
      <c r="AC77" s="5">
        <f t="shared" si="77"/>
        <v>-1.2390000000000014E-4</v>
      </c>
      <c r="AD77" s="5">
        <f t="shared" si="77"/>
        <v>-2.3593300000000001E-2</v>
      </c>
      <c r="AE77" s="5">
        <f t="shared" si="78"/>
        <v>-1.8689399999999967E-2</v>
      </c>
      <c r="AF77" s="5">
        <f t="shared" si="78"/>
        <v>-2.4020000000000152E-3</v>
      </c>
      <c r="AG77" s="5">
        <f t="shared" si="78"/>
        <v>-3.8318999999999992E-3</v>
      </c>
      <c r="AH77" s="5">
        <f t="shared" si="78"/>
        <v>-0.24552430000000047</v>
      </c>
      <c r="AI77" s="5">
        <f t="shared" si="80"/>
        <v>1.5446000000001459E-3</v>
      </c>
      <c r="AJ77" s="5">
        <f t="shared" si="81"/>
        <v>4.2690000000000349E-4</v>
      </c>
      <c r="AK77" s="5">
        <f t="shared" si="82"/>
        <v>-1.2669999999999002E-4</v>
      </c>
      <c r="AL77" s="5">
        <f t="shared" si="83"/>
        <v>-4.280800000000029E-3</v>
      </c>
      <c r="AM77" s="5"/>
      <c r="AN77" s="5"/>
      <c r="AO77" s="5"/>
      <c r="AP77" s="5"/>
      <c r="AQ77" s="5"/>
      <c r="AR77" s="5"/>
      <c r="AS77" s="5"/>
      <c r="AT77" s="5"/>
      <c r="AU77" s="5"/>
      <c r="AV77" s="5">
        <f t="shared" si="84"/>
        <v>2026.25</v>
      </c>
      <c r="AW77" s="3">
        <f t="shared" si="61"/>
        <v>-0.83907762515532813</v>
      </c>
      <c r="AX77" s="3">
        <f t="shared" si="62"/>
        <v>-0.43378204021983391</v>
      </c>
      <c r="AY77" s="3">
        <f t="shared" si="63"/>
        <v>-0.71496761698065237</v>
      </c>
      <c r="AZ77" s="3">
        <f t="shared" si="64"/>
        <v>-4.6806563628579099</v>
      </c>
      <c r="BA77" s="3">
        <f t="shared" si="65"/>
        <v>-0.78910175244282943</v>
      </c>
      <c r="BB77" s="3">
        <f t="shared" si="66"/>
        <v>-0.39117336739365688</v>
      </c>
      <c r="BC77" s="3">
        <f t="shared" si="67"/>
        <v>-0.73786725727375158</v>
      </c>
      <c r="BD77" s="3">
        <f t="shared" si="68"/>
        <v>-4.7551106302790007</v>
      </c>
      <c r="BE77" s="3">
        <f t="shared" si="69"/>
        <v>-0.5547237747514886</v>
      </c>
      <c r="BF77" s="3">
        <f t="shared" si="70"/>
        <v>-0.19713373084793129</v>
      </c>
      <c r="BG77" s="3">
        <f t="shared" si="71"/>
        <v>-0.71547368637940134</v>
      </c>
      <c r="BH77" s="3">
        <f t="shared" si="72"/>
        <v>-4.3447616610335302</v>
      </c>
      <c r="BI77" s="3">
        <f t="shared" si="73"/>
        <v>-0.60469964746399352</v>
      </c>
      <c r="BJ77" s="3">
        <f t="shared" si="74"/>
        <v>-0.23974240367410876</v>
      </c>
      <c r="BK77" s="3">
        <f t="shared" si="75"/>
        <v>-0.69257404608629414</v>
      </c>
      <c r="BL77" s="3">
        <f t="shared" si="76"/>
        <v>-4.2703073936124376</v>
      </c>
      <c r="BM77" s="2">
        <v>0</v>
      </c>
    </row>
    <row r="78" spans="1:65" x14ac:dyDescent="0.35">
      <c r="A78">
        <f t="shared" si="79"/>
        <v>75</v>
      </c>
      <c r="B78">
        <v>9.2450999999999992E-3</v>
      </c>
      <c r="C78">
        <v>2.8243999999999999E-3</v>
      </c>
      <c r="D78">
        <v>1.4801E-3</v>
      </c>
      <c r="E78">
        <v>2.69386E-2</v>
      </c>
      <c r="F78">
        <v>2.2371000000000001E-3</v>
      </c>
      <c r="G78">
        <v>9.7710000000000006E-4</v>
      </c>
      <c r="H78">
        <v>1.3286999999999999E-3</v>
      </c>
      <c r="I78">
        <v>4.2913999999999999E-3</v>
      </c>
      <c r="J78">
        <v>3.0755688999999999</v>
      </c>
      <c r="K78">
        <v>0.99732100000000001</v>
      </c>
      <c r="L78">
        <v>0.55105550000000003</v>
      </c>
      <c r="M78">
        <v>5.7082939000000001</v>
      </c>
      <c r="N78">
        <v>3.0570887</v>
      </c>
      <c r="O78">
        <v>0.99493050000000005</v>
      </c>
      <c r="P78">
        <v>0.54723960000000005</v>
      </c>
      <c r="Q78">
        <v>5.4687492000000004</v>
      </c>
      <c r="R78">
        <v>3.0906913999999999</v>
      </c>
      <c r="S78">
        <v>1.0019087</v>
      </c>
      <c r="T78">
        <v>0.55328379999999999</v>
      </c>
      <c r="U78">
        <v>5.7495697000000003</v>
      </c>
      <c r="V78">
        <v>3.0667205000000002</v>
      </c>
      <c r="W78">
        <v>0.99809020000000004</v>
      </c>
      <c r="X78">
        <v>0.54919249999999997</v>
      </c>
      <c r="Y78">
        <v>5.4832318999999998</v>
      </c>
      <c r="AA78" s="5">
        <f t="shared" si="77"/>
        <v>-7.0079999999999986E-3</v>
      </c>
      <c r="AB78" s="5">
        <f t="shared" si="77"/>
        <v>-1.8472999999999999E-3</v>
      </c>
      <c r="AC78" s="5">
        <f t="shared" si="77"/>
        <v>-1.514000000000001E-4</v>
      </c>
      <c r="AD78" s="5">
        <f t="shared" si="77"/>
        <v>-2.2647199999999999E-2</v>
      </c>
      <c r="AE78" s="5">
        <f t="shared" si="78"/>
        <v>-1.8480199999999947E-2</v>
      </c>
      <c r="AF78" s="5">
        <f t="shared" si="78"/>
        <v>-2.3904999999999621E-3</v>
      </c>
      <c r="AG78" s="5">
        <f t="shared" si="78"/>
        <v>-3.8158999999999832E-3</v>
      </c>
      <c r="AH78" s="5">
        <f t="shared" si="78"/>
        <v>-0.23954469999999972</v>
      </c>
      <c r="AI78" s="5">
        <f t="shared" si="80"/>
        <v>1.5173000000002629E-3</v>
      </c>
      <c r="AJ78" s="5">
        <f t="shared" si="81"/>
        <v>4.193000000000148E-4</v>
      </c>
      <c r="AK78" s="5">
        <f t="shared" si="82"/>
        <v>-1.2400000000003641E-4</v>
      </c>
      <c r="AL78" s="5">
        <f t="shared" si="83"/>
        <v>-4.1459000000008128E-3</v>
      </c>
      <c r="AM78" s="5"/>
      <c r="AN78" s="5"/>
      <c r="AO78" s="5"/>
      <c r="AP78" s="5"/>
      <c r="AQ78" s="5"/>
      <c r="AR78" s="5"/>
      <c r="AS78" s="5"/>
      <c r="AT78" s="5"/>
      <c r="AU78" s="5"/>
      <c r="AV78" s="5">
        <f t="shared" si="84"/>
        <v>2026.5</v>
      </c>
      <c r="AW78" s="3">
        <f t="shared" si="61"/>
        <v>-0.82467631676200182</v>
      </c>
      <c r="AX78" s="3">
        <f t="shared" si="62"/>
        <v>-0.42297267206083367</v>
      </c>
      <c r="AY78" s="3">
        <f t="shared" si="63"/>
        <v>-0.71704611629691373</v>
      </c>
      <c r="AZ78" s="3">
        <f t="shared" si="64"/>
        <v>-4.5602003920397678</v>
      </c>
      <c r="BA78" s="3">
        <f t="shared" si="65"/>
        <v>-0.77558374155374055</v>
      </c>
      <c r="BB78" s="3">
        <f t="shared" si="66"/>
        <v>-0.38112255138616391</v>
      </c>
      <c r="BC78" s="3">
        <f t="shared" si="67"/>
        <v>-0.73945776109837669</v>
      </c>
      <c r="BD78" s="3">
        <f t="shared" si="68"/>
        <v>-4.6323083969223031</v>
      </c>
      <c r="BE78" s="3">
        <f t="shared" si="69"/>
        <v>-0.54883836024521182</v>
      </c>
      <c r="BF78" s="3">
        <f t="shared" si="70"/>
        <v>-0.19674447382280949</v>
      </c>
      <c r="BG78" s="3">
        <f t="shared" si="71"/>
        <v>-0.71209386575207811</v>
      </c>
      <c r="BH78" s="3">
        <f t="shared" si="72"/>
        <v>-4.2384145721374722</v>
      </c>
      <c r="BI78" s="3">
        <f t="shared" si="73"/>
        <v>-0.59793093545346998</v>
      </c>
      <c r="BJ78" s="3">
        <f t="shared" si="74"/>
        <v>-0.23859459449747888</v>
      </c>
      <c r="BK78" s="3">
        <f t="shared" si="75"/>
        <v>-0.68968222095061937</v>
      </c>
      <c r="BL78" s="3">
        <f t="shared" si="76"/>
        <v>-4.1663065672549324</v>
      </c>
      <c r="BM78" s="2">
        <v>0</v>
      </c>
    </row>
    <row r="79" spans="1:65" x14ac:dyDescent="0.35">
      <c r="A79">
        <f t="shared" si="79"/>
        <v>76</v>
      </c>
      <c r="B79">
        <v>9.1716999999999996E-3</v>
      </c>
      <c r="C79">
        <v>2.7967000000000001E-3</v>
      </c>
      <c r="D79">
        <v>1.4411999999999999E-3</v>
      </c>
      <c r="E79">
        <v>2.6329600000000002E-2</v>
      </c>
      <c r="F79">
        <v>2.3850999999999998E-3</v>
      </c>
      <c r="G79">
        <v>1.0388000000000001E-3</v>
      </c>
      <c r="H79">
        <v>1.2772E-3</v>
      </c>
      <c r="I79">
        <v>4.6077000000000002E-3</v>
      </c>
      <c r="J79">
        <v>3.075698</v>
      </c>
      <c r="K79">
        <v>0.99736740000000002</v>
      </c>
      <c r="L79">
        <v>0.55111429999999995</v>
      </c>
      <c r="M79">
        <v>5.7093463</v>
      </c>
      <c r="N79">
        <v>3.0574135999999998</v>
      </c>
      <c r="O79">
        <v>0.99497849999999999</v>
      </c>
      <c r="P79">
        <v>0.5474367</v>
      </c>
      <c r="Q79">
        <v>5.4756179999999999</v>
      </c>
      <c r="R79">
        <v>3.0906913999999999</v>
      </c>
      <c r="S79">
        <v>1.0019087</v>
      </c>
      <c r="T79">
        <v>0.55328379999999999</v>
      </c>
      <c r="U79">
        <v>5.7495697000000003</v>
      </c>
      <c r="V79">
        <v>3.0671107000000002</v>
      </c>
      <c r="W79">
        <v>0.99817389999999995</v>
      </c>
      <c r="X79">
        <v>0.54932170000000002</v>
      </c>
      <c r="Y79">
        <v>5.4901048000000001</v>
      </c>
      <c r="AA79" s="5">
        <f t="shared" si="77"/>
        <v>-6.7866000000000003E-3</v>
      </c>
      <c r="AB79" s="5">
        <f t="shared" si="77"/>
        <v>-1.7579E-3</v>
      </c>
      <c r="AC79" s="5">
        <f t="shared" si="77"/>
        <v>-1.6399999999999987E-4</v>
      </c>
      <c r="AD79" s="5">
        <f t="shared" si="77"/>
        <v>-2.1721900000000002E-2</v>
      </c>
      <c r="AE79" s="5">
        <f t="shared" si="78"/>
        <v>-1.82844000000002E-2</v>
      </c>
      <c r="AF79" s="5">
        <f t="shared" si="78"/>
        <v>-2.3889000000000271E-3</v>
      </c>
      <c r="AG79" s="5">
        <f t="shared" si="78"/>
        <v>-3.6775999999999476E-3</v>
      </c>
      <c r="AH79" s="5">
        <f t="shared" si="78"/>
        <v>-0.23372830000000011</v>
      </c>
      <c r="AI79" s="5">
        <f t="shared" si="80"/>
        <v>1.4903000000005238E-3</v>
      </c>
      <c r="AJ79" s="5">
        <f t="shared" si="81"/>
        <v>4.1199999999998876E-4</v>
      </c>
      <c r="AK79" s="5">
        <f t="shared" si="82"/>
        <v>-1.2050000000002076E-4</v>
      </c>
      <c r="AL79" s="5">
        <f t="shared" si="83"/>
        <v>-4.0147000000000932E-3</v>
      </c>
      <c r="AM79" s="5"/>
      <c r="AN79" s="5"/>
      <c r="AO79" s="5"/>
      <c r="AP79" s="5"/>
      <c r="AQ79" s="5"/>
      <c r="AR79" s="5"/>
      <c r="AS79" s="5"/>
      <c r="AT79" s="5"/>
      <c r="AU79" s="5"/>
      <c r="AV79" s="5">
        <f t="shared" si="84"/>
        <v>2026.75</v>
      </c>
      <c r="AW79" s="3">
        <f t="shared" si="61"/>
        <v>-0.81117771900488678</v>
      </c>
      <c r="AX79" s="3">
        <f t="shared" si="62"/>
        <v>-0.41389000814146309</v>
      </c>
      <c r="AY79" s="3">
        <f t="shared" si="63"/>
        <v>-0.69432721507478579</v>
      </c>
      <c r="AZ79" s="3">
        <f t="shared" si="64"/>
        <v>-4.4429446607108716</v>
      </c>
      <c r="BA79" s="3">
        <f t="shared" si="65"/>
        <v>-0.76295873473487774</v>
      </c>
      <c r="BB79" s="3">
        <f t="shared" si="66"/>
        <v>-0.3727684967702185</v>
      </c>
      <c r="BC79" s="3">
        <f t="shared" si="67"/>
        <v>-0.71610627312781772</v>
      </c>
      <c r="BD79" s="3">
        <f t="shared" si="68"/>
        <v>-4.5127707556967298</v>
      </c>
      <c r="BE79" s="3">
        <f t="shared" si="69"/>
        <v>-0.54337679912008729</v>
      </c>
      <c r="BF79" s="3">
        <f t="shared" si="70"/>
        <v>-0.19731338793645162</v>
      </c>
      <c r="BG79" s="3">
        <f t="shared" si="71"/>
        <v>-0.68646506548717234</v>
      </c>
      <c r="BH79" s="3">
        <f t="shared" si="72"/>
        <v>-4.1349703091693977</v>
      </c>
      <c r="BI79" s="3">
        <f t="shared" si="73"/>
        <v>-0.591595783390092</v>
      </c>
      <c r="BJ79" s="3">
        <f t="shared" si="74"/>
        <v>-0.2384348993076941</v>
      </c>
      <c r="BK79" s="3">
        <f t="shared" si="75"/>
        <v>-0.66468600743414996</v>
      </c>
      <c r="BL79" s="3">
        <f t="shared" si="76"/>
        <v>-4.065144214183543</v>
      </c>
      <c r="BM79" s="2">
        <v>0</v>
      </c>
    </row>
    <row r="80" spans="1:65" x14ac:dyDescent="0.35">
      <c r="A80">
        <f t="shared" si="79"/>
        <v>77</v>
      </c>
      <c r="B80">
        <v>9.0979000000000008E-3</v>
      </c>
      <c r="C80">
        <v>2.7691999999999999E-3</v>
      </c>
      <c r="D80">
        <v>1.4028999999999999E-3</v>
      </c>
      <c r="E80">
        <v>2.5716800000000001E-2</v>
      </c>
      <c r="F80">
        <v>2.5209999999999998E-3</v>
      </c>
      <c r="G80">
        <v>1.0947000000000001E-3</v>
      </c>
      <c r="H80">
        <v>1.2413999999999999E-3</v>
      </c>
      <c r="I80">
        <v>4.9042000000000001E-3</v>
      </c>
      <c r="J80">
        <v>3.0758276000000002</v>
      </c>
      <c r="K80">
        <v>0.99741360000000001</v>
      </c>
      <c r="L80">
        <v>0.55117179999999999</v>
      </c>
      <c r="M80">
        <v>5.7103932999999998</v>
      </c>
      <c r="N80">
        <v>3.0577496000000002</v>
      </c>
      <c r="O80">
        <v>0.99502809999999997</v>
      </c>
      <c r="P80">
        <v>0.54737380000000002</v>
      </c>
      <c r="Q80">
        <v>5.4822329999999999</v>
      </c>
      <c r="R80">
        <v>3.0906913999999999</v>
      </c>
      <c r="S80">
        <v>1.0019087</v>
      </c>
      <c r="T80">
        <v>0.55328379999999999</v>
      </c>
      <c r="U80">
        <v>5.7495697000000003</v>
      </c>
      <c r="V80">
        <v>3.0675005</v>
      </c>
      <c r="W80">
        <v>0.99825359999999996</v>
      </c>
      <c r="X80">
        <v>0.54920559999999996</v>
      </c>
      <c r="Y80">
        <v>5.4967097000000003</v>
      </c>
      <c r="AA80" s="5">
        <f t="shared" si="77"/>
        <v>-6.576900000000001E-3</v>
      </c>
      <c r="AB80" s="5">
        <f t="shared" si="77"/>
        <v>-1.6744999999999998E-3</v>
      </c>
      <c r="AC80" s="5">
        <f t="shared" si="77"/>
        <v>-1.6149999999999997E-4</v>
      </c>
      <c r="AD80" s="5">
        <f t="shared" si="77"/>
        <v>-2.0812600000000001E-2</v>
      </c>
      <c r="AE80" s="5">
        <f t="shared" si="78"/>
        <v>-1.8078000000000038E-2</v>
      </c>
      <c r="AF80" s="5">
        <f t="shared" si="78"/>
        <v>-2.3855000000000404E-3</v>
      </c>
      <c r="AG80" s="5">
        <f t="shared" si="78"/>
        <v>-3.7979999999999681E-3</v>
      </c>
      <c r="AH80" s="5">
        <f t="shared" si="78"/>
        <v>-0.22816029999999987</v>
      </c>
      <c r="AI80" s="5">
        <f t="shared" si="80"/>
        <v>1.4640000000001353E-3</v>
      </c>
      <c r="AJ80" s="5">
        <f t="shared" si="81"/>
        <v>4.0490000000001792E-4</v>
      </c>
      <c r="AK80" s="5">
        <f t="shared" si="82"/>
        <v>-1.1870000000006355E-4</v>
      </c>
      <c r="AL80" s="5">
        <f t="shared" si="83"/>
        <v>-3.8871000000001987E-3</v>
      </c>
      <c r="AM80" s="5"/>
      <c r="AN80" s="5"/>
      <c r="AO80" s="5"/>
      <c r="AP80" s="5"/>
      <c r="AQ80" s="5"/>
      <c r="AR80" s="5"/>
      <c r="AS80" s="5"/>
      <c r="AT80" s="5"/>
      <c r="AU80" s="5"/>
      <c r="AV80" s="5">
        <f t="shared" si="84"/>
        <v>2027</v>
      </c>
      <c r="AW80" s="3">
        <f t="shared" si="61"/>
        <v>-0.79771471198968746</v>
      </c>
      <c r="AX80" s="3">
        <f t="shared" si="62"/>
        <v>-0.40522654409528935</v>
      </c>
      <c r="AY80" s="3">
        <f t="shared" si="63"/>
        <v>-0.71563635154327099</v>
      </c>
      <c r="AZ80" s="3">
        <f t="shared" si="64"/>
        <v>-4.3302875343871365</v>
      </c>
      <c r="BA80" s="3">
        <f t="shared" si="65"/>
        <v>-0.75034667000399669</v>
      </c>
      <c r="BB80" s="3">
        <f t="shared" si="66"/>
        <v>-0.36481368012874049</v>
      </c>
      <c r="BC80" s="3">
        <f t="shared" si="67"/>
        <v>-0.73709007926854753</v>
      </c>
      <c r="BD80" s="3">
        <f t="shared" si="68"/>
        <v>-4.397894332857641</v>
      </c>
      <c r="BE80" s="3">
        <f t="shared" si="69"/>
        <v>-0.53754962400968553</v>
      </c>
      <c r="BF80" s="3">
        <f t="shared" si="70"/>
        <v>-0.19768268306283787</v>
      </c>
      <c r="BG80" s="3">
        <f t="shared" si="71"/>
        <v>-0.70790071930535381</v>
      </c>
      <c r="BH80" s="3">
        <f t="shared" si="72"/>
        <v>-4.0359089828931003</v>
      </c>
      <c r="BI80" s="3">
        <f t="shared" si="73"/>
        <v>-0.58491766599538342</v>
      </c>
      <c r="BJ80" s="3">
        <f t="shared" si="74"/>
        <v>-0.23809554702938904</v>
      </c>
      <c r="BK80" s="3">
        <f t="shared" si="75"/>
        <v>-0.68644699158008382</v>
      </c>
      <c r="BL80" s="3">
        <f t="shared" si="76"/>
        <v>-3.9683021844225985</v>
      </c>
      <c r="BM80" s="2">
        <v>0</v>
      </c>
    </row>
    <row r="81" spans="1:65" x14ac:dyDescent="0.35">
      <c r="A81">
        <f t="shared" si="79"/>
        <v>78</v>
      </c>
      <c r="B81">
        <v>9.0235000000000003E-3</v>
      </c>
      <c r="C81">
        <v>2.7418E-3</v>
      </c>
      <c r="D81">
        <v>1.3653000000000001E-3</v>
      </c>
      <c r="E81">
        <v>2.5101700000000001E-2</v>
      </c>
      <c r="F81">
        <v>2.6467000000000001E-3</v>
      </c>
      <c r="G81">
        <v>1.1458E-3</v>
      </c>
      <c r="H81">
        <v>1.2132E-3</v>
      </c>
      <c r="I81">
        <v>5.1839E-3</v>
      </c>
      <c r="J81">
        <v>3.0759577</v>
      </c>
      <c r="K81">
        <v>0.99745950000000005</v>
      </c>
      <c r="L81">
        <v>0.55122800000000005</v>
      </c>
      <c r="M81">
        <v>5.7114330999999998</v>
      </c>
      <c r="N81">
        <v>3.0580303</v>
      </c>
      <c r="O81">
        <v>0.99505909999999997</v>
      </c>
      <c r="P81">
        <v>0.54773470000000002</v>
      </c>
      <c r="Q81">
        <v>5.4884199999999996</v>
      </c>
      <c r="R81">
        <v>3.0906913999999999</v>
      </c>
      <c r="S81">
        <v>1.0019087</v>
      </c>
      <c r="T81">
        <v>0.55328379999999999</v>
      </c>
      <c r="U81">
        <v>5.7495697000000003</v>
      </c>
      <c r="V81">
        <v>3.0678252000000001</v>
      </c>
      <c r="W81">
        <v>0.99831009999999998</v>
      </c>
      <c r="X81">
        <v>0.54952520000000005</v>
      </c>
      <c r="Y81">
        <v>5.5028760999999999</v>
      </c>
      <c r="AA81" s="5">
        <f t="shared" si="77"/>
        <v>-6.3768000000000002E-3</v>
      </c>
      <c r="AB81" s="5">
        <f t="shared" si="77"/>
        <v>-1.596E-3</v>
      </c>
      <c r="AC81" s="5">
        <f t="shared" si="77"/>
        <v>-1.5210000000000007E-4</v>
      </c>
      <c r="AD81" s="5">
        <f t="shared" si="77"/>
        <v>-1.9917799999999999E-2</v>
      </c>
      <c r="AE81" s="5">
        <f t="shared" si="78"/>
        <v>-1.7927400000000038E-2</v>
      </c>
      <c r="AF81" s="5">
        <f t="shared" si="78"/>
        <v>-2.4004000000000802E-3</v>
      </c>
      <c r="AG81" s="5">
        <f t="shared" si="78"/>
        <v>-3.4933000000000325E-3</v>
      </c>
      <c r="AH81" s="5">
        <f t="shared" si="78"/>
        <v>-0.22301310000000019</v>
      </c>
      <c r="AI81" s="5">
        <f t="shared" si="80"/>
        <v>1.438000000000314E-3</v>
      </c>
      <c r="AJ81" s="5">
        <f t="shared" si="81"/>
        <v>3.978000000000731E-4</v>
      </c>
      <c r="AK81" s="5">
        <f t="shared" si="82"/>
        <v>-1.1319999999991276E-4</v>
      </c>
      <c r="AL81" s="5">
        <f t="shared" si="83"/>
        <v>-3.7627000000002297E-3</v>
      </c>
      <c r="AM81" s="5"/>
      <c r="AN81" s="5"/>
      <c r="AO81" s="5"/>
      <c r="AP81" s="5"/>
      <c r="AQ81" s="5"/>
      <c r="AR81" s="5"/>
      <c r="AS81" s="5"/>
      <c r="AT81" s="5"/>
      <c r="AU81" s="5"/>
      <c r="AV81" s="5">
        <f t="shared" si="84"/>
        <v>2027.25</v>
      </c>
      <c r="AW81" s="3">
        <f t="shared" si="61"/>
        <v>-0.78636773635828017</v>
      </c>
      <c r="AX81" s="3">
        <f t="shared" si="62"/>
        <v>-0.39887866030109137</v>
      </c>
      <c r="AY81" s="3">
        <f t="shared" si="63"/>
        <v>-0.65886620934862594</v>
      </c>
      <c r="AZ81" s="3">
        <f t="shared" si="64"/>
        <v>-4.2252014094202588</v>
      </c>
      <c r="BA81" s="3">
        <f t="shared" si="65"/>
        <v>-0.73984093009090868</v>
      </c>
      <c r="BB81" s="3">
        <f t="shared" si="66"/>
        <v>-0.35917444373923568</v>
      </c>
      <c r="BC81" s="3">
        <f t="shared" si="67"/>
        <v>-0.67932587218348794</v>
      </c>
      <c r="BD81" s="3">
        <f t="shared" si="68"/>
        <v>-4.2906445677143523</v>
      </c>
      <c r="BE81" s="3">
        <f t="shared" si="69"/>
        <v>-0.53351816360571513</v>
      </c>
      <c r="BF81" s="3">
        <f t="shared" si="70"/>
        <v>-0.19987849192246415</v>
      </c>
      <c r="BG81" s="3">
        <f t="shared" si="71"/>
        <v>-0.6518354594875102</v>
      </c>
      <c r="BH81" s="3">
        <f t="shared" si="72"/>
        <v>-3.9442221215267712</v>
      </c>
      <c r="BI81" s="3">
        <f t="shared" si="73"/>
        <v>-0.58004496987308529</v>
      </c>
      <c r="BJ81" s="3">
        <f t="shared" si="74"/>
        <v>-0.23958270848432403</v>
      </c>
      <c r="BK81" s="3">
        <f t="shared" si="75"/>
        <v>-0.63137579665264598</v>
      </c>
      <c r="BL81" s="3">
        <f t="shared" si="76"/>
        <v>-3.8787789632326777</v>
      </c>
      <c r="BM81" s="2">
        <v>0</v>
      </c>
    </row>
    <row r="82" spans="1:65" x14ac:dyDescent="0.35">
      <c r="A82">
        <f t="shared" si="79"/>
        <v>79</v>
      </c>
      <c r="B82">
        <v>8.9487000000000004E-3</v>
      </c>
      <c r="C82">
        <v>2.7144999999999999E-3</v>
      </c>
      <c r="D82">
        <v>1.3286000000000001E-3</v>
      </c>
      <c r="E82">
        <v>2.44855E-2</v>
      </c>
      <c r="F82">
        <v>2.764E-3</v>
      </c>
      <c r="G82">
        <v>1.1929E-3</v>
      </c>
      <c r="H82">
        <v>1.1983E-3</v>
      </c>
      <c r="I82">
        <v>5.4558999999999996E-3</v>
      </c>
      <c r="J82">
        <v>3.0760881000000002</v>
      </c>
      <c r="K82">
        <v>0.99750510000000003</v>
      </c>
      <c r="L82">
        <v>0.55128290000000002</v>
      </c>
      <c r="M82">
        <v>5.7124642000000003</v>
      </c>
      <c r="N82">
        <v>3.0582954999999998</v>
      </c>
      <c r="O82">
        <v>0.9950831</v>
      </c>
      <c r="P82">
        <v>0.54775750000000001</v>
      </c>
      <c r="Q82">
        <v>5.4946403000000004</v>
      </c>
      <c r="R82">
        <v>3.0906913999999999</v>
      </c>
      <c r="S82">
        <v>1.0019087</v>
      </c>
      <c r="T82">
        <v>0.55328379999999999</v>
      </c>
      <c r="U82">
        <v>5.7495697000000003</v>
      </c>
      <c r="V82">
        <v>3.0681265999999998</v>
      </c>
      <c r="W82">
        <v>0.99835580000000002</v>
      </c>
      <c r="X82">
        <v>0.54951919999999999</v>
      </c>
      <c r="Y82">
        <v>5.5090747000000002</v>
      </c>
      <c r="AA82" s="5">
        <f t="shared" si="77"/>
        <v>-6.1847000000000004E-3</v>
      </c>
      <c r="AB82" s="5">
        <f t="shared" si="77"/>
        <v>-1.5215999999999999E-3</v>
      </c>
      <c r="AC82" s="5">
        <f t="shared" si="77"/>
        <v>-1.3030000000000008E-4</v>
      </c>
      <c r="AD82" s="5">
        <f t="shared" si="77"/>
        <v>-1.9029600000000001E-2</v>
      </c>
      <c r="AE82" s="5">
        <f t="shared" si="78"/>
        <v>-1.779260000000038E-2</v>
      </c>
      <c r="AF82" s="5">
        <f t="shared" si="78"/>
        <v>-2.4220000000000352E-3</v>
      </c>
      <c r="AG82" s="5">
        <f t="shared" si="78"/>
        <v>-3.5254000000000119E-3</v>
      </c>
      <c r="AH82" s="5">
        <f t="shared" si="78"/>
        <v>-0.21782389999999996</v>
      </c>
      <c r="AI82" s="5">
        <f t="shared" si="80"/>
        <v>1.4125000000003302E-3</v>
      </c>
      <c r="AJ82" s="5">
        <f t="shared" si="81"/>
        <v>3.9070000000006495E-4</v>
      </c>
      <c r="AK82" s="5">
        <f t="shared" si="82"/>
        <v>-1.0889999999999511E-4</v>
      </c>
      <c r="AL82" s="5">
        <f t="shared" si="83"/>
        <v>-3.6415000000001585E-3</v>
      </c>
      <c r="AM82" s="5"/>
      <c r="AN82" s="5"/>
      <c r="AO82" s="5"/>
      <c r="AP82" s="5"/>
      <c r="AQ82" s="5"/>
      <c r="AR82" s="5"/>
      <c r="AS82" s="5"/>
      <c r="AT82" s="5"/>
      <c r="AU82" s="5"/>
      <c r="AV82" s="5">
        <f t="shared" si="84"/>
        <v>2027.5</v>
      </c>
      <c r="AW82" s="3">
        <f t="shared" si="61"/>
        <v>-0.77579081496135083</v>
      </c>
      <c r="AX82" s="3">
        <f t="shared" si="62"/>
        <v>-0.39360871903797573</v>
      </c>
      <c r="AY82" s="3">
        <f t="shared" si="63"/>
        <v>-0.66072782177971079</v>
      </c>
      <c r="AZ82" s="3">
        <f t="shared" si="64"/>
        <v>-4.1194995862038155</v>
      </c>
      <c r="BA82" s="3">
        <f t="shared" si="65"/>
        <v>-0.73008906680233598</v>
      </c>
      <c r="BB82" s="3">
        <f t="shared" si="66"/>
        <v>-0.35461314988081949</v>
      </c>
      <c r="BC82" s="3">
        <f t="shared" si="67"/>
        <v>-0.68041030660937607</v>
      </c>
      <c r="BD82" s="3">
        <f t="shared" si="68"/>
        <v>-4.1828347606604392</v>
      </c>
      <c r="BE82" s="3">
        <f t="shared" si="69"/>
        <v>-0.52998173806676785</v>
      </c>
      <c r="BF82" s="3">
        <f t="shared" si="70"/>
        <v>-0.20274302438934388</v>
      </c>
      <c r="BG82" s="3">
        <f t="shared" si="71"/>
        <v>-0.65686000566074398</v>
      </c>
      <c r="BH82" s="3">
        <f t="shared" si="72"/>
        <v>-3.8518604270507488</v>
      </c>
      <c r="BI82" s="3">
        <f t="shared" si="73"/>
        <v>-0.57568348622578047</v>
      </c>
      <c r="BJ82" s="3">
        <f t="shared" si="74"/>
        <v>-0.24173859354650135</v>
      </c>
      <c r="BK82" s="3">
        <f t="shared" si="75"/>
        <v>-0.63717752083108381</v>
      </c>
      <c r="BL82" s="3">
        <f t="shared" si="76"/>
        <v>-3.7885252525941193</v>
      </c>
      <c r="BM82" s="2">
        <v>0</v>
      </c>
    </row>
    <row r="83" spans="1:65" x14ac:dyDescent="0.35">
      <c r="A83">
        <f t="shared" si="79"/>
        <v>80</v>
      </c>
      <c r="B83">
        <v>8.8734E-3</v>
      </c>
      <c r="C83">
        <v>2.6873999999999999E-3</v>
      </c>
      <c r="D83">
        <v>1.2926000000000001E-3</v>
      </c>
      <c r="E83">
        <v>2.3869600000000001E-2</v>
      </c>
      <c r="F83">
        <v>2.8768000000000001E-3</v>
      </c>
      <c r="G83">
        <v>1.2377E-3</v>
      </c>
      <c r="H83">
        <v>1.1895E-3</v>
      </c>
      <c r="I83">
        <v>5.7184000000000002E-3</v>
      </c>
      <c r="J83">
        <v>3.0762187999999999</v>
      </c>
      <c r="K83">
        <v>0.99755059999999995</v>
      </c>
      <c r="L83">
        <v>0.5513363</v>
      </c>
      <c r="M83">
        <v>5.7134853000000003</v>
      </c>
      <c r="N83">
        <v>3.0586150999999999</v>
      </c>
      <c r="O83">
        <v>0.99512279999999997</v>
      </c>
      <c r="P83">
        <v>0.54784670000000002</v>
      </c>
      <c r="Q83">
        <v>5.5006953000000003</v>
      </c>
      <c r="R83">
        <v>3.0906913999999999</v>
      </c>
      <c r="S83">
        <v>1.0019087</v>
      </c>
      <c r="T83">
        <v>0.55328379999999999</v>
      </c>
      <c r="U83">
        <v>5.7495697000000003</v>
      </c>
      <c r="V83">
        <v>3.0684784000000001</v>
      </c>
      <c r="W83">
        <v>0.9984151</v>
      </c>
      <c r="X83">
        <v>0.54958300000000004</v>
      </c>
      <c r="Y83">
        <v>5.5151047000000002</v>
      </c>
      <c r="AA83" s="5">
        <f t="shared" si="77"/>
        <v>-5.9965999999999995E-3</v>
      </c>
      <c r="AB83" s="5">
        <f t="shared" si="77"/>
        <v>-1.4496999999999999E-3</v>
      </c>
      <c r="AC83" s="5">
        <f t="shared" si="77"/>
        <v>-1.0310000000000007E-4</v>
      </c>
      <c r="AD83" s="5">
        <f t="shared" si="77"/>
        <v>-1.8151199999999999E-2</v>
      </c>
      <c r="AE83" s="5">
        <f t="shared" si="78"/>
        <v>-1.76037E-2</v>
      </c>
      <c r="AF83" s="5">
        <f t="shared" si="78"/>
        <v>-2.42779999999998E-3</v>
      </c>
      <c r="AG83" s="5">
        <f t="shared" si="78"/>
        <v>-3.4895999999999816E-3</v>
      </c>
      <c r="AH83" s="5">
        <f t="shared" si="78"/>
        <v>-0.21279000000000003</v>
      </c>
      <c r="AI83" s="5">
        <f t="shared" si="80"/>
        <v>1.3873000000001814E-3</v>
      </c>
      <c r="AJ83" s="5">
        <f t="shared" si="81"/>
        <v>3.8389999999999432E-4</v>
      </c>
      <c r="AK83" s="5">
        <f t="shared" si="82"/>
        <v>-1.080999999999669E-4</v>
      </c>
      <c r="AL83" s="5">
        <f t="shared" si="83"/>
        <v>-3.5238000000001046E-3</v>
      </c>
      <c r="AM83" s="5"/>
      <c r="AN83" s="5"/>
      <c r="AO83" s="5"/>
      <c r="AP83" s="5"/>
      <c r="AQ83" s="5"/>
      <c r="AR83" s="5"/>
      <c r="AS83" s="5"/>
      <c r="AT83" s="5"/>
      <c r="AU83" s="5"/>
      <c r="AV83" s="5">
        <f t="shared" si="84"/>
        <v>2027.75</v>
      </c>
      <c r="AW83" s="3">
        <f t="shared" si="61"/>
        <v>-0.76359289704562539</v>
      </c>
      <c r="AX83" s="3">
        <f t="shared" si="62"/>
        <v>-0.3870113115097194</v>
      </c>
      <c r="AY83" s="3">
        <f t="shared" si="63"/>
        <v>-0.64934126030799777</v>
      </c>
      <c r="AZ83" s="3">
        <f t="shared" si="64"/>
        <v>-4.0166692822247203</v>
      </c>
      <c r="BA83" s="3">
        <f t="shared" si="65"/>
        <v>-0.71870650042899198</v>
      </c>
      <c r="BB83" s="3">
        <f t="shared" si="66"/>
        <v>-0.348694446909183</v>
      </c>
      <c r="BC83" s="3">
        <f t="shared" si="67"/>
        <v>-0.66887915388087427</v>
      </c>
      <c r="BD83" s="3">
        <f t="shared" si="68"/>
        <v>-4.0779573469645936</v>
      </c>
      <c r="BE83" s="3">
        <f t="shared" si="69"/>
        <v>-0.52468518856330326</v>
      </c>
      <c r="BF83" s="3">
        <f t="shared" si="70"/>
        <v>-0.20400062400895286</v>
      </c>
      <c r="BG83" s="3">
        <f t="shared" si="71"/>
        <v>-0.65024495566288509</v>
      </c>
      <c r="BH83" s="3">
        <f t="shared" si="72"/>
        <v>-3.7622606783947674</v>
      </c>
      <c r="BI83" s="3">
        <f t="shared" si="73"/>
        <v>-0.56957158517993745</v>
      </c>
      <c r="BJ83" s="3">
        <f t="shared" si="74"/>
        <v>-0.24231748860948907</v>
      </c>
      <c r="BK83" s="3">
        <f t="shared" si="75"/>
        <v>-0.6307070620900127</v>
      </c>
      <c r="BL83" s="3">
        <f t="shared" si="76"/>
        <v>-3.7009726136548973</v>
      </c>
      <c r="BM83" s="2">
        <v>0</v>
      </c>
    </row>
    <row r="84" spans="1:65" x14ac:dyDescent="0.35">
      <c r="A84">
        <f t="shared" si="79"/>
        <v>81</v>
      </c>
      <c r="B84">
        <v>8.7977999999999997E-3</v>
      </c>
      <c r="C84">
        <v>2.6603999999999998E-3</v>
      </c>
      <c r="D84">
        <v>1.2574999999999999E-3</v>
      </c>
      <c r="E84">
        <v>2.3255100000000001E-2</v>
      </c>
      <c r="F84">
        <v>2.9815000000000002E-3</v>
      </c>
      <c r="G84">
        <v>1.2786E-3</v>
      </c>
      <c r="H84">
        <v>1.1659000000000001E-3</v>
      </c>
      <c r="I84">
        <v>5.9645000000000002E-3</v>
      </c>
      <c r="J84">
        <v>3.0763498999999999</v>
      </c>
      <c r="K84">
        <v>0.99759569999999997</v>
      </c>
      <c r="L84">
        <v>0.5513884</v>
      </c>
      <c r="M84">
        <v>5.7144950999999997</v>
      </c>
      <c r="N84">
        <v>3.0588375999999999</v>
      </c>
      <c r="O84">
        <v>0.99512679999999998</v>
      </c>
      <c r="P84">
        <v>0.54783749999999998</v>
      </c>
      <c r="Q84">
        <v>5.5059167000000002</v>
      </c>
      <c r="R84">
        <v>3.0906913999999999</v>
      </c>
      <c r="S84">
        <v>1.0019087</v>
      </c>
      <c r="T84">
        <v>0.55328379999999999</v>
      </c>
      <c r="U84">
        <v>5.7495697000000003</v>
      </c>
      <c r="V84">
        <v>3.0687256000000001</v>
      </c>
      <c r="W84">
        <v>0.99843530000000003</v>
      </c>
      <c r="X84">
        <v>0.54954020000000003</v>
      </c>
      <c r="Y84">
        <v>5.5202922000000001</v>
      </c>
      <c r="AA84" s="5">
        <f t="shared" si="77"/>
        <v>-5.8162999999999999E-3</v>
      </c>
      <c r="AB84" s="5">
        <f t="shared" si="77"/>
        <v>-1.3817999999999999E-3</v>
      </c>
      <c r="AC84" s="5">
        <f t="shared" si="77"/>
        <v>-9.1599999999999841E-5</v>
      </c>
      <c r="AD84" s="5">
        <f t="shared" si="77"/>
        <v>-1.72906E-2</v>
      </c>
      <c r="AE84" s="5">
        <f t="shared" si="78"/>
        <v>-1.7512299999999925E-2</v>
      </c>
      <c r="AF84" s="5">
        <f t="shared" si="78"/>
        <v>-2.4688999999999961E-3</v>
      </c>
      <c r="AG84" s="5">
        <f t="shared" si="78"/>
        <v>-3.5509000000000235E-3</v>
      </c>
      <c r="AH84" s="5">
        <f t="shared" si="78"/>
        <v>-0.2085783999999995</v>
      </c>
      <c r="AI84" s="5">
        <f t="shared" si="80"/>
        <v>1.3628000000001118E-3</v>
      </c>
      <c r="AJ84" s="5">
        <f t="shared" si="81"/>
        <v>3.7730000000003611E-4</v>
      </c>
      <c r="AK84" s="5">
        <f t="shared" si="82"/>
        <v>-1.0109999999993475E-4</v>
      </c>
      <c r="AL84" s="5">
        <f t="shared" si="83"/>
        <v>-3.4085000000007581E-3</v>
      </c>
      <c r="AM84" s="5"/>
      <c r="AN84" s="5"/>
      <c r="AO84" s="5"/>
      <c r="AP84" s="5"/>
      <c r="AQ84" s="5"/>
      <c r="AR84" s="5"/>
      <c r="AS84" s="5"/>
      <c r="AT84" s="5"/>
      <c r="AU84" s="5"/>
      <c r="AV84" s="5">
        <f t="shared" si="84"/>
        <v>2028</v>
      </c>
      <c r="AW84" s="3">
        <f t="shared" si="61"/>
        <v>-0.75480198378912655</v>
      </c>
      <c r="AX84" s="3">
        <f t="shared" si="62"/>
        <v>-0.38433641708071764</v>
      </c>
      <c r="AY84" s="3">
        <f t="shared" si="63"/>
        <v>-0.65834206604278378</v>
      </c>
      <c r="AZ84" s="3">
        <f t="shared" si="64"/>
        <v>-3.9284505064787627</v>
      </c>
      <c r="BA84" s="3">
        <f t="shared" si="65"/>
        <v>-0.71070829006091696</v>
      </c>
      <c r="BB84" s="3">
        <f t="shared" si="66"/>
        <v>-0.34667829513806597</v>
      </c>
      <c r="BC84" s="3">
        <f t="shared" si="67"/>
        <v>-0.676614786118798</v>
      </c>
      <c r="BD84" s="3">
        <f t="shared" si="68"/>
        <v>-3.9877332037561044</v>
      </c>
      <c r="BE84" s="3">
        <f t="shared" si="69"/>
        <v>-0.52252062434960656</v>
      </c>
      <c r="BF84" s="3">
        <f t="shared" si="70"/>
        <v>-0.20876153685460275</v>
      </c>
      <c r="BG84" s="3">
        <f t="shared" si="71"/>
        <v>-0.66005908721708251</v>
      </c>
      <c r="BH84" s="3">
        <f t="shared" si="72"/>
        <v>-3.6870046118407833</v>
      </c>
      <c r="BI84" s="3">
        <f t="shared" si="73"/>
        <v>-0.56661431807782325</v>
      </c>
      <c r="BJ84" s="3">
        <f t="shared" si="74"/>
        <v>-0.2464196587972533</v>
      </c>
      <c r="BK84" s="3">
        <f t="shared" si="75"/>
        <v>-0.64178636714106274</v>
      </c>
      <c r="BL84" s="3">
        <f t="shared" si="76"/>
        <v>-3.6277219145634407</v>
      </c>
      <c r="BM84" s="2">
        <v>0</v>
      </c>
    </row>
    <row r="85" spans="1:65" x14ac:dyDescent="0.35">
      <c r="A85">
        <f t="shared" si="79"/>
        <v>82</v>
      </c>
      <c r="B85">
        <v>8.7218999999999994E-3</v>
      </c>
      <c r="C85">
        <v>2.6335E-3</v>
      </c>
      <c r="D85">
        <v>1.2233000000000001E-3</v>
      </c>
      <c r="E85">
        <v>2.2643400000000001E-2</v>
      </c>
      <c r="F85">
        <v>3.0801000000000001E-3</v>
      </c>
      <c r="G85">
        <v>1.3166E-3</v>
      </c>
      <c r="H85">
        <v>1.1701999999999999E-3</v>
      </c>
      <c r="I85">
        <v>6.2084000000000002E-3</v>
      </c>
      <c r="J85">
        <v>3.0764811000000001</v>
      </c>
      <c r="K85">
        <v>0.99764070000000005</v>
      </c>
      <c r="L85">
        <v>0.55143909999999996</v>
      </c>
      <c r="M85">
        <v>5.7154923999999996</v>
      </c>
      <c r="N85">
        <v>3.0590082000000001</v>
      </c>
      <c r="O85">
        <v>0.99510869999999996</v>
      </c>
      <c r="P85">
        <v>0.54776789999999997</v>
      </c>
      <c r="Q85">
        <v>5.5110288000000001</v>
      </c>
      <c r="R85">
        <v>3.0906913999999999</v>
      </c>
      <c r="S85">
        <v>1.0019087</v>
      </c>
      <c r="T85">
        <v>0.55328379999999999</v>
      </c>
      <c r="U85">
        <v>5.7495697000000003</v>
      </c>
      <c r="V85">
        <v>3.0689156999999998</v>
      </c>
      <c r="W85">
        <v>0.99843059999999995</v>
      </c>
      <c r="X85">
        <v>0.54945860000000002</v>
      </c>
      <c r="Y85">
        <v>5.5253738999999999</v>
      </c>
      <c r="AA85" s="5">
        <f t="shared" si="77"/>
        <v>-5.6417999999999989E-3</v>
      </c>
      <c r="AB85" s="5">
        <f t="shared" si="77"/>
        <v>-1.3169E-3</v>
      </c>
      <c r="AC85" s="5">
        <f t="shared" si="77"/>
        <v>-5.3100000000000152E-5</v>
      </c>
      <c r="AD85" s="5">
        <f t="shared" si="77"/>
        <v>-1.6435000000000002E-2</v>
      </c>
      <c r="AE85" s="5">
        <f t="shared" si="78"/>
        <v>-1.7472900000000013E-2</v>
      </c>
      <c r="AF85" s="5">
        <f t="shared" si="78"/>
        <v>-2.5320000000000897E-3</v>
      </c>
      <c r="AG85" s="5">
        <f t="shared" si="78"/>
        <v>-3.6711999999999856E-3</v>
      </c>
      <c r="AH85" s="5">
        <f t="shared" si="78"/>
        <v>-0.20446359999999952</v>
      </c>
      <c r="AI85" s="5">
        <f t="shared" si="80"/>
        <v>1.3389999999999479E-3</v>
      </c>
      <c r="AJ85" s="5">
        <f t="shared" si="81"/>
        <v>3.7080000000005043E-4</v>
      </c>
      <c r="AK85" s="5">
        <f t="shared" si="82"/>
        <v>-1.0089999999998711E-4</v>
      </c>
      <c r="AL85" s="5">
        <f t="shared" si="83"/>
        <v>-3.2972000000008606E-3</v>
      </c>
      <c r="AM85" s="5"/>
      <c r="AN85" s="5"/>
      <c r="AO85" s="5"/>
      <c r="AP85" s="5"/>
      <c r="AQ85" s="5"/>
      <c r="AR85" s="5"/>
      <c r="AS85" s="5"/>
      <c r="AT85" s="5"/>
      <c r="AU85" s="5"/>
      <c r="AV85" s="5">
        <f t="shared" si="84"/>
        <v>2028.25</v>
      </c>
      <c r="AW85" s="3">
        <f t="shared" si="61"/>
        <v>-0.74788120224490917</v>
      </c>
      <c r="AX85" s="3">
        <f t="shared" si="62"/>
        <v>-0.38415675999221188</v>
      </c>
      <c r="AY85" s="3">
        <f t="shared" si="63"/>
        <v>-0.673126522048899</v>
      </c>
      <c r="AZ85" s="3">
        <f t="shared" si="64"/>
        <v>-3.8420022980154411</v>
      </c>
      <c r="BA85" s="3">
        <f t="shared" si="65"/>
        <v>-0.70455756275117165</v>
      </c>
      <c r="BB85" s="3">
        <f t="shared" si="66"/>
        <v>-0.34714739975808567</v>
      </c>
      <c r="BC85" s="3">
        <f t="shared" si="67"/>
        <v>-0.69136309431072684</v>
      </c>
      <c r="BD85" s="3">
        <f t="shared" si="68"/>
        <v>-3.8993491982539212</v>
      </c>
      <c r="BE85" s="3">
        <f t="shared" si="69"/>
        <v>-0.52201588291863288</v>
      </c>
      <c r="BF85" s="3">
        <f t="shared" si="70"/>
        <v>-0.21570827761053329</v>
      </c>
      <c r="BG85" s="3">
        <f t="shared" si="71"/>
        <v>-0.68176584964171105</v>
      </c>
      <c r="BH85" s="3">
        <f t="shared" si="72"/>
        <v>-3.6135017199634949</v>
      </c>
      <c r="BI85" s="3">
        <f t="shared" si="73"/>
        <v>-0.56533952241236429</v>
      </c>
      <c r="BJ85" s="3">
        <f t="shared" si="74"/>
        <v>-0.2527176378446549</v>
      </c>
      <c r="BK85" s="3">
        <f t="shared" si="75"/>
        <v>-0.6635292773798882</v>
      </c>
      <c r="BL85" s="3">
        <f t="shared" si="76"/>
        <v>-3.5561548197250223</v>
      </c>
      <c r="BM85" s="2">
        <v>0</v>
      </c>
    </row>
    <row r="86" spans="1:65" x14ac:dyDescent="0.35">
      <c r="A86">
        <f t="shared" si="79"/>
        <v>83</v>
      </c>
      <c r="B86">
        <v>8.6456999999999992E-3</v>
      </c>
      <c r="C86">
        <v>2.6067999999999998E-3</v>
      </c>
      <c r="D86">
        <v>1.1900000000000001E-3</v>
      </c>
      <c r="E86">
        <v>2.20354E-2</v>
      </c>
      <c r="F86">
        <v>3.1757999999999999E-3</v>
      </c>
      <c r="G86">
        <v>1.3531999999999999E-3</v>
      </c>
      <c r="H86">
        <v>1.1692E-3</v>
      </c>
      <c r="I86">
        <v>6.4473000000000004E-3</v>
      </c>
      <c r="J86">
        <v>3.0766125</v>
      </c>
      <c r="K86">
        <v>0.99768539999999994</v>
      </c>
      <c r="L86">
        <v>0.55148839999999999</v>
      </c>
      <c r="M86">
        <v>5.7164760000000001</v>
      </c>
      <c r="N86">
        <v>3.0591936999999998</v>
      </c>
      <c r="O86">
        <v>0.99510719999999997</v>
      </c>
      <c r="P86">
        <v>0.54773939999999999</v>
      </c>
      <c r="Q86">
        <v>5.5165604999999998</v>
      </c>
      <c r="R86">
        <v>3.0906913999999999</v>
      </c>
      <c r="S86">
        <v>1.0019087</v>
      </c>
      <c r="T86">
        <v>0.55328379999999999</v>
      </c>
      <c r="U86">
        <v>5.7495697000000003</v>
      </c>
      <c r="V86">
        <v>3.069118</v>
      </c>
      <c r="W86">
        <v>0.99844129999999998</v>
      </c>
      <c r="X86">
        <v>0.54941119999999999</v>
      </c>
      <c r="Y86">
        <v>5.5308767000000003</v>
      </c>
      <c r="AA86" s="5">
        <f t="shared" si="77"/>
        <v>-5.4698999999999998E-3</v>
      </c>
      <c r="AB86" s="5">
        <f t="shared" si="77"/>
        <v>-1.2535999999999999E-3</v>
      </c>
      <c r="AC86" s="5">
        <f t="shared" si="77"/>
        <v>-2.0800000000000072E-5</v>
      </c>
      <c r="AD86" s="5">
        <f t="shared" si="77"/>
        <v>-1.5588100000000001E-2</v>
      </c>
      <c r="AE86" s="5">
        <f t="shared" si="78"/>
        <v>-1.7418800000000179E-2</v>
      </c>
      <c r="AF86" s="5">
        <f t="shared" si="78"/>
        <v>-2.578199999999975E-3</v>
      </c>
      <c r="AG86" s="5">
        <f t="shared" si="78"/>
        <v>-3.7490000000000023E-3</v>
      </c>
      <c r="AH86" s="5">
        <f t="shared" si="78"/>
        <v>-0.19991550000000036</v>
      </c>
      <c r="AI86" s="5">
        <f t="shared" si="80"/>
        <v>1.3153000000003245E-3</v>
      </c>
      <c r="AJ86" s="5">
        <f t="shared" si="81"/>
        <v>3.6439999999996527E-4</v>
      </c>
      <c r="AK86" s="5">
        <f t="shared" si="82"/>
        <v>-1.0280000000000141E-4</v>
      </c>
      <c r="AL86" s="5">
        <f t="shared" si="83"/>
        <v>-3.1893999999996758E-3</v>
      </c>
      <c r="AM86" s="5"/>
      <c r="AN86" s="5"/>
      <c r="AO86" s="5"/>
      <c r="AP86" s="5"/>
      <c r="AQ86" s="5"/>
      <c r="AR86" s="5"/>
      <c r="AS86" s="5"/>
      <c r="AT86" s="5"/>
      <c r="AU86" s="5"/>
      <c r="AV86" s="5">
        <f t="shared" si="84"/>
        <v>2028.5</v>
      </c>
      <c r="AW86" s="3">
        <f t="shared" si="61"/>
        <v>-0.74056892253947382</v>
      </c>
      <c r="AX86" s="3">
        <f t="shared" si="62"/>
        <v>-0.38245001765130643</v>
      </c>
      <c r="AY86" s="3">
        <f t="shared" si="63"/>
        <v>-0.68135014977846864</v>
      </c>
      <c r="AZ86" s="3">
        <f t="shared" si="64"/>
        <v>-3.7481691890786246</v>
      </c>
      <c r="BA86" s="3">
        <f t="shared" si="65"/>
        <v>-0.69801210175819739</v>
      </c>
      <c r="BB86" s="3">
        <f t="shared" si="66"/>
        <v>-0.34607943817635373</v>
      </c>
      <c r="BC86" s="3">
        <f t="shared" si="67"/>
        <v>-0.69993012627516005</v>
      </c>
      <c r="BD86" s="3">
        <f t="shared" si="68"/>
        <v>-3.8036411663989398</v>
      </c>
      <c r="BE86" s="3">
        <f t="shared" si="69"/>
        <v>-0.52103228423257741</v>
      </c>
      <c r="BF86" s="3">
        <f t="shared" si="70"/>
        <v>-0.22095825697491633</v>
      </c>
      <c r="BG86" s="3">
        <f t="shared" si="71"/>
        <v>-0.69617075359877889</v>
      </c>
      <c r="BH86" s="3">
        <f t="shared" si="72"/>
        <v>-3.532523486061915</v>
      </c>
      <c r="BI86" s="3">
        <f t="shared" si="73"/>
        <v>-0.56358910501385484</v>
      </c>
      <c r="BJ86" s="3">
        <f t="shared" si="74"/>
        <v>-0.25732883644986565</v>
      </c>
      <c r="BK86" s="3">
        <f t="shared" si="75"/>
        <v>-0.67759077710209525</v>
      </c>
      <c r="BL86" s="3">
        <f t="shared" si="76"/>
        <v>-3.4770515087416083</v>
      </c>
      <c r="BM86" s="2">
        <v>0</v>
      </c>
    </row>
    <row r="87" spans="1:65" x14ac:dyDescent="0.35">
      <c r="A87">
        <f t="shared" si="79"/>
        <v>84</v>
      </c>
      <c r="B87">
        <v>8.5692000000000008E-3</v>
      </c>
      <c r="C87">
        <v>2.5801999999999999E-3</v>
      </c>
      <c r="D87">
        <v>1.1575999999999999E-3</v>
      </c>
      <c r="E87">
        <v>2.1432300000000001E-2</v>
      </c>
      <c r="F87">
        <v>3.2678999999999998E-3</v>
      </c>
      <c r="G87">
        <v>1.3881E-3</v>
      </c>
      <c r="H87">
        <v>1.1684E-3</v>
      </c>
      <c r="I87">
        <v>6.6813999999999997E-3</v>
      </c>
      <c r="J87">
        <v>3.0767440000000001</v>
      </c>
      <c r="K87">
        <v>0.99772989999999995</v>
      </c>
      <c r="L87">
        <v>0.55153640000000004</v>
      </c>
      <c r="M87">
        <v>5.7174449999999997</v>
      </c>
      <c r="N87">
        <v>3.0593889999999999</v>
      </c>
      <c r="O87">
        <v>0.99511680000000002</v>
      </c>
      <c r="P87">
        <v>0.54770490000000005</v>
      </c>
      <c r="Q87">
        <v>5.5213532000000001</v>
      </c>
      <c r="R87">
        <v>3.0906913999999999</v>
      </c>
      <c r="S87">
        <v>1.0019087</v>
      </c>
      <c r="T87">
        <v>0.55328379999999999</v>
      </c>
      <c r="U87">
        <v>5.7495697000000003</v>
      </c>
      <c r="V87">
        <v>3.0693269999999999</v>
      </c>
      <c r="W87">
        <v>0.9984615</v>
      </c>
      <c r="X87">
        <v>0.5493709</v>
      </c>
      <c r="Y87">
        <v>5.5356437999999999</v>
      </c>
      <c r="AA87" s="5">
        <f t="shared" si="77"/>
        <v>-5.301300000000001E-3</v>
      </c>
      <c r="AB87" s="5">
        <f t="shared" si="77"/>
        <v>-1.1921E-3</v>
      </c>
      <c r="AC87" s="5">
        <f t="shared" si="77"/>
        <v>1.0800000000000046E-5</v>
      </c>
      <c r="AD87" s="5">
        <f t="shared" si="77"/>
        <v>-1.4750900000000001E-2</v>
      </c>
      <c r="AE87" s="5">
        <f t="shared" si="78"/>
        <v>-1.7355000000000231E-2</v>
      </c>
      <c r="AF87" s="5">
        <f t="shared" si="78"/>
        <v>-2.6130999999999238E-3</v>
      </c>
      <c r="AG87" s="5">
        <f t="shared" si="78"/>
        <v>-3.8314999999999877E-3</v>
      </c>
      <c r="AH87" s="5">
        <f t="shared" si="78"/>
        <v>-0.19609179999999959</v>
      </c>
      <c r="AI87" s="5">
        <f t="shared" si="80"/>
        <v>1.2919000000002831E-3</v>
      </c>
      <c r="AJ87" s="5">
        <f t="shared" si="81"/>
        <v>3.5799999999993996E-4</v>
      </c>
      <c r="AK87" s="5">
        <f t="shared" si="82"/>
        <v>-9.2200000000009288E-5</v>
      </c>
      <c r="AL87" s="5">
        <f t="shared" si="83"/>
        <v>-3.0832000000008408E-3</v>
      </c>
      <c r="AM87" s="5"/>
      <c r="AN87" s="5"/>
      <c r="AO87" s="5"/>
      <c r="AP87" s="5"/>
      <c r="AQ87" s="5"/>
      <c r="AR87" s="5"/>
      <c r="AS87" s="5"/>
      <c r="AT87" s="5"/>
      <c r="AU87" s="5"/>
      <c r="AV87" s="5">
        <f t="shared" si="84"/>
        <v>2028.75</v>
      </c>
      <c r="AW87" s="3">
        <f t="shared" si="61"/>
        <v>-0.73304956942644728</v>
      </c>
      <c r="AX87" s="3">
        <f t="shared" si="62"/>
        <v>-0.37979508512102189</v>
      </c>
      <c r="AY87" s="3">
        <f t="shared" si="63"/>
        <v>-0.69054976849132177</v>
      </c>
      <c r="AZ87" s="3">
        <f t="shared" si="64"/>
        <v>-3.6671039921474402</v>
      </c>
      <c r="BA87" s="3">
        <f t="shared" si="65"/>
        <v>-0.69124986079166462</v>
      </c>
      <c r="BB87" s="3">
        <f t="shared" si="66"/>
        <v>-0.3440632864052367</v>
      </c>
      <c r="BC87" s="3">
        <f t="shared" si="67"/>
        <v>-0.70721391083563212</v>
      </c>
      <c r="BD87" s="3">
        <f t="shared" si="68"/>
        <v>-3.7207288747191019</v>
      </c>
      <c r="BE87" s="3">
        <f t="shared" si="69"/>
        <v>-0.5197251333471784</v>
      </c>
      <c r="BF87" s="3">
        <f t="shared" si="70"/>
        <v>-0.22508038906139397</v>
      </c>
      <c r="BG87" s="3">
        <f t="shared" si="71"/>
        <v>-0.70916589280220643</v>
      </c>
      <c r="BH87" s="3">
        <f t="shared" si="72"/>
        <v>-3.4641722840580629</v>
      </c>
      <c r="BI87" s="3">
        <f t="shared" si="73"/>
        <v>-0.56152484198196662</v>
      </c>
      <c r="BJ87" s="3">
        <f t="shared" si="74"/>
        <v>-0.26081218777718207</v>
      </c>
      <c r="BK87" s="3">
        <f t="shared" si="75"/>
        <v>-0.69250175045790019</v>
      </c>
      <c r="BL87" s="3">
        <f t="shared" si="76"/>
        <v>-3.410547401486403</v>
      </c>
      <c r="BM87" s="2">
        <v>0</v>
      </c>
    </row>
    <row r="88" spans="1:65" x14ac:dyDescent="0.35">
      <c r="A88">
        <f t="shared" si="79"/>
        <v>85</v>
      </c>
      <c r="B88">
        <v>8.4925E-3</v>
      </c>
      <c r="C88">
        <v>2.5536999999999999E-3</v>
      </c>
      <c r="D88">
        <v>1.1261000000000001E-3</v>
      </c>
      <c r="E88">
        <v>2.08349E-2</v>
      </c>
      <c r="F88">
        <v>3.3566999999999998E-3</v>
      </c>
      <c r="G88">
        <v>1.4212999999999999E-3</v>
      </c>
      <c r="H88">
        <v>1.1787E-3</v>
      </c>
      <c r="I88">
        <v>6.9173999999999998E-3</v>
      </c>
      <c r="J88">
        <v>3.0768754999999999</v>
      </c>
      <c r="K88">
        <v>0.9977741</v>
      </c>
      <c r="L88">
        <v>0.55158289999999999</v>
      </c>
      <c r="M88">
        <v>5.7183986000000004</v>
      </c>
      <c r="N88">
        <v>3.0594944000000002</v>
      </c>
      <c r="O88">
        <v>0.99506939999999999</v>
      </c>
      <c r="P88">
        <v>0.54758790000000002</v>
      </c>
      <c r="Q88">
        <v>5.5265006000000003</v>
      </c>
      <c r="R88">
        <v>3.0906913999999999</v>
      </c>
      <c r="S88">
        <v>1.0019087</v>
      </c>
      <c r="T88">
        <v>0.55328379999999999</v>
      </c>
      <c r="U88">
        <v>5.7495697000000003</v>
      </c>
      <c r="V88">
        <v>3.0694438000000002</v>
      </c>
      <c r="W88">
        <v>0.99842339999999996</v>
      </c>
      <c r="X88">
        <v>0.54924669999999998</v>
      </c>
      <c r="Y88">
        <v>5.5407735000000002</v>
      </c>
      <c r="AA88" s="5">
        <f t="shared" si="77"/>
        <v>-5.1358000000000003E-3</v>
      </c>
      <c r="AB88" s="5">
        <f t="shared" si="77"/>
        <v>-1.1324E-3</v>
      </c>
      <c r="AC88" s="5">
        <f t="shared" si="77"/>
        <v>5.2599999999999869E-5</v>
      </c>
      <c r="AD88" s="5">
        <f t="shared" si="77"/>
        <v>-1.3917499999999999E-2</v>
      </c>
      <c r="AE88" s="5">
        <f t="shared" si="78"/>
        <v>-1.7381099999999705E-2</v>
      </c>
      <c r="AF88" s="5">
        <f t="shared" si="78"/>
        <v>-2.7047000000000043E-3</v>
      </c>
      <c r="AG88" s="5">
        <f t="shared" si="78"/>
        <v>-3.9949999999999708E-3</v>
      </c>
      <c r="AH88" s="5">
        <f t="shared" si="78"/>
        <v>-0.19189800000000012</v>
      </c>
      <c r="AI88" s="5">
        <f t="shared" si="80"/>
        <v>1.2693000000000045E-3</v>
      </c>
      <c r="AJ88" s="5">
        <f t="shared" si="81"/>
        <v>3.5179999999997982E-4</v>
      </c>
      <c r="AK88" s="5">
        <f t="shared" si="82"/>
        <v>-9.4700000000044748E-5</v>
      </c>
      <c r="AL88" s="5">
        <f t="shared" si="83"/>
        <v>-2.980699999999975E-3</v>
      </c>
      <c r="AM88" s="5"/>
      <c r="AN88" s="5"/>
      <c r="AO88" s="5"/>
      <c r="AP88" s="5"/>
      <c r="AQ88" s="5"/>
      <c r="AR88" s="5"/>
      <c r="AS88" s="5"/>
      <c r="AT88" s="5"/>
      <c r="AU88" s="5"/>
      <c r="AV88" s="5">
        <f t="shared" si="84"/>
        <v>2029</v>
      </c>
      <c r="AW88" s="3">
        <f t="shared" si="61"/>
        <v>-0.72853925176741063</v>
      </c>
      <c r="AX88" s="3">
        <f t="shared" si="62"/>
        <v>-0.3829790079674929</v>
      </c>
      <c r="AY88" s="3">
        <f t="shared" si="63"/>
        <v>-0.71254571342952222</v>
      </c>
      <c r="AZ88" s="3">
        <f t="shared" si="64"/>
        <v>-3.5796678836678875</v>
      </c>
      <c r="BA88" s="3">
        <f t="shared" si="65"/>
        <v>-0.687470771103181</v>
      </c>
      <c r="BB88" s="3">
        <f t="shared" si="66"/>
        <v>-0.34786602811214479</v>
      </c>
      <c r="BC88" s="3">
        <f t="shared" si="67"/>
        <v>-0.72966170345128767</v>
      </c>
      <c r="BD88" s="3">
        <f t="shared" si="68"/>
        <v>-3.6315100241327638</v>
      </c>
      <c r="BE88" s="3">
        <f t="shared" si="69"/>
        <v>-0.52130083255803428</v>
      </c>
      <c r="BF88" s="3">
        <f t="shared" si="70"/>
        <v>-0.23484175753738751</v>
      </c>
      <c r="BG88" s="3">
        <f t="shared" si="71"/>
        <v>-0.73916857858480112</v>
      </c>
      <c r="BH88" s="3">
        <f t="shared" si="72"/>
        <v>-3.3894484312452162</v>
      </c>
      <c r="BI88" s="3">
        <f t="shared" si="73"/>
        <v>-0.56236931322226813</v>
      </c>
      <c r="BJ88" s="3">
        <f t="shared" si="74"/>
        <v>-0.2699547373927389</v>
      </c>
      <c r="BK88" s="3">
        <f t="shared" si="75"/>
        <v>-0.72205258856304322</v>
      </c>
      <c r="BL88" s="3">
        <f t="shared" si="76"/>
        <v>-3.3376062907803363</v>
      </c>
      <c r="BM88" s="2">
        <v>0</v>
      </c>
    </row>
    <row r="89" spans="1:65" x14ac:dyDescent="0.35">
      <c r="A89">
        <f t="shared" si="79"/>
        <v>86</v>
      </c>
      <c r="B89">
        <v>8.4156000000000005E-3</v>
      </c>
      <c r="C89">
        <v>2.5273000000000001E-3</v>
      </c>
      <c r="D89">
        <v>1.0954999999999999E-3</v>
      </c>
      <c r="E89">
        <v>2.0244100000000001E-2</v>
      </c>
      <c r="F89">
        <v>3.4439000000000002E-3</v>
      </c>
      <c r="G89">
        <v>1.4536E-3</v>
      </c>
      <c r="H89">
        <v>1.1781000000000001E-3</v>
      </c>
      <c r="I89">
        <v>7.1472000000000003E-3</v>
      </c>
      <c r="J89">
        <v>3.0770070999999999</v>
      </c>
      <c r="K89">
        <v>0.99781810000000004</v>
      </c>
      <c r="L89">
        <v>0.55162809999999995</v>
      </c>
      <c r="M89">
        <v>5.7193357999999996</v>
      </c>
      <c r="N89">
        <v>3.0596399999999999</v>
      </c>
      <c r="O89">
        <v>0.99504950000000003</v>
      </c>
      <c r="P89">
        <v>0.54764270000000004</v>
      </c>
      <c r="Q89">
        <v>5.5312906000000002</v>
      </c>
      <c r="R89">
        <v>3.0906913999999999</v>
      </c>
      <c r="S89">
        <v>1.0019087</v>
      </c>
      <c r="T89">
        <v>0.55328379999999999</v>
      </c>
      <c r="U89">
        <v>5.7495697000000003</v>
      </c>
      <c r="V89">
        <v>3.0695994999999998</v>
      </c>
      <c r="W89">
        <v>0.99841199999999997</v>
      </c>
      <c r="X89">
        <v>0.54929079999999997</v>
      </c>
      <c r="Y89">
        <v>5.545547</v>
      </c>
      <c r="AA89" s="5">
        <f t="shared" si="77"/>
        <v>-4.9717000000000008E-3</v>
      </c>
      <c r="AB89" s="5">
        <f t="shared" si="77"/>
        <v>-1.0737000000000001E-3</v>
      </c>
      <c r="AC89" s="5">
        <f t="shared" si="77"/>
        <v>8.2600000000000165E-5</v>
      </c>
      <c r="AD89" s="5">
        <f t="shared" si="77"/>
        <v>-1.3096900000000002E-2</v>
      </c>
      <c r="AE89" s="5">
        <f t="shared" si="78"/>
        <v>-1.7367099999999969E-2</v>
      </c>
      <c r="AF89" s="5">
        <f t="shared" si="78"/>
        <v>-2.7686000000000099E-3</v>
      </c>
      <c r="AG89" s="5">
        <f t="shared" si="78"/>
        <v>-3.9853999999999168E-3</v>
      </c>
      <c r="AH89" s="5">
        <f t="shared" si="78"/>
        <v>-0.18804519999999947</v>
      </c>
      <c r="AI89" s="5">
        <f t="shared" si="80"/>
        <v>1.2468999999999189E-3</v>
      </c>
      <c r="AJ89" s="5">
        <f t="shared" si="81"/>
        <v>3.4559999999999105E-4</v>
      </c>
      <c r="AK89" s="5">
        <f t="shared" si="82"/>
        <v>-9.0200000000107902E-5</v>
      </c>
      <c r="AL89" s="5">
        <f t="shared" si="83"/>
        <v>-2.8806000000008714E-3</v>
      </c>
      <c r="AM89" s="5"/>
      <c r="AN89" s="5"/>
      <c r="AO89" s="5"/>
      <c r="AP89" s="5"/>
      <c r="AQ89" s="5"/>
      <c r="AR89" s="5"/>
      <c r="AS89" s="5"/>
      <c r="AT89" s="5"/>
      <c r="AU89" s="5"/>
      <c r="AV89" s="5">
        <f t="shared" si="84"/>
        <v>2029.25</v>
      </c>
      <c r="AW89" s="3">
        <f t="shared" si="61"/>
        <v>-0.72277678709689264</v>
      </c>
      <c r="AX89" s="3">
        <f t="shared" si="62"/>
        <v>-0.38349801733431499</v>
      </c>
      <c r="AY89" s="3">
        <f t="shared" si="63"/>
        <v>-0.70538844621872476</v>
      </c>
      <c r="AZ89" s="3">
        <f t="shared" si="64"/>
        <v>-3.4983852791627075</v>
      </c>
      <c r="BA89" s="3">
        <f t="shared" si="65"/>
        <v>-0.68243306335922294</v>
      </c>
      <c r="BB89" s="3">
        <f t="shared" si="66"/>
        <v>-0.34900385633940689</v>
      </c>
      <c r="BC89" s="3">
        <f t="shared" si="67"/>
        <v>-0.72169111042109391</v>
      </c>
      <c r="BD89" s="3">
        <f t="shared" si="68"/>
        <v>-3.548486419775037</v>
      </c>
      <c r="BE89" s="3">
        <f t="shared" si="69"/>
        <v>-0.52157261640550812</v>
      </c>
      <c r="BF89" s="3">
        <f t="shared" si="70"/>
        <v>-0.24183840304012372</v>
      </c>
      <c r="BG89" s="3">
        <f t="shared" si="71"/>
        <v>-0.73662015768400735</v>
      </c>
      <c r="BH89" s="3">
        <f t="shared" si="72"/>
        <v>-3.3206971993052012</v>
      </c>
      <c r="BI89" s="3">
        <f t="shared" si="73"/>
        <v>-0.56191634014317859</v>
      </c>
      <c r="BJ89" s="3">
        <f t="shared" si="74"/>
        <v>-0.27633256403502732</v>
      </c>
      <c r="BK89" s="3">
        <f t="shared" si="75"/>
        <v>-0.72031749348163043</v>
      </c>
      <c r="BL89" s="3">
        <f t="shared" si="76"/>
        <v>-3.27059605869287</v>
      </c>
      <c r="BM89" s="2">
        <v>0</v>
      </c>
    </row>
    <row r="90" spans="1:65" x14ac:dyDescent="0.35">
      <c r="A90">
        <f t="shared" si="79"/>
        <v>87</v>
      </c>
      <c r="B90">
        <v>8.3385999999999998E-3</v>
      </c>
      <c r="C90">
        <v>2.5011E-3</v>
      </c>
      <c r="D90">
        <v>1.0658E-3</v>
      </c>
      <c r="E90">
        <v>1.9660799999999999E-2</v>
      </c>
      <c r="F90">
        <v>3.5276000000000001E-3</v>
      </c>
      <c r="G90">
        <v>1.4842E-3</v>
      </c>
      <c r="H90">
        <v>1.2045000000000001E-3</v>
      </c>
      <c r="I90">
        <v>7.3832999999999998E-3</v>
      </c>
      <c r="J90">
        <v>3.0771385000000002</v>
      </c>
      <c r="K90">
        <v>0.99786180000000002</v>
      </c>
      <c r="L90">
        <v>0.55167200000000005</v>
      </c>
      <c r="M90">
        <v>5.7202561000000003</v>
      </c>
      <c r="N90">
        <v>3.0594906000000002</v>
      </c>
      <c r="O90">
        <v>0.99488430000000005</v>
      </c>
      <c r="P90">
        <v>0.54366270000000005</v>
      </c>
      <c r="Q90">
        <v>5.5353104000000002</v>
      </c>
      <c r="R90">
        <v>3.0906913999999999</v>
      </c>
      <c r="S90">
        <v>1.0019087</v>
      </c>
      <c r="T90">
        <v>0.55328379999999999</v>
      </c>
      <c r="U90">
        <v>5.7495697000000003</v>
      </c>
      <c r="V90">
        <v>3.0694569999999999</v>
      </c>
      <c r="W90">
        <v>0.99825370000000002</v>
      </c>
      <c r="X90">
        <v>0.54530380000000001</v>
      </c>
      <c r="Y90">
        <v>5.5495587000000004</v>
      </c>
      <c r="AA90" s="5">
        <f t="shared" si="77"/>
        <v>-4.8109999999999993E-3</v>
      </c>
      <c r="AB90" s="5">
        <f t="shared" si="77"/>
        <v>-1.0169000000000001E-3</v>
      </c>
      <c r="AC90" s="5">
        <f t="shared" si="77"/>
        <v>1.3870000000000006E-4</v>
      </c>
      <c r="AD90" s="5">
        <f t="shared" si="77"/>
        <v>-1.22775E-2</v>
      </c>
      <c r="AE90" s="5">
        <f t="shared" si="78"/>
        <v>-1.764790000000005E-2</v>
      </c>
      <c r="AF90" s="5">
        <f t="shared" si="78"/>
        <v>-2.9774999999999663E-3</v>
      </c>
      <c r="AG90" s="5">
        <f t="shared" si="78"/>
        <v>-8.009299999999997E-3</v>
      </c>
      <c r="AH90" s="5">
        <f t="shared" si="78"/>
        <v>-0.1849457000000001</v>
      </c>
      <c r="AI90" s="5">
        <f t="shared" si="80"/>
        <v>1.2245000000000623E-3</v>
      </c>
      <c r="AJ90" s="5">
        <f t="shared" si="81"/>
        <v>3.3940000000000272E-4</v>
      </c>
      <c r="AK90" s="5">
        <f t="shared" si="82"/>
        <v>-1.0939999999999041E-4</v>
      </c>
      <c r="AL90" s="5">
        <f t="shared" si="83"/>
        <v>-2.7877999999998404E-3</v>
      </c>
      <c r="AM90" s="5"/>
      <c r="AN90" s="5"/>
      <c r="AO90" s="5"/>
      <c r="AP90" s="5"/>
      <c r="AQ90" s="5"/>
      <c r="AR90" s="5"/>
      <c r="AS90" s="5"/>
      <c r="AT90" s="5"/>
      <c r="AU90" s="5"/>
      <c r="AV90" s="5">
        <f t="shared" si="84"/>
        <v>2029.5</v>
      </c>
      <c r="AW90" s="3">
        <f t="shared" si="61"/>
        <v>-0.72666264901115818</v>
      </c>
      <c r="AX90" s="3">
        <f t="shared" si="62"/>
        <v>-0.39867904131384091</v>
      </c>
      <c r="AY90" s="3">
        <f t="shared" si="63"/>
        <v>-1.4225249320511457</v>
      </c>
      <c r="AZ90" s="3">
        <f t="shared" si="64"/>
        <v>-3.430225395823971</v>
      </c>
      <c r="BA90" s="3">
        <f t="shared" si="65"/>
        <v>-0.68704368220004064</v>
      </c>
      <c r="BB90" s="3">
        <f t="shared" si="66"/>
        <v>-0.36480369917937272</v>
      </c>
      <c r="BC90" s="3">
        <f t="shared" si="67"/>
        <v>-1.4422977864162998</v>
      </c>
      <c r="BD90" s="3">
        <f t="shared" si="68"/>
        <v>-3.4787125026069328</v>
      </c>
      <c r="BE90" s="3">
        <f t="shared" si="69"/>
        <v>-0.53138271908997015</v>
      </c>
      <c r="BF90" s="3">
        <f t="shared" si="70"/>
        <v>-0.26330742511767558</v>
      </c>
      <c r="BG90" s="3">
        <f t="shared" si="71"/>
        <v>-1.467366295561163</v>
      </c>
      <c r="BH90" s="3">
        <f t="shared" si="72"/>
        <v>-3.2651747834277094</v>
      </c>
      <c r="BI90" s="3">
        <f t="shared" si="73"/>
        <v>-0.57100168590109157</v>
      </c>
      <c r="BJ90" s="3">
        <f t="shared" si="74"/>
        <v>-0.29718276725214249</v>
      </c>
      <c r="BK90" s="3">
        <f t="shared" si="75"/>
        <v>-1.4475934411960005</v>
      </c>
      <c r="BL90" s="3">
        <f t="shared" si="76"/>
        <v>-3.2166876766447423</v>
      </c>
      <c r="BM90" s="2">
        <v>0</v>
      </c>
    </row>
    <row r="91" spans="1:65" x14ac:dyDescent="0.35">
      <c r="A91">
        <f t="shared" si="79"/>
        <v>88</v>
      </c>
      <c r="B91">
        <v>8.2614999999999997E-3</v>
      </c>
      <c r="C91">
        <v>2.4750000000000002E-3</v>
      </c>
      <c r="D91">
        <v>1.0369999999999999E-3</v>
      </c>
      <c r="E91">
        <v>1.9085600000000001E-2</v>
      </c>
      <c r="F91">
        <v>3.6113E-3</v>
      </c>
      <c r="G91">
        <v>1.5146999999999999E-3</v>
      </c>
      <c r="H91">
        <v>1.2047E-3</v>
      </c>
      <c r="I91">
        <v>7.6149E-3</v>
      </c>
      <c r="J91">
        <v>3.0772699000000001</v>
      </c>
      <c r="K91">
        <v>0.9979053</v>
      </c>
      <c r="L91">
        <v>0.5517145</v>
      </c>
      <c r="M91">
        <v>5.7211588999999998</v>
      </c>
      <c r="N91">
        <v>3.0592644</v>
      </c>
      <c r="O91">
        <v>0.99475670000000005</v>
      </c>
      <c r="P91">
        <v>0.54369149999999999</v>
      </c>
      <c r="Q91">
        <v>5.5392818999999998</v>
      </c>
      <c r="R91">
        <v>3.0906913999999999</v>
      </c>
      <c r="S91">
        <v>1.0019087</v>
      </c>
      <c r="T91">
        <v>0.55328379999999999</v>
      </c>
      <c r="U91">
        <v>5.7495697000000003</v>
      </c>
      <c r="V91">
        <v>3.0692371000000001</v>
      </c>
      <c r="W91">
        <v>0.99813289999999999</v>
      </c>
      <c r="X91">
        <v>0.54532530000000001</v>
      </c>
      <c r="Y91">
        <v>5.5535255000000001</v>
      </c>
      <c r="AA91" s="5">
        <f t="shared" si="77"/>
        <v>-4.6502000000000002E-3</v>
      </c>
      <c r="AB91" s="5">
        <f t="shared" si="77"/>
        <v>-9.603000000000003E-4</v>
      </c>
      <c r="AC91" s="5">
        <f t="shared" si="77"/>
        <v>1.6770000000000001E-4</v>
      </c>
      <c r="AD91" s="5">
        <f t="shared" si="77"/>
        <v>-1.14707E-2</v>
      </c>
      <c r="AE91" s="5">
        <f t="shared" si="78"/>
        <v>-1.8005500000000119E-2</v>
      </c>
      <c r="AF91" s="5">
        <f t="shared" si="78"/>
        <v>-3.1485999999999459E-3</v>
      </c>
      <c r="AG91" s="5">
        <f t="shared" si="78"/>
        <v>-8.0230000000000024E-3</v>
      </c>
      <c r="AH91" s="5">
        <f t="shared" si="78"/>
        <v>-0.18187700000000007</v>
      </c>
      <c r="AI91" s="5">
        <f t="shared" si="80"/>
        <v>1.2014000000003036E-3</v>
      </c>
      <c r="AJ91" s="5">
        <f t="shared" si="81"/>
        <v>3.330999999999508E-4</v>
      </c>
      <c r="AK91" s="5">
        <f t="shared" si="82"/>
        <v>-1.0319999999997692E-4</v>
      </c>
      <c r="AL91" s="5">
        <f t="shared" si="83"/>
        <v>-2.6965000000001571E-3</v>
      </c>
      <c r="AM91" s="5"/>
      <c r="AN91" s="5"/>
      <c r="AO91" s="5"/>
      <c r="AP91" s="5"/>
      <c r="AQ91" s="5"/>
      <c r="AR91" s="5"/>
      <c r="AS91" s="5"/>
      <c r="AT91" s="5"/>
      <c r="AU91" s="5"/>
      <c r="AV91" s="5">
        <f t="shared" si="84"/>
        <v>2029.75</v>
      </c>
      <c r="AW91" s="3">
        <f t="shared" si="61"/>
        <v>-0.7330301562944822</v>
      </c>
      <c r="AX91" s="3">
        <f t="shared" si="62"/>
        <v>-0.41010722833327495</v>
      </c>
      <c r="AY91" s="3">
        <f t="shared" si="63"/>
        <v>-1.4197596242651607</v>
      </c>
      <c r="AZ91" s="3">
        <f t="shared" si="64"/>
        <v>-3.3628203515821373</v>
      </c>
      <c r="BA91" s="3">
        <f t="shared" si="65"/>
        <v>-0.69415859506386879</v>
      </c>
      <c r="BB91" s="3">
        <f t="shared" si="66"/>
        <v>-0.37686068600861494</v>
      </c>
      <c r="BC91" s="3">
        <f t="shared" si="67"/>
        <v>-1.4384118963902395</v>
      </c>
      <c r="BD91" s="3">
        <f t="shared" si="68"/>
        <v>-3.4097195134446361</v>
      </c>
      <c r="BE91" s="3">
        <f t="shared" si="69"/>
        <v>-0.54370035131944516</v>
      </c>
      <c r="BF91" s="3">
        <f t="shared" si="70"/>
        <v>-0.28101362928577933</v>
      </c>
      <c r="BG91" s="3">
        <f t="shared" si="71"/>
        <v>-1.4687218385934979</v>
      </c>
      <c r="BH91" s="3">
        <f t="shared" si="72"/>
        <v>-3.2102141487214242</v>
      </c>
      <c r="BI91" s="3">
        <f t="shared" si="73"/>
        <v>-0.58257191255005658</v>
      </c>
      <c r="BJ91" s="3">
        <f t="shared" si="74"/>
        <v>-0.31426017161044179</v>
      </c>
      <c r="BK91" s="3">
        <f t="shared" si="75"/>
        <v>-1.4500695664684204</v>
      </c>
      <c r="BL91" s="3">
        <f t="shared" si="76"/>
        <v>-3.1633149868589303</v>
      </c>
      <c r="BM91" s="2">
        <v>0</v>
      </c>
    </row>
    <row r="92" spans="1:65" x14ac:dyDescent="0.35">
      <c r="A92">
        <f t="shared" si="79"/>
        <v>89</v>
      </c>
      <c r="B92">
        <v>8.1843000000000003E-3</v>
      </c>
      <c r="C92">
        <v>2.4489999999999998E-3</v>
      </c>
      <c r="D92">
        <v>1.0091E-3</v>
      </c>
      <c r="E92">
        <v>1.85192E-2</v>
      </c>
      <c r="F92">
        <v>3.6935000000000002E-3</v>
      </c>
      <c r="G92">
        <v>1.5444E-3</v>
      </c>
      <c r="H92">
        <v>1.2279000000000001E-3</v>
      </c>
      <c r="I92">
        <v>7.8513000000000003E-3</v>
      </c>
      <c r="J92">
        <v>3.0774010999999999</v>
      </c>
      <c r="K92">
        <v>0.99794850000000002</v>
      </c>
      <c r="L92">
        <v>0.55175589999999997</v>
      </c>
      <c r="M92">
        <v>5.7220436000000001</v>
      </c>
      <c r="N92">
        <v>3.0593827999999998</v>
      </c>
      <c r="O92">
        <v>0.9947897</v>
      </c>
      <c r="P92">
        <v>0.54835040000000002</v>
      </c>
      <c r="Q92">
        <v>5.5444297000000002</v>
      </c>
      <c r="R92">
        <v>3.0906913999999999</v>
      </c>
      <c r="S92">
        <v>1.0019087</v>
      </c>
      <c r="T92">
        <v>0.55328379999999999</v>
      </c>
      <c r="U92">
        <v>5.7495697000000003</v>
      </c>
      <c r="V92">
        <v>3.0693619000000001</v>
      </c>
      <c r="W92">
        <v>0.99817259999999997</v>
      </c>
      <c r="X92">
        <v>0.5500003</v>
      </c>
      <c r="Y92">
        <v>5.5586795999999996</v>
      </c>
      <c r="AA92" s="5">
        <f t="shared" si="77"/>
        <v>-4.4907999999999997E-3</v>
      </c>
      <c r="AB92" s="5">
        <f t="shared" si="77"/>
        <v>-9.0459999999999976E-4</v>
      </c>
      <c r="AC92" s="5">
        <f t="shared" si="77"/>
        <v>2.1880000000000011E-4</v>
      </c>
      <c r="AD92" s="5">
        <f t="shared" si="77"/>
        <v>-1.0667899999999999E-2</v>
      </c>
      <c r="AE92" s="5">
        <f t="shared" si="78"/>
        <v>-1.8018300000000043E-2</v>
      </c>
      <c r="AF92" s="5">
        <f t="shared" si="78"/>
        <v>-3.1588000000000171E-3</v>
      </c>
      <c r="AG92" s="5">
        <f t="shared" si="78"/>
        <v>-3.4054999999999502E-3</v>
      </c>
      <c r="AH92" s="5">
        <f t="shared" si="78"/>
        <v>-0.17761389999999988</v>
      </c>
      <c r="AI92" s="5">
        <f t="shared" si="80"/>
        <v>1.1796000000002631E-3</v>
      </c>
      <c r="AJ92" s="5">
        <f t="shared" si="81"/>
        <v>3.2729999999999738E-4</v>
      </c>
      <c r="AK92" s="5">
        <f t="shared" si="82"/>
        <v>-9.680000000004442E-5</v>
      </c>
      <c r="AL92" s="5">
        <f t="shared" si="83"/>
        <v>-2.6083000000008405E-3</v>
      </c>
      <c r="AM92" s="5"/>
      <c r="AN92" s="5"/>
      <c r="AO92" s="5"/>
      <c r="AP92" s="5"/>
      <c r="AQ92" s="5"/>
      <c r="AR92" s="5"/>
      <c r="AS92" s="5"/>
      <c r="AT92" s="5"/>
      <c r="AU92" s="5"/>
      <c r="AV92" s="5">
        <f t="shared" si="84"/>
        <v>2030</v>
      </c>
      <c r="AW92" s="3">
        <f t="shared" si="61"/>
        <v>-0.72828688105192396</v>
      </c>
      <c r="AX92" s="3">
        <f t="shared" si="62"/>
        <v>-0.40556589637359347</v>
      </c>
      <c r="AY92" s="3">
        <f t="shared" si="63"/>
        <v>-0.5759611974903206</v>
      </c>
      <c r="AZ92" s="3">
        <f t="shared" si="64"/>
        <v>-3.2747111492534802</v>
      </c>
      <c r="BA92" s="3">
        <f t="shared" si="65"/>
        <v>-0.6901206636159074</v>
      </c>
      <c r="BB92" s="3">
        <f t="shared" si="66"/>
        <v>-0.3728982491119221</v>
      </c>
      <c r="BC92" s="3">
        <f t="shared" si="67"/>
        <v>-0.59345673956114287</v>
      </c>
      <c r="BD92" s="3">
        <f t="shared" si="68"/>
        <v>-3.3200762832738722</v>
      </c>
      <c r="BE92" s="3">
        <f t="shared" si="69"/>
        <v>-0.54481984192920885</v>
      </c>
      <c r="BF92" s="3">
        <f t="shared" si="70"/>
        <v>-0.28261058118369337</v>
      </c>
      <c r="BG92" s="3">
        <f t="shared" si="71"/>
        <v>-0.63300244829144792</v>
      </c>
      <c r="BH92" s="3">
        <f t="shared" si="72"/>
        <v>-3.1345337025830142</v>
      </c>
      <c r="BI92" s="3">
        <f t="shared" si="73"/>
        <v>-0.58298605936522951</v>
      </c>
      <c r="BJ92" s="3">
        <f t="shared" si="74"/>
        <v>-0.31527822844536807</v>
      </c>
      <c r="BK92" s="3">
        <f t="shared" si="75"/>
        <v>-0.6155069062206322</v>
      </c>
      <c r="BL92" s="3">
        <f t="shared" si="76"/>
        <v>-3.0891685685626156</v>
      </c>
      <c r="BM92" s="2">
        <v>0</v>
      </c>
    </row>
    <row r="93" spans="1:65" x14ac:dyDescent="0.35">
      <c r="A93">
        <f t="shared" si="79"/>
        <v>90</v>
      </c>
      <c r="B93">
        <v>8.1072000000000002E-3</v>
      </c>
      <c r="C93">
        <v>2.4231999999999999E-3</v>
      </c>
      <c r="D93">
        <v>9.8200000000000002E-4</v>
      </c>
      <c r="E93">
        <v>1.7962100000000002E-2</v>
      </c>
      <c r="F93">
        <v>3.7756999999999999E-3</v>
      </c>
      <c r="G93">
        <v>1.5740999999999999E-3</v>
      </c>
      <c r="H93">
        <v>1.3849000000000001E-3</v>
      </c>
      <c r="I93">
        <v>8.2363999999999996E-3</v>
      </c>
      <c r="J93">
        <v>3.0775320000000002</v>
      </c>
      <c r="K93">
        <v>0.99799139999999997</v>
      </c>
      <c r="L93">
        <v>0.55179590000000001</v>
      </c>
      <c r="M93">
        <v>5.7229099000000003</v>
      </c>
      <c r="N93">
        <v>3.0599658999999999</v>
      </c>
      <c r="O93">
        <v>0.99501309999999998</v>
      </c>
      <c r="P93">
        <v>0.54939689999999997</v>
      </c>
      <c r="Q93">
        <v>5.6100079000000003</v>
      </c>
      <c r="R93">
        <v>3.0906913999999999</v>
      </c>
      <c r="S93">
        <v>1.0019087</v>
      </c>
      <c r="T93">
        <v>0.55328379999999999</v>
      </c>
      <c r="U93">
        <v>5.7495697000000003</v>
      </c>
      <c r="V93">
        <v>3.0699524</v>
      </c>
      <c r="W93">
        <v>0.99840280000000003</v>
      </c>
      <c r="X93">
        <v>0.55095950000000005</v>
      </c>
      <c r="Y93">
        <v>5.6244025999999998</v>
      </c>
      <c r="AA93" s="5">
        <f t="shared" si="77"/>
        <v>-4.3315000000000003E-3</v>
      </c>
      <c r="AB93" s="5">
        <f t="shared" si="77"/>
        <v>-8.4909999999999998E-4</v>
      </c>
      <c r="AC93" s="5">
        <f t="shared" si="77"/>
        <v>4.0290000000000009E-4</v>
      </c>
      <c r="AD93" s="5">
        <f t="shared" si="77"/>
        <v>-9.7257000000000021E-3</v>
      </c>
      <c r="AE93" s="5">
        <f t="shared" si="78"/>
        <v>-1.7566100000000251E-2</v>
      </c>
      <c r="AF93" s="5">
        <f t="shared" si="78"/>
        <v>-2.9782999999999893E-3</v>
      </c>
      <c r="AG93" s="5">
        <f t="shared" si="78"/>
        <v>-2.39900000000004E-3</v>
      </c>
      <c r="AH93" s="5">
        <f t="shared" si="78"/>
        <v>-0.11290200000000006</v>
      </c>
      <c r="AI93" s="5">
        <f t="shared" si="80"/>
        <v>1.1586000000004121E-3</v>
      </c>
      <c r="AJ93" s="5">
        <f t="shared" si="81"/>
        <v>3.2150000000003877E-4</v>
      </c>
      <c r="AK93" s="5">
        <f t="shared" si="82"/>
        <v>-3.2819999999990617E-4</v>
      </c>
      <c r="AL93" s="5">
        <f t="shared" si="83"/>
        <v>-2.5394000000004691E-3</v>
      </c>
      <c r="AM93" s="5"/>
      <c r="AN93" s="5"/>
      <c r="AO93" s="5"/>
      <c r="AP93" s="5"/>
      <c r="AQ93" s="5"/>
      <c r="AR93" s="5"/>
      <c r="AS93" s="5"/>
      <c r="AT93" s="5"/>
      <c r="AU93" s="5"/>
      <c r="AV93" s="5">
        <f t="shared" si="84"/>
        <v>2030.25</v>
      </c>
      <c r="AW93" s="3">
        <f t="shared" si="61"/>
        <v>-0.70850166406132475</v>
      </c>
      <c r="AX93" s="3">
        <f t="shared" si="62"/>
        <v>-0.38201085587938199</v>
      </c>
      <c r="AY93" s="3">
        <f t="shared" si="63"/>
        <v>-0.36077325958216017</v>
      </c>
      <c r="AZ93" s="3">
        <f t="shared" si="64"/>
        <v>-2.132815260940311</v>
      </c>
      <c r="BA93" s="3">
        <f t="shared" si="65"/>
        <v>-0.67101490624395055</v>
      </c>
      <c r="BB93" s="3">
        <f t="shared" si="66"/>
        <v>-0.3499221036806997</v>
      </c>
      <c r="BC93" s="3">
        <f t="shared" si="67"/>
        <v>-0.42009182267761064</v>
      </c>
      <c r="BD93" s="3">
        <f t="shared" si="68"/>
        <v>-2.1769820444128283</v>
      </c>
      <c r="BE93" s="3">
        <f t="shared" si="69"/>
        <v>-0.53086827109298862</v>
      </c>
      <c r="BF93" s="3">
        <f t="shared" si="70"/>
        <v>-0.26517386264835346</v>
      </c>
      <c r="BG93" s="3">
        <f t="shared" si="71"/>
        <v>-0.49291159437524279</v>
      </c>
      <c r="BH93" s="3">
        <f t="shared" si="72"/>
        <v>-2.0078267770195186</v>
      </c>
      <c r="BI93" s="3">
        <f t="shared" si="73"/>
        <v>-0.56835502891036782</v>
      </c>
      <c r="BJ93" s="3">
        <f t="shared" si="74"/>
        <v>-0.29726261484704036</v>
      </c>
      <c r="BK93" s="3">
        <f t="shared" si="75"/>
        <v>-0.43359303127979532</v>
      </c>
      <c r="BL93" s="3">
        <f t="shared" si="76"/>
        <v>-1.9636599935469963</v>
      </c>
      <c r="BM93" s="2">
        <v>0</v>
      </c>
    </row>
    <row r="94" spans="1:65" x14ac:dyDescent="0.35">
      <c r="A94">
        <f t="shared" si="79"/>
        <v>91</v>
      </c>
      <c r="B94">
        <v>8.0300000000000007E-3</v>
      </c>
      <c r="C94">
        <v>2.3974999999999999E-3</v>
      </c>
      <c r="D94">
        <v>9.5580000000000003E-4</v>
      </c>
      <c r="E94">
        <v>1.7414900000000001E-2</v>
      </c>
      <c r="F94">
        <v>3.8815999999999998E-3</v>
      </c>
      <c r="G94">
        <v>1.6111999999999999E-3</v>
      </c>
      <c r="H94">
        <v>1.3366000000000001E-3</v>
      </c>
      <c r="I94">
        <v>8.5384999999999992E-3</v>
      </c>
      <c r="J94">
        <v>3.0776628000000001</v>
      </c>
      <c r="K94">
        <v>0.99803410000000004</v>
      </c>
      <c r="L94">
        <v>0.55183479999999996</v>
      </c>
      <c r="M94">
        <v>5.7237574000000002</v>
      </c>
      <c r="N94">
        <v>3.0630961999999999</v>
      </c>
      <c r="O94">
        <v>0.99564330000000001</v>
      </c>
      <c r="P94">
        <v>0.55164190000000002</v>
      </c>
      <c r="Q94">
        <v>5.6394199</v>
      </c>
      <c r="R94">
        <v>3.0906913999999999</v>
      </c>
      <c r="S94">
        <v>1.0019087</v>
      </c>
      <c r="T94">
        <v>0.55328379999999999</v>
      </c>
      <c r="U94">
        <v>5.7495697000000003</v>
      </c>
      <c r="V94">
        <v>3.0731012</v>
      </c>
      <c r="W94">
        <v>0.99904389999999998</v>
      </c>
      <c r="X94">
        <v>0.553284</v>
      </c>
      <c r="Y94">
        <v>5.6538941999999999</v>
      </c>
      <c r="AA94" s="5">
        <f t="shared" si="77"/>
        <v>-4.1484000000000009E-3</v>
      </c>
      <c r="AB94" s="5">
        <f t="shared" si="77"/>
        <v>-7.8629999999999998E-4</v>
      </c>
      <c r="AC94" s="5">
        <f t="shared" si="77"/>
        <v>3.8080000000000004E-4</v>
      </c>
      <c r="AD94" s="5">
        <f t="shared" si="77"/>
        <v>-8.8764000000000013E-3</v>
      </c>
      <c r="AE94" s="5">
        <f t="shared" si="78"/>
        <v>-1.4566600000000207E-2</v>
      </c>
      <c r="AF94" s="5">
        <f t="shared" si="78"/>
        <v>-2.3908000000000262E-3</v>
      </c>
      <c r="AG94" s="5">
        <f t="shared" si="78"/>
        <v>-1.9289999999994034E-4</v>
      </c>
      <c r="AH94" s="5">
        <f t="shared" si="78"/>
        <v>-8.4337500000000176E-2</v>
      </c>
      <c r="AI94" s="5">
        <f t="shared" si="80"/>
        <v>1.1248000000003179E-3</v>
      </c>
      <c r="AJ94" s="5">
        <f t="shared" si="81"/>
        <v>3.1230000000002575E-4</v>
      </c>
      <c r="AK94" s="5">
        <f t="shared" si="82"/>
        <v>-1.8770000000005395E-4</v>
      </c>
      <c r="AL94" s="5">
        <f t="shared" si="83"/>
        <v>-2.4616000000002858E-3</v>
      </c>
      <c r="AM94" s="5"/>
      <c r="AN94" s="5"/>
      <c r="AO94" s="5"/>
      <c r="AP94" s="5"/>
      <c r="AQ94" s="5"/>
      <c r="AR94" s="5"/>
      <c r="AS94" s="5"/>
      <c r="AT94" s="5"/>
      <c r="AU94" s="5"/>
      <c r="AV94" s="5">
        <f t="shared" si="84"/>
        <v>2030.5</v>
      </c>
      <c r="AW94" s="3">
        <f t="shared" si="61"/>
        <v>-0.60552794109435215</v>
      </c>
      <c r="AX94" s="3">
        <f t="shared" si="62"/>
        <v>-0.31710474217860635</v>
      </c>
      <c r="AY94" s="3">
        <f t="shared" si="63"/>
        <v>3.3960871437056298E-2</v>
      </c>
      <c r="AZ94" s="3">
        <f t="shared" si="64"/>
        <v>-1.6212326289391741</v>
      </c>
      <c r="BA94" s="3">
        <f t="shared" si="65"/>
        <v>-0.56913478971080356</v>
      </c>
      <c r="BB94" s="3">
        <f t="shared" si="66"/>
        <v>-0.28593423732122503</v>
      </c>
      <c r="BC94" s="3">
        <f t="shared" si="67"/>
        <v>3.6147814196936751E-5</v>
      </c>
      <c r="BD94" s="3">
        <f t="shared" si="68"/>
        <v>-1.6640462676711347</v>
      </c>
      <c r="BE94" s="3">
        <f t="shared" si="69"/>
        <v>-0.43491239533004938</v>
      </c>
      <c r="BF94" s="3">
        <f t="shared" si="70"/>
        <v>-0.20745403248818811</v>
      </c>
      <c r="BG94" s="3">
        <f t="shared" si="71"/>
        <v>-6.8789290414784099E-2</v>
      </c>
      <c r="BH94" s="3">
        <f t="shared" si="72"/>
        <v>-1.5096625404854271</v>
      </c>
      <c r="BI94" s="3">
        <f t="shared" si="73"/>
        <v>-0.47130554671359964</v>
      </c>
      <c r="BJ94" s="3">
        <f t="shared" si="74"/>
        <v>-0.23862453734557112</v>
      </c>
      <c r="BK94" s="3">
        <f t="shared" si="75"/>
        <v>-3.4864566791932158E-2</v>
      </c>
      <c r="BL94" s="3">
        <f t="shared" si="76"/>
        <v>-1.4668489017534683</v>
      </c>
      <c r="BM94" s="2">
        <v>0</v>
      </c>
    </row>
    <row r="95" spans="1:65" x14ac:dyDescent="0.35">
      <c r="A95">
        <f t="shared" si="79"/>
        <v>92</v>
      </c>
      <c r="B95">
        <v>7.9529000000000006E-3</v>
      </c>
      <c r="C95">
        <v>2.372E-3</v>
      </c>
      <c r="D95">
        <v>9.3039999999999996E-4</v>
      </c>
      <c r="E95">
        <v>1.6878000000000001E-2</v>
      </c>
      <c r="F95">
        <v>3.9677999999999996E-3</v>
      </c>
      <c r="G95">
        <v>1.6410000000000001E-3</v>
      </c>
      <c r="H95">
        <v>1.2968000000000001E-3</v>
      </c>
      <c r="I95">
        <v>8.7988000000000007E-3</v>
      </c>
      <c r="J95">
        <v>3.0777931999999999</v>
      </c>
      <c r="K95">
        <v>0.99807659999999998</v>
      </c>
      <c r="L95">
        <v>0.55187260000000005</v>
      </c>
      <c r="M95">
        <v>5.7245857999999998</v>
      </c>
      <c r="N95">
        <v>3.0644116000000001</v>
      </c>
      <c r="O95">
        <v>0.9959287</v>
      </c>
      <c r="P95">
        <v>0.55243589999999998</v>
      </c>
      <c r="Q95">
        <v>5.6549101000000004</v>
      </c>
      <c r="R95">
        <v>3.0906913999999999</v>
      </c>
      <c r="S95">
        <v>1.0019087</v>
      </c>
      <c r="T95">
        <v>0.55328379999999999</v>
      </c>
      <c r="U95">
        <v>5.7495697000000003</v>
      </c>
      <c r="V95">
        <v>3.0744232999999999</v>
      </c>
      <c r="W95">
        <v>0.99933499999999997</v>
      </c>
      <c r="X95">
        <v>0.55409050000000004</v>
      </c>
      <c r="Y95">
        <v>5.6694354000000002</v>
      </c>
      <c r="AA95" s="5">
        <f t="shared" si="77"/>
        <v>-3.985100000000001E-3</v>
      </c>
      <c r="AB95" s="5">
        <f t="shared" si="77"/>
        <v>-7.3099999999999988E-4</v>
      </c>
      <c r="AC95" s="5">
        <f t="shared" si="77"/>
        <v>3.6640000000000012E-4</v>
      </c>
      <c r="AD95" s="5">
        <f t="shared" si="77"/>
        <v>-8.0791999999999999E-3</v>
      </c>
      <c r="AE95" s="5">
        <f t="shared" si="78"/>
        <v>-1.3381599999999771E-2</v>
      </c>
      <c r="AF95" s="5">
        <f t="shared" si="78"/>
        <v>-2.1478999999999804E-3</v>
      </c>
      <c r="AG95" s="5">
        <f t="shared" si="78"/>
        <v>5.632999999999333E-4</v>
      </c>
      <c r="AH95" s="5">
        <f t="shared" si="78"/>
        <v>-6.9675699999999452E-2</v>
      </c>
      <c r="AI95" s="5">
        <f t="shared" si="80"/>
        <v>1.0985999999997657E-3</v>
      </c>
      <c r="AJ95" s="5">
        <f t="shared" si="81"/>
        <v>3.0519999999996817E-4</v>
      </c>
      <c r="AK95" s="5">
        <f t="shared" si="82"/>
        <v>-1.2299999999988438E-4</v>
      </c>
      <c r="AL95" s="5">
        <f t="shared" si="83"/>
        <v>-2.379400000000656E-3</v>
      </c>
      <c r="AM95" s="5"/>
      <c r="AN95" s="5"/>
      <c r="AO95" s="5"/>
      <c r="AP95" s="5"/>
      <c r="AQ95" s="5"/>
      <c r="AR95" s="5"/>
      <c r="AS95" s="5"/>
      <c r="AT95" s="5"/>
      <c r="AU95" s="5"/>
      <c r="AV95" s="5">
        <f t="shared" si="84"/>
        <v>2030.75</v>
      </c>
      <c r="AW95" s="3">
        <f t="shared" si="61"/>
        <v>-0.56190339805519807</v>
      </c>
      <c r="AX95" s="3">
        <f t="shared" si="62"/>
        <v>-0.28734155118125837</v>
      </c>
      <c r="AY95" s="3">
        <f t="shared" si="63"/>
        <v>0.16803311428961654</v>
      </c>
      <c r="AZ95" s="3">
        <f t="shared" si="64"/>
        <v>-1.3523603340263783</v>
      </c>
      <c r="BA95" s="3">
        <f t="shared" si="65"/>
        <v>-0.52635795343397951</v>
      </c>
      <c r="BB95" s="3">
        <f t="shared" si="66"/>
        <v>-0.25687969372858149</v>
      </c>
      <c r="BC95" s="3">
        <f t="shared" si="67"/>
        <v>0.1458022085591606</v>
      </c>
      <c r="BD95" s="3">
        <f t="shared" si="68"/>
        <v>-1.3937443005517456</v>
      </c>
      <c r="BE95" s="3">
        <f t="shared" si="69"/>
        <v>-0.39741916646870806</v>
      </c>
      <c r="BF95" s="3">
        <f t="shared" si="70"/>
        <v>-0.18391895389271357</v>
      </c>
      <c r="BG95" s="3">
        <f t="shared" si="71"/>
        <v>7.9579412952278758E-2</v>
      </c>
      <c r="BH95" s="3">
        <f t="shared" si="72"/>
        <v>-1.2532259588052308</v>
      </c>
      <c r="BI95" s="3">
        <f t="shared" si="73"/>
        <v>-0.43296461108992546</v>
      </c>
      <c r="BJ95" s="3">
        <f t="shared" si="74"/>
        <v>-0.21438081134538312</v>
      </c>
      <c r="BK95" s="3">
        <f t="shared" si="75"/>
        <v>0.10181031868273269</v>
      </c>
      <c r="BL95" s="3">
        <f t="shared" si="76"/>
        <v>-1.2118419922798649</v>
      </c>
      <c r="BM95" s="2">
        <v>0</v>
      </c>
    </row>
    <row r="96" spans="1:65" x14ac:dyDescent="0.35">
      <c r="A96">
        <f t="shared" si="79"/>
        <v>93</v>
      </c>
      <c r="B96">
        <v>7.8758999999999999E-3</v>
      </c>
      <c r="C96">
        <v>2.3465999999999999E-3</v>
      </c>
      <c r="D96">
        <v>9.0569999999999995E-4</v>
      </c>
      <c r="E96">
        <v>1.6351600000000001E-2</v>
      </c>
      <c r="F96">
        <v>4.0499999999999998E-3</v>
      </c>
      <c r="G96">
        <v>1.6697000000000001E-3</v>
      </c>
      <c r="H96">
        <v>1.2967E-3</v>
      </c>
      <c r="I96">
        <v>9.0462000000000008E-3</v>
      </c>
      <c r="J96">
        <v>3.0779231999999999</v>
      </c>
      <c r="K96">
        <v>0.99811870000000003</v>
      </c>
      <c r="L96">
        <v>0.55190919999999999</v>
      </c>
      <c r="M96">
        <v>5.7253949999999998</v>
      </c>
      <c r="N96">
        <v>3.0652604999999999</v>
      </c>
      <c r="O96">
        <v>0.99613499999999999</v>
      </c>
      <c r="P96">
        <v>0.55253220000000003</v>
      </c>
      <c r="Q96">
        <v>5.6644971999999996</v>
      </c>
      <c r="R96">
        <v>3.0906913999999999</v>
      </c>
      <c r="S96">
        <v>1.0019087</v>
      </c>
      <c r="T96">
        <v>0.55328379999999999</v>
      </c>
      <c r="U96">
        <v>5.7495697000000003</v>
      </c>
      <c r="V96">
        <v>3.0752790999999999</v>
      </c>
      <c r="W96">
        <v>0.99954699999999996</v>
      </c>
      <c r="X96">
        <v>0.55420230000000004</v>
      </c>
      <c r="Y96">
        <v>5.6790693000000001</v>
      </c>
      <c r="AA96" s="5">
        <f t="shared" si="77"/>
        <v>-3.8259000000000001E-3</v>
      </c>
      <c r="AB96" s="5">
        <f t="shared" si="77"/>
        <v>-6.7689999999999981E-4</v>
      </c>
      <c r="AC96" s="5">
        <f t="shared" si="77"/>
        <v>3.9100000000000007E-4</v>
      </c>
      <c r="AD96" s="5">
        <f t="shared" si="77"/>
        <v>-7.3054000000000001E-3</v>
      </c>
      <c r="AE96" s="5">
        <f t="shared" si="78"/>
        <v>-1.2662699999999916E-2</v>
      </c>
      <c r="AF96" s="5">
        <f t="shared" si="78"/>
        <v>-1.9837000000000327E-3</v>
      </c>
      <c r="AG96" s="5">
        <f t="shared" si="78"/>
        <v>6.2300000000004019E-4</v>
      </c>
      <c r="AH96" s="5">
        <f t="shared" si="78"/>
        <v>-6.0897800000000224E-2</v>
      </c>
      <c r="AI96" s="5">
        <f t="shared" si="80"/>
        <v>1.0762999999999814E-3</v>
      </c>
      <c r="AJ96" s="5">
        <f t="shared" si="81"/>
        <v>2.9890000000001036E-4</v>
      </c>
      <c r="AK96" s="5">
        <f t="shared" si="82"/>
        <v>-9.5499999999995979E-5</v>
      </c>
      <c r="AL96" s="5">
        <f t="shared" si="83"/>
        <v>-2.2972000000000131E-3</v>
      </c>
      <c r="AM96" s="5"/>
      <c r="AN96" s="5"/>
      <c r="AO96" s="5"/>
      <c r="AP96" s="5"/>
      <c r="AQ96" s="5"/>
      <c r="AR96" s="5"/>
      <c r="AS96" s="5"/>
      <c r="AT96" s="5"/>
      <c r="AU96" s="5"/>
      <c r="AV96" s="5">
        <f t="shared" si="84"/>
        <v>2031</v>
      </c>
      <c r="AW96" s="3">
        <f t="shared" si="61"/>
        <v>-0.53349227942977151</v>
      </c>
      <c r="AX96" s="3">
        <f t="shared" si="62"/>
        <v>-0.26555313872412051</v>
      </c>
      <c r="AY96" s="3">
        <f t="shared" si="63"/>
        <v>0.18326941797320656</v>
      </c>
      <c r="AZ96" s="3">
        <f t="shared" si="64"/>
        <v>-1.1862313800631068</v>
      </c>
      <c r="BA96" s="3">
        <f t="shared" si="65"/>
        <v>-0.49866835621310929</v>
      </c>
      <c r="BB96" s="3">
        <f t="shared" si="66"/>
        <v>-0.23572008108124246</v>
      </c>
      <c r="BC96" s="3">
        <f t="shared" si="67"/>
        <v>0.16600883669466635</v>
      </c>
      <c r="BD96" s="3">
        <f t="shared" si="68"/>
        <v>-1.2261856743818627</v>
      </c>
      <c r="BE96" s="3">
        <f t="shared" si="69"/>
        <v>-0.37488052026158641</v>
      </c>
      <c r="BF96" s="3">
        <f t="shared" si="70"/>
        <v>-0.16815903485018563</v>
      </c>
      <c r="BG96" s="3">
        <f t="shared" si="71"/>
        <v>9.5339859941681662E-2</v>
      </c>
      <c r="BH96" s="3">
        <f t="shared" si="72"/>
        <v>-1.0991257310960214</v>
      </c>
      <c r="BI96" s="3">
        <f t="shared" si="73"/>
        <v>-0.40970444347824297</v>
      </c>
      <c r="BJ96" s="3">
        <f t="shared" si="74"/>
        <v>-0.19799209249306177</v>
      </c>
      <c r="BK96" s="3">
        <f t="shared" si="75"/>
        <v>0.11260044122022735</v>
      </c>
      <c r="BL96" s="3">
        <f t="shared" si="76"/>
        <v>-1.059171436777264</v>
      </c>
      <c r="BM96" s="2">
        <v>0</v>
      </c>
    </row>
    <row r="97" spans="1:65" x14ac:dyDescent="0.35">
      <c r="A97">
        <f t="shared" si="79"/>
        <v>94</v>
      </c>
      <c r="B97">
        <v>7.7990000000000004E-3</v>
      </c>
      <c r="C97">
        <v>2.3213999999999999E-3</v>
      </c>
      <c r="D97">
        <v>8.8179999999999997E-4</v>
      </c>
      <c r="E97">
        <v>1.5836200000000002E-2</v>
      </c>
      <c r="F97">
        <v>4.1286999999999999E-3</v>
      </c>
      <c r="G97">
        <v>1.6969999999999999E-3</v>
      </c>
      <c r="H97">
        <v>1.2983999999999999E-3</v>
      </c>
      <c r="I97">
        <v>9.2852999999999998E-3</v>
      </c>
      <c r="J97">
        <v>3.0780528999999999</v>
      </c>
      <c r="K97">
        <v>0.99816059999999995</v>
      </c>
      <c r="L97">
        <v>0.55194480000000001</v>
      </c>
      <c r="M97">
        <v>5.7261848999999998</v>
      </c>
      <c r="N97">
        <v>3.0657611</v>
      </c>
      <c r="O97">
        <v>0.99622750000000004</v>
      </c>
      <c r="P97">
        <v>0.5526451</v>
      </c>
      <c r="Q97">
        <v>5.6708691</v>
      </c>
      <c r="R97">
        <v>3.0906913999999999</v>
      </c>
      <c r="S97">
        <v>1.0019087</v>
      </c>
      <c r="T97">
        <v>0.55328379999999999</v>
      </c>
      <c r="U97">
        <v>5.7495697000000003</v>
      </c>
      <c r="V97">
        <v>3.0757851</v>
      </c>
      <c r="W97">
        <v>0.99964450000000005</v>
      </c>
      <c r="X97">
        <v>0.55432340000000002</v>
      </c>
      <c r="Y97">
        <v>5.6854864000000003</v>
      </c>
      <c r="AA97" s="5">
        <f t="shared" si="77"/>
        <v>-3.6703000000000005E-3</v>
      </c>
      <c r="AB97" s="5">
        <f t="shared" si="77"/>
        <v>-6.244E-4</v>
      </c>
      <c r="AC97" s="5">
        <f t="shared" si="77"/>
        <v>4.1659999999999993E-4</v>
      </c>
      <c r="AD97" s="5">
        <f t="shared" si="77"/>
        <v>-6.5509000000000019E-3</v>
      </c>
      <c r="AE97" s="5">
        <f t="shared" si="78"/>
        <v>-1.2291799999999853E-2</v>
      </c>
      <c r="AF97" s="5">
        <f t="shared" si="78"/>
        <v>-1.9330999999999099E-3</v>
      </c>
      <c r="AG97" s="5">
        <f t="shared" si="78"/>
        <v>7.0029999999998704E-4</v>
      </c>
      <c r="AH97" s="5">
        <f t="shared" si="78"/>
        <v>-5.5315799999999804E-2</v>
      </c>
      <c r="AI97" s="5">
        <f t="shared" si="80"/>
        <v>1.0558000000000373E-3</v>
      </c>
      <c r="AJ97" s="5">
        <f t="shared" si="81"/>
        <v>2.9329999999997119E-4</v>
      </c>
      <c r="AK97" s="5">
        <f t="shared" si="82"/>
        <v>-7.7299999999957698E-5</v>
      </c>
      <c r="AL97" s="5">
        <f t="shared" si="83"/>
        <v>-2.2166000000002628E-3</v>
      </c>
      <c r="AM97" s="5"/>
      <c r="AN97" s="5"/>
      <c r="AO97" s="5"/>
      <c r="AP97" s="5"/>
      <c r="AQ97" s="5"/>
      <c r="AR97" s="5"/>
      <c r="AS97" s="5"/>
      <c r="AT97" s="5"/>
      <c r="AU97" s="5"/>
      <c r="AV97" s="5">
        <f t="shared" si="84"/>
        <v>2031.25</v>
      </c>
      <c r="AW97" s="3">
        <f t="shared" si="61"/>
        <v>-0.51645725613368765</v>
      </c>
      <c r="AX97" s="3">
        <f t="shared" si="62"/>
        <v>-0.25526277993193491</v>
      </c>
      <c r="AY97" s="3">
        <f t="shared" si="63"/>
        <v>0.2018674683769861</v>
      </c>
      <c r="AZ97" s="3">
        <f t="shared" si="64"/>
        <v>-1.0760231326528626</v>
      </c>
      <c r="BA97" s="3">
        <f t="shared" si="65"/>
        <v>-0.48229661492570297</v>
      </c>
      <c r="BB97" s="3">
        <f t="shared" si="66"/>
        <v>-0.22598865545333008</v>
      </c>
      <c r="BC97" s="3">
        <f t="shared" si="67"/>
        <v>0.18789633819027945</v>
      </c>
      <c r="BD97" s="3">
        <f t="shared" si="68"/>
        <v>-1.1145755829344943</v>
      </c>
      <c r="BE97" s="3">
        <f t="shared" si="69"/>
        <v>-0.36354325119614989</v>
      </c>
      <c r="BF97" s="3">
        <f t="shared" si="70"/>
        <v>-0.16366760763729959</v>
      </c>
      <c r="BG97" s="3">
        <f t="shared" si="71"/>
        <v>0.11260044122022735</v>
      </c>
      <c r="BH97" s="3">
        <f t="shared" si="72"/>
        <v>-1.0006383608150775</v>
      </c>
      <c r="BI97" s="3">
        <f t="shared" si="73"/>
        <v>-0.39770389240413501</v>
      </c>
      <c r="BJ97" s="3">
        <f t="shared" si="74"/>
        <v>-0.19294173211590138</v>
      </c>
      <c r="BK97" s="3">
        <f t="shared" si="75"/>
        <v>0.12657157140693204</v>
      </c>
      <c r="BL97" s="3">
        <f t="shared" si="76"/>
        <v>-0.9620859105334405</v>
      </c>
      <c r="BM97" s="2">
        <v>0</v>
      </c>
    </row>
    <row r="98" spans="1:65" x14ac:dyDescent="0.35">
      <c r="A98">
        <f t="shared" si="79"/>
        <v>95</v>
      </c>
      <c r="B98">
        <v>7.7222999999999997E-3</v>
      </c>
      <c r="C98">
        <v>2.2962999999999998E-3</v>
      </c>
      <c r="D98">
        <v>8.5860000000000005E-4</v>
      </c>
      <c r="E98">
        <v>1.5331900000000001E-2</v>
      </c>
      <c r="F98">
        <v>4.2053000000000004E-3</v>
      </c>
      <c r="G98">
        <v>1.7233000000000001E-3</v>
      </c>
      <c r="H98">
        <v>1.3087999999999999E-3</v>
      </c>
      <c r="I98">
        <v>9.5215999999999999E-3</v>
      </c>
      <c r="J98">
        <v>3.0781822000000001</v>
      </c>
      <c r="K98">
        <v>0.99820220000000004</v>
      </c>
      <c r="L98">
        <v>0.55197940000000001</v>
      </c>
      <c r="M98">
        <v>5.7269553999999996</v>
      </c>
      <c r="N98">
        <v>3.0661258</v>
      </c>
      <c r="O98">
        <v>0.99626599999999998</v>
      </c>
      <c r="P98">
        <v>0.55254729999999996</v>
      </c>
      <c r="Q98">
        <v>5.6757349000000001</v>
      </c>
      <c r="R98">
        <v>3.0906913999999999</v>
      </c>
      <c r="S98">
        <v>1.0019087</v>
      </c>
      <c r="T98">
        <v>0.55328379999999999</v>
      </c>
      <c r="U98">
        <v>5.7495697000000003</v>
      </c>
      <c r="V98">
        <v>3.0761547999999999</v>
      </c>
      <c r="W98">
        <v>0.99968749999999995</v>
      </c>
      <c r="X98">
        <v>0.55423069999999997</v>
      </c>
      <c r="Y98">
        <v>5.6903994999999998</v>
      </c>
      <c r="AA98" s="5">
        <f t="shared" si="77"/>
        <v>-3.5169999999999993E-3</v>
      </c>
      <c r="AB98" s="5">
        <f t="shared" si="77"/>
        <v>-5.7299999999999972E-4</v>
      </c>
      <c r="AC98" s="5">
        <f t="shared" si="77"/>
        <v>4.5019999999999988E-4</v>
      </c>
      <c r="AD98" s="5">
        <f t="shared" si="77"/>
        <v>-5.8103000000000009E-3</v>
      </c>
      <c r="AE98" s="5">
        <f t="shared" si="78"/>
        <v>-1.2056400000000078E-2</v>
      </c>
      <c r="AF98" s="5">
        <f t="shared" si="78"/>
        <v>-1.9362000000000545E-3</v>
      </c>
      <c r="AG98" s="5">
        <f t="shared" si="78"/>
        <v>5.6789999999995455E-4</v>
      </c>
      <c r="AH98" s="5">
        <f t="shared" si="78"/>
        <v>-5.1220499999999447E-2</v>
      </c>
      <c r="AI98" s="5">
        <f t="shared" si="80"/>
        <v>1.0368000000000668E-3</v>
      </c>
      <c r="AJ98" s="5">
        <f t="shared" si="81"/>
        <v>2.8800000000002001E-4</v>
      </c>
      <c r="AK98" s="5">
        <f t="shared" si="82"/>
        <v>-7.1199999999981781E-5</v>
      </c>
      <c r="AL98" s="5">
        <f t="shared" si="83"/>
        <v>-2.1394000000010543E-3</v>
      </c>
      <c r="AM98" s="5"/>
      <c r="AN98" s="5"/>
      <c r="AO98" s="5"/>
      <c r="AP98" s="5"/>
      <c r="AQ98" s="5"/>
      <c r="AR98" s="5"/>
      <c r="AS98" s="5"/>
      <c r="AT98" s="5"/>
      <c r="AU98" s="5"/>
      <c r="AV98" s="5">
        <f t="shared" si="84"/>
        <v>2031.5</v>
      </c>
      <c r="AW98" s="3">
        <f t="shared" si="61"/>
        <v>-0.50388078214473553</v>
      </c>
      <c r="AX98" s="3">
        <f t="shared" si="62"/>
        <v>-0.25044198139012608</v>
      </c>
      <c r="AY98" s="3">
        <f t="shared" si="63"/>
        <v>0.18401044816420697</v>
      </c>
      <c r="AZ98" s="3">
        <f t="shared" si="64"/>
        <v>-0.99191422968573539</v>
      </c>
      <c r="BA98" s="3">
        <f t="shared" si="65"/>
        <v>-0.47033489011552598</v>
      </c>
      <c r="BB98" s="3">
        <f t="shared" si="66"/>
        <v>-0.22169684722769992</v>
      </c>
      <c r="BC98" s="3">
        <f t="shared" si="67"/>
        <v>0.17114182631047081</v>
      </c>
      <c r="BD98" s="3">
        <f t="shared" si="68"/>
        <v>-1.0291239707903794</v>
      </c>
      <c r="BE98" s="3">
        <f t="shared" si="69"/>
        <v>-0.35654158160209781</v>
      </c>
      <c r="BF98" s="3">
        <f t="shared" si="70"/>
        <v>-0.16450600738370558</v>
      </c>
      <c r="BG98" s="3">
        <f t="shared" si="71"/>
        <v>8.9773096555513923E-2</v>
      </c>
      <c r="BH98" s="3">
        <f t="shared" si="72"/>
        <v>-0.92806771261508902</v>
      </c>
      <c r="BI98" s="3">
        <f t="shared" si="73"/>
        <v>-0.39008747363130714</v>
      </c>
      <c r="BJ98" s="3">
        <f t="shared" si="74"/>
        <v>-0.19325114154613635</v>
      </c>
      <c r="BK98" s="3">
        <f t="shared" si="75"/>
        <v>0.10264171840924216</v>
      </c>
      <c r="BL98" s="3">
        <f t="shared" si="76"/>
        <v>-0.89085797151044965</v>
      </c>
      <c r="BM98" s="2">
        <v>0</v>
      </c>
    </row>
    <row r="99" spans="1:65" x14ac:dyDescent="0.35">
      <c r="A99">
        <f t="shared" si="79"/>
        <v>96</v>
      </c>
      <c r="B99">
        <v>7.6457000000000001E-3</v>
      </c>
      <c r="C99">
        <v>2.2713E-3</v>
      </c>
      <c r="D99">
        <v>8.3620000000000005E-4</v>
      </c>
      <c r="E99">
        <v>1.4839E-2</v>
      </c>
      <c r="F99">
        <v>4.28E-3</v>
      </c>
      <c r="G99">
        <v>1.7487E-3</v>
      </c>
      <c r="H99">
        <v>1.3219E-3</v>
      </c>
      <c r="I99">
        <v>9.7567999999999995E-3</v>
      </c>
      <c r="J99">
        <v>3.0783111000000001</v>
      </c>
      <c r="K99">
        <v>0.99824349999999995</v>
      </c>
      <c r="L99">
        <v>0.55201290000000003</v>
      </c>
      <c r="M99">
        <v>5.7277065</v>
      </c>
      <c r="N99">
        <v>3.0663448999999998</v>
      </c>
      <c r="O99">
        <v>0.9962493</v>
      </c>
      <c r="P99">
        <v>0.55244269999999995</v>
      </c>
      <c r="Q99">
        <v>5.6798080999999998</v>
      </c>
      <c r="R99">
        <v>3.0906913999999999</v>
      </c>
      <c r="S99">
        <v>1.0019087</v>
      </c>
      <c r="T99">
        <v>0.55328379999999999</v>
      </c>
      <c r="U99">
        <v>5.7495697000000003</v>
      </c>
      <c r="V99">
        <v>3.0763779000000002</v>
      </c>
      <c r="W99">
        <v>0.99967470000000003</v>
      </c>
      <c r="X99">
        <v>0.55413140000000005</v>
      </c>
      <c r="Y99">
        <v>5.6945243000000003</v>
      </c>
      <c r="AA99" s="5">
        <f t="shared" si="77"/>
        <v>-3.3657000000000001E-3</v>
      </c>
      <c r="AB99" s="5">
        <f t="shared" si="77"/>
        <v>-5.2260000000000002E-4</v>
      </c>
      <c r="AC99" s="5">
        <f t="shared" si="77"/>
        <v>4.8569999999999993E-4</v>
      </c>
      <c r="AD99" s="5">
        <f t="shared" si="77"/>
        <v>-5.0822000000000003E-3</v>
      </c>
      <c r="AE99" s="5">
        <f t="shared" si="78"/>
        <v>-1.196620000000026E-2</v>
      </c>
      <c r="AF99" s="5">
        <f t="shared" si="78"/>
        <v>-1.994199999999946E-3</v>
      </c>
      <c r="AG99" s="5">
        <f t="shared" si="78"/>
        <v>4.2979999999992469E-4</v>
      </c>
      <c r="AH99" s="5">
        <f t="shared" si="78"/>
        <v>-4.789840000000023E-2</v>
      </c>
      <c r="AI99" s="5">
        <f t="shared" si="80"/>
        <v>1.0184000000006133E-3</v>
      </c>
      <c r="AJ99" s="5">
        <f t="shared" si="81"/>
        <v>2.8279999999998758E-4</v>
      </c>
      <c r="AK99" s="5">
        <f t="shared" si="82"/>
        <v>-6.7899999999865204E-5</v>
      </c>
      <c r="AL99" s="5">
        <f t="shared" si="83"/>
        <v>-2.0647999999997904E-3</v>
      </c>
      <c r="AM99" s="5"/>
      <c r="AN99" s="5"/>
      <c r="AO99" s="5"/>
      <c r="AP99" s="5"/>
      <c r="AQ99" s="5"/>
      <c r="AR99" s="5"/>
      <c r="AS99" s="5"/>
      <c r="AT99" s="5"/>
      <c r="AU99" s="5"/>
      <c r="AV99" s="5">
        <f t="shared" si="84"/>
        <v>2031.75</v>
      </c>
      <c r="AW99" s="3">
        <f t="shared" ref="AW99:AW120" si="85">100*(AA99+AE99)/R99</f>
        <v>-0.49606699653029934</v>
      </c>
      <c r="AX99" s="3">
        <f t="shared" ref="AX99:AX120" si="86">100*(AB99+AF99)/S99</f>
        <v>-0.25120053354162369</v>
      </c>
      <c r="AY99" s="3">
        <f t="shared" ref="AY99:AY120" si="87">100*(AC99+AG99)/T99</f>
        <v>0.16546661948170624</v>
      </c>
      <c r="AZ99" s="3">
        <f t="shared" ref="AZ99:AZ120" si="88">100*(AD99+AH99)/U99</f>
        <v>-0.92147069718974328</v>
      </c>
      <c r="BA99" s="3">
        <f t="shared" ref="BA99:BA120" si="89">100*(V99-R99)/R99</f>
        <v>-0.4631164405478867</v>
      </c>
      <c r="BB99" s="3">
        <f t="shared" ref="BB99:BB120" si="90">100*(W99-S99)/S99</f>
        <v>-0.22297440874602228</v>
      </c>
      <c r="BC99" s="3">
        <f t="shared" ref="BC99:BC120" si="91">100*(X99-T99)/T99</f>
        <v>0.15319443656222348</v>
      </c>
      <c r="BD99" s="3">
        <f t="shared" ref="BD99:BD120" si="92">100*(Y99-U99)/U99</f>
        <v>-0.95738294989275496</v>
      </c>
      <c r="BE99" s="3">
        <f t="shared" ref="BE99:BE120" si="93">100*(V99-AA99-V$3)/R99</f>
        <v>-0.35421847681071755</v>
      </c>
      <c r="BF99" s="3">
        <f t="shared" ref="BF99:BF120" si="94">100*(W99-AB99-W$3)/S99</f>
        <v>-0.17081396738046387</v>
      </c>
      <c r="BG99" s="3">
        <f t="shared" ref="BG99:BG120" si="95">100*(X99-AC99-X$3)/T99</f>
        <v>6.540946978748087E-2</v>
      </c>
      <c r="BH99" s="3">
        <f t="shared" ref="BH99:BH120" si="96">100*(Y99-AD99-Y$3)/U99</f>
        <v>-0.86899024808760295</v>
      </c>
      <c r="BI99" s="3">
        <f t="shared" ref="BI99:BI120" si="97">100*(AE99/R99)</f>
        <v>-0.38716903279312392</v>
      </c>
      <c r="BJ99" s="3">
        <f t="shared" ref="BJ99:BJ120" si="98">100*(AF99/S99)</f>
        <v>-0.19904009217605817</v>
      </c>
      <c r="BK99" s="3">
        <f t="shared" ref="BK99:BK120" si="99">100*(AG99/T99)</f>
        <v>7.7681652706969681E-2</v>
      </c>
      <c r="BL99" s="3">
        <f t="shared" ref="BL99:BL120" si="100">100*(AH99/U99)</f>
        <v>-0.83307799538459759</v>
      </c>
      <c r="BM99" s="2">
        <v>0</v>
      </c>
    </row>
    <row r="100" spans="1:65" x14ac:dyDescent="0.35">
      <c r="A100">
        <f t="shared" si="79"/>
        <v>97</v>
      </c>
      <c r="B100">
        <v>7.5693000000000002E-3</v>
      </c>
      <c r="C100">
        <v>2.2466000000000001E-3</v>
      </c>
      <c r="D100">
        <v>8.1439999999999995E-4</v>
      </c>
      <c r="E100">
        <v>1.43575E-2</v>
      </c>
      <c r="F100">
        <v>4.3543999999999996E-3</v>
      </c>
      <c r="G100">
        <v>1.7738999999999999E-3</v>
      </c>
      <c r="H100">
        <v>1.3339000000000001E-3</v>
      </c>
      <c r="I100">
        <v>9.9904E-3</v>
      </c>
      <c r="J100">
        <v>3.0784394000000002</v>
      </c>
      <c r="K100">
        <v>0.99828459999999997</v>
      </c>
      <c r="L100">
        <v>0.55204549999999997</v>
      </c>
      <c r="M100">
        <v>5.7284382999999996</v>
      </c>
      <c r="N100">
        <v>3.0666251999999998</v>
      </c>
      <c r="O100">
        <v>0.99627379999999999</v>
      </c>
      <c r="P100">
        <v>0.55248459999999999</v>
      </c>
      <c r="Q100">
        <v>5.6832868999999997</v>
      </c>
      <c r="R100">
        <v>3.0906913999999999</v>
      </c>
      <c r="S100">
        <v>1.0019087</v>
      </c>
      <c r="T100">
        <v>0.55328379999999999</v>
      </c>
      <c r="U100">
        <v>5.7495697000000003</v>
      </c>
      <c r="V100">
        <v>3.0766624999999999</v>
      </c>
      <c r="W100">
        <v>0.99970309999999996</v>
      </c>
      <c r="X100">
        <v>0.55417899999999998</v>
      </c>
      <c r="Y100">
        <v>5.6980586000000004</v>
      </c>
      <c r="AA100" s="5">
        <f t="shared" si="77"/>
        <v>-3.2149000000000006E-3</v>
      </c>
      <c r="AB100" s="5">
        <f t="shared" si="77"/>
        <v>-4.7270000000000016E-4</v>
      </c>
      <c r="AC100" s="5">
        <f t="shared" si="77"/>
        <v>5.195000000000001E-4</v>
      </c>
      <c r="AD100" s="5">
        <f t="shared" si="77"/>
        <v>-4.3671000000000005E-3</v>
      </c>
      <c r="AE100" s="5">
        <f t="shared" si="78"/>
        <v>-1.181420000000033E-2</v>
      </c>
      <c r="AF100" s="5">
        <f t="shared" si="78"/>
        <v>-2.0107999999999793E-3</v>
      </c>
      <c r="AG100" s="5">
        <f t="shared" si="78"/>
        <v>4.3910000000002558E-4</v>
      </c>
      <c r="AH100" s="5">
        <f t="shared" si="78"/>
        <v>-4.5151399999999953E-2</v>
      </c>
      <c r="AI100" s="5">
        <f t="shared" si="80"/>
        <v>1.0002000000003189E-3</v>
      </c>
      <c r="AJ100" s="5">
        <f t="shared" si="81"/>
        <v>2.7789999999994989E-4</v>
      </c>
      <c r="AK100" s="5">
        <f t="shared" si="82"/>
        <v>-6.3400000000040789E-5</v>
      </c>
      <c r="AL100" s="5">
        <f t="shared" si="83"/>
        <v>-1.9925999999999694E-3</v>
      </c>
      <c r="AM100" s="5"/>
      <c r="AN100" s="5"/>
      <c r="AO100" s="5"/>
      <c r="AP100" s="5"/>
      <c r="AQ100" s="5"/>
      <c r="AR100" s="5"/>
      <c r="AS100" s="5"/>
      <c r="AT100" s="5"/>
      <c r="AU100" s="5"/>
      <c r="AV100" s="5">
        <f t="shared" si="84"/>
        <v>2032</v>
      </c>
      <c r="AW100" s="3">
        <f t="shared" si="85"/>
        <v>-0.48626983593380857</v>
      </c>
      <c r="AX100" s="3">
        <f t="shared" si="86"/>
        <v>-0.24787687740409675</v>
      </c>
      <c r="AY100" s="3">
        <f t="shared" si="87"/>
        <v>0.17325647344094039</v>
      </c>
      <c r="AZ100" s="3">
        <f t="shared" si="88"/>
        <v>-0.86125575623511352</v>
      </c>
      <c r="BA100" s="3">
        <f t="shared" si="89"/>
        <v>-0.45390814495423293</v>
      </c>
      <c r="BB100" s="3">
        <f t="shared" si="90"/>
        <v>-0.22013981912723482</v>
      </c>
      <c r="BC100" s="3">
        <f t="shared" si="91"/>
        <v>0.16179761634083356</v>
      </c>
      <c r="BD100" s="3">
        <f t="shared" si="92"/>
        <v>-0.89591226279072533</v>
      </c>
      <c r="BE100" s="3">
        <f t="shared" si="93"/>
        <v>-0.34988934838333841</v>
      </c>
      <c r="BF100" s="3">
        <f t="shared" si="94"/>
        <v>-0.17295987149327341</v>
      </c>
      <c r="BG100" s="3">
        <f t="shared" si="95"/>
        <v>6.7903668966989239E-2</v>
      </c>
      <c r="BH100" s="3">
        <f t="shared" si="96"/>
        <v>-0.81995701347877037</v>
      </c>
      <c r="BI100" s="3">
        <f t="shared" si="97"/>
        <v>-0.38225103936291832</v>
      </c>
      <c r="BJ100" s="3">
        <f t="shared" si="98"/>
        <v>-0.20069692977014567</v>
      </c>
      <c r="BK100" s="3">
        <f t="shared" si="99"/>
        <v>7.9362526067097136E-2</v>
      </c>
      <c r="BL100" s="3">
        <f t="shared" si="100"/>
        <v>-0.78530050692315201</v>
      </c>
      <c r="BM100" s="2">
        <v>0</v>
      </c>
    </row>
    <row r="101" spans="1:65" x14ac:dyDescent="0.35">
      <c r="A101">
        <f t="shared" si="79"/>
        <v>98</v>
      </c>
      <c r="B101">
        <v>7.4930999999999999E-3</v>
      </c>
      <c r="C101">
        <v>2.222E-3</v>
      </c>
      <c r="D101">
        <v>7.9319999999999998E-4</v>
      </c>
      <c r="E101">
        <v>1.3887500000000001E-2</v>
      </c>
      <c r="F101">
        <v>4.0423999999999998E-3</v>
      </c>
      <c r="G101">
        <v>1.603E-3</v>
      </c>
      <c r="H101">
        <v>-3.189E-4</v>
      </c>
      <c r="I101">
        <v>9.7964999999999997E-3</v>
      </c>
      <c r="J101">
        <v>3.0785672000000002</v>
      </c>
      <c r="K101">
        <v>0.99832540000000003</v>
      </c>
      <c r="L101">
        <v>0.55207709999999999</v>
      </c>
      <c r="M101">
        <v>5.7291508000000002</v>
      </c>
      <c r="N101">
        <v>3.0669794000000001</v>
      </c>
      <c r="O101">
        <v>0.99634219999999996</v>
      </c>
      <c r="P101">
        <v>0.55372259999999995</v>
      </c>
      <c r="Q101">
        <v>5.6866982999999998</v>
      </c>
      <c r="R101">
        <v>3.0906913999999999</v>
      </c>
      <c r="S101">
        <v>1.0019087</v>
      </c>
      <c r="T101">
        <v>0.55328379999999999</v>
      </c>
      <c r="U101">
        <v>5.7495697000000003</v>
      </c>
      <c r="V101">
        <v>3.0766358</v>
      </c>
      <c r="W101">
        <v>0.99957969999999996</v>
      </c>
      <c r="X101">
        <v>0.55376049999999999</v>
      </c>
      <c r="Y101">
        <v>5.7011039999999999</v>
      </c>
      <c r="AA101" s="5">
        <f t="shared" si="77"/>
        <v>-3.4507000000000001E-3</v>
      </c>
      <c r="AB101" s="5">
        <f t="shared" si="77"/>
        <v>-6.1899999999999998E-4</v>
      </c>
      <c r="AC101" s="5">
        <f t="shared" si="77"/>
        <v>-1.1121E-3</v>
      </c>
      <c r="AD101" s="5">
        <f t="shared" si="77"/>
        <v>-4.0910000000000009E-3</v>
      </c>
      <c r="AE101" s="5">
        <f t="shared" si="78"/>
        <v>-1.1587800000000037E-2</v>
      </c>
      <c r="AF101" s="5">
        <f t="shared" si="78"/>
        <v>-1.9832000000000738E-3</v>
      </c>
      <c r="AG101" s="5">
        <f t="shared" si="78"/>
        <v>1.6454999999999664E-3</v>
      </c>
      <c r="AH101" s="5">
        <f t="shared" si="78"/>
        <v>-4.2452500000000448E-2</v>
      </c>
      <c r="AI101" s="5">
        <f t="shared" si="80"/>
        <v>9.8290000000020306E-4</v>
      </c>
      <c r="AJ101" s="5">
        <f t="shared" si="81"/>
        <v>2.7320000000004806E-4</v>
      </c>
      <c r="AK101" s="5">
        <f t="shared" si="82"/>
        <v>-5.6699999999969882E-5</v>
      </c>
      <c r="AL101" s="5">
        <f t="shared" si="83"/>
        <v>-1.9221999999999434E-3</v>
      </c>
      <c r="AM101" s="5"/>
      <c r="AN101" s="5"/>
      <c r="AO101" s="5"/>
      <c r="AP101" s="5"/>
      <c r="AQ101" s="5"/>
      <c r="AR101" s="5"/>
      <c r="AS101" s="5"/>
      <c r="AT101" s="5"/>
      <c r="AU101" s="5"/>
      <c r="AV101" s="5">
        <f t="shared" si="84"/>
        <v>2032.25</v>
      </c>
      <c r="AW101" s="3">
        <f t="shared" si="85"/>
        <v>-0.48657397500119359</v>
      </c>
      <c r="AX101" s="3">
        <f t="shared" si="86"/>
        <v>-0.25972426429674417</v>
      </c>
      <c r="AY101" s="3">
        <f t="shared" si="87"/>
        <v>9.6406220460452025E-2</v>
      </c>
      <c r="AZ101" s="3">
        <f t="shared" si="88"/>
        <v>-0.80951275362398756</v>
      </c>
      <c r="BA101" s="3">
        <f t="shared" si="89"/>
        <v>-0.45477202932650718</v>
      </c>
      <c r="BB101" s="3">
        <f t="shared" si="90"/>
        <v>-0.2324563106398842</v>
      </c>
      <c r="BC101" s="3">
        <f t="shared" si="91"/>
        <v>8.615831513592058E-2</v>
      </c>
      <c r="BD101" s="3">
        <f t="shared" si="92"/>
        <v>-0.84294482072285137</v>
      </c>
      <c r="BE101" s="3">
        <f t="shared" si="93"/>
        <v>-0.34312387189480309</v>
      </c>
      <c r="BF101" s="3">
        <f t="shared" si="94"/>
        <v>-0.1706742340894036</v>
      </c>
      <c r="BG101" s="3">
        <f t="shared" si="95"/>
        <v>0.28715823597219831</v>
      </c>
      <c r="BH101" s="3">
        <f t="shared" si="96"/>
        <v>-0.77179166990532422</v>
      </c>
      <c r="BI101" s="3">
        <f t="shared" si="97"/>
        <v>-0.37492581756949389</v>
      </c>
      <c r="BJ101" s="3">
        <f t="shared" si="98"/>
        <v>-0.19794218774625608</v>
      </c>
      <c r="BK101" s="3">
        <f t="shared" si="99"/>
        <v>0.29740614129673892</v>
      </c>
      <c r="BL101" s="3">
        <f t="shared" si="100"/>
        <v>-0.73835960280645774</v>
      </c>
      <c r="BM101" s="2">
        <v>0</v>
      </c>
    </row>
    <row r="102" spans="1:65" x14ac:dyDescent="0.35">
      <c r="A102">
        <f t="shared" si="79"/>
        <v>99</v>
      </c>
      <c r="B102">
        <v>7.4171000000000003E-3</v>
      </c>
      <c r="C102">
        <v>2.1974999999999998E-3</v>
      </c>
      <c r="D102">
        <v>7.7269999999999997E-4</v>
      </c>
      <c r="E102">
        <v>1.3429200000000001E-2</v>
      </c>
      <c r="F102">
        <v>3.8484999999999999E-3</v>
      </c>
      <c r="G102">
        <v>1.5041E-3</v>
      </c>
      <c r="H102">
        <v>-3.9130000000000002E-4</v>
      </c>
      <c r="I102">
        <v>9.4832000000000007E-3</v>
      </c>
      <c r="J102">
        <v>3.0786945999999999</v>
      </c>
      <c r="K102">
        <v>0.99836579999999997</v>
      </c>
      <c r="L102">
        <v>0.55210789999999998</v>
      </c>
      <c r="M102">
        <v>5.7298442999999999</v>
      </c>
      <c r="N102">
        <v>3.0673314</v>
      </c>
      <c r="O102">
        <v>0.99639719999999998</v>
      </c>
      <c r="P102">
        <v>0.55378490000000002</v>
      </c>
      <c r="Q102">
        <v>5.6898305999999996</v>
      </c>
      <c r="R102">
        <v>3.0906913999999999</v>
      </c>
      <c r="S102">
        <v>1.0019087</v>
      </c>
      <c r="T102">
        <v>0.55328379999999999</v>
      </c>
      <c r="U102">
        <v>5.7495697000000003</v>
      </c>
      <c r="V102">
        <v>3.0767256000000001</v>
      </c>
      <c r="W102">
        <v>0.99951520000000005</v>
      </c>
      <c r="X102">
        <v>0.55374310000000004</v>
      </c>
      <c r="Y102">
        <v>5.7037560999999997</v>
      </c>
      <c r="AA102" s="5">
        <f t="shared" si="77"/>
        <v>-3.5686000000000003E-3</v>
      </c>
      <c r="AB102" s="5">
        <f t="shared" si="77"/>
        <v>-6.9339999999999983E-4</v>
      </c>
      <c r="AC102" s="5">
        <f t="shared" si="77"/>
        <v>-1.1640000000000001E-3</v>
      </c>
      <c r="AD102" s="5">
        <f t="shared" si="77"/>
        <v>-3.9459999999999999E-3</v>
      </c>
      <c r="AE102" s="5">
        <f t="shared" si="78"/>
        <v>-1.1363199999999907E-2</v>
      </c>
      <c r="AF102" s="5">
        <f t="shared" si="78"/>
        <v>-1.968599999999987E-3</v>
      </c>
      <c r="AG102" s="5">
        <f t="shared" si="78"/>
        <v>1.6770000000000396E-3</v>
      </c>
      <c r="AH102" s="5">
        <f t="shared" si="78"/>
        <v>-4.0013700000000263E-2</v>
      </c>
      <c r="AI102" s="5">
        <f t="shared" si="80"/>
        <v>9.6600000000010046E-4</v>
      </c>
      <c r="AJ102" s="5">
        <f t="shared" si="81"/>
        <v>2.6850000000004952E-4</v>
      </c>
      <c r="AK102" s="5">
        <f t="shared" si="82"/>
        <v>-5.3699999999988132E-5</v>
      </c>
      <c r="AL102" s="5">
        <f t="shared" si="83"/>
        <v>-1.8539000000004149E-3</v>
      </c>
      <c r="AM102" s="5"/>
      <c r="AN102" s="5"/>
      <c r="AO102" s="5"/>
      <c r="AP102" s="5"/>
      <c r="AQ102" s="5"/>
      <c r="AR102" s="5"/>
      <c r="AS102" s="5"/>
      <c r="AT102" s="5"/>
      <c r="AU102" s="5"/>
      <c r="AV102" s="5">
        <f t="shared" si="84"/>
        <v>2032.5</v>
      </c>
      <c r="AW102" s="3">
        <f t="shared" si="85"/>
        <v>-0.48312167303406306</v>
      </c>
      <c r="AX102" s="3">
        <f t="shared" si="86"/>
        <v>-0.26569287201518327</v>
      </c>
      <c r="AY102" s="3">
        <f t="shared" si="87"/>
        <v>9.2719143412483704E-2</v>
      </c>
      <c r="AZ102" s="3">
        <f t="shared" si="88"/>
        <v>-0.76457373844864007</v>
      </c>
      <c r="BA102" s="3">
        <f t="shared" si="89"/>
        <v>-0.45186653057629134</v>
      </c>
      <c r="BB102" s="3">
        <f t="shared" si="90"/>
        <v>-0.23889402297833498</v>
      </c>
      <c r="BC102" s="3">
        <f t="shared" si="91"/>
        <v>8.3013455300887412E-2</v>
      </c>
      <c r="BD102" s="3">
        <f t="shared" si="92"/>
        <v>-0.79681789056319596</v>
      </c>
      <c r="BE102" s="3">
        <f t="shared" si="93"/>
        <v>-0.33640369271418963</v>
      </c>
      <c r="BF102" s="3">
        <f t="shared" si="94"/>
        <v>-0.16968612010254738</v>
      </c>
      <c r="BG102" s="3">
        <f t="shared" si="95"/>
        <v>0.29339373392101942</v>
      </c>
      <c r="BH102" s="3">
        <f t="shared" si="96"/>
        <v>-0.72818666760402384</v>
      </c>
      <c r="BI102" s="3">
        <f t="shared" si="97"/>
        <v>-0.36765883517195885</v>
      </c>
      <c r="BJ102" s="3">
        <f t="shared" si="98"/>
        <v>-0.19648496913940236</v>
      </c>
      <c r="BK102" s="3">
        <f t="shared" si="99"/>
        <v>0.30309942203260598</v>
      </c>
      <c r="BL102" s="3">
        <f t="shared" si="100"/>
        <v>-0.69594251548946806</v>
      </c>
      <c r="BM102" s="2">
        <v>0</v>
      </c>
    </row>
    <row r="103" spans="1:65" x14ac:dyDescent="0.35">
      <c r="A103">
        <f t="shared" si="79"/>
        <v>100</v>
      </c>
      <c r="B103">
        <v>7.3414999999999999E-3</v>
      </c>
      <c r="C103">
        <v>2.1732000000000001E-3</v>
      </c>
      <c r="D103">
        <v>7.5279999999999998E-4</v>
      </c>
      <c r="E103">
        <v>1.29824E-2</v>
      </c>
      <c r="F103">
        <v>3.6543000000000001E-3</v>
      </c>
      <c r="G103">
        <v>1.4084E-3</v>
      </c>
      <c r="H103">
        <v>-2.5559999999999998E-4</v>
      </c>
      <c r="I103">
        <v>9.2017000000000002E-3</v>
      </c>
      <c r="J103">
        <v>3.0788213</v>
      </c>
      <c r="K103">
        <v>0.99840600000000002</v>
      </c>
      <c r="L103">
        <v>0.55213780000000001</v>
      </c>
      <c r="M103">
        <v>5.7305187999999996</v>
      </c>
      <c r="N103">
        <v>3.0676668</v>
      </c>
      <c r="O103">
        <v>0.99644630000000001</v>
      </c>
      <c r="P103">
        <v>0.55356870000000002</v>
      </c>
      <c r="Q103">
        <v>5.6925597000000003</v>
      </c>
      <c r="R103">
        <v>3.0906913999999999</v>
      </c>
      <c r="S103">
        <v>1.0019087</v>
      </c>
      <c r="T103">
        <v>0.55328379999999999</v>
      </c>
      <c r="U103">
        <v>5.7495697000000003</v>
      </c>
      <c r="V103">
        <v>3.0767992999999998</v>
      </c>
      <c r="W103">
        <v>0.99944820000000001</v>
      </c>
      <c r="X103">
        <v>0.5536546</v>
      </c>
      <c r="Y103">
        <v>5.7060420000000001</v>
      </c>
      <c r="AA103" s="5">
        <f t="shared" si="77"/>
        <v>-3.6871999999999999E-3</v>
      </c>
      <c r="AB103" s="5">
        <f t="shared" si="77"/>
        <v>-7.6480000000000016E-4</v>
      </c>
      <c r="AC103" s="5">
        <f t="shared" si="77"/>
        <v>-1.0084E-3</v>
      </c>
      <c r="AD103" s="5">
        <f t="shared" si="77"/>
        <v>-3.7806999999999997E-3</v>
      </c>
      <c r="AE103" s="5">
        <f t="shared" si="78"/>
        <v>-1.1154499999999956E-2</v>
      </c>
      <c r="AF103" s="5">
        <f t="shared" si="78"/>
        <v>-1.9597000000000087E-3</v>
      </c>
      <c r="AG103" s="5">
        <f t="shared" si="78"/>
        <v>1.4309000000000127E-3</v>
      </c>
      <c r="AH103" s="5">
        <f t="shared" si="78"/>
        <v>-3.7959099999999246E-2</v>
      </c>
      <c r="AI103" s="5">
        <f t="shared" si="80"/>
        <v>9.4959999999988214E-4</v>
      </c>
      <c r="AJ103" s="5">
        <f t="shared" si="81"/>
        <v>2.6400000000003244E-4</v>
      </c>
      <c r="AK103" s="5">
        <f t="shared" si="82"/>
        <v>-5.170000000000825E-5</v>
      </c>
      <c r="AL103" s="5">
        <f t="shared" si="83"/>
        <v>-1.7879000000010359E-3</v>
      </c>
      <c r="AM103" s="5"/>
      <c r="AN103" s="5"/>
      <c r="AO103" s="5"/>
      <c r="AP103" s="5"/>
      <c r="AQ103" s="5"/>
      <c r="AR103" s="5"/>
      <c r="AS103" s="5"/>
      <c r="AT103" s="5"/>
      <c r="AU103" s="5"/>
      <c r="AV103" s="5">
        <f t="shared" si="84"/>
        <v>2032.75</v>
      </c>
      <c r="AW103" s="3">
        <f t="shared" si="85"/>
        <v>-0.48020646771786907</v>
      </c>
      <c r="AX103" s="3">
        <f t="shared" si="86"/>
        <v>-0.27193096536640604</v>
      </c>
      <c r="AY103" s="3">
        <f t="shared" si="87"/>
        <v>7.6362257488835336E-2</v>
      </c>
      <c r="AZ103" s="3">
        <f t="shared" si="88"/>
        <v>-0.72596389256746019</v>
      </c>
      <c r="BA103" s="3">
        <f t="shared" si="89"/>
        <v>-0.4494819508670479</v>
      </c>
      <c r="BB103" s="3">
        <f t="shared" si="90"/>
        <v>-0.24558125905084732</v>
      </c>
      <c r="BC103" s="3">
        <f t="shared" si="91"/>
        <v>6.7018047519194393E-2</v>
      </c>
      <c r="BD103" s="3">
        <f t="shared" si="92"/>
        <v>-0.7570601326913261</v>
      </c>
      <c r="BE103" s="3">
        <f t="shared" si="93"/>
        <v>-0.33018178392058761</v>
      </c>
      <c r="BF103" s="3">
        <f t="shared" si="94"/>
        <v>-0.169246958330631</v>
      </c>
      <c r="BG103" s="3">
        <f t="shared" si="95"/>
        <v>0.24927532669491223</v>
      </c>
      <c r="BH103" s="3">
        <f t="shared" si="96"/>
        <v>-0.69130390749068049</v>
      </c>
      <c r="BI103" s="3">
        <f t="shared" si="97"/>
        <v>-0.36090630077140529</v>
      </c>
      <c r="BJ103" s="3">
        <f t="shared" si="98"/>
        <v>-0.19559666464619069</v>
      </c>
      <c r="BK103" s="3">
        <f t="shared" si="99"/>
        <v>0.25861953666454951</v>
      </c>
      <c r="BL103" s="3">
        <f t="shared" si="100"/>
        <v>-0.66020766736681602</v>
      </c>
      <c r="BM103" s="2">
        <v>0</v>
      </c>
    </row>
    <row r="104" spans="1:65" x14ac:dyDescent="0.35">
      <c r="A104">
        <f t="shared" si="79"/>
        <v>101</v>
      </c>
      <c r="B104">
        <v>7.2661000000000002E-3</v>
      </c>
      <c r="C104">
        <v>2.1491000000000001E-3</v>
      </c>
      <c r="D104">
        <v>7.3349999999999999E-4</v>
      </c>
      <c r="E104">
        <v>1.2547300000000001E-2</v>
      </c>
      <c r="F104">
        <v>3.4937000000000002E-3</v>
      </c>
      <c r="G104">
        <v>1.3297999999999999E-3</v>
      </c>
      <c r="H104">
        <v>-1.0340000000000001E-4</v>
      </c>
      <c r="I104">
        <v>8.9750000000000003E-3</v>
      </c>
      <c r="J104">
        <v>3.0789474999999999</v>
      </c>
      <c r="K104">
        <v>0.9984459</v>
      </c>
      <c r="L104">
        <v>0.55216690000000002</v>
      </c>
      <c r="M104">
        <v>5.7311744999999998</v>
      </c>
      <c r="N104">
        <v>3.0679666999999999</v>
      </c>
      <c r="O104">
        <v>0.99648559999999997</v>
      </c>
      <c r="P104">
        <v>0.55321969999999998</v>
      </c>
      <c r="Q104">
        <v>5.6950645</v>
      </c>
      <c r="R104">
        <v>3.0906913999999999</v>
      </c>
      <c r="S104">
        <v>1.0019087</v>
      </c>
      <c r="T104">
        <v>0.55328379999999999</v>
      </c>
      <c r="U104">
        <v>5.7495697000000003</v>
      </c>
      <c r="V104">
        <v>3.0768716999999999</v>
      </c>
      <c r="W104">
        <v>0.99938870000000002</v>
      </c>
      <c r="X104">
        <v>0.55344970000000004</v>
      </c>
      <c r="Y104">
        <v>5.7081632999999998</v>
      </c>
      <c r="AA104" s="5">
        <f t="shared" si="77"/>
        <v>-3.7724E-3</v>
      </c>
      <c r="AB104" s="5">
        <f t="shared" si="77"/>
        <v>-8.1930000000000024E-4</v>
      </c>
      <c r="AC104" s="5">
        <f t="shared" si="77"/>
        <v>-8.3690000000000001E-4</v>
      </c>
      <c r="AD104" s="5">
        <f t="shared" si="77"/>
        <v>-3.5723000000000005E-3</v>
      </c>
      <c r="AE104" s="5">
        <f t="shared" si="78"/>
        <v>-1.0980800000000013E-2</v>
      </c>
      <c r="AF104" s="5">
        <f t="shared" si="78"/>
        <v>-1.9603000000000259E-3</v>
      </c>
      <c r="AG104" s="5">
        <f t="shared" si="78"/>
        <v>1.0527999999999649E-3</v>
      </c>
      <c r="AH104" s="5">
        <f t="shared" si="78"/>
        <v>-3.6109999999999864E-2</v>
      </c>
      <c r="AI104" s="5">
        <f t="shared" si="80"/>
        <v>9.3350000000002285E-4</v>
      </c>
      <c r="AJ104" s="5">
        <f t="shared" si="81"/>
        <v>2.5960000000005944E-4</v>
      </c>
      <c r="AK104" s="5">
        <f t="shared" si="82"/>
        <v>-4.9999999999912744E-5</v>
      </c>
      <c r="AL104" s="5">
        <f t="shared" si="83"/>
        <v>-1.7241000000006446E-3</v>
      </c>
      <c r="AM104" s="5"/>
      <c r="AN104" s="5"/>
      <c r="AO104" s="5"/>
      <c r="AP104" s="5"/>
      <c r="AQ104" s="5"/>
      <c r="AR104" s="5"/>
      <c r="AS104" s="5"/>
      <c r="AT104" s="5"/>
      <c r="AU104" s="5"/>
      <c r="AV104" s="5">
        <f t="shared" si="84"/>
        <v>2033</v>
      </c>
      <c r="AW104" s="3">
        <f t="shared" si="85"/>
        <v>-0.47734303075357226</v>
      </c>
      <c r="AX104" s="3">
        <f t="shared" si="86"/>
        <v>-0.27743046846484376</v>
      </c>
      <c r="AY104" s="3">
        <f t="shared" si="87"/>
        <v>3.9021565424464784E-2</v>
      </c>
      <c r="AZ104" s="3">
        <f t="shared" si="88"/>
        <v>-0.69017860588766955</v>
      </c>
      <c r="BA104" s="3">
        <f t="shared" si="89"/>
        <v>-0.44713943294370934</v>
      </c>
      <c r="BB104" s="3">
        <f t="shared" si="90"/>
        <v>-0.25151992392120825</v>
      </c>
      <c r="BC104" s="3">
        <f t="shared" si="91"/>
        <v>2.9984611875506228E-2</v>
      </c>
      <c r="BD104" s="3">
        <f t="shared" si="92"/>
        <v>-0.72016519775385113</v>
      </c>
      <c r="BE104" s="3">
        <f t="shared" si="93"/>
        <v>-0.32508260125873756</v>
      </c>
      <c r="BF104" s="3">
        <f t="shared" si="94"/>
        <v>-0.16974600579873192</v>
      </c>
      <c r="BG104" s="3">
        <f t="shared" si="95"/>
        <v>0.18124514037824374</v>
      </c>
      <c r="BH104" s="3">
        <f t="shared" si="96"/>
        <v>-0.65803359162687292</v>
      </c>
      <c r="BI104" s="3">
        <f t="shared" si="97"/>
        <v>-0.35528619906859715</v>
      </c>
      <c r="BJ104" s="3">
        <f t="shared" si="98"/>
        <v>-0.19565655034236412</v>
      </c>
      <c r="BK104" s="3">
        <f t="shared" si="99"/>
        <v>0.19028209392719703</v>
      </c>
      <c r="BL104" s="3">
        <f t="shared" si="100"/>
        <v>-0.62804699976069267</v>
      </c>
      <c r="BM104" s="2">
        <v>0</v>
      </c>
    </row>
    <row r="105" spans="1:65" x14ac:dyDescent="0.35">
      <c r="A105">
        <f t="shared" si="79"/>
        <v>102</v>
      </c>
      <c r="B105">
        <v>7.1909000000000001E-3</v>
      </c>
      <c r="C105">
        <v>2.1251E-3</v>
      </c>
      <c r="D105">
        <v>7.1469999999999997E-4</v>
      </c>
      <c r="E105">
        <v>1.21236E-2</v>
      </c>
      <c r="F105">
        <v>3.3571E-3</v>
      </c>
      <c r="G105">
        <v>1.2627999999999999E-3</v>
      </c>
      <c r="H105">
        <v>8.3999999999999992E-6</v>
      </c>
      <c r="I105">
        <v>8.7918000000000007E-3</v>
      </c>
      <c r="J105">
        <v>3.0790730000000002</v>
      </c>
      <c r="K105">
        <v>0.99848550000000003</v>
      </c>
      <c r="L105">
        <v>0.5521952</v>
      </c>
      <c r="M105">
        <v>5.7318118</v>
      </c>
      <c r="N105">
        <v>3.0682173000000001</v>
      </c>
      <c r="O105">
        <v>0.99650430000000001</v>
      </c>
      <c r="P105">
        <v>0.55349000000000004</v>
      </c>
      <c r="Q105">
        <v>5.6975308</v>
      </c>
      <c r="R105">
        <v>3.0906913999999999</v>
      </c>
      <c r="S105">
        <v>1.0019087</v>
      </c>
      <c r="T105">
        <v>0.55328379999999999</v>
      </c>
      <c r="U105">
        <v>5.7495697000000003</v>
      </c>
      <c r="V105">
        <v>3.0769196000000001</v>
      </c>
      <c r="W105">
        <v>0.9993204</v>
      </c>
      <c r="X105">
        <v>0.55382480000000001</v>
      </c>
      <c r="Y105">
        <v>5.7102947999999998</v>
      </c>
      <c r="AA105" s="5">
        <f t="shared" si="77"/>
        <v>-3.8338000000000001E-3</v>
      </c>
      <c r="AB105" s="5">
        <f t="shared" si="77"/>
        <v>-8.6230000000000009E-4</v>
      </c>
      <c r="AC105" s="5">
        <f t="shared" si="77"/>
        <v>-7.0629999999999998E-4</v>
      </c>
      <c r="AD105" s="5">
        <f t="shared" si="77"/>
        <v>-3.3317999999999993E-3</v>
      </c>
      <c r="AE105" s="5">
        <f t="shared" si="78"/>
        <v>-1.0855700000000024E-2</v>
      </c>
      <c r="AF105" s="5">
        <f t="shared" si="78"/>
        <v>-1.9812000000000163E-3</v>
      </c>
      <c r="AG105" s="5">
        <f t="shared" si="78"/>
        <v>1.2948000000000404E-3</v>
      </c>
      <c r="AH105" s="5">
        <f t="shared" si="78"/>
        <v>-3.4281000000000006E-2</v>
      </c>
      <c r="AI105" s="5">
        <f t="shared" si="80"/>
        <v>9.1770000000024506E-4</v>
      </c>
      <c r="AJ105" s="5">
        <f t="shared" si="81"/>
        <v>2.5520000000002832E-4</v>
      </c>
      <c r="AK105" s="5">
        <f t="shared" si="82"/>
        <v>-4.7500000000026688E-5</v>
      </c>
      <c r="AL105" s="5">
        <f t="shared" si="83"/>
        <v>-1.6621000000005548E-3</v>
      </c>
      <c r="AM105" s="5"/>
      <c r="AN105" s="5"/>
      <c r="AO105" s="5"/>
      <c r="AP105" s="5"/>
      <c r="AQ105" s="5"/>
      <c r="AR105" s="5"/>
      <c r="AS105" s="5"/>
      <c r="AT105" s="5"/>
      <c r="AU105" s="5"/>
      <c r="AV105" s="5">
        <f t="shared" si="84"/>
        <v>2033.25</v>
      </c>
      <c r="AW105" s="3">
        <f t="shared" si="85"/>
        <v>-0.47528200324367631</v>
      </c>
      <c r="AX105" s="3">
        <f t="shared" si="86"/>
        <v>-0.28380829510713063</v>
      </c>
      <c r="AY105" s="3">
        <f t="shared" si="87"/>
        <v>0.10636494327143509</v>
      </c>
      <c r="AZ105" s="3">
        <f t="shared" si="88"/>
        <v>-0.65418460793683397</v>
      </c>
      <c r="BA105" s="3">
        <f t="shared" si="89"/>
        <v>-0.44558961790878826</v>
      </c>
      <c r="BB105" s="3">
        <f t="shared" si="90"/>
        <v>-0.25833691233542416</v>
      </c>
      <c r="BC105" s="3">
        <f t="shared" si="91"/>
        <v>9.7779837399904659E-2</v>
      </c>
      <c r="BD105" s="3">
        <f t="shared" si="92"/>
        <v>-0.68309285823599208</v>
      </c>
      <c r="BE105" s="3">
        <f t="shared" si="93"/>
        <v>-0.32154617571976157</v>
      </c>
      <c r="BF105" s="3">
        <f t="shared" si="94"/>
        <v>-0.17227118598729549</v>
      </c>
      <c r="BG105" s="3">
        <f t="shared" si="95"/>
        <v>0.22543584323272473</v>
      </c>
      <c r="BH105" s="3">
        <f t="shared" si="96"/>
        <v>-0.62514417383270926</v>
      </c>
      <c r="BI105" s="3">
        <f t="shared" si="97"/>
        <v>-0.35123856105465673</v>
      </c>
      <c r="BJ105" s="3">
        <f t="shared" si="98"/>
        <v>-0.19774256875901131</v>
      </c>
      <c r="BK105" s="3">
        <f t="shared" si="99"/>
        <v>0.2340209491042464</v>
      </c>
      <c r="BL105" s="3">
        <f t="shared" si="100"/>
        <v>-0.59623592353354726</v>
      </c>
      <c r="BM105" s="2">
        <v>0</v>
      </c>
    </row>
    <row r="106" spans="1:65" x14ac:dyDescent="0.35">
      <c r="A106">
        <f t="shared" si="79"/>
        <v>103</v>
      </c>
      <c r="B106">
        <v>7.1161999999999996E-3</v>
      </c>
      <c r="C106">
        <v>2.1013E-3</v>
      </c>
      <c r="D106">
        <v>6.9640000000000001E-4</v>
      </c>
      <c r="E106">
        <v>1.17114E-2</v>
      </c>
      <c r="F106">
        <v>3.2401999999999999E-3</v>
      </c>
      <c r="G106">
        <v>1.2051E-3</v>
      </c>
      <c r="H106">
        <v>1.053E-4</v>
      </c>
      <c r="I106">
        <v>8.6479999999999994E-3</v>
      </c>
      <c r="J106">
        <v>3.0791979</v>
      </c>
      <c r="K106">
        <v>0.99852479999999999</v>
      </c>
      <c r="L106">
        <v>0.55222269999999996</v>
      </c>
      <c r="M106">
        <v>5.7324308999999998</v>
      </c>
      <c r="N106">
        <v>3.0684916000000002</v>
      </c>
      <c r="O106">
        <v>0.9965368</v>
      </c>
      <c r="P106">
        <v>0.55263549999999995</v>
      </c>
      <c r="Q106">
        <v>5.6993501999999996</v>
      </c>
      <c r="R106">
        <v>3.0906913999999999</v>
      </c>
      <c r="S106">
        <v>1.0019087</v>
      </c>
      <c r="T106">
        <v>0.55328379999999999</v>
      </c>
      <c r="U106">
        <v>5.7495697000000003</v>
      </c>
      <c r="V106">
        <v>3.0770114999999998</v>
      </c>
      <c r="W106">
        <v>0.99927549999999998</v>
      </c>
      <c r="X106">
        <v>0.55306239999999995</v>
      </c>
      <c r="Y106">
        <v>5.711824</v>
      </c>
      <c r="AA106" s="5">
        <f t="shared" si="77"/>
        <v>-3.8759999999999997E-3</v>
      </c>
      <c r="AB106" s="5">
        <f t="shared" si="77"/>
        <v>-8.9619999999999999E-4</v>
      </c>
      <c r="AC106" s="5">
        <f t="shared" si="77"/>
        <v>-5.911E-4</v>
      </c>
      <c r="AD106" s="5">
        <f t="shared" si="77"/>
        <v>-3.0634000000000008E-3</v>
      </c>
      <c r="AE106" s="5">
        <f t="shared" si="78"/>
        <v>-1.0706299999999835E-2</v>
      </c>
      <c r="AF106" s="5">
        <f t="shared" si="78"/>
        <v>-1.9879999999999898E-3</v>
      </c>
      <c r="AG106" s="5">
        <f t="shared" si="78"/>
        <v>4.1279999999999095E-4</v>
      </c>
      <c r="AH106" s="5">
        <f t="shared" si="78"/>
        <v>-3.3080700000000185E-2</v>
      </c>
      <c r="AI106" s="5">
        <f t="shared" si="80"/>
        <v>9.0239999999975652E-4</v>
      </c>
      <c r="AJ106" s="5">
        <f t="shared" si="81"/>
        <v>2.5099999999998734E-4</v>
      </c>
      <c r="AK106" s="5">
        <f t="shared" si="82"/>
        <v>-4.3100000000029183E-5</v>
      </c>
      <c r="AL106" s="5">
        <f t="shared" si="83"/>
        <v>-1.6016000000001404E-3</v>
      </c>
      <c r="AM106" s="5"/>
      <c r="AN106" s="5"/>
      <c r="AO106" s="5"/>
      <c r="AP106" s="5"/>
      <c r="AQ106" s="5"/>
      <c r="AR106" s="5"/>
      <c r="AS106" s="5"/>
      <c r="AT106" s="5"/>
      <c r="AU106" s="5"/>
      <c r="AV106" s="5">
        <f t="shared" si="84"/>
        <v>2033.5</v>
      </c>
      <c r="AW106" s="3">
        <f t="shared" si="85"/>
        <v>-0.4718135236665762</v>
      </c>
      <c r="AX106" s="3">
        <f t="shared" si="86"/>
        <v>-0.28787054149744279</v>
      </c>
      <c r="AY106" s="3">
        <f t="shared" si="87"/>
        <v>-3.2225776355644074E-2</v>
      </c>
      <c r="AZ106" s="3">
        <f t="shared" si="88"/>
        <v>-0.62864008762256041</v>
      </c>
      <c r="BA106" s="3">
        <f t="shared" si="89"/>
        <v>-0.44261617319671831</v>
      </c>
      <c r="BB106" s="3">
        <f t="shared" si="90"/>
        <v>-0.26281835859894243</v>
      </c>
      <c r="BC106" s="3">
        <f t="shared" si="91"/>
        <v>-4.0015630314865214E-2</v>
      </c>
      <c r="BD106" s="3">
        <f t="shared" si="92"/>
        <v>-0.65649608526356895</v>
      </c>
      <c r="BE106" s="3">
        <f t="shared" si="93"/>
        <v>-0.31720734072641765</v>
      </c>
      <c r="BF106" s="3">
        <f t="shared" si="94"/>
        <v>-0.17336909041713078</v>
      </c>
      <c r="BG106" s="3">
        <f t="shared" si="95"/>
        <v>6.6819234541101211E-2</v>
      </c>
      <c r="BH106" s="3">
        <f t="shared" si="96"/>
        <v>-0.60321557628912736</v>
      </c>
      <c r="BI106" s="3">
        <f t="shared" si="97"/>
        <v>-0.34640469119627526</v>
      </c>
      <c r="BJ106" s="3">
        <f t="shared" si="98"/>
        <v>-0.19842127331562145</v>
      </c>
      <c r="BK106" s="3">
        <f t="shared" si="99"/>
        <v>7.4609088500330392E-2</v>
      </c>
      <c r="BL106" s="3">
        <f t="shared" si="100"/>
        <v>-0.57535957864812359</v>
      </c>
      <c r="BM106" s="2">
        <v>0</v>
      </c>
    </row>
    <row r="107" spans="1:65" x14ac:dyDescent="0.35">
      <c r="A107">
        <f t="shared" si="79"/>
        <v>104</v>
      </c>
      <c r="B107">
        <v>7.0416999999999997E-3</v>
      </c>
      <c r="C107">
        <v>2.0777E-3</v>
      </c>
      <c r="D107">
        <v>6.7869999999999996E-4</v>
      </c>
      <c r="E107">
        <v>1.1310499999999999E-2</v>
      </c>
      <c r="F107">
        <v>3.1407000000000002E-3</v>
      </c>
      <c r="G107">
        <v>1.1555999999999999E-3</v>
      </c>
      <c r="H107">
        <v>1.872E-4</v>
      </c>
      <c r="I107">
        <v>8.5375999999999994E-3</v>
      </c>
      <c r="J107">
        <v>3.0793222</v>
      </c>
      <c r="K107">
        <v>0.9985638</v>
      </c>
      <c r="L107">
        <v>0.55224949999999995</v>
      </c>
      <c r="M107">
        <v>5.7330319999999997</v>
      </c>
      <c r="N107">
        <v>3.0686762999999999</v>
      </c>
      <c r="O107">
        <v>0.99652459999999998</v>
      </c>
      <c r="P107">
        <v>0.55316339999999997</v>
      </c>
      <c r="Q107">
        <v>5.7012619000000004</v>
      </c>
      <c r="R107">
        <v>3.0906913999999999</v>
      </c>
      <c r="S107">
        <v>1.0019087</v>
      </c>
      <c r="T107">
        <v>0.55328379999999999</v>
      </c>
      <c r="U107">
        <v>5.7495697000000003</v>
      </c>
      <c r="V107">
        <v>3.077032</v>
      </c>
      <c r="W107">
        <v>0.99919440000000004</v>
      </c>
      <c r="X107">
        <v>0.55366360000000003</v>
      </c>
      <c r="Y107">
        <v>5.7134831999999998</v>
      </c>
      <c r="AA107" s="5">
        <f t="shared" si="77"/>
        <v>-3.9009999999999995E-3</v>
      </c>
      <c r="AB107" s="5">
        <f t="shared" si="77"/>
        <v>-9.2210000000000013E-4</v>
      </c>
      <c r="AC107" s="5">
        <f t="shared" si="77"/>
        <v>-4.9149999999999997E-4</v>
      </c>
      <c r="AD107" s="5">
        <f t="shared" si="77"/>
        <v>-2.7729E-3</v>
      </c>
      <c r="AE107" s="5">
        <f t="shared" si="78"/>
        <v>-1.0645900000000097E-2</v>
      </c>
      <c r="AF107" s="5">
        <f t="shared" si="78"/>
        <v>-2.0392000000000188E-3</v>
      </c>
      <c r="AG107" s="5">
        <f t="shared" si="78"/>
        <v>9.1390000000002303E-4</v>
      </c>
      <c r="AH107" s="5">
        <f t="shared" si="78"/>
        <v>-3.1770099999999246E-2</v>
      </c>
      <c r="AI107" s="5">
        <f t="shared" si="80"/>
        <v>8.8750000000021971E-4</v>
      </c>
      <c r="AJ107" s="5">
        <f t="shared" si="81"/>
        <v>2.4700000000007181E-4</v>
      </c>
      <c r="AK107" s="5">
        <f t="shared" si="82"/>
        <v>-4.2599999999981845E-5</v>
      </c>
      <c r="AL107" s="5">
        <f t="shared" si="83"/>
        <v>-1.5435000000013285E-3</v>
      </c>
      <c r="AM107" s="5"/>
      <c r="AN107" s="5"/>
      <c r="AO107" s="5"/>
      <c r="AP107" s="5"/>
      <c r="AQ107" s="5"/>
      <c r="AR107" s="5"/>
      <c r="AS107" s="5"/>
      <c r="AT107" s="5"/>
      <c r="AU107" s="5"/>
      <c r="AV107" s="5">
        <f t="shared" si="84"/>
        <v>2033.75</v>
      </c>
      <c r="AW107" s="3">
        <f t="shared" si="85"/>
        <v>-0.47066814888086517</v>
      </c>
      <c r="AX107" s="3">
        <f t="shared" si="86"/>
        <v>-0.29556585345551134</v>
      </c>
      <c r="AY107" s="3">
        <f t="shared" si="87"/>
        <v>7.634418358173925E-2</v>
      </c>
      <c r="AZ107" s="3">
        <f t="shared" si="88"/>
        <v>-0.60079278628449795</v>
      </c>
      <c r="BA107" s="3">
        <f t="shared" si="89"/>
        <v>-0.44195289118803249</v>
      </c>
      <c r="BB107" s="3">
        <f t="shared" si="90"/>
        <v>-0.2709129085314807</v>
      </c>
      <c r="BC107" s="3">
        <f t="shared" si="91"/>
        <v>6.8644699158016409E-2</v>
      </c>
      <c r="BD107" s="3">
        <f t="shared" si="92"/>
        <v>-0.62763827352159196</v>
      </c>
      <c r="BE107" s="3">
        <f t="shared" si="93"/>
        <v>-0.31573517821934421</v>
      </c>
      <c r="BF107" s="3">
        <f t="shared" si="94"/>
        <v>-0.17887857446490987</v>
      </c>
      <c r="BG107" s="3">
        <f t="shared" si="95"/>
        <v>0.15747795254443006</v>
      </c>
      <c r="BH107" s="3">
        <f t="shared" si="96"/>
        <v>-0.57941031656682929</v>
      </c>
      <c r="BI107" s="3">
        <f t="shared" si="97"/>
        <v>-0.34445043591217478</v>
      </c>
      <c r="BJ107" s="3">
        <f t="shared" si="98"/>
        <v>-0.2035315193889442</v>
      </c>
      <c r="BK107" s="3">
        <f t="shared" si="99"/>
        <v>0.16517743696815684</v>
      </c>
      <c r="BL107" s="3">
        <f t="shared" si="100"/>
        <v>-0.5525648293297365</v>
      </c>
      <c r="BM107" s="2">
        <v>0</v>
      </c>
    </row>
    <row r="108" spans="1:65" x14ac:dyDescent="0.35">
      <c r="A108">
        <f t="shared" si="79"/>
        <v>105</v>
      </c>
      <c r="B108">
        <v>7.4311999999999998E-3</v>
      </c>
      <c r="C108">
        <v>2.2896000000000001E-3</v>
      </c>
      <c r="D108">
        <v>2.6662999999999999E-3</v>
      </c>
      <c r="E108">
        <v>1.14346E-2</v>
      </c>
      <c r="F108">
        <v>3.0555999999999999E-3</v>
      </c>
      <c r="G108">
        <v>1.1129E-3</v>
      </c>
      <c r="H108">
        <v>2.5290000000000002E-4</v>
      </c>
      <c r="I108">
        <v>8.4534999999999992E-3</v>
      </c>
      <c r="J108">
        <v>3.0789821000000002</v>
      </c>
      <c r="K108">
        <v>0.99836720000000001</v>
      </c>
      <c r="L108">
        <v>0.55027079999999995</v>
      </c>
      <c r="M108">
        <v>5.7331016999999997</v>
      </c>
      <c r="N108">
        <v>3.0685072</v>
      </c>
      <c r="O108">
        <v>0.99633830000000001</v>
      </c>
      <c r="P108">
        <v>0.5521665</v>
      </c>
      <c r="Q108">
        <v>5.7028102000000001</v>
      </c>
      <c r="R108">
        <v>3.0906913999999999</v>
      </c>
      <c r="S108">
        <v>1.0019087</v>
      </c>
      <c r="T108">
        <v>0.55328379999999999</v>
      </c>
      <c r="U108">
        <v>5.7495697000000003</v>
      </c>
      <c r="V108">
        <v>3.0767139000000001</v>
      </c>
      <c r="W108">
        <v>0.99894620000000001</v>
      </c>
      <c r="X108">
        <v>0.55272809999999994</v>
      </c>
      <c r="Y108">
        <v>5.7148104000000002</v>
      </c>
      <c r="AA108" s="5">
        <f t="shared" si="77"/>
        <v>-4.3756000000000003E-3</v>
      </c>
      <c r="AB108" s="5">
        <f t="shared" si="77"/>
        <v>-1.1767000000000001E-3</v>
      </c>
      <c r="AC108" s="5">
        <f t="shared" si="77"/>
        <v>-2.4134E-3</v>
      </c>
      <c r="AD108" s="5">
        <f t="shared" si="77"/>
        <v>-2.9811000000000004E-3</v>
      </c>
      <c r="AE108" s="5">
        <f t="shared" si="78"/>
        <v>-1.0474900000000176E-2</v>
      </c>
      <c r="AF108" s="5">
        <f t="shared" si="78"/>
        <v>-2.0289000000000001E-3</v>
      </c>
      <c r="AG108" s="5">
        <f t="shared" si="78"/>
        <v>1.8957000000000557E-3</v>
      </c>
      <c r="AH108" s="5">
        <f t="shared" si="78"/>
        <v>-3.0291499999999694E-2</v>
      </c>
      <c r="AI108" s="5">
        <f t="shared" si="80"/>
        <v>8.7300000000042205E-4</v>
      </c>
      <c r="AJ108" s="5">
        <f t="shared" si="81"/>
        <v>2.4310000000002125E-4</v>
      </c>
      <c r="AK108" s="5">
        <f t="shared" si="82"/>
        <v>-3.8000000000103489E-5</v>
      </c>
      <c r="AL108" s="5">
        <f t="shared" si="83"/>
        <v>-1.4867000000004654E-3</v>
      </c>
      <c r="AM108" s="5"/>
      <c r="AN108" s="5"/>
      <c r="AO108" s="5"/>
      <c r="AP108" s="5"/>
      <c r="AQ108" s="5"/>
      <c r="AR108" s="5"/>
      <c r="AS108" s="5"/>
      <c r="AT108" s="5"/>
      <c r="AU108" s="5"/>
      <c r="AV108" s="5">
        <f t="shared" si="84"/>
        <v>2034</v>
      </c>
      <c r="AW108" s="3">
        <f t="shared" si="85"/>
        <v>-0.48049119365330928</v>
      </c>
      <c r="AX108" s="3">
        <f t="shared" si="86"/>
        <v>-0.31994931274676025</v>
      </c>
      <c r="AY108" s="3">
        <f t="shared" si="87"/>
        <v>-9.3568617046070085E-2</v>
      </c>
      <c r="AZ108" s="3">
        <f t="shared" si="88"/>
        <v>-0.57869721972410715</v>
      </c>
      <c r="BA108" s="3">
        <f t="shared" si="89"/>
        <v>-0.45224508664953589</v>
      </c>
      <c r="BB108" s="3">
        <f t="shared" si="90"/>
        <v>-0.29568562484785083</v>
      </c>
      <c r="BC108" s="3">
        <f t="shared" si="91"/>
        <v>-0.10043670174330928</v>
      </c>
      <c r="BD108" s="3">
        <f t="shared" si="92"/>
        <v>-0.60455480694494679</v>
      </c>
      <c r="BE108" s="3">
        <f t="shared" si="93"/>
        <v>-0.31067158629942254</v>
      </c>
      <c r="BF108" s="3">
        <f t="shared" si="94"/>
        <v>-0.17823979370574869</v>
      </c>
      <c r="BG108" s="3">
        <f t="shared" si="95"/>
        <v>0.33575897215858519</v>
      </c>
      <c r="BH108" s="3">
        <f t="shared" si="96"/>
        <v>-0.55270570943769504</v>
      </c>
      <c r="BI108" s="3">
        <f t="shared" si="97"/>
        <v>-0.33891769330319343</v>
      </c>
      <c r="BJ108" s="3">
        <f t="shared" si="98"/>
        <v>-0.2025034816046612</v>
      </c>
      <c r="BK108" s="3">
        <f t="shared" si="99"/>
        <v>0.34262705685582262</v>
      </c>
      <c r="BL108" s="3">
        <f t="shared" si="100"/>
        <v>-0.5268481222168625</v>
      </c>
      <c r="BM108" s="2">
        <v>0</v>
      </c>
    </row>
    <row r="109" spans="1:65" x14ac:dyDescent="0.35">
      <c r="A109">
        <f t="shared" si="79"/>
        <v>106</v>
      </c>
      <c r="B109">
        <v>7.6781999999999996E-3</v>
      </c>
      <c r="C109">
        <v>2.4145E-3</v>
      </c>
      <c r="D109">
        <v>2.7537E-3</v>
      </c>
      <c r="E109">
        <v>1.1712800000000001E-2</v>
      </c>
      <c r="F109">
        <v>2.9824999999999999E-3</v>
      </c>
      <c r="G109">
        <v>1.0758E-3</v>
      </c>
      <c r="H109">
        <v>3.0620000000000002E-4</v>
      </c>
      <c r="I109">
        <v>8.3902000000000004E-3</v>
      </c>
      <c r="J109">
        <v>3.0787843000000001</v>
      </c>
      <c r="K109">
        <v>0.99825739999999996</v>
      </c>
      <c r="L109">
        <v>0.55019189999999996</v>
      </c>
      <c r="M109">
        <v>5.7330110000000003</v>
      </c>
      <c r="N109">
        <v>3.0685099999999998</v>
      </c>
      <c r="O109">
        <v>0.9962432</v>
      </c>
      <c r="P109">
        <v>0.55181670000000005</v>
      </c>
      <c r="Q109">
        <v>5.7040189000000003</v>
      </c>
      <c r="R109">
        <v>3.0906913999999999</v>
      </c>
      <c r="S109">
        <v>1.0019087</v>
      </c>
      <c r="T109">
        <v>0.55328379999999999</v>
      </c>
      <c r="U109">
        <v>5.7495697000000003</v>
      </c>
      <c r="V109">
        <v>3.0765804999999999</v>
      </c>
      <c r="W109">
        <v>0.99879499999999999</v>
      </c>
      <c r="X109">
        <v>0.55242349999999996</v>
      </c>
      <c r="Y109">
        <v>5.7158229</v>
      </c>
      <c r="AA109" s="5">
        <f t="shared" si="77"/>
        <v>-4.6956999999999997E-3</v>
      </c>
      <c r="AB109" s="5">
        <f t="shared" si="77"/>
        <v>-1.3387E-3</v>
      </c>
      <c r="AC109" s="5">
        <f t="shared" si="77"/>
        <v>-2.4475E-3</v>
      </c>
      <c r="AD109" s="5">
        <f t="shared" si="77"/>
        <v>-3.3226000000000002E-3</v>
      </c>
      <c r="AE109" s="5">
        <f t="shared" si="78"/>
        <v>-1.0274300000000292E-2</v>
      </c>
      <c r="AF109" s="5">
        <f t="shared" si="78"/>
        <v>-2.014199999999966E-3</v>
      </c>
      <c r="AG109" s="5">
        <f t="shared" si="78"/>
        <v>1.6248000000000928E-3</v>
      </c>
      <c r="AH109" s="5">
        <f t="shared" si="78"/>
        <v>-2.8992099999999965E-2</v>
      </c>
      <c r="AI109" s="5">
        <f t="shared" si="80"/>
        <v>8.5910000000036582E-4</v>
      </c>
      <c r="AJ109" s="5">
        <f t="shared" si="81"/>
        <v>2.3919999999996895E-4</v>
      </c>
      <c r="AK109" s="5">
        <f t="shared" si="82"/>
        <v>-3.760000000012885E-5</v>
      </c>
      <c r="AL109" s="5">
        <f t="shared" si="83"/>
        <v>-1.4321000000003317E-3</v>
      </c>
      <c r="AM109" s="5"/>
      <c r="AN109" s="5"/>
      <c r="AO109" s="5"/>
      <c r="AP109" s="5"/>
      <c r="AQ109" s="5"/>
      <c r="AR109" s="5"/>
      <c r="AS109" s="5"/>
      <c r="AT109" s="5"/>
      <c r="AU109" s="5"/>
      <c r="AV109" s="5">
        <f t="shared" si="84"/>
        <v>2034.25</v>
      </c>
      <c r="AW109" s="3">
        <f t="shared" si="85"/>
        <v>-0.48435764243561463</v>
      </c>
      <c r="AX109" s="3">
        <f t="shared" si="86"/>
        <v>-0.33465125115691341</v>
      </c>
      <c r="AY109" s="3">
        <f t="shared" si="87"/>
        <v>-0.14869403369480674</v>
      </c>
      <c r="AZ109" s="3">
        <f t="shared" si="88"/>
        <v>-0.56203684251362263</v>
      </c>
      <c r="BA109" s="3">
        <f t="shared" si="89"/>
        <v>-0.45656127298894761</v>
      </c>
      <c r="BB109" s="3">
        <f t="shared" si="90"/>
        <v>-0.31077682028312531</v>
      </c>
      <c r="BC109" s="3">
        <f t="shared" si="91"/>
        <v>-0.15548982276365872</v>
      </c>
      <c r="BD109" s="3">
        <f t="shared" si="92"/>
        <v>-0.58694479345124373</v>
      </c>
      <c r="BE109" s="3">
        <f t="shared" si="93"/>
        <v>-0.3046308667374506</v>
      </c>
      <c r="BF109" s="3">
        <f t="shared" si="94"/>
        <v>-0.17716185117467112</v>
      </c>
      <c r="BG109" s="3">
        <f t="shared" si="95"/>
        <v>0.28686905345864289</v>
      </c>
      <c r="BH109" s="3">
        <f t="shared" si="96"/>
        <v>-0.52915612102242304</v>
      </c>
      <c r="BI109" s="3">
        <f t="shared" si="97"/>
        <v>-0.33242723618412018</v>
      </c>
      <c r="BJ109" s="3">
        <f t="shared" si="98"/>
        <v>-0.2010362820484507</v>
      </c>
      <c r="BK109" s="3">
        <f t="shared" si="99"/>
        <v>0.29366484252748637</v>
      </c>
      <c r="BL109" s="3">
        <f t="shared" si="100"/>
        <v>-0.50424817008479728</v>
      </c>
      <c r="BM109" s="2">
        <v>0</v>
      </c>
    </row>
    <row r="110" spans="1:65" x14ac:dyDescent="0.35">
      <c r="A110">
        <f t="shared" si="79"/>
        <v>107</v>
      </c>
      <c r="B110">
        <v>7.9252000000000003E-3</v>
      </c>
      <c r="C110">
        <v>2.5352999999999999E-3</v>
      </c>
      <c r="D110">
        <v>2.5907999999999999E-3</v>
      </c>
      <c r="E110">
        <v>1.1962499999999999E-2</v>
      </c>
      <c r="F110">
        <v>2.9191E-3</v>
      </c>
      <c r="G110">
        <v>1.0432E-3</v>
      </c>
      <c r="H110">
        <v>3.501E-4</v>
      </c>
      <c r="I110">
        <v>8.3432000000000003E-3</v>
      </c>
      <c r="J110">
        <v>3.0785860999999999</v>
      </c>
      <c r="K110">
        <v>0.99815160000000003</v>
      </c>
      <c r="L110">
        <v>0.5503633</v>
      </c>
      <c r="M110">
        <v>5.7329426999999997</v>
      </c>
      <c r="N110">
        <v>3.0684874</v>
      </c>
      <c r="O110">
        <v>0.99614729999999996</v>
      </c>
      <c r="P110">
        <v>0.55163609999999996</v>
      </c>
      <c r="Q110">
        <v>5.7050871000000001</v>
      </c>
      <c r="R110">
        <v>3.0906913999999999</v>
      </c>
      <c r="S110">
        <v>1.0019087</v>
      </c>
      <c r="T110">
        <v>0.55328379999999999</v>
      </c>
      <c r="U110">
        <v>5.7495697000000003</v>
      </c>
      <c r="V110">
        <v>3.0764317000000001</v>
      </c>
      <c r="W110">
        <v>0.99864779999999997</v>
      </c>
      <c r="X110">
        <v>0.55227879999999996</v>
      </c>
      <c r="Y110">
        <v>5.7167155000000003</v>
      </c>
      <c r="AA110" s="5">
        <f t="shared" si="77"/>
        <v>-5.0061000000000003E-3</v>
      </c>
      <c r="AB110" s="5">
        <f t="shared" si="77"/>
        <v>-1.4920999999999999E-3</v>
      </c>
      <c r="AC110" s="5">
        <f t="shared" si="77"/>
        <v>-2.2407E-3</v>
      </c>
      <c r="AD110" s="5">
        <f t="shared" si="77"/>
        <v>-3.6192999999999989E-3</v>
      </c>
      <c r="AE110" s="5">
        <f t="shared" si="78"/>
        <v>-1.0098699999999905E-2</v>
      </c>
      <c r="AF110" s="5">
        <f t="shared" si="78"/>
        <v>-2.0043000000000699E-3</v>
      </c>
      <c r="AG110" s="5">
        <f t="shared" si="78"/>
        <v>1.2727999999999628E-3</v>
      </c>
      <c r="AH110" s="5">
        <f t="shared" si="78"/>
        <v>-2.7855599999999647E-2</v>
      </c>
      <c r="AI110" s="5">
        <f t="shared" si="80"/>
        <v>8.4510000000014018E-4</v>
      </c>
      <c r="AJ110" s="5">
        <f t="shared" si="81"/>
        <v>2.3550000000005858E-4</v>
      </c>
      <c r="AK110" s="5">
        <f t="shared" si="82"/>
        <v>-3.7099999999996511E-5</v>
      </c>
      <c r="AL110" s="5">
        <f t="shared" si="83"/>
        <v>-1.3793000000004094E-3</v>
      </c>
      <c r="AM110" s="5"/>
      <c r="AN110" s="5"/>
      <c r="AO110" s="5"/>
      <c r="AP110" s="5"/>
      <c r="AQ110" s="5"/>
      <c r="AR110" s="5"/>
      <c r="AS110" s="5"/>
      <c r="AT110" s="5"/>
      <c r="AU110" s="5"/>
      <c r="AV110" s="5">
        <f t="shared" si="84"/>
        <v>2034.5</v>
      </c>
      <c r="AW110" s="3">
        <f t="shared" si="85"/>
        <v>-0.48871912608291807</v>
      </c>
      <c r="AX110" s="3">
        <f t="shared" si="86"/>
        <v>-0.34897391349132606</v>
      </c>
      <c r="AY110" s="3">
        <f t="shared" si="87"/>
        <v>-0.17493734680105166</v>
      </c>
      <c r="AZ110" s="3">
        <f t="shared" si="88"/>
        <v>-0.54743053206224535</v>
      </c>
      <c r="BA110" s="3">
        <f t="shared" si="89"/>
        <v>-0.4613757297153564</v>
      </c>
      <c r="BB110" s="3">
        <f t="shared" si="90"/>
        <v>-0.3254687777439213</v>
      </c>
      <c r="BC110" s="3">
        <f t="shared" si="91"/>
        <v>-0.18164276633439</v>
      </c>
      <c r="BD110" s="3">
        <f t="shared" si="92"/>
        <v>-0.57142015340730723</v>
      </c>
      <c r="BE110" s="3">
        <f t="shared" si="93"/>
        <v>-0.2994022631958545</v>
      </c>
      <c r="BF110" s="3">
        <f t="shared" si="94"/>
        <v>-0.17654303231422333</v>
      </c>
      <c r="BG110" s="3">
        <f t="shared" si="95"/>
        <v>0.22333927000934253</v>
      </c>
      <c r="BH110" s="3">
        <f t="shared" si="96"/>
        <v>-0.50847109480209651</v>
      </c>
      <c r="BI110" s="3">
        <f t="shared" si="97"/>
        <v>-0.32674565956342017</v>
      </c>
      <c r="BJ110" s="3">
        <f t="shared" si="98"/>
        <v>-0.20004816806162776</v>
      </c>
      <c r="BK110" s="3">
        <f t="shared" si="99"/>
        <v>0.23004468954268367</v>
      </c>
      <c r="BL110" s="3">
        <f t="shared" si="100"/>
        <v>-0.48448147345704229</v>
      </c>
      <c r="BM110" s="2">
        <v>0</v>
      </c>
    </row>
    <row r="111" spans="1:65" x14ac:dyDescent="0.35">
      <c r="A111">
        <f t="shared" si="79"/>
        <v>108</v>
      </c>
      <c r="B111">
        <v>8.1312999999999993E-3</v>
      </c>
      <c r="C111">
        <v>2.6354E-3</v>
      </c>
      <c r="D111">
        <v>2.4079000000000001E-3</v>
      </c>
      <c r="E111">
        <v>1.2156E-2</v>
      </c>
      <c r="F111">
        <v>2.8636999999999998E-3</v>
      </c>
      <c r="G111">
        <v>1.0145E-3</v>
      </c>
      <c r="H111">
        <v>3.8630000000000001E-4</v>
      </c>
      <c r="I111">
        <v>8.3091999999999992E-3</v>
      </c>
      <c r="J111">
        <v>3.0784284999999998</v>
      </c>
      <c r="K111">
        <v>0.99806640000000002</v>
      </c>
      <c r="L111">
        <v>0.5505544</v>
      </c>
      <c r="M111">
        <v>5.7329245999999996</v>
      </c>
      <c r="N111">
        <v>3.0684719</v>
      </c>
      <c r="O111">
        <v>0.996062</v>
      </c>
      <c r="P111">
        <v>0.55144729999999997</v>
      </c>
      <c r="Q111">
        <v>5.7060421999999997</v>
      </c>
      <c r="R111">
        <v>3.0906913999999999</v>
      </c>
      <c r="S111">
        <v>1.0019087</v>
      </c>
      <c r="T111">
        <v>0.55328379999999999</v>
      </c>
      <c r="U111">
        <v>5.7495697000000003</v>
      </c>
      <c r="V111">
        <v>3.0762988</v>
      </c>
      <c r="W111">
        <v>0.99851509999999999</v>
      </c>
      <c r="X111">
        <v>0.55211809999999995</v>
      </c>
      <c r="Y111">
        <v>5.7175118999999999</v>
      </c>
      <c r="AA111" s="5">
        <f t="shared" si="77"/>
        <v>-5.267599999999999E-3</v>
      </c>
      <c r="AB111" s="5">
        <f t="shared" si="77"/>
        <v>-1.6209E-3</v>
      </c>
      <c r="AC111" s="5">
        <f t="shared" si="77"/>
        <v>-2.0216000000000001E-3</v>
      </c>
      <c r="AD111" s="5">
        <f t="shared" si="77"/>
        <v>-3.8468000000000009E-3</v>
      </c>
      <c r="AE111" s="5">
        <f t="shared" si="78"/>
        <v>-9.9565999999997601E-3</v>
      </c>
      <c r="AF111" s="5">
        <f t="shared" si="78"/>
        <v>-2.0044000000000173E-3</v>
      </c>
      <c r="AG111" s="5">
        <f t="shared" si="78"/>
        <v>8.9289999999997427E-4</v>
      </c>
      <c r="AH111" s="5">
        <f t="shared" si="78"/>
        <v>-2.6882399999999862E-2</v>
      </c>
      <c r="AI111" s="5">
        <f t="shared" si="80"/>
        <v>8.3159999999989249E-4</v>
      </c>
      <c r="AJ111" s="5">
        <f t="shared" si="81"/>
        <v>2.3170000000002043E-4</v>
      </c>
      <c r="AK111" s="5">
        <f t="shared" si="82"/>
        <v>-3.7000000000021391E-5</v>
      </c>
      <c r="AL111" s="5">
        <f t="shared" si="83"/>
        <v>-1.3286000000006064E-3</v>
      </c>
      <c r="AM111" s="5"/>
      <c r="AN111" s="5"/>
      <c r="AO111" s="5"/>
      <c r="AP111" s="5"/>
      <c r="AQ111" s="5"/>
      <c r="AR111" s="5"/>
      <c r="AS111" s="5"/>
      <c r="AT111" s="5"/>
      <c r="AU111" s="5"/>
      <c r="AV111" s="5">
        <f t="shared" si="84"/>
        <v>2034.75</v>
      </c>
      <c r="AW111" s="3">
        <f t="shared" si="85"/>
        <v>-0.49258233934322138</v>
      </c>
      <c r="AX111" s="3">
        <f t="shared" si="86"/>
        <v>-0.361839357218878</v>
      </c>
      <c r="AY111" s="3">
        <f t="shared" si="87"/>
        <v>-0.20400018941455106</v>
      </c>
      <c r="AZ111" s="3">
        <f t="shared" si="88"/>
        <v>-0.53446086582792207</v>
      </c>
      <c r="BA111" s="3">
        <f t="shared" si="89"/>
        <v>-0.46567573844479804</v>
      </c>
      <c r="BB111" s="3">
        <f t="shared" si="90"/>
        <v>-0.33871349754723129</v>
      </c>
      <c r="BC111" s="3">
        <f t="shared" si="91"/>
        <v>-0.21068753504079593</v>
      </c>
      <c r="BD111" s="3">
        <f t="shared" si="92"/>
        <v>-0.55756868205285814</v>
      </c>
      <c r="BE111" s="3">
        <f t="shared" si="93"/>
        <v>-0.29524138191215243</v>
      </c>
      <c r="BF111" s="3">
        <f t="shared" si="94"/>
        <v>-0.17693228933934513</v>
      </c>
      <c r="BG111" s="3">
        <f t="shared" si="95"/>
        <v>0.15469457085132612</v>
      </c>
      <c r="BH111" s="3">
        <f t="shared" si="96"/>
        <v>-0.49066280560092435</v>
      </c>
      <c r="BI111" s="3">
        <f t="shared" si="97"/>
        <v>-0.32214798281056983</v>
      </c>
      <c r="BJ111" s="3">
        <f t="shared" si="98"/>
        <v>-0.20005814901098445</v>
      </c>
      <c r="BK111" s="3">
        <f t="shared" si="99"/>
        <v>0.16138191647757882</v>
      </c>
      <c r="BL111" s="3">
        <f t="shared" si="100"/>
        <v>-0.46755498937598511</v>
      </c>
      <c r="BM111" s="2">
        <v>0</v>
      </c>
    </row>
    <row r="112" spans="1:65" x14ac:dyDescent="0.35">
      <c r="A112">
        <f t="shared" si="79"/>
        <v>109</v>
      </c>
      <c r="B112">
        <v>8.3079999999999994E-3</v>
      </c>
      <c r="C112">
        <v>2.7212E-3</v>
      </c>
      <c r="D112">
        <v>2.2753999999999999E-3</v>
      </c>
      <c r="E112">
        <v>1.2306900000000001E-2</v>
      </c>
      <c r="F112">
        <v>2.8151000000000001E-3</v>
      </c>
      <c r="G112">
        <v>9.8890000000000002E-4</v>
      </c>
      <c r="H112">
        <v>4.1639999999999998E-4</v>
      </c>
      <c r="I112">
        <v>8.2851999999999995E-3</v>
      </c>
      <c r="J112">
        <v>3.0783</v>
      </c>
      <c r="K112">
        <v>0.99799530000000003</v>
      </c>
      <c r="L112">
        <v>0.55069500000000005</v>
      </c>
      <c r="M112">
        <v>5.7329433999999999</v>
      </c>
      <c r="N112">
        <v>3.0684539000000002</v>
      </c>
      <c r="O112">
        <v>0.9959829</v>
      </c>
      <c r="P112">
        <v>0.55102890000000004</v>
      </c>
      <c r="Q112">
        <v>5.7068336999999998</v>
      </c>
      <c r="R112">
        <v>3.0906913999999999</v>
      </c>
      <c r="S112">
        <v>1.0019087</v>
      </c>
      <c r="T112">
        <v>0.55328379999999999</v>
      </c>
      <c r="U112">
        <v>5.7495697000000003</v>
      </c>
      <c r="V112">
        <v>3.0761706000000002</v>
      </c>
      <c r="W112">
        <v>0.99839199999999995</v>
      </c>
      <c r="X112">
        <v>0.55172140000000003</v>
      </c>
      <c r="Y112">
        <v>5.7181585999999998</v>
      </c>
      <c r="AA112" s="5">
        <f t="shared" si="77"/>
        <v>-5.4928999999999993E-3</v>
      </c>
      <c r="AB112" s="5">
        <f t="shared" si="77"/>
        <v>-1.7323E-3</v>
      </c>
      <c r="AC112" s="5">
        <f t="shared" si="77"/>
        <v>-1.859E-3</v>
      </c>
      <c r="AD112" s="5">
        <f t="shared" si="77"/>
        <v>-4.0217000000000013E-3</v>
      </c>
      <c r="AE112" s="5">
        <f t="shared" si="78"/>
        <v>-9.8460999999998577E-3</v>
      </c>
      <c r="AF112" s="5">
        <f t="shared" si="78"/>
        <v>-2.0124000000000253E-3</v>
      </c>
      <c r="AG112" s="5">
        <f t="shared" si="78"/>
        <v>3.3389999999999809E-4</v>
      </c>
      <c r="AH112" s="5">
        <f t="shared" si="78"/>
        <v>-2.6109700000000124E-2</v>
      </c>
      <c r="AI112" s="5">
        <f t="shared" si="80"/>
        <v>8.1820000000018892E-4</v>
      </c>
      <c r="AJ112" s="5">
        <f t="shared" si="81"/>
        <v>2.2799999999998603E-4</v>
      </c>
      <c r="AK112" s="5">
        <f t="shared" si="82"/>
        <v>-3.729999999996193E-5</v>
      </c>
      <c r="AL112" s="5">
        <f t="shared" si="83"/>
        <v>-1.2797000000004527E-3</v>
      </c>
      <c r="AM112" s="5"/>
      <c r="AN112" s="5"/>
      <c r="AO112" s="5"/>
      <c r="AP112" s="5"/>
      <c r="AQ112" s="5"/>
      <c r="AR112" s="5"/>
      <c r="AS112" s="5"/>
      <c r="AT112" s="5"/>
      <c r="AU112" s="5"/>
      <c r="AV112" s="5">
        <f t="shared" si="84"/>
        <v>2035</v>
      </c>
      <c r="AW112" s="3">
        <f t="shared" si="85"/>
        <v>-0.49629671859182889</v>
      </c>
      <c r="AX112" s="3">
        <f t="shared" si="86"/>
        <v>-0.37375661075705052</v>
      </c>
      <c r="AY112" s="3">
        <f t="shared" si="87"/>
        <v>-0.27564515715081517</v>
      </c>
      <c r="AZ112" s="3">
        <f t="shared" si="88"/>
        <v>-0.52406356600912463</v>
      </c>
      <c r="BA112" s="3">
        <f t="shared" si="89"/>
        <v>-0.46982367764053273</v>
      </c>
      <c r="BB112" s="3">
        <f t="shared" si="90"/>
        <v>-0.35100004621179948</v>
      </c>
      <c r="BC112" s="3">
        <f t="shared" si="91"/>
        <v>-0.28238672449834312</v>
      </c>
      <c r="BD112" s="3">
        <f t="shared" si="92"/>
        <v>-0.54632088380458421</v>
      </c>
      <c r="BE112" s="3">
        <f t="shared" si="93"/>
        <v>-0.29209969005639108</v>
      </c>
      <c r="BF112" s="3">
        <f t="shared" si="94"/>
        <v>-0.17810006041468843</v>
      </c>
      <c r="BG112" s="3">
        <f t="shared" si="95"/>
        <v>5.3607208452532182E-2</v>
      </c>
      <c r="BH112" s="3">
        <f t="shared" si="96"/>
        <v>-0.47637304057728985</v>
      </c>
      <c r="BI112" s="3">
        <f t="shared" si="97"/>
        <v>-0.31857273100769162</v>
      </c>
      <c r="BJ112" s="3">
        <f t="shared" si="98"/>
        <v>-0.20085662495994147</v>
      </c>
      <c r="BK112" s="3">
        <f t="shared" si="99"/>
        <v>6.0348775800050186E-2</v>
      </c>
      <c r="BL112" s="3">
        <f t="shared" si="100"/>
        <v>-0.45411572278183049</v>
      </c>
      <c r="BM112" s="2">
        <v>0</v>
      </c>
    </row>
    <row r="113" spans="1:65" x14ac:dyDescent="0.35">
      <c r="A113">
        <f t="shared" si="79"/>
        <v>110</v>
      </c>
      <c r="B113">
        <v>8.4609000000000004E-3</v>
      </c>
      <c r="C113">
        <v>2.7956999999999999E-3</v>
      </c>
      <c r="D113">
        <v>2.1551000000000001E-3</v>
      </c>
      <c r="E113">
        <v>1.24175E-2</v>
      </c>
      <c r="F113">
        <v>2.7721E-3</v>
      </c>
      <c r="G113">
        <v>9.6599999999999995E-4</v>
      </c>
      <c r="H113">
        <v>4.416E-4</v>
      </c>
      <c r="I113">
        <v>8.2687999999999998E-3</v>
      </c>
      <c r="J113">
        <v>3.0781949000000002</v>
      </c>
      <c r="K113">
        <v>0.99793549999999998</v>
      </c>
      <c r="L113">
        <v>0.55082310000000001</v>
      </c>
      <c r="M113">
        <v>5.7329968999999998</v>
      </c>
      <c r="N113">
        <v>3.0684225000000001</v>
      </c>
      <c r="O113">
        <v>0.99590630000000002</v>
      </c>
      <c r="P113">
        <v>0.55098040000000004</v>
      </c>
      <c r="Q113">
        <v>5.7075456000000004</v>
      </c>
      <c r="R113">
        <v>3.0906913999999999</v>
      </c>
      <c r="S113">
        <v>1.0019087</v>
      </c>
      <c r="T113">
        <v>0.55328379999999999</v>
      </c>
      <c r="U113">
        <v>5.7495697000000003</v>
      </c>
      <c r="V113">
        <v>3.0760350999999999</v>
      </c>
      <c r="W113">
        <v>0.99827429999999995</v>
      </c>
      <c r="X113">
        <v>0.55169049999999997</v>
      </c>
      <c r="Y113">
        <v>5.7187371000000002</v>
      </c>
      <c r="AA113" s="5">
        <f t="shared" si="77"/>
        <v>-5.6888000000000008E-3</v>
      </c>
      <c r="AB113" s="5">
        <f t="shared" si="77"/>
        <v>-1.8297000000000001E-3</v>
      </c>
      <c r="AC113" s="5">
        <f t="shared" si="77"/>
        <v>-1.7135000000000002E-3</v>
      </c>
      <c r="AD113" s="5">
        <f t="shared" si="77"/>
        <v>-4.1487E-3</v>
      </c>
      <c r="AE113" s="5">
        <f t="shared" si="78"/>
        <v>-9.7724000000001254E-3</v>
      </c>
      <c r="AF113" s="5">
        <f t="shared" si="78"/>
        <v>-2.0291999999999533E-3</v>
      </c>
      <c r="AG113" s="5">
        <f t="shared" si="78"/>
        <v>1.5730000000002686E-4</v>
      </c>
      <c r="AH113" s="5">
        <f t="shared" si="78"/>
        <v>-2.5451299999999399E-2</v>
      </c>
      <c r="AI113" s="5">
        <f t="shared" si="80"/>
        <v>8.0490000000017076E-4</v>
      </c>
      <c r="AJ113" s="5">
        <f t="shared" si="81"/>
        <v>2.2449999999991574E-4</v>
      </c>
      <c r="AK113" s="5">
        <f t="shared" si="82"/>
        <v>-3.7100000000046384E-5</v>
      </c>
      <c r="AL113" s="5">
        <f t="shared" si="83"/>
        <v>-1.2326000000007012E-3</v>
      </c>
      <c r="AM113" s="5"/>
      <c r="AN113" s="5"/>
      <c r="AO113" s="5"/>
      <c r="AP113" s="5"/>
      <c r="AQ113" s="5"/>
      <c r="AR113" s="5"/>
      <c r="AS113" s="5"/>
      <c r="AT113" s="5"/>
      <c r="AU113" s="5"/>
      <c r="AV113" s="5">
        <f t="shared" si="84"/>
        <v>2035.25</v>
      </c>
      <c r="AW113" s="3">
        <f t="shared" si="85"/>
        <v>-0.50025052646796531</v>
      </c>
      <c r="AX113" s="3">
        <f t="shared" si="86"/>
        <v>-0.38515485492839352</v>
      </c>
      <c r="AY113" s="3">
        <f t="shared" si="87"/>
        <v>-0.28126614225827207</v>
      </c>
      <c r="AZ113" s="3">
        <f t="shared" si="88"/>
        <v>-0.51482113522337847</v>
      </c>
      <c r="BA113" s="3">
        <f t="shared" si="89"/>
        <v>-0.47420780994181289</v>
      </c>
      <c r="BB113" s="3">
        <f t="shared" si="90"/>
        <v>-0.3627476236108178</v>
      </c>
      <c r="BC113" s="3">
        <f t="shared" si="91"/>
        <v>-0.28797156179161937</v>
      </c>
      <c r="BD113" s="3">
        <f t="shared" si="92"/>
        <v>-0.5362592612800241</v>
      </c>
      <c r="BE113" s="3">
        <f t="shared" si="93"/>
        <v>-0.2901454347722906</v>
      </c>
      <c r="BF113" s="3">
        <f t="shared" si="94"/>
        <v>-0.18012619313517325</v>
      </c>
      <c r="BG113" s="3">
        <f t="shared" si="95"/>
        <v>2.1724836331736937E-2</v>
      </c>
      <c r="BH113" s="3">
        <f t="shared" si="96"/>
        <v>-0.4641025571009269</v>
      </c>
      <c r="BI113" s="3">
        <f t="shared" si="97"/>
        <v>-0.31618815129844818</v>
      </c>
      <c r="BJ113" s="3">
        <f t="shared" si="98"/>
        <v>-0.20253342445274236</v>
      </c>
      <c r="BK113" s="3">
        <f t="shared" si="99"/>
        <v>2.843025586507808E-2</v>
      </c>
      <c r="BL113" s="3">
        <f t="shared" si="100"/>
        <v>-0.44266443104428144</v>
      </c>
      <c r="BM113" s="2">
        <v>0</v>
      </c>
    </row>
    <row r="114" spans="1:65" x14ac:dyDescent="0.35">
      <c r="A114">
        <f t="shared" si="79"/>
        <v>111</v>
      </c>
      <c r="B114">
        <v>8.5921000000000001E-3</v>
      </c>
      <c r="C114">
        <v>2.8598E-3</v>
      </c>
      <c r="D114">
        <v>2.0631999999999998E-3</v>
      </c>
      <c r="E114">
        <v>1.24989E-2</v>
      </c>
      <c r="F114">
        <v>2.7338000000000002E-3</v>
      </c>
      <c r="G114">
        <v>9.4539999999999999E-4</v>
      </c>
      <c r="H114">
        <v>4.6220000000000001E-4</v>
      </c>
      <c r="I114">
        <v>8.2579000000000003E-3</v>
      </c>
      <c r="J114">
        <v>3.0781111999999999</v>
      </c>
      <c r="K114">
        <v>0.99788580000000004</v>
      </c>
      <c r="L114">
        <v>0.55092269999999999</v>
      </c>
      <c r="M114">
        <v>5.7330740999999996</v>
      </c>
      <c r="N114">
        <v>3.0683953000000002</v>
      </c>
      <c r="O114">
        <v>0.99583809999999995</v>
      </c>
      <c r="P114">
        <v>0.55077469999999995</v>
      </c>
      <c r="Q114">
        <v>5.7080913000000004</v>
      </c>
      <c r="R114">
        <v>3.0906913999999999</v>
      </c>
      <c r="S114">
        <v>1.0019087</v>
      </c>
      <c r="T114">
        <v>0.55328379999999999</v>
      </c>
      <c r="U114">
        <v>5.7495697000000003</v>
      </c>
      <c r="V114">
        <v>3.0759093000000002</v>
      </c>
      <c r="W114">
        <v>0.99816749999999999</v>
      </c>
      <c r="X114">
        <v>0.5514983</v>
      </c>
      <c r="Y114">
        <v>5.7191587000000004</v>
      </c>
      <c r="AA114" s="5">
        <f t="shared" si="77"/>
        <v>-5.8583000000000003E-3</v>
      </c>
      <c r="AB114" s="5">
        <f t="shared" si="77"/>
        <v>-1.9144000000000001E-3</v>
      </c>
      <c r="AC114" s="5">
        <f t="shared" si="77"/>
        <v>-1.6009999999999998E-3</v>
      </c>
      <c r="AD114" s="5">
        <f t="shared" si="77"/>
        <v>-4.241E-3</v>
      </c>
      <c r="AE114" s="5">
        <f t="shared" si="78"/>
        <v>-9.7158999999997775E-3</v>
      </c>
      <c r="AF114" s="5">
        <f t="shared" si="78"/>
        <v>-2.0477000000000967E-3</v>
      </c>
      <c r="AG114" s="5">
        <f t="shared" si="78"/>
        <v>-1.4800000000003699E-4</v>
      </c>
      <c r="AH114" s="5">
        <f t="shared" si="78"/>
        <v>-2.4982799999999195E-2</v>
      </c>
      <c r="AI114" s="5">
        <f t="shared" si="80"/>
        <v>7.9210000000009065E-4</v>
      </c>
      <c r="AJ114" s="5">
        <f t="shared" si="81"/>
        <v>2.2090000000009671E-4</v>
      </c>
      <c r="AK114" s="5">
        <f t="shared" si="82"/>
        <v>-3.6499999999958658E-5</v>
      </c>
      <c r="AL114" s="5">
        <f t="shared" si="83"/>
        <v>-1.1872000000007696E-3</v>
      </c>
      <c r="AM114" s="5"/>
      <c r="AN114" s="5"/>
      <c r="AO114" s="5"/>
      <c r="AP114" s="5"/>
      <c r="AQ114" s="5"/>
      <c r="AR114" s="5"/>
      <c r="AS114" s="5"/>
      <c r="AT114" s="5"/>
      <c r="AU114" s="5"/>
      <c r="AV114" s="5">
        <f t="shared" si="84"/>
        <v>2035.5</v>
      </c>
      <c r="AW114" s="3">
        <f t="shared" si="85"/>
        <v>-0.50390666632067438</v>
      </c>
      <c r="AX114" s="3">
        <f t="shared" si="86"/>
        <v>-0.39545519466994317</v>
      </c>
      <c r="AY114" s="3">
        <f t="shared" si="87"/>
        <v>-0.31611263514312848</v>
      </c>
      <c r="AZ114" s="3">
        <f t="shared" si="88"/>
        <v>-0.5082780368763804</v>
      </c>
      <c r="BA114" s="3">
        <f t="shared" si="89"/>
        <v>-0.47827809660969994</v>
      </c>
      <c r="BB114" s="3">
        <f t="shared" si="90"/>
        <v>-0.37340727752937969</v>
      </c>
      <c r="BC114" s="3">
        <f t="shared" si="91"/>
        <v>-0.32270961123387226</v>
      </c>
      <c r="BD114" s="3">
        <f t="shared" si="92"/>
        <v>-0.52892653862427241</v>
      </c>
      <c r="BE114" s="3">
        <f t="shared" si="93"/>
        <v>-0.2887315116611065</v>
      </c>
      <c r="BF114" s="3">
        <f t="shared" si="94"/>
        <v>-0.18233198294414513</v>
      </c>
      <c r="BG114" s="3">
        <f t="shared" si="95"/>
        <v>-3.3346358595721014E-2</v>
      </c>
      <c r="BH114" s="3">
        <f t="shared" si="96"/>
        <v>-0.45516449691877953</v>
      </c>
      <c r="BI114" s="3">
        <f t="shared" si="97"/>
        <v>-0.31436008137207672</v>
      </c>
      <c r="BJ114" s="3">
        <f t="shared" si="98"/>
        <v>-0.20437990008471799</v>
      </c>
      <c r="BK114" s="3">
        <f t="shared" si="99"/>
        <v>-2.6749382504970682E-2</v>
      </c>
      <c r="BL114" s="3">
        <f t="shared" si="100"/>
        <v>-0.43451599517089412</v>
      </c>
      <c r="BM114" s="2">
        <v>0</v>
      </c>
    </row>
    <row r="115" spans="1:65" x14ac:dyDescent="0.35">
      <c r="A115">
        <f t="shared" si="79"/>
        <v>112</v>
      </c>
      <c r="B115">
        <v>8.7060000000000002E-3</v>
      </c>
      <c r="C115">
        <v>2.9158999999999999E-3</v>
      </c>
      <c r="D115">
        <v>1.9878999999999999E-3</v>
      </c>
      <c r="E115">
        <v>1.25579E-2</v>
      </c>
      <c r="F115">
        <v>2.6995999999999999E-3</v>
      </c>
      <c r="G115">
        <v>9.2670000000000003E-4</v>
      </c>
      <c r="H115">
        <v>4.7800000000000002E-4</v>
      </c>
      <c r="I115">
        <v>8.2501999999999992E-3</v>
      </c>
      <c r="J115">
        <v>3.0780444</v>
      </c>
      <c r="K115">
        <v>0.99784410000000001</v>
      </c>
      <c r="L115">
        <v>0.55100550000000004</v>
      </c>
      <c r="M115">
        <v>5.7331684999999997</v>
      </c>
      <c r="N115">
        <v>3.0683644999999999</v>
      </c>
      <c r="O115">
        <v>0.99577420000000005</v>
      </c>
      <c r="P115">
        <v>0.54819479999999998</v>
      </c>
      <c r="Q115">
        <v>5.7074965999999998</v>
      </c>
      <c r="R115">
        <v>3.0906913999999999</v>
      </c>
      <c r="S115">
        <v>1.0019087</v>
      </c>
      <c r="T115">
        <v>0.55328379999999999</v>
      </c>
      <c r="U115">
        <v>5.7495697000000003</v>
      </c>
      <c r="V115">
        <v>3.0757843</v>
      </c>
      <c r="W115">
        <v>0.99806709999999998</v>
      </c>
      <c r="X115">
        <v>0.54892839999999998</v>
      </c>
      <c r="Y115">
        <v>5.7184469</v>
      </c>
      <c r="AA115" s="5">
        <f t="shared" si="77"/>
        <v>-6.0064000000000003E-3</v>
      </c>
      <c r="AB115" s="5">
        <f t="shared" si="77"/>
        <v>-1.9892E-3</v>
      </c>
      <c r="AC115" s="5">
        <f t="shared" si="77"/>
        <v>-1.5098999999999998E-3</v>
      </c>
      <c r="AD115" s="5">
        <f t="shared" si="77"/>
        <v>-4.3077000000000011E-3</v>
      </c>
      <c r="AE115" s="5">
        <f t="shared" si="78"/>
        <v>-9.6799000000000746E-3</v>
      </c>
      <c r="AF115" s="5">
        <f t="shared" si="78"/>
        <v>-2.0698999999999579E-3</v>
      </c>
      <c r="AG115" s="5">
        <f t="shared" si="78"/>
        <v>-2.8107000000000548E-3</v>
      </c>
      <c r="AH115" s="5">
        <f t="shared" si="78"/>
        <v>-2.5671899999999859E-2</v>
      </c>
      <c r="AI115" s="5">
        <f t="shared" si="80"/>
        <v>7.7920000000023665E-4</v>
      </c>
      <c r="AJ115" s="5">
        <f t="shared" si="81"/>
        <v>2.1749999999995731E-4</v>
      </c>
      <c r="AK115" s="5">
        <f t="shared" si="82"/>
        <v>-3.4799999999954659E-5</v>
      </c>
      <c r="AL115" s="5">
        <f t="shared" si="83"/>
        <v>-1.1432000000004792E-3</v>
      </c>
      <c r="AM115" s="5"/>
      <c r="AN115" s="5"/>
      <c r="AO115" s="5"/>
      <c r="AP115" s="5"/>
      <c r="AQ115" s="5"/>
      <c r="AR115" s="5"/>
      <c r="AS115" s="5"/>
      <c r="AT115" s="5"/>
      <c r="AU115" s="5"/>
      <c r="AV115" s="5">
        <f t="shared" si="84"/>
        <v>2035.75</v>
      </c>
      <c r="AW115" s="3">
        <f t="shared" si="85"/>
        <v>-0.50753368647546238</v>
      </c>
      <c r="AX115" s="3">
        <f t="shared" si="86"/>
        <v>-0.40513671555102354</v>
      </c>
      <c r="AY115" s="3">
        <f t="shared" si="87"/>
        <v>-0.78090123007397916</v>
      </c>
      <c r="AZ115" s="3">
        <f t="shared" si="88"/>
        <v>-0.52142336843050807</v>
      </c>
      <c r="BA115" s="3">
        <f t="shared" si="89"/>
        <v>-0.48232249910165215</v>
      </c>
      <c r="BB115" s="3">
        <f t="shared" si="90"/>
        <v>-0.38342815068878039</v>
      </c>
      <c r="BC115" s="3">
        <f t="shared" si="91"/>
        <v>-0.78719094974405712</v>
      </c>
      <c r="BD115" s="3">
        <f t="shared" si="92"/>
        <v>-0.54130659551792781</v>
      </c>
      <c r="BE115" s="3">
        <f t="shared" si="93"/>
        <v>-0.28798410608059649</v>
      </c>
      <c r="BF115" s="3">
        <f t="shared" si="94"/>
        <v>-0.18488710598081207</v>
      </c>
      <c r="BG115" s="3">
        <f t="shared" si="95"/>
        <v>-0.51429302647213893</v>
      </c>
      <c r="BH115" s="3">
        <f t="shared" si="96"/>
        <v>-0.46638446699759656</v>
      </c>
      <c r="BI115" s="3">
        <f t="shared" si="97"/>
        <v>-0.31319529345440555</v>
      </c>
      <c r="BJ115" s="3">
        <f t="shared" si="98"/>
        <v>-0.20659567084305766</v>
      </c>
      <c r="BK115" s="3">
        <f t="shared" si="99"/>
        <v>-0.50800330680205252</v>
      </c>
      <c r="BL115" s="3">
        <f t="shared" si="100"/>
        <v>-0.44650123991017726</v>
      </c>
      <c r="BM115" s="2">
        <v>0</v>
      </c>
    </row>
    <row r="116" spans="1:65" x14ac:dyDescent="0.35">
      <c r="A116">
        <f t="shared" si="79"/>
        <v>113</v>
      </c>
      <c r="B116">
        <v>8.8055000000000008E-3</v>
      </c>
      <c r="C116">
        <v>2.9651E-3</v>
      </c>
      <c r="D116">
        <v>1.9277999999999999E-3</v>
      </c>
      <c r="E116">
        <v>1.2600800000000001E-2</v>
      </c>
      <c r="F116">
        <v>2.6687E-3</v>
      </c>
      <c r="G116">
        <v>9.0959999999999999E-4</v>
      </c>
      <c r="H116">
        <v>4.927E-4</v>
      </c>
      <c r="I116">
        <v>8.2453000000000005E-3</v>
      </c>
      <c r="J116">
        <v>3.0779915999999998</v>
      </c>
      <c r="K116">
        <v>0.99780919999999995</v>
      </c>
      <c r="L116">
        <v>0.55107289999999998</v>
      </c>
      <c r="M116">
        <v>5.7332736999999998</v>
      </c>
      <c r="N116">
        <v>3.0681015999999999</v>
      </c>
      <c r="O116">
        <v>0.99560490000000001</v>
      </c>
      <c r="P116">
        <v>0.5522224</v>
      </c>
      <c r="Q116">
        <v>5.7084054999999996</v>
      </c>
      <c r="R116">
        <v>3.0906913999999999</v>
      </c>
      <c r="S116">
        <v>1.0019087</v>
      </c>
      <c r="T116">
        <v>0.55328379999999999</v>
      </c>
      <c r="U116">
        <v>5.7495697000000003</v>
      </c>
      <c r="V116">
        <v>3.0754313</v>
      </c>
      <c r="W116">
        <v>0.99786299999999994</v>
      </c>
      <c r="X116">
        <v>0.55296650000000003</v>
      </c>
      <c r="Y116">
        <v>5.7192451999999996</v>
      </c>
      <c r="AA116" s="5">
        <f t="shared" si="77"/>
        <v>-6.1368000000000013E-3</v>
      </c>
      <c r="AB116" s="5">
        <f t="shared" si="77"/>
        <v>-2.0555E-3</v>
      </c>
      <c r="AC116" s="5">
        <f t="shared" si="77"/>
        <v>-1.4350999999999999E-3</v>
      </c>
      <c r="AD116" s="5">
        <f t="shared" si="77"/>
        <v>-4.3555E-3</v>
      </c>
      <c r="AE116" s="5">
        <f t="shared" si="78"/>
        <v>-9.8899999999999544E-3</v>
      </c>
      <c r="AF116" s="5">
        <f t="shared" si="78"/>
        <v>-2.2042999999999369E-3</v>
      </c>
      <c r="AG116" s="5">
        <f t="shared" si="78"/>
        <v>1.1495000000000255E-3</v>
      </c>
      <c r="AH116" s="5">
        <f t="shared" si="78"/>
        <v>-2.4868200000000229E-2</v>
      </c>
      <c r="AI116" s="5">
        <f t="shared" si="80"/>
        <v>7.6670000000006802E-4</v>
      </c>
      <c r="AJ116" s="5">
        <f t="shared" si="81"/>
        <v>2.1409999999989597E-4</v>
      </c>
      <c r="AK116" s="5">
        <f t="shared" si="82"/>
        <v>-3.1699999999990416E-5</v>
      </c>
      <c r="AL116" s="5">
        <f t="shared" si="83"/>
        <v>-1.1008000000005264E-3</v>
      </c>
      <c r="AM116" s="5"/>
      <c r="AN116" s="5"/>
      <c r="AO116" s="5"/>
      <c r="AP116" s="5"/>
      <c r="AQ116" s="5"/>
      <c r="AR116" s="5"/>
      <c r="AS116" s="5"/>
      <c r="AT116" s="5"/>
      <c r="AU116" s="5"/>
      <c r="AV116" s="5">
        <f t="shared" si="84"/>
        <v>2036</v>
      </c>
      <c r="AW116" s="3">
        <f t="shared" si="85"/>
        <v>-0.51855063886352282</v>
      </c>
      <c r="AX116" s="3">
        <f t="shared" si="86"/>
        <v>-0.42516848092046083</v>
      </c>
      <c r="AY116" s="3">
        <f t="shared" si="87"/>
        <v>-5.1619078671736714E-2</v>
      </c>
      <c r="AZ116" s="3">
        <f t="shared" si="88"/>
        <v>-0.50827629761580639</v>
      </c>
      <c r="BA116" s="3">
        <f t="shared" si="89"/>
        <v>-0.49374389173891281</v>
      </c>
      <c r="BB116" s="3">
        <f t="shared" si="90"/>
        <v>-0.40379926833653018</v>
      </c>
      <c r="BC116" s="3">
        <f t="shared" si="91"/>
        <v>-5.7348507221784702E-2</v>
      </c>
      <c r="BD116" s="3">
        <f t="shared" si="92"/>
        <v>-0.5274220782122313</v>
      </c>
      <c r="BE116" s="3">
        <f t="shared" si="93"/>
        <v>-0.29518637803825137</v>
      </c>
      <c r="BF116" s="3">
        <f t="shared" si="94"/>
        <v>-0.19864085420159072</v>
      </c>
      <c r="BG116" s="3">
        <f t="shared" si="95"/>
        <v>0.2020301335408804</v>
      </c>
      <c r="BH116" s="3">
        <f t="shared" si="96"/>
        <v>-0.45166858312893909</v>
      </c>
      <c r="BI116" s="3">
        <f t="shared" si="97"/>
        <v>-0.31999312516286665</v>
      </c>
      <c r="BJ116" s="3">
        <f t="shared" si="98"/>
        <v>-0.22001006678552015</v>
      </c>
      <c r="BK116" s="3">
        <f t="shared" si="99"/>
        <v>0.2077595620909243</v>
      </c>
      <c r="BL116" s="3">
        <f t="shared" si="100"/>
        <v>-0.43252280253251346</v>
      </c>
      <c r="BM116" s="2">
        <v>0</v>
      </c>
    </row>
    <row r="117" spans="1:65" x14ac:dyDescent="0.35">
      <c r="A117">
        <f t="shared" si="79"/>
        <v>114</v>
      </c>
      <c r="B117">
        <v>8.8933999999999992E-3</v>
      </c>
      <c r="C117">
        <v>3.0087E-3</v>
      </c>
      <c r="D117">
        <v>1.8791999999999999E-3</v>
      </c>
      <c r="E117">
        <v>1.26324E-2</v>
      </c>
      <c r="F117">
        <v>2.6407000000000002E-3</v>
      </c>
      <c r="G117">
        <v>8.9409999999999999E-4</v>
      </c>
      <c r="H117">
        <v>5.0920000000000002E-4</v>
      </c>
      <c r="I117">
        <v>8.2435000000000008E-3</v>
      </c>
      <c r="J117">
        <v>3.0779502000000001</v>
      </c>
      <c r="K117">
        <v>0.99777959999999999</v>
      </c>
      <c r="L117">
        <v>0.55112870000000003</v>
      </c>
      <c r="M117">
        <v>5.7333850999999996</v>
      </c>
      <c r="N117">
        <v>3.0681639000000001</v>
      </c>
      <c r="O117">
        <v>0.99558460000000004</v>
      </c>
      <c r="P117">
        <v>0.55267010000000005</v>
      </c>
      <c r="Q117">
        <v>5.7093406</v>
      </c>
      <c r="R117">
        <v>3.0906913999999999</v>
      </c>
      <c r="S117">
        <v>1.0019087</v>
      </c>
      <c r="T117">
        <v>0.55328379999999999</v>
      </c>
      <c r="U117">
        <v>5.7495697000000003</v>
      </c>
      <c r="V117">
        <v>3.0754069999999998</v>
      </c>
      <c r="W117">
        <v>0.99780979999999997</v>
      </c>
      <c r="X117">
        <v>0.55342400000000003</v>
      </c>
      <c r="Y117">
        <v>5.7200759999999997</v>
      </c>
      <c r="AA117" s="5">
        <f t="shared" si="77"/>
        <v>-6.2526999999999991E-3</v>
      </c>
      <c r="AB117" s="5">
        <f t="shared" si="77"/>
        <v>-2.1145999999999999E-3</v>
      </c>
      <c r="AC117" s="5">
        <f t="shared" si="77"/>
        <v>-1.3699999999999999E-3</v>
      </c>
      <c r="AD117" s="5">
        <f t="shared" si="77"/>
        <v>-4.3888999999999994E-3</v>
      </c>
      <c r="AE117" s="5">
        <f t="shared" si="78"/>
        <v>-9.7863000000000255E-3</v>
      </c>
      <c r="AF117" s="5">
        <f t="shared" si="78"/>
        <v>-2.194999999999947E-3</v>
      </c>
      <c r="AG117" s="5">
        <f t="shared" si="78"/>
        <v>1.5414000000000261E-3</v>
      </c>
      <c r="AH117" s="5">
        <f t="shared" si="78"/>
        <v>-2.404449999999958E-2</v>
      </c>
      <c r="AI117" s="5">
        <f t="shared" si="80"/>
        <v>7.5459999999993865E-4</v>
      </c>
      <c r="AJ117" s="5">
        <f t="shared" si="81"/>
        <v>2.1069999999993004E-4</v>
      </c>
      <c r="AK117" s="5">
        <f t="shared" si="82"/>
        <v>-3.1199999999991434E-5</v>
      </c>
      <c r="AL117" s="5">
        <f t="shared" si="83"/>
        <v>-1.060300000001041E-3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>
        <f t="shared" si="84"/>
        <v>2036.25</v>
      </c>
      <c r="AW117" s="3">
        <f t="shared" si="85"/>
        <v>-0.51894537254673911</v>
      </c>
      <c r="AX117" s="3">
        <f t="shared" si="86"/>
        <v>-0.43013899370271425</v>
      </c>
      <c r="AY117" s="3">
        <f t="shared" si="87"/>
        <v>3.0978676765888714E-2</v>
      </c>
      <c r="AZ117" s="3">
        <f t="shared" si="88"/>
        <v>-0.49453092115744907</v>
      </c>
      <c r="BA117" s="3">
        <f t="shared" si="89"/>
        <v>-0.4945301235833538</v>
      </c>
      <c r="BB117" s="3">
        <f t="shared" si="90"/>
        <v>-0.40910913339708666</v>
      </c>
      <c r="BC117" s="3">
        <f t="shared" si="91"/>
        <v>2.5339617751330284E-2</v>
      </c>
      <c r="BD117" s="3">
        <f t="shared" si="92"/>
        <v>-0.51297230121413473</v>
      </c>
      <c r="BE117" s="3">
        <f t="shared" si="93"/>
        <v>-0.29222263989216057</v>
      </c>
      <c r="BF117" s="3">
        <f t="shared" si="94"/>
        <v>-0.1980519781892352</v>
      </c>
      <c r="BG117" s="3">
        <f t="shared" si="95"/>
        <v>0.27295214499322357</v>
      </c>
      <c r="BH117" s="3">
        <f t="shared" si="96"/>
        <v>-0.43663789309311718</v>
      </c>
      <c r="BI117" s="3">
        <f t="shared" si="97"/>
        <v>-0.3166378888555495</v>
      </c>
      <c r="BJ117" s="3">
        <f t="shared" si="98"/>
        <v>-0.21908183849485957</v>
      </c>
      <c r="BK117" s="3">
        <f t="shared" si="99"/>
        <v>0.2785912040077852</v>
      </c>
      <c r="BL117" s="3">
        <f t="shared" si="100"/>
        <v>-0.41819651303643784</v>
      </c>
      <c r="BM117" s="2">
        <v>0</v>
      </c>
    </row>
    <row r="118" spans="1:65" x14ac:dyDescent="0.35">
      <c r="A118">
        <f t="shared" si="79"/>
        <v>115</v>
      </c>
      <c r="B118">
        <v>8.9713999999999992E-3</v>
      </c>
      <c r="C118">
        <v>3.0477E-3</v>
      </c>
      <c r="D118">
        <v>1.8400000000000001E-3</v>
      </c>
      <c r="E118">
        <v>1.26567E-2</v>
      </c>
      <c r="F118">
        <v>2.6158000000000002E-3</v>
      </c>
      <c r="G118">
        <v>8.8000000000000003E-4</v>
      </c>
      <c r="H118">
        <v>5.1329999999999995E-4</v>
      </c>
      <c r="I118">
        <v>8.2392000000000003E-3</v>
      </c>
      <c r="J118">
        <v>3.0779182</v>
      </c>
      <c r="K118">
        <v>0.99775460000000005</v>
      </c>
      <c r="L118">
        <v>0.55117479999999996</v>
      </c>
      <c r="M118">
        <v>5.7334991000000004</v>
      </c>
      <c r="N118">
        <v>3.0683677999999999</v>
      </c>
      <c r="O118">
        <v>0.99563619999999997</v>
      </c>
      <c r="P118">
        <v>0.54926160000000002</v>
      </c>
      <c r="Q118">
        <v>5.7088520999999997</v>
      </c>
      <c r="R118">
        <v>3.0906913999999999</v>
      </c>
      <c r="S118">
        <v>1.0019087</v>
      </c>
      <c r="T118">
        <v>0.55328379999999999</v>
      </c>
      <c r="U118">
        <v>5.7495697000000003</v>
      </c>
      <c r="V118">
        <v>3.0755279999999998</v>
      </c>
      <c r="W118">
        <v>0.99783010000000005</v>
      </c>
      <c r="X118">
        <v>0.55000870000000002</v>
      </c>
      <c r="Y118">
        <v>5.7194830000000003</v>
      </c>
      <c r="AA118" s="5">
        <f t="shared" si="77"/>
        <v>-6.3555999999999994E-3</v>
      </c>
      <c r="AB118" s="5">
        <f t="shared" si="77"/>
        <v>-2.1676999999999998E-3</v>
      </c>
      <c r="AC118" s="5">
        <f t="shared" si="77"/>
        <v>-1.3267000000000001E-3</v>
      </c>
      <c r="AD118" s="5">
        <f t="shared" si="77"/>
        <v>-4.4174999999999996E-3</v>
      </c>
      <c r="AE118" s="5">
        <f t="shared" si="78"/>
        <v>-9.550400000000181E-3</v>
      </c>
      <c r="AF118" s="5">
        <f t="shared" si="78"/>
        <v>-2.1184000000000758E-3</v>
      </c>
      <c r="AG118" s="5">
        <f t="shared" si="78"/>
        <v>-1.9131999999999483E-3</v>
      </c>
      <c r="AH118" s="5">
        <f t="shared" si="78"/>
        <v>-2.4647000000000752E-2</v>
      </c>
      <c r="AI118" s="5">
        <f t="shared" si="80"/>
        <v>7.4260000000013135E-4</v>
      </c>
      <c r="AJ118" s="5">
        <f t="shared" si="81"/>
        <v>2.0750000000014333E-4</v>
      </c>
      <c r="AK118" s="5">
        <f t="shared" si="82"/>
        <v>-3.5200000000026876E-5</v>
      </c>
      <c r="AL118" s="5">
        <f t="shared" si="83"/>
        <v>-1.0221999999992723E-3</v>
      </c>
      <c r="AM118" s="5"/>
      <c r="AN118" s="5"/>
      <c r="AO118" s="5"/>
      <c r="AP118" s="5"/>
      <c r="AQ118" s="5"/>
      <c r="AR118" s="5"/>
      <c r="AS118" s="5"/>
      <c r="AT118" s="5"/>
      <c r="AU118" s="5"/>
      <c r="AV118" s="5">
        <f t="shared" si="84"/>
        <v>2036.5</v>
      </c>
      <c r="AW118" s="3">
        <f t="shared" si="85"/>
        <v>-0.5146421282953122</v>
      </c>
      <c r="AX118" s="3">
        <f t="shared" si="86"/>
        <v>-0.42779347060266826</v>
      </c>
      <c r="AY118" s="3">
        <f t="shared" si="87"/>
        <v>-0.58557651606642891</v>
      </c>
      <c r="AZ118" s="3">
        <f t="shared" si="88"/>
        <v>-0.50550739475339779</v>
      </c>
      <c r="BA118" s="3">
        <f t="shared" si="89"/>
        <v>-0.49061514197114764</v>
      </c>
      <c r="BB118" s="3">
        <f t="shared" si="90"/>
        <v>-0.4070830006766018</v>
      </c>
      <c r="BC118" s="3">
        <f t="shared" si="91"/>
        <v>-0.5919385313649117</v>
      </c>
      <c r="BD118" s="3">
        <f t="shared" si="92"/>
        <v>-0.52328611652451174</v>
      </c>
      <c r="BE118" s="3">
        <f t="shared" si="93"/>
        <v>-0.28497830614858644</v>
      </c>
      <c r="BF118" s="3">
        <f t="shared" si="94"/>
        <v>-0.1907259613575506</v>
      </c>
      <c r="BG118" s="3">
        <f t="shared" si="95"/>
        <v>-0.35215200589642448</v>
      </c>
      <c r="BH118" s="3">
        <f t="shared" si="96"/>
        <v>-0.44645427987420133</v>
      </c>
      <c r="BI118" s="3">
        <f t="shared" si="97"/>
        <v>-0.3090052924727516</v>
      </c>
      <c r="BJ118" s="3">
        <f t="shared" si="98"/>
        <v>-0.21143643128361655</v>
      </c>
      <c r="BK118" s="3">
        <f t="shared" si="99"/>
        <v>-0.34578999059794419</v>
      </c>
      <c r="BL118" s="3">
        <f t="shared" si="100"/>
        <v>-0.42867555810308289</v>
      </c>
      <c r="BM118" s="2">
        <v>0</v>
      </c>
    </row>
    <row r="119" spans="1:65" x14ac:dyDescent="0.35">
      <c r="A119">
        <f t="shared" si="79"/>
        <v>116</v>
      </c>
      <c r="B119">
        <v>9.0413000000000004E-3</v>
      </c>
      <c r="C119">
        <v>3.0828000000000001E-3</v>
      </c>
      <c r="D119">
        <v>1.8083000000000001E-3</v>
      </c>
      <c r="E119">
        <v>1.2676700000000001E-2</v>
      </c>
      <c r="F119">
        <v>2.5925000000000002E-3</v>
      </c>
      <c r="G119">
        <v>8.6689999999999998E-4</v>
      </c>
      <c r="H119">
        <v>5.1880000000000003E-4</v>
      </c>
      <c r="I119">
        <v>8.2330000000000007E-3</v>
      </c>
      <c r="J119">
        <v>3.0778940000000001</v>
      </c>
      <c r="K119">
        <v>0.99773339999999999</v>
      </c>
      <c r="L119">
        <v>0.55121330000000002</v>
      </c>
      <c r="M119">
        <v>5.7336125999999998</v>
      </c>
      <c r="N119">
        <v>3.0682906000000001</v>
      </c>
      <c r="O119">
        <v>0.99558029999999997</v>
      </c>
      <c r="P119">
        <v>0.54896129999999999</v>
      </c>
      <c r="Q119">
        <v>5.7077382999999999</v>
      </c>
      <c r="R119">
        <v>3.0906913999999999</v>
      </c>
      <c r="S119">
        <v>1.0019087</v>
      </c>
      <c r="T119">
        <v>0.55328379999999999</v>
      </c>
      <c r="U119">
        <v>5.7495697000000003</v>
      </c>
      <c r="V119">
        <v>3.0753697</v>
      </c>
      <c r="W119">
        <v>0.99774390000000002</v>
      </c>
      <c r="X119">
        <v>0.54970960000000002</v>
      </c>
      <c r="Y119">
        <v>5.7182656999999999</v>
      </c>
      <c r="AA119" s="5">
        <f t="shared" si="77"/>
        <v>-6.4488000000000002E-3</v>
      </c>
      <c r="AB119" s="5">
        <f t="shared" si="77"/>
        <v>-2.2159000000000002E-3</v>
      </c>
      <c r="AC119" s="5">
        <f t="shared" si="77"/>
        <v>-1.2895000000000001E-3</v>
      </c>
      <c r="AD119" s="5">
        <f t="shared" si="77"/>
        <v>-4.4437000000000001E-3</v>
      </c>
      <c r="AE119" s="5">
        <f t="shared" si="78"/>
        <v>-9.6034000000000397E-3</v>
      </c>
      <c r="AF119" s="5">
        <f t="shared" si="78"/>
        <v>-2.1531000000000189E-3</v>
      </c>
      <c r="AG119" s="5">
        <f t="shared" si="78"/>
        <v>-2.2520000000000318E-3</v>
      </c>
      <c r="AH119" s="5">
        <f t="shared" si="78"/>
        <v>-2.5874299999999906E-2</v>
      </c>
      <c r="AI119" s="5">
        <f t="shared" si="80"/>
        <v>7.3050000000015811E-4</v>
      </c>
      <c r="AJ119" s="5">
        <f t="shared" si="81"/>
        <v>2.0420000000005017E-4</v>
      </c>
      <c r="AK119" s="5">
        <f t="shared" si="82"/>
        <v>-3.2699999999940242E-5</v>
      </c>
      <c r="AL119" s="5">
        <f t="shared" si="83"/>
        <v>-9.8600000000053506E-4</v>
      </c>
      <c r="AM119" s="5"/>
      <c r="AN119" s="5"/>
      <c r="AO119" s="5"/>
      <c r="AP119" s="5"/>
      <c r="AQ119" s="5"/>
      <c r="AR119" s="5"/>
      <c r="AS119" s="5"/>
      <c r="AT119" s="5"/>
      <c r="AU119" s="5"/>
      <c r="AV119" s="5">
        <f t="shared" si="84"/>
        <v>2036.75</v>
      </c>
      <c r="AW119" s="3">
        <f t="shared" si="85"/>
        <v>-0.51937246144988924</v>
      </c>
      <c r="AX119" s="3">
        <f t="shared" si="86"/>
        <v>-0.43606767762372145</v>
      </c>
      <c r="AY119" s="3">
        <f t="shared" si="87"/>
        <v>-0.64008741987385709</v>
      </c>
      <c r="AZ119" s="3">
        <f t="shared" si="88"/>
        <v>-0.52730902627373843</v>
      </c>
      <c r="BA119" s="3">
        <f t="shared" si="89"/>
        <v>-0.49573697328694427</v>
      </c>
      <c r="BB119" s="3">
        <f t="shared" si="90"/>
        <v>-0.41568657902660877</v>
      </c>
      <c r="BC119" s="3">
        <f t="shared" si="91"/>
        <v>-0.64599758749487546</v>
      </c>
      <c r="BD119" s="3">
        <f t="shared" si="92"/>
        <v>-0.54445813571058088</v>
      </c>
      <c r="BE119" s="3">
        <f t="shared" si="93"/>
        <v>-0.28708463096639386</v>
      </c>
      <c r="BF119" s="3">
        <f t="shared" si="94"/>
        <v>-0.19451872211509094</v>
      </c>
      <c r="BG119" s="3">
        <f t="shared" si="95"/>
        <v>-0.41293455546681784</v>
      </c>
      <c r="BH119" s="3">
        <f t="shared" si="96"/>
        <v>-0.46717061278516298</v>
      </c>
      <c r="BI119" s="3">
        <f t="shared" si="97"/>
        <v>-0.31072011912933267</v>
      </c>
      <c r="BJ119" s="3">
        <f t="shared" si="98"/>
        <v>-0.21489982071220851</v>
      </c>
      <c r="BK119" s="3">
        <f t="shared" si="99"/>
        <v>-0.4070243878458093</v>
      </c>
      <c r="BL119" s="3">
        <f t="shared" si="100"/>
        <v>-0.45002150334832719</v>
      </c>
      <c r="BM119" s="2">
        <v>0</v>
      </c>
    </row>
    <row r="120" spans="1:65" x14ac:dyDescent="0.35">
      <c r="A120">
        <f t="shared" si="79"/>
        <v>117</v>
      </c>
      <c r="B120">
        <v>9.1044000000000003E-3</v>
      </c>
      <c r="C120">
        <v>3.1145999999999999E-3</v>
      </c>
      <c r="D120">
        <v>1.7829E-3</v>
      </c>
      <c r="E120">
        <v>1.2694799999999999E-2</v>
      </c>
      <c r="F120">
        <v>2.5707E-3</v>
      </c>
      <c r="G120">
        <v>8.5450000000000001E-4</v>
      </c>
      <c r="H120">
        <v>5.22E-4</v>
      </c>
      <c r="I120">
        <v>8.2243999999999998E-3</v>
      </c>
      <c r="J120">
        <v>3.0778762999999998</v>
      </c>
      <c r="K120">
        <v>0.99771529999999997</v>
      </c>
      <c r="L120">
        <v>0.5512454</v>
      </c>
      <c r="M120">
        <v>5.7337233999999997</v>
      </c>
      <c r="N120">
        <v>3.0681254</v>
      </c>
      <c r="O120">
        <v>0.99548789999999998</v>
      </c>
      <c r="P120">
        <v>0.55027749999999997</v>
      </c>
      <c r="Q120">
        <v>5.7063480999999996</v>
      </c>
      <c r="R120">
        <v>3.0906913999999999</v>
      </c>
      <c r="S120">
        <v>1.0019087</v>
      </c>
      <c r="T120">
        <v>0.55328379999999999</v>
      </c>
      <c r="U120">
        <v>5.7495697000000003</v>
      </c>
      <c r="V120">
        <v>3.0751257000000001</v>
      </c>
      <c r="W120">
        <v>0.99762220000000001</v>
      </c>
      <c r="X120">
        <v>0.55103150000000001</v>
      </c>
      <c r="Y120">
        <v>5.7167725000000003</v>
      </c>
      <c r="AA120" s="5">
        <f t="shared" si="77"/>
        <v>-6.5336999999999999E-3</v>
      </c>
      <c r="AB120" s="5">
        <f t="shared" si="77"/>
        <v>-2.2601000000000001E-3</v>
      </c>
      <c r="AC120" s="5">
        <f t="shared" si="77"/>
        <v>-1.2609000000000001E-3</v>
      </c>
      <c r="AD120" s="5">
        <f t="shared" si="77"/>
        <v>-4.4703999999999994E-3</v>
      </c>
      <c r="AE120" s="5">
        <f t="shared" si="78"/>
        <v>-9.7508999999997847E-3</v>
      </c>
      <c r="AF120" s="5">
        <f t="shared" si="78"/>
        <v>-2.2273999999999905E-3</v>
      </c>
      <c r="AG120" s="5">
        <f t="shared" si="78"/>
        <v>-9.6790000000002152E-4</v>
      </c>
      <c r="AH120" s="5">
        <f t="shared" si="78"/>
        <v>-2.7375300000000102E-2</v>
      </c>
      <c r="AI120" s="5">
        <f t="shared" si="80"/>
        <v>7.1889999999999107E-4</v>
      </c>
      <c r="AJ120" s="5">
        <f t="shared" si="81"/>
        <v>2.0100000000001974E-4</v>
      </c>
      <c r="AK120" s="5">
        <f t="shared" si="82"/>
        <v>-2.349999999996322E-5</v>
      </c>
      <c r="AL120" s="5">
        <f t="shared" si="83"/>
        <v>-9.5149999999998014E-4</v>
      </c>
      <c r="AM120" s="5"/>
      <c r="AN120" s="5"/>
      <c r="AO120" s="5"/>
      <c r="AP120" s="5"/>
      <c r="AQ120" s="5"/>
      <c r="AR120" s="5"/>
      <c r="AS120" s="5"/>
      <c r="AT120" s="5"/>
      <c r="AU120" s="5"/>
      <c r="AV120" s="5">
        <f t="shared" si="84"/>
        <v>2037</v>
      </c>
      <c r="AW120" s="3">
        <f t="shared" si="85"/>
        <v>-0.52689181456290934</v>
      </c>
      <c r="AX120" s="3">
        <f t="shared" si="86"/>
        <v>-0.44789510261763277</v>
      </c>
      <c r="AY120" s="3">
        <f t="shared" si="87"/>
        <v>-0.40283124139908338</v>
      </c>
      <c r="AZ120" s="3">
        <f t="shared" si="88"/>
        <v>-0.55387971033728145</v>
      </c>
      <c r="BA120" s="3">
        <f t="shared" si="89"/>
        <v>-0.50363164695122242</v>
      </c>
      <c r="BB120" s="3">
        <f t="shared" si="90"/>
        <v>-0.42783339440010559</v>
      </c>
      <c r="BC120" s="3">
        <f t="shared" si="91"/>
        <v>-0.40707860956709468</v>
      </c>
      <c r="BD120" s="3">
        <f t="shared" si="92"/>
        <v>-0.5704287748698843</v>
      </c>
      <c r="BE120" s="3">
        <f t="shared" si="93"/>
        <v>-0.29223234645813972</v>
      </c>
      <c r="BF120" s="3">
        <f t="shared" si="94"/>
        <v>-0.20225395787061073</v>
      </c>
      <c r="BG120" s="3">
        <f t="shared" si="95"/>
        <v>-0.1791847149690585</v>
      </c>
      <c r="BH120" s="3">
        <f t="shared" si="96"/>
        <v>-0.49267686936642086</v>
      </c>
      <c r="BI120" s="3">
        <f t="shared" si="97"/>
        <v>-0.31549251406982221</v>
      </c>
      <c r="BJ120" s="3">
        <f t="shared" si="98"/>
        <v>-0.2223156660881366</v>
      </c>
      <c r="BK120" s="3">
        <f t="shared" si="99"/>
        <v>-0.17493734680104886</v>
      </c>
      <c r="BL120" s="3">
        <f t="shared" si="100"/>
        <v>-0.47612780483381389</v>
      </c>
      <c r="BM120" s="2">
        <v>0</v>
      </c>
    </row>
    <row r="121" spans="1:65" x14ac:dyDescent="0.35">
      <c r="A121">
        <f t="shared" si="79"/>
        <v>118</v>
      </c>
      <c r="B121">
        <v>9.1617999999999995E-3</v>
      </c>
      <c r="C121">
        <v>3.1435999999999999E-3</v>
      </c>
      <c r="D121">
        <v>1.7627000000000001E-3</v>
      </c>
      <c r="E121">
        <v>1.27131E-2</v>
      </c>
      <c r="F121">
        <v>2.5504E-3</v>
      </c>
      <c r="G121">
        <v>8.43E-4</v>
      </c>
      <c r="H121">
        <v>5.2970000000000003E-4</v>
      </c>
      <c r="I121">
        <v>8.2171999999999992E-3</v>
      </c>
      <c r="J121">
        <v>3.0778639000000001</v>
      </c>
      <c r="K121">
        <v>0.99769989999999997</v>
      </c>
      <c r="L121">
        <v>0.55127210000000004</v>
      </c>
      <c r="M121">
        <v>5.7338294999999997</v>
      </c>
      <c r="N121">
        <v>3.0679745</v>
      </c>
      <c r="O121">
        <v>0.99538870000000002</v>
      </c>
      <c r="P121">
        <v>0.58243020000000001</v>
      </c>
      <c r="Q121">
        <v>5.7120668999999999</v>
      </c>
      <c r="R121">
        <v>3.0906913999999999</v>
      </c>
      <c r="S121">
        <v>1.0019087</v>
      </c>
      <c r="T121">
        <v>0.55328379999999999</v>
      </c>
      <c r="U121">
        <v>5.7495697000000003</v>
      </c>
      <c r="V121">
        <v>3.0748983000000001</v>
      </c>
      <c r="W121">
        <v>0.99749480000000001</v>
      </c>
      <c r="X121">
        <v>0.58328500000000005</v>
      </c>
      <c r="Y121">
        <v>5.7495697000000003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42"/>
  <sheetViews>
    <sheetView tabSelected="1" zoomScale="60" zoomScaleNormal="60" workbookViewId="0">
      <selection activeCell="A2" sqref="A2:L42"/>
    </sheetView>
  </sheetViews>
  <sheetFormatPr defaultRowHeight="14.5" x14ac:dyDescent="0.35"/>
  <sheetData>
    <row r="1" spans="1:16" x14ac:dyDescent="0.35">
      <c r="A1" t="s">
        <v>56</v>
      </c>
      <c r="B1" t="s">
        <v>57</v>
      </c>
      <c r="C1" t="s">
        <v>359</v>
      </c>
      <c r="D1" t="s">
        <v>360</v>
      </c>
      <c r="E1" t="s">
        <v>361</v>
      </c>
      <c r="F1" t="s">
        <v>362</v>
      </c>
      <c r="G1" t="s">
        <v>363</v>
      </c>
      <c r="H1" t="s">
        <v>364</v>
      </c>
      <c r="I1" t="s">
        <v>365</v>
      </c>
      <c r="J1" t="s">
        <v>58</v>
      </c>
      <c r="K1" s="6" t="s">
        <v>367</v>
      </c>
      <c r="L1" t="s">
        <v>59</v>
      </c>
      <c r="N1" t="s">
        <v>300</v>
      </c>
    </row>
    <row r="2" spans="1:16" x14ac:dyDescent="0.35">
      <c r="A2" s="12">
        <v>2007.75</v>
      </c>
      <c r="B2" s="14">
        <f>aggregates_normalized!B2</f>
        <v>0</v>
      </c>
      <c r="C2" s="15">
        <f>aggregates_normalized!R2</f>
        <v>0</v>
      </c>
      <c r="D2" s="12">
        <f>aggregates_normalized!K2</f>
        <v>0</v>
      </c>
      <c r="E2" s="15">
        <f>aggregates_normalized!AA2</f>
        <v>0</v>
      </c>
      <c r="F2" s="16">
        <f>100*(output_transition_aggregates!AM2-output_transition_aggregates!AM$2)</f>
        <v>0</v>
      </c>
      <c r="G2" s="12">
        <f>100*(output_transition_firms_age!II8-output_transition_firms_age!II$8)</f>
        <v>0</v>
      </c>
      <c r="H2" s="15">
        <f>aggregates_normalized!J2</f>
        <v>0</v>
      </c>
      <c r="I2" s="15">
        <f>aggregates_normalized!S2</f>
        <v>0</v>
      </c>
      <c r="J2" s="15">
        <f>aggregates_normalized!D2</f>
        <v>0</v>
      </c>
      <c r="K2" s="15">
        <f>output_transition_aggregates!AL2</f>
        <v>0</v>
      </c>
      <c r="L2" s="12">
        <v>0</v>
      </c>
      <c r="O2" s="2">
        <f>MIN(C2:C42)</f>
        <v>-3.6278549194526444</v>
      </c>
      <c r="P2" s="2">
        <f>MIN(D2:D42)</f>
        <v>-1.9066599999999934</v>
      </c>
    </row>
    <row r="3" spans="1:16" x14ac:dyDescent="0.35">
      <c r="A3" s="12">
        <f>A2+0.25</f>
        <v>2008</v>
      </c>
      <c r="B3" s="14">
        <f>aggregates_normalized!B3</f>
        <v>-1.2796600000000047</v>
      </c>
      <c r="C3" s="15">
        <f>aggregates_normalized!R3</f>
        <v>-1.5470066018237749</v>
      </c>
      <c r="D3" s="12">
        <f>aggregates_normalized!K3</f>
        <v>-0.73002999999999263</v>
      </c>
      <c r="E3" s="15">
        <f>aggregates_normalized!AA3</f>
        <v>0</v>
      </c>
      <c r="F3" s="16">
        <f>100*(output_transition_aggregates!AM3-output_transition_aggregates!AM$2)</f>
        <v>-0.46498320857035896</v>
      </c>
      <c r="G3" s="12">
        <f>100*(output_transition_firms_age!II9-output_transition_firms_age!II$8)</f>
        <v>0.10456872732016731</v>
      </c>
      <c r="H3" s="15">
        <f>aggregates_normalized!J3</f>
        <v>-0.23887696033221273</v>
      </c>
      <c r="I3" s="15">
        <f>aggregates_normalized!S3</f>
        <v>-5.9699922535234258</v>
      </c>
      <c r="J3" s="15">
        <f>aggregates_normalized!D3</f>
        <v>-15.914196242740264</v>
      </c>
      <c r="K3" s="15">
        <f>output_transition_aggregates!AL3</f>
        <v>-2.544288349633872</v>
      </c>
      <c r="L3" s="12">
        <v>0</v>
      </c>
    </row>
    <row r="4" spans="1:16" x14ac:dyDescent="0.35">
      <c r="A4" s="12">
        <f t="shared" ref="A4:A42" si="0">A3+0.25</f>
        <v>2008.25</v>
      </c>
      <c r="B4" s="14">
        <f>aggregates_normalized!B4</f>
        <v>-0.74018999999999613</v>
      </c>
      <c r="C4" s="15">
        <f>aggregates_normalized!R4</f>
        <v>-1.8689345691388026</v>
      </c>
      <c r="D4" s="12">
        <f>aggregates_normalized!K4</f>
        <v>-0.92305999999999777</v>
      </c>
      <c r="E4" s="15">
        <f>aggregates_normalized!AA4</f>
        <v>-10.061446859231914</v>
      </c>
      <c r="F4" s="16">
        <f>100*(output_transition_aggregates!AM4-output_transition_aggregates!AM$2)</f>
        <v>-0.74487452767813267</v>
      </c>
      <c r="G4" s="12">
        <f>100*(output_transition_firms_age!II10-output_transition_firms_age!II$8)</f>
        <v>0.45156376435230849</v>
      </c>
      <c r="H4" s="15">
        <f>aggregates_normalized!J4</f>
        <v>-0.41026378416634257</v>
      </c>
      <c r="I4" s="15">
        <f>aggregates_normalized!S4</f>
        <v>-6.9850228761442086</v>
      </c>
      <c r="J4" s="15">
        <f>aggregates_normalized!D4</f>
        <v>-15.540953268800116</v>
      </c>
      <c r="K4" s="15">
        <f>output_transition_aggregates!AL4</f>
        <v>-2.9508674589298511</v>
      </c>
      <c r="L4" s="12">
        <v>0</v>
      </c>
    </row>
    <row r="5" spans="1:16" x14ac:dyDescent="0.35">
      <c r="A5" s="12">
        <f t="shared" si="0"/>
        <v>2008.5</v>
      </c>
      <c r="B5" s="14">
        <f>aggregates_normalized!B5</f>
        <v>-0.9222399999999964</v>
      </c>
      <c r="C5" s="15">
        <f>aggregates_normalized!R5</f>
        <v>-2.3770280009191347</v>
      </c>
      <c r="D5" s="12">
        <f>aggregates_normalized!K5</f>
        <v>-1.2269599999999992</v>
      </c>
      <c r="E5" s="15">
        <f>aggregates_normalized!AA5</f>
        <v>-13.599188127069761</v>
      </c>
      <c r="F5" s="16">
        <f>100*(output_transition_aggregates!AM5-output_transition_aggregates!AM$2)</f>
        <v>-0.94648581369239237</v>
      </c>
      <c r="G5" s="12">
        <f>100*(output_transition_firms_age!II11-output_transition_firms_age!II$8)</f>
        <v>0.67813562253250659</v>
      </c>
      <c r="H5" s="15">
        <f>aggregates_normalized!J5</f>
        <v>-0.49736109848916854</v>
      </c>
      <c r="I5" s="15">
        <f>aggregates_normalized!S5</f>
        <v>-9.4252172212524581</v>
      </c>
      <c r="J5" s="15">
        <f>aggregates_normalized!D5</f>
        <v>-15.176482570306449</v>
      </c>
      <c r="K5" s="15">
        <f>output_transition_aggregates!AL5</f>
        <v>-3.5981553019056367</v>
      </c>
      <c r="L5" s="12">
        <v>0</v>
      </c>
    </row>
    <row r="6" spans="1:16" x14ac:dyDescent="0.35">
      <c r="A6" s="12">
        <f t="shared" si="0"/>
        <v>2008.75</v>
      </c>
      <c r="B6" s="14">
        <f>aggregates_normalized!B6</f>
        <v>-2.0847199999999955</v>
      </c>
      <c r="C6" s="15">
        <f>aggregates_normalized!R6</f>
        <v>-3.6278549194526444</v>
      </c>
      <c r="D6" s="12">
        <f>aggregates_normalized!K6</f>
        <v>-1.9066599999999934</v>
      </c>
      <c r="E6" s="15">
        <f>aggregates_normalized!AA6</f>
        <v>-15.011455552925989</v>
      </c>
      <c r="F6" s="16">
        <f>100*(output_transition_aggregates!AM6-output_transition_aggregates!AM$2)</f>
        <v>-1.0710371779824632</v>
      </c>
      <c r="G6" s="12">
        <f>100*(output_transition_firms_age!II12-output_transition_firms_age!II$8)</f>
        <v>0.85089421995730574</v>
      </c>
      <c r="H6" s="15">
        <f>aggregates_normalized!J6</f>
        <v>-0.57909590108744524</v>
      </c>
      <c r="I6" s="15">
        <f>aggregates_normalized!S6</f>
        <v>-16.038893602162219</v>
      </c>
      <c r="J6" s="15">
        <f>aggregates_normalized!D6</f>
        <v>-14.820536342868106</v>
      </c>
      <c r="K6" s="15">
        <f>output_transition_aggregates!AL6</f>
        <v>-5.421869984721317</v>
      </c>
      <c r="L6" s="12">
        <v>0</v>
      </c>
    </row>
    <row r="7" spans="1:16" x14ac:dyDescent="0.35">
      <c r="A7" s="12">
        <f t="shared" si="0"/>
        <v>2009</v>
      </c>
      <c r="B7" s="14">
        <f>aggregates_normalized!B7</f>
        <v>-1.6048300000000015</v>
      </c>
      <c r="C7" s="15">
        <f>aggregates_normalized!R7</f>
        <v>-3.2804051546524549</v>
      </c>
      <c r="D7" s="12">
        <f>aggregates_normalized!K7</f>
        <v>-1.6773599999999944</v>
      </c>
      <c r="E7" s="15">
        <f>aggregates_normalized!AA7</f>
        <v>-15.656416861943601</v>
      </c>
      <c r="F7" s="16">
        <f>100*(output_transition_aggregates!AM7-output_transition_aggregates!AM$2)</f>
        <v>-0.7569226409746499</v>
      </c>
      <c r="G7" s="12">
        <f>100*(output_transition_firms_age!II13-output_transition_firms_age!II$8)</f>
        <v>0.69445396459559694</v>
      </c>
      <c r="H7" s="15">
        <f>aggregates_normalized!J7</f>
        <v>-0.63198545256555327</v>
      </c>
      <c r="I7" s="15">
        <f>aggregates_normalized!S7</f>
        <v>-13.856306654921035</v>
      </c>
      <c r="J7" s="15">
        <f>aggregates_normalized!D7</f>
        <v>-14.472941123411298</v>
      </c>
      <c r="K7" s="15">
        <f>output_transition_aggregates!AL7</f>
        <v>-5.0386464789856422</v>
      </c>
      <c r="L7" s="12">
        <v>0</v>
      </c>
    </row>
    <row r="8" spans="1:16" x14ac:dyDescent="0.35">
      <c r="A8" s="12">
        <f t="shared" si="0"/>
        <v>2009.25</v>
      </c>
      <c r="B8" s="14">
        <f>aggregates_normalized!B8</f>
        <v>-3.7410000000004384E-2</v>
      </c>
      <c r="C8" s="15">
        <f>aggregates_normalized!R8</f>
        <v>-1.871772121927151</v>
      </c>
      <c r="D8" s="12">
        <f>aggregates_normalized!K8</f>
        <v>-0.86761999999999118</v>
      </c>
      <c r="E8" s="15">
        <f>aggregates_normalized!AA8</f>
        <v>-15.898742822441136</v>
      </c>
      <c r="F8" s="16">
        <f>100*(output_transition_aggregates!AM8-output_transition_aggregates!AM$2)</f>
        <v>-0.59002904359178454</v>
      </c>
      <c r="G8" s="12">
        <f>100*(output_transition_firms_age!II14-output_transition_firms_age!II$8)</f>
        <v>0.10071825048146993</v>
      </c>
      <c r="H8" s="15">
        <f>aggregates_normalized!J8</f>
        <v>-0.64458102767079861</v>
      </c>
      <c r="I8" s="15">
        <f>aggregates_normalized!S8</f>
        <v>-5.9299766232085549</v>
      </c>
      <c r="J8" s="15">
        <f>aggregates_normalized!D8</f>
        <v>-14.133498668423105</v>
      </c>
      <c r="K8" s="15">
        <f>output_transition_aggregates!AL8</f>
        <v>-3.1317828099730605</v>
      </c>
      <c r="L8" s="12">
        <v>0</v>
      </c>
    </row>
    <row r="9" spans="1:16" x14ac:dyDescent="0.35">
      <c r="A9" s="12">
        <f t="shared" si="0"/>
        <v>2009.5</v>
      </c>
      <c r="B9" s="14">
        <f>aggregates_normalized!B9</f>
        <v>0.97822000000000742</v>
      </c>
      <c r="C9" s="15">
        <f>aggregates_normalized!R9</f>
        <v>-0.93902613505831845</v>
      </c>
      <c r="D9" s="12">
        <f>aggregates_normalized!K9</f>
        <v>-0.34937999999999914</v>
      </c>
      <c r="E9" s="15">
        <f>aggregates_normalized!AA9</f>
        <v>-15.902120466510738</v>
      </c>
      <c r="F9" s="16">
        <f>100*(output_transition_aggregates!AM9-output_transition_aggregates!AM$2)</f>
        <v>-0.42129491905134875</v>
      </c>
      <c r="G9" s="12">
        <f>100*(output_transition_firms_age!II15-output_transition_firms_age!II$8)</f>
        <v>-0.20308378972821728</v>
      </c>
      <c r="H9" s="15">
        <f>aggregates_normalized!J9</f>
        <v>-0.63576610242446208</v>
      </c>
      <c r="I9" s="15">
        <f>aggregates_normalized!S9</f>
        <v>-0.75984512830487017</v>
      </c>
      <c r="J9" s="15">
        <f>aggregates_normalized!D9</f>
        <v>-13.802010734390613</v>
      </c>
      <c r="K9" s="15">
        <f>output_transition_aggregates!AL9</f>
        <v>-1.830642394738291</v>
      </c>
      <c r="L9" s="12">
        <v>0</v>
      </c>
    </row>
    <row r="10" spans="1:16" x14ac:dyDescent="0.35">
      <c r="A10" s="12">
        <f t="shared" si="0"/>
        <v>2009.75</v>
      </c>
      <c r="B10" s="14">
        <f>aggregates_normalized!B10</f>
        <v>1.9130000000000091</v>
      </c>
      <c r="C10" s="15">
        <f>aggregates_normalized!R10</f>
        <v>-4.9270528917899625E-2</v>
      </c>
      <c r="D10" s="12">
        <f>aggregates_normalized!K10</f>
        <v>0.12570000000000636</v>
      </c>
      <c r="E10" s="15">
        <f>aggregates_normalized!AA10</f>
        <v>-15.762861349432821</v>
      </c>
      <c r="F10" s="16">
        <f>100*(output_transition_aggregates!AM10-output_transition_aggregates!AM$2)</f>
        <v>-0.28035510765049981</v>
      </c>
      <c r="G10" s="12">
        <f>100*(output_transition_firms_age!II16-output_transition_firms_age!II$8)</f>
        <v>-0.379449902076201</v>
      </c>
      <c r="H10" s="15">
        <f>aggregates_normalized!J10</f>
        <v>-0.60510171015877301</v>
      </c>
      <c r="I10" s="15">
        <f>aggregates_normalized!S10</f>
        <v>4.0702438784580242</v>
      </c>
      <c r="J10" s="15">
        <f>aggregates_normalized!D10</f>
        <v>-13.478303858240038</v>
      </c>
      <c r="K10" s="15">
        <f>output_transition_aggregates!AL10</f>
        <v>-0.5423801982411991</v>
      </c>
      <c r="L10" s="12">
        <v>0</v>
      </c>
    </row>
    <row r="11" spans="1:16" x14ac:dyDescent="0.35">
      <c r="A11" s="12">
        <f t="shared" si="0"/>
        <v>2010</v>
      </c>
      <c r="B11" s="14">
        <f>aggregates_normalized!B11</f>
        <v>1.9737899999999975</v>
      </c>
      <c r="C11" s="15">
        <f>aggregates_normalized!R11</f>
        <v>5.9624199297281244E-2</v>
      </c>
      <c r="D11" s="12">
        <f>aggregates_normalized!K11</f>
        <v>0.16671000000000324</v>
      </c>
      <c r="E11" s="15">
        <f>aggregates_normalized!AA11</f>
        <v>-15.523119930174955</v>
      </c>
      <c r="F11" s="16">
        <f>100*(output_transition_aggregates!AM11-output_transition_aggregates!AM$2)</f>
        <v>-0.24283681629407167</v>
      </c>
      <c r="G11" s="12">
        <f>100*(output_transition_firms_age!II17-output_transition_firms_age!II$8)</f>
        <v>-0.38047231800772963</v>
      </c>
      <c r="H11" s="15">
        <f>aggregates_normalized!J11</f>
        <v>-0.5871159407463078</v>
      </c>
      <c r="I11" s="15">
        <f>aggregates_normalized!S11</f>
        <v>4.5963391662651176</v>
      </c>
      <c r="J11" s="15">
        <f>aggregates_normalized!D11</f>
        <v>-13.162204576897551</v>
      </c>
      <c r="K11" s="15">
        <f>output_transition_aggregates!AL11</f>
        <v>-0.33249408346431863</v>
      </c>
      <c r="L11" s="12">
        <v>0</v>
      </c>
    </row>
    <row r="12" spans="1:16" x14ac:dyDescent="0.35">
      <c r="A12" s="12">
        <f t="shared" si="0"/>
        <v>2010.25</v>
      </c>
      <c r="B12" s="14">
        <f>aggregates_normalized!B12</f>
        <v>1.7987999999999893</v>
      </c>
      <c r="C12" s="15">
        <f>aggregates_normalized!R12</f>
        <v>-4.1353206599659131E-2</v>
      </c>
      <c r="D12" s="12">
        <f>aggregates_normalized!K12</f>
        <v>0.1005900000000004</v>
      </c>
      <c r="E12" s="15">
        <f>aggregates_normalized!AA12</f>
        <v>-15.221956523111634</v>
      </c>
      <c r="F12" s="16">
        <f>100*(output_transition_aggregates!AM12-output_transition_aggregates!AM$2)</f>
        <v>-0.23667760979733526</v>
      </c>
      <c r="G12" s="12">
        <f>100*(output_transition_firms_age!II18-output_transition_firms_age!II$8)</f>
        <v>-0.20131869240766764</v>
      </c>
      <c r="H12" s="15">
        <f>aggregates_normalized!J12</f>
        <v>-0.56419080765833796</v>
      </c>
      <c r="I12" s="15">
        <f>aggregates_normalized!S12</f>
        <v>3.9274961601984515</v>
      </c>
      <c r="J12" s="15">
        <f>aggregates_normalized!D12</f>
        <v>-12.85351464685025</v>
      </c>
      <c r="K12" s="15">
        <f>output_transition_aggregates!AL12</f>
        <v>-0.44010100296585364</v>
      </c>
      <c r="L12" s="12">
        <v>0</v>
      </c>
    </row>
    <row r="13" spans="1:16" x14ac:dyDescent="0.35">
      <c r="A13" s="12">
        <f t="shared" si="0"/>
        <v>2010.5</v>
      </c>
      <c r="B13" s="14">
        <f>aggregates_normalized!B13</f>
        <v>1.9395300000000004</v>
      </c>
      <c r="C13" s="15">
        <f>aggregates_normalized!R13</f>
        <v>0.14350834250227429</v>
      </c>
      <c r="D13" s="12">
        <f>aggregates_normalized!K13</f>
        <v>0.1856599999999986</v>
      </c>
      <c r="E13" s="15">
        <f>aggregates_normalized!AA13</f>
        <v>-14.924993430377942</v>
      </c>
      <c r="F13" s="16">
        <f>100*(output_transition_aggregates!AM13-output_transition_aggregates!AM$2)</f>
        <v>-0.23606373458582991</v>
      </c>
      <c r="G13" s="12">
        <f>100*(output_transition_firms_age!II19-output_transition_firms_age!II$8)</f>
        <v>-0.11051514876770363</v>
      </c>
      <c r="H13" s="15">
        <f>aggregates_normalized!J13</f>
        <v>-0.54028887486833321</v>
      </c>
      <c r="I13" s="15">
        <f>aggregates_normalized!S13</f>
        <v>4.8509101477397287</v>
      </c>
      <c r="J13" s="15">
        <f>aggregates_normalized!D13</f>
        <v>-12.552035824585218</v>
      </c>
      <c r="K13" s="15">
        <f>output_transition_aggregates!AL13</f>
        <v>-0.13176455233105955</v>
      </c>
      <c r="L13" s="12">
        <v>0</v>
      </c>
    </row>
    <row r="14" spans="1:16" x14ac:dyDescent="0.35">
      <c r="A14" s="12">
        <f t="shared" si="0"/>
        <v>2010.75</v>
      </c>
      <c r="B14" s="14">
        <f>aggregates_normalized!B14</f>
        <v>1.9110600000000089</v>
      </c>
      <c r="C14" s="15">
        <f>aggregates_normalized!R14</f>
        <v>0.18173603485616141</v>
      </c>
      <c r="D14" s="12">
        <f>aggregates_normalized!K14</f>
        <v>0.1991000000000076</v>
      </c>
      <c r="E14" s="15">
        <f>aggregates_normalized!AA14</f>
        <v>-14.622624715724374</v>
      </c>
      <c r="F14" s="16">
        <f>100*(output_transition_aggregates!AM14-output_transition_aggregates!AM$2)</f>
        <v>-0.23195456124882746</v>
      </c>
      <c r="G14" s="12">
        <f>100*(output_transition_firms_age!II20-output_transition_firms_age!II$8)</f>
        <v>-6.9661773352010237E-2</v>
      </c>
      <c r="H14" s="15">
        <f>aggregates_normalized!J14</f>
        <v>-0.51774338862812241</v>
      </c>
      <c r="I14" s="15">
        <f>aggregates_normalized!S14</f>
        <v>4.9614140157365982</v>
      </c>
      <c r="J14" s="15">
        <f>aggregates_normalized!D14</f>
        <v>-12.257644207906903</v>
      </c>
      <c r="K14" s="15">
        <f>output_transition_aggregates!AL14</f>
        <v>-5.5202648732244342E-2</v>
      </c>
      <c r="L14" s="12">
        <v>0</v>
      </c>
    </row>
    <row r="15" spans="1:16" x14ac:dyDescent="0.35">
      <c r="A15" s="12">
        <f t="shared" si="0"/>
        <v>2011</v>
      </c>
      <c r="B15" s="14">
        <f>aggregates_normalized!B15</f>
        <v>0.86657000000001094</v>
      </c>
      <c r="C15" s="15">
        <f>aggregates_normalized!R15</f>
        <v>-0.73147710573756575</v>
      </c>
      <c r="D15" s="12">
        <f>aggregates_normalized!K15</f>
        <v>-0.29517999999999489</v>
      </c>
      <c r="E15" s="15">
        <f>aggregates_normalized!AA15</f>
        <v>-14.363902745626344</v>
      </c>
      <c r="F15" s="16">
        <f>100*(output_transition_aggregates!AM15-output_transition_aggregates!AM$2)</f>
        <v>-0.22563111397107399</v>
      </c>
      <c r="G15" s="12">
        <f>100*(output_transition_firms_age!II21-output_transition_firms_age!II$8)</f>
        <v>-6.850958268657531E-2</v>
      </c>
      <c r="H15" s="15">
        <f>aggregates_normalized!J15</f>
        <v>-0.52239801716779111</v>
      </c>
      <c r="I15" s="15">
        <f>aggregates_normalized!S15</f>
        <v>-0.11861905228383041</v>
      </c>
      <c r="J15" s="15">
        <f>aggregates_normalized!D15</f>
        <v>-11.970166333741473</v>
      </c>
      <c r="K15" s="15">
        <f>output_transition_aggregates!AL15</f>
        <v>-1.3535301250472642</v>
      </c>
      <c r="L15" s="12">
        <v>0</v>
      </c>
    </row>
    <row r="16" spans="1:16" x14ac:dyDescent="0.35">
      <c r="A16" s="12">
        <f t="shared" si="0"/>
        <v>2011.25</v>
      </c>
      <c r="B16" s="14">
        <f>aggregates_normalized!B16</f>
        <v>0.73441999999999119</v>
      </c>
      <c r="C16" s="15">
        <f>aggregates_normalized!R16</f>
        <v>-0.82740709732456175</v>
      </c>
      <c r="D16" s="12">
        <f>aggregates_normalized!K16</f>
        <v>-0.3451299999999935</v>
      </c>
      <c r="E16" s="15">
        <f>aggregates_normalized!AA16</f>
        <v>-14.125629262308104</v>
      </c>
      <c r="F16" s="16">
        <f>100*(output_transition_aggregates!AM16-output_transition_aggregates!AM$2)</f>
        <v>-0.23399473428139805</v>
      </c>
      <c r="G16" s="12">
        <f>100*(output_transition_firms_age!II22-output_transition_firms_age!II$8)</f>
        <v>-7.8023647909419847E-2</v>
      </c>
      <c r="H16" s="15">
        <f>aggregates_normalized!J16</f>
        <v>-0.52188391206147156</v>
      </c>
      <c r="I16" s="15">
        <f>aggregates_normalized!S16</f>
        <v>-0.65682385784654462</v>
      </c>
      <c r="J16" s="15">
        <f>aggregates_normalized!D16</f>
        <v>-11.68942873901514</v>
      </c>
      <c r="K16" s="15">
        <f>output_transition_aggregates!AL16</f>
        <v>-1.4967824044491262</v>
      </c>
      <c r="L16" s="12">
        <v>0</v>
      </c>
    </row>
    <row r="17" spans="1:12" x14ac:dyDescent="0.35">
      <c r="A17" s="12">
        <f t="shared" si="0"/>
        <v>2011.5</v>
      </c>
      <c r="B17" s="14">
        <f>aggregates_normalized!B17</f>
        <v>4.6630000000003058E-2</v>
      </c>
      <c r="C17" s="15">
        <f>aggregates_normalized!R17</f>
        <v>-1.4526037766177446</v>
      </c>
      <c r="D17" s="12">
        <f>aggregates_normalized!K17</f>
        <v>-0.67766999999999689</v>
      </c>
      <c r="E17" s="15">
        <f>aggregates_normalized!AA17</f>
        <v>-13.935046304421705</v>
      </c>
      <c r="F17" s="16">
        <f>100*(output_transition_aggregates!AM17-output_transition_aggregates!AM$2)</f>
        <v>-0.24731576050629339</v>
      </c>
      <c r="G17" s="12">
        <f>100*(output_transition_firms_age!II23-output_transition_firms_age!II$8)</f>
        <v>-8.1072660037015409E-2</v>
      </c>
      <c r="H17" s="15">
        <f>aggregates_normalized!J17</f>
        <v>-0.53332472800480257</v>
      </c>
      <c r="I17" s="15">
        <f>aggregates_normalized!S17</f>
        <v>-4.096920965334605</v>
      </c>
      <c r="J17" s="15">
        <f>aggregates_normalized!D17</f>
        <v>-11.415282741093236</v>
      </c>
      <c r="K17" s="15">
        <f>output_transition_aggregates!AL17</f>
        <v>-2.4121933846513066</v>
      </c>
      <c r="L17" s="12">
        <v>0</v>
      </c>
    </row>
    <row r="18" spans="1:12" x14ac:dyDescent="0.35">
      <c r="A18" s="12">
        <f t="shared" si="0"/>
        <v>2011.75</v>
      </c>
      <c r="B18" s="14">
        <f>aggregates_normalized!B18</f>
        <v>0.39746000000000503</v>
      </c>
      <c r="C18" s="15">
        <f>aggregates_normalized!R18</f>
        <v>-1.1170380840998861</v>
      </c>
      <c r="D18" s="12">
        <f>aggregates_normalized!K18</f>
        <v>-0.47654999999999781</v>
      </c>
      <c r="E18" s="15">
        <f>aggregates_normalized!AA18</f>
        <v>-13.761055892582718</v>
      </c>
      <c r="F18" s="16">
        <f>100*(output_transition_aggregates!AM18-output_transition_aggregates!AM$2)</f>
        <v>-0.22065377041078638</v>
      </c>
      <c r="G18" s="12">
        <f>100*(output_transition_firms_age!II24-output_transition_firms_age!II$8)</f>
        <v>-0.11558130292488866</v>
      </c>
      <c r="H18" s="15">
        <f>aggregates_normalized!J18</f>
        <v>-0.53990527336590377</v>
      </c>
      <c r="I18" s="15">
        <f>aggregates_normalized!S18</f>
        <v>-2.1923830048882764</v>
      </c>
      <c r="J18" s="15">
        <f>aggregates_normalized!D18</f>
        <v>-11.147554876901932</v>
      </c>
      <c r="K18" s="15">
        <f>output_transition_aggregates!AL18</f>
        <v>-1.9902940784432666</v>
      </c>
      <c r="L18" s="12">
        <v>0</v>
      </c>
    </row>
    <row r="19" spans="1:12" x14ac:dyDescent="0.35">
      <c r="A19" s="12">
        <f t="shared" si="0"/>
        <v>2012</v>
      </c>
      <c r="B19" s="14">
        <f>aggregates_normalized!B19</f>
        <v>0.49989999999999757</v>
      </c>
      <c r="C19" s="15">
        <f>aggregates_normalized!R19</f>
        <v>-1.0124271870041723</v>
      </c>
      <c r="D19" s="12">
        <f>aggregates_normalized!K19</f>
        <v>-0.41510000000000158</v>
      </c>
      <c r="E19" s="15">
        <f>aggregates_normalized!AA19</f>
        <v>-13.584700086338641</v>
      </c>
      <c r="F19" s="16">
        <f>100*(output_transition_aggregates!AM19-output_transition_aggregates!AM$2)</f>
        <v>-0.21372169365131422</v>
      </c>
      <c r="G19" s="12">
        <f>100*(output_transition_firms_age!II25-output_transition_firms_age!II$8)</f>
        <v>-0.15043998045253804</v>
      </c>
      <c r="H19" s="15">
        <f>aggregates_normalized!J19</f>
        <v>-0.54558020280893738</v>
      </c>
      <c r="I19" s="15">
        <f>aggregates_normalized!S19</f>
        <v>-1.5820633100047332</v>
      </c>
      <c r="J19" s="15">
        <f>aggregates_normalized!D19</f>
        <v>-10.88609646380656</v>
      </c>
      <c r="K19" s="15">
        <f>output_transition_aggregates!AL19</f>
        <v>-1.8552489949839934</v>
      </c>
      <c r="L19" s="12">
        <v>0</v>
      </c>
    </row>
    <row r="20" spans="1:12" x14ac:dyDescent="0.35">
      <c r="A20" s="12">
        <f t="shared" si="0"/>
        <v>2012.25</v>
      </c>
      <c r="B20" s="14">
        <f>aggregates_normalized!B20</f>
        <v>0.71231000000000488</v>
      </c>
      <c r="C20" s="15">
        <f>aggregates_normalized!R20</f>
        <v>-0.79791854987527611</v>
      </c>
      <c r="D20" s="12">
        <f>aggregates_normalized!K20</f>
        <v>-0.29199999999999227</v>
      </c>
      <c r="E20" s="15">
        <f>aggregates_normalized!AA20</f>
        <v>-13.390019430497556</v>
      </c>
      <c r="F20" s="16">
        <f>100*(output_transition_aggregates!AM20-output_transition_aggregates!AM$2)</f>
        <v>-0.2102679002048205</v>
      </c>
      <c r="G20" s="12">
        <f>100*(output_transition_firms_age!II26-output_transition_firms_age!II$8)</f>
        <v>-0.19786377025257512</v>
      </c>
      <c r="H20" s="15">
        <f>aggregates_normalized!J20</f>
        <v>-0.53619580729095118</v>
      </c>
      <c r="I20" s="15">
        <f>aggregates_normalized!S20</f>
        <v>-0.42667072486127777</v>
      </c>
      <c r="J20" s="15">
        <f>aggregates_normalized!D20</f>
        <v>-10.630783599611537</v>
      </c>
      <c r="K20" s="15">
        <f>output_transition_aggregates!AL20</f>
        <v>-1.5698510372587737</v>
      </c>
      <c r="L20" s="12">
        <v>0</v>
      </c>
    </row>
    <row r="21" spans="1:12" x14ac:dyDescent="0.35">
      <c r="A21" s="12">
        <f t="shared" si="0"/>
        <v>2012.5</v>
      </c>
      <c r="B21" s="14">
        <f>aggregates_normalized!B21</f>
        <v>0.24690000000000545</v>
      </c>
      <c r="C21" s="15">
        <f>aggregates_normalized!R21</f>
        <v>-1.212673643185469</v>
      </c>
      <c r="D21" s="12">
        <f>aggregates_normalized!K21</f>
        <v>-0.5134299999999925</v>
      </c>
      <c r="E21" s="15">
        <f>aggregates_normalized!AA21</f>
        <v>-13.214442812998684</v>
      </c>
      <c r="F21" s="16">
        <f>100*(output_transition_aggregates!AM21-output_transition_aggregates!AM$2)</f>
        <v>-0.20119674442710539</v>
      </c>
      <c r="G21" s="12">
        <f>100*(output_transition_firms_age!II27-output_transition_firms_age!II$8)</f>
        <v>-0.20451085192411261</v>
      </c>
      <c r="H21" s="15">
        <f>aggregates_normalized!J21</f>
        <v>-0.55195115147284035</v>
      </c>
      <c r="I21" s="15">
        <f>aggregates_normalized!S21</f>
        <v>-2.6715403559619766</v>
      </c>
      <c r="J21" s="15">
        <f>aggregates_normalized!D21</f>
        <v>-10.381442821243091</v>
      </c>
      <c r="K21" s="15">
        <f>output_transition_aggregates!AL21</f>
        <v>-2.1737346511216948</v>
      </c>
      <c r="L21" s="12">
        <v>0</v>
      </c>
    </row>
    <row r="22" spans="1:12" x14ac:dyDescent="0.35">
      <c r="A22" s="12">
        <f t="shared" si="0"/>
        <v>2012.75</v>
      </c>
      <c r="B22" s="14">
        <f>aggregates_normalized!B22</f>
        <v>-0.33052999999999555</v>
      </c>
      <c r="C22" s="15">
        <f>aggregates_normalized!R22</f>
        <v>-1.7466318377823087</v>
      </c>
      <c r="D22" s="12">
        <f>aggregates_normalized!K22</f>
        <v>-0.79414999999999347</v>
      </c>
      <c r="E22" s="15">
        <f>aggregates_normalized!AA22</f>
        <v>-13.065029892584834</v>
      </c>
      <c r="F22" s="16">
        <f>100*(output_transition_aggregates!AM22-output_transition_aggregates!AM$2)</f>
        <v>-0.20397204547661224</v>
      </c>
      <c r="G22" s="12">
        <f>100*(output_transition_firms_age!II28-output_transition_firms_age!II$8)</f>
        <v>-0.12245997532604747</v>
      </c>
      <c r="H22" s="15">
        <f>aggregates_normalized!J22</f>
        <v>-0.57109168004724209</v>
      </c>
      <c r="I22" s="15">
        <f>aggregates_normalized!S22</f>
        <v>-5.566799533982369</v>
      </c>
      <c r="J22" s="15">
        <f>aggregates_normalized!D22</f>
        <v>-10.137975006944721</v>
      </c>
      <c r="K22" s="15">
        <f>output_transition_aggregates!AL22</f>
        <v>-2.9686473950237602</v>
      </c>
      <c r="L22" s="12">
        <v>0</v>
      </c>
    </row>
    <row r="23" spans="1:12" x14ac:dyDescent="0.35">
      <c r="A23" s="12">
        <f t="shared" si="0"/>
        <v>2013</v>
      </c>
      <c r="B23" s="14">
        <f>aggregates_normalized!B23</f>
        <v>3.417999999999477E-2</v>
      </c>
      <c r="C23" s="15">
        <f>aggregates_normalized!R23</f>
        <v>-1.4159517834747226</v>
      </c>
      <c r="D23" s="12">
        <f>aggregates_normalized!K23</f>
        <v>-0.60375999999999763</v>
      </c>
      <c r="E23" s="15">
        <f>aggregates_normalized!AA23</f>
        <v>-12.926224722521408</v>
      </c>
      <c r="F23" s="16">
        <f>100*(output_transition_aggregates!AM23-output_transition_aggregates!AM$2)</f>
        <v>-0.19700506920167088</v>
      </c>
      <c r="G23" s="12">
        <f>100*(output_transition_firms_age!II29-output_transition_firms_age!II$8)</f>
        <v>-0.13616614736677995</v>
      </c>
      <c r="H23" s="15">
        <f>aggregates_normalized!J23</f>
        <v>-0.58265904493983722</v>
      </c>
      <c r="I23" s="15">
        <f>aggregates_normalized!S23</f>
        <v>-3.6667439024963389</v>
      </c>
      <c r="J23" s="15">
        <f>aggregates_normalized!D23</f>
        <v>-9.9002066936426658</v>
      </c>
      <c r="K23" s="15">
        <f>output_transition_aggregates!AL23</f>
        <v>-2.5270995019838871</v>
      </c>
      <c r="L23" s="12">
        <v>0</v>
      </c>
    </row>
    <row r="24" spans="1:12" x14ac:dyDescent="0.35">
      <c r="A24" s="12">
        <f t="shared" si="0"/>
        <v>2013.25</v>
      </c>
      <c r="B24" s="14">
        <f>aggregates_normalized!B24</f>
        <v>-0.54049000000000458</v>
      </c>
      <c r="C24" s="15">
        <f>aggregates_normalized!R24</f>
        <v>-1.9488066650717673</v>
      </c>
      <c r="D24" s="12">
        <f>aggregates_normalized!K24</f>
        <v>-0.87522999999999351</v>
      </c>
      <c r="E24" s="15">
        <f>aggregates_normalized!AA24</f>
        <v>-12.813746740038656</v>
      </c>
      <c r="F24" s="16">
        <f>100*(output_transition_aggregates!AM24-output_transition_aggregates!AM$2)</f>
        <v>-0.18343001178342533</v>
      </c>
      <c r="G24" s="12">
        <f>100*(output_transition_firms_age!II30-output_transition_firms_age!II$8)</f>
        <v>-0.11156053791375187</v>
      </c>
      <c r="H24" s="15">
        <f>aggregates_normalized!J24</f>
        <v>-0.59627492094843637</v>
      </c>
      <c r="I24" s="15">
        <f>aggregates_normalized!S24</f>
        <v>-6.5810710525050613</v>
      </c>
      <c r="J24" s="15">
        <f>aggregates_normalized!D24</f>
        <v>-9.6680139791413211</v>
      </c>
      <c r="K24" s="15">
        <f>output_transition_aggregates!AL24</f>
        <v>-3.3489659685181916</v>
      </c>
      <c r="L24" s="12">
        <v>0</v>
      </c>
    </row>
    <row r="25" spans="1:12" x14ac:dyDescent="0.35">
      <c r="A25" s="12">
        <f t="shared" si="0"/>
        <v>2013.5</v>
      </c>
      <c r="B25" s="14">
        <f>aggregates_normalized!B25</f>
        <v>-0.27715999999999852</v>
      </c>
      <c r="C25" s="15">
        <f>aggregates_normalized!R25</f>
        <v>-1.7229025194815617</v>
      </c>
      <c r="D25" s="12">
        <f>aggregates_normalized!K25</f>
        <v>-0.74208000000000052</v>
      </c>
      <c r="E25" s="15">
        <f>aggregates_normalized!AA25</f>
        <v>-12.688006895542115</v>
      </c>
      <c r="F25" s="16">
        <f>100*(output_transition_aggregates!AM25-output_transition_aggregates!AM$2)</f>
        <v>-0.18426362674778124</v>
      </c>
      <c r="G25" s="12">
        <f>100*(output_transition_firms_age!II31-output_transition_firms_age!II$8)</f>
        <v>-0.14971618634918998</v>
      </c>
      <c r="H25" s="15">
        <f>aggregates_normalized!J25</f>
        <v>-0.60540621856791654</v>
      </c>
      <c r="I25" s="15">
        <f>aggregates_normalized!S25</f>
        <v>-5.2774001335300191</v>
      </c>
      <c r="J25" s="15">
        <f>aggregates_normalized!D25</f>
        <v>-9.4412481808060171</v>
      </c>
      <c r="K25" s="15">
        <f>output_transition_aggregates!AL25</f>
        <v>-3.0559506782509516</v>
      </c>
      <c r="L25" s="12">
        <v>0</v>
      </c>
    </row>
    <row r="26" spans="1:12" x14ac:dyDescent="0.35">
      <c r="A26" s="12">
        <f t="shared" si="0"/>
        <v>2013.75</v>
      </c>
      <c r="B26" s="14">
        <f>aggregates_normalized!B26</f>
        <v>0.26969999999999494</v>
      </c>
      <c r="C26" s="15">
        <f>aggregates_normalized!R26</f>
        <v>-1.195088581150483</v>
      </c>
      <c r="D26" s="12">
        <f>aggregates_normalized!K26</f>
        <v>-0.4210799999999959</v>
      </c>
      <c r="E26" s="15">
        <f>aggregates_normalized!AA26</f>
        <v>-12.567827467158111</v>
      </c>
      <c r="F26" s="16">
        <f>100*(output_transition_aggregates!AM26-output_transition_aggregates!AM$2)</f>
        <v>-9.501482417362539E-2</v>
      </c>
      <c r="G26" s="12">
        <f>100*(output_transition_firms_age!II32-output_transition_firms_age!II$8)</f>
        <v>-0.18822636892922157</v>
      </c>
      <c r="H26" s="15">
        <f>aggregates_normalized!J26</f>
        <v>-0.59720031013984487</v>
      </c>
      <c r="I26" s="15">
        <f>aggregates_normalized!S26</f>
        <v>-2.3665070258699017</v>
      </c>
      <c r="J26" s="15">
        <f>aggregates_normalized!D26</f>
        <v>-9.2198349573194172</v>
      </c>
      <c r="K26" s="15">
        <f>output_transition_aggregates!AL26</f>
        <v>-2.4050437530726665</v>
      </c>
      <c r="L26" s="12">
        <v>0</v>
      </c>
    </row>
    <row r="27" spans="1:12" x14ac:dyDescent="0.35">
      <c r="A27" s="12">
        <f t="shared" si="0"/>
        <v>2014</v>
      </c>
      <c r="B27" s="14">
        <f>aggregates_normalized!B27</f>
        <v>-0.94729000000000063</v>
      </c>
      <c r="C27" s="15">
        <f>aggregates_normalized!R27</f>
        <v>-2.3014106164077064</v>
      </c>
      <c r="D27" s="12">
        <f>aggregates_normalized!K27</f>
        <v>-0.98213999999999801</v>
      </c>
      <c r="E27" s="15">
        <f>aggregates_normalized!AA27</f>
        <v>-12.434447050881037</v>
      </c>
      <c r="F27" s="16">
        <f>100*(output_transition_aggregates!AM27-output_transition_aggregates!AM$2)</f>
        <v>-3.0260706107215762E-2</v>
      </c>
      <c r="G27" s="12">
        <f>100*(output_transition_firms_age!II33-output_transition_firms_age!II$8)</f>
        <v>-0.1822895706219213</v>
      </c>
      <c r="H27" s="15">
        <f>aggregates_normalized!J27</f>
        <v>-0.64358445469545611</v>
      </c>
      <c r="I27" s="15">
        <f>aggregates_normalized!S27</f>
        <v>-8.3345292235196489</v>
      </c>
      <c r="J27" s="15">
        <f>aggregates_normalized!D27</f>
        <v>-9.003600845607707</v>
      </c>
      <c r="K27" s="15">
        <f>output_transition_aggregates!AL27</f>
        <v>-4.1205671865927052</v>
      </c>
      <c r="L27" s="12">
        <v>0</v>
      </c>
    </row>
    <row r="28" spans="1:12" x14ac:dyDescent="0.35">
      <c r="A28" s="12">
        <f t="shared" si="0"/>
        <v>2014.25</v>
      </c>
      <c r="B28" s="14">
        <f>aggregates_normalized!B28</f>
        <v>-0.14600000000000168</v>
      </c>
      <c r="C28" s="15">
        <f>aggregates_normalized!R28</f>
        <v>-1.5791159220878481</v>
      </c>
      <c r="D28" s="12">
        <f>aggregates_normalized!K28</f>
        <v>-0.57250999999999275</v>
      </c>
      <c r="E28" s="15">
        <f>aggregates_normalized!AA28</f>
        <v>-12.283439228504367</v>
      </c>
      <c r="F28" s="16">
        <f>100*(output_transition_aggregates!AM28-output_transition_aggregates!AM$2)</f>
        <v>3.6495453165490133E-2</v>
      </c>
      <c r="G28" s="12">
        <f>100*(output_transition_firms_age!II34-output_transition_firms_age!II$8)</f>
        <v>-0.19494462955678971</v>
      </c>
      <c r="H28" s="15">
        <f>aggregates_normalized!J28</f>
        <v>-0.64614707091779078</v>
      </c>
      <c r="I28" s="15">
        <f>aggregates_normalized!S28</f>
        <v>-4.2880163850812059</v>
      </c>
      <c r="J28" s="15">
        <f>aggregates_normalized!D28</f>
        <v>-8.7924219434753255</v>
      </c>
      <c r="K28" s="15">
        <f>output_transition_aggregates!AL28</f>
        <v>-3.1323685344087249</v>
      </c>
      <c r="L28" s="12">
        <v>0</v>
      </c>
    </row>
    <row r="29" spans="1:12" x14ac:dyDescent="0.35">
      <c r="A29" s="12">
        <f t="shared" si="0"/>
        <v>2014.5</v>
      </c>
      <c r="B29" s="14">
        <f>aggregates_normalized!B29</f>
        <v>0.59236000000000288</v>
      </c>
      <c r="C29" s="15">
        <f>aggregates_normalized!R29</f>
        <v>-0.882828353552223</v>
      </c>
      <c r="D29" s="12">
        <f>aggregates_normalized!K29</f>
        <v>-0.1758199999999932</v>
      </c>
      <c r="E29" s="15">
        <f>aggregates_normalized!AA29</f>
        <v>-12.124169918315808</v>
      </c>
      <c r="F29" s="16">
        <f>100*(output_transition_aggregates!AM29-output_transition_aggregates!AM$2)</f>
        <v>0.10140001716040237</v>
      </c>
      <c r="G29" s="12">
        <f>100*(output_transition_firms_age!II35-output_transition_firms_age!II$8)</f>
        <v>-0.24583680778492434</v>
      </c>
      <c r="H29" s="15">
        <f>aggregates_normalized!J29</f>
        <v>-0.63113124715808988</v>
      </c>
      <c r="I29" s="15">
        <f>aggregates_normalized!S29</f>
        <v>-0.46712012894648547</v>
      </c>
      <c r="J29" s="15">
        <f>aggregates_normalized!D29</f>
        <v>-8.586223909604918</v>
      </c>
      <c r="K29" s="15">
        <f>output_transition_aggregates!AL29</f>
        <v>-2.1930371169493146</v>
      </c>
      <c r="L29" s="12">
        <v>0</v>
      </c>
    </row>
    <row r="30" spans="1:12" x14ac:dyDescent="0.35">
      <c r="A30" s="12">
        <f t="shared" si="0"/>
        <v>2014.75</v>
      </c>
      <c r="B30" s="14">
        <f>aggregates_normalized!B30</f>
        <v>-0.10061000000000098</v>
      </c>
      <c r="C30" s="15">
        <f>aggregates_normalized!R30</f>
        <v>-1.4988685056036233</v>
      </c>
      <c r="D30" s="12">
        <f>aggregates_normalized!K30</f>
        <v>-0.48941999999999597</v>
      </c>
      <c r="E30" s="15">
        <f>aggregates_normalized!AA30</f>
        <v>-11.965349337359976</v>
      </c>
      <c r="F30" s="16">
        <f>100*(output_transition_aggregates!AM30-output_transition_aggregates!AM$2)</f>
        <v>0.10136931905328633</v>
      </c>
      <c r="G30" s="12">
        <f>100*(output_transition_firms_age!II36-output_transition_firms_age!II$8)</f>
        <v>-0.2234661783109243</v>
      </c>
      <c r="H30" s="15">
        <f>aggregates_normalized!J30</f>
        <v>-0.63447688500395394</v>
      </c>
      <c r="I30" s="15">
        <f>aggregates_normalized!S30</f>
        <v>-3.8930834410839443</v>
      </c>
      <c r="J30" s="15">
        <f>aggregates_normalized!D30</f>
        <v>-8.3848332809226989</v>
      </c>
      <c r="K30" s="15">
        <f>output_transition_aggregates!AL30</f>
        <v>-3.1392322603181366</v>
      </c>
      <c r="L30" s="12">
        <v>0</v>
      </c>
    </row>
    <row r="31" spans="1:12" x14ac:dyDescent="0.35">
      <c r="A31" s="12">
        <f t="shared" si="0"/>
        <v>2015</v>
      </c>
      <c r="B31" s="14">
        <f>aggregates_normalized!B31</f>
        <v>0.57898000000000671</v>
      </c>
      <c r="C31" s="15">
        <f>aggregates_normalized!R31</f>
        <v>-0.85048931122659877</v>
      </c>
      <c r="D31" s="12">
        <f>aggregates_normalized!K31</f>
        <v>-0.11913000000000062</v>
      </c>
      <c r="E31" s="15">
        <f>aggregates_normalized!AA31</f>
        <v>-11.773787175760308</v>
      </c>
      <c r="F31" s="16">
        <f>100*(output_transition_aggregates!AM31-output_transition_aggregates!AM$2)</f>
        <v>0.11376289814082063</v>
      </c>
      <c r="G31" s="12">
        <f>100*(output_transition_firms_age!II37-output_transition_firms_age!II$8)</f>
        <v>-0.2609551201503843</v>
      </c>
      <c r="H31" s="15">
        <f>aggregates_normalized!J31</f>
        <v>-0.63381250302038117</v>
      </c>
      <c r="I31" s="15">
        <f>aggregates_normalized!S31</f>
        <v>-0.27421731849007758</v>
      </c>
      <c r="J31" s="15">
        <f>aggregates_normalized!D31</f>
        <v>-8.1881757161113349</v>
      </c>
      <c r="K31" s="15">
        <f>output_transition_aggregates!AL31</f>
        <v>-2.2677573295534881</v>
      </c>
      <c r="L31" s="12">
        <v>0</v>
      </c>
    </row>
    <row r="32" spans="1:12" x14ac:dyDescent="0.35">
      <c r="A32" s="12">
        <f t="shared" si="0"/>
        <v>2015.25</v>
      </c>
      <c r="B32" s="14">
        <f>aggregates_normalized!B32</f>
        <v>0.71829000000001031</v>
      </c>
      <c r="C32" s="15">
        <f>aggregates_normalized!R32</f>
        <v>-0.68595007576621736</v>
      </c>
      <c r="D32" s="12">
        <f>aggregates_normalized!K32</f>
        <v>-2.187000000000161E-2</v>
      </c>
      <c r="E32" s="15">
        <f>aggregates_normalized!AA32</f>
        <v>-11.557649261996072</v>
      </c>
      <c r="F32" s="16">
        <f>100*(output_transition_aggregates!AM32-output_transition_aggregates!AM$2)</f>
        <v>0.10916204768846027</v>
      </c>
      <c r="G32" s="12">
        <f>100*(output_transition_firms_age!II38-output_transition_firms_age!II$8)</f>
        <v>-0.25343451170031922</v>
      </c>
      <c r="H32" s="15">
        <f>aggregates_normalized!J32</f>
        <v>-0.62408800720128443</v>
      </c>
      <c r="I32" s="15">
        <f>aggregates_normalized!S32</f>
        <v>0.60046941551514799</v>
      </c>
      <c r="J32" s="15">
        <f>aggregates_normalized!D32</f>
        <v>-7.9961520934143326</v>
      </c>
      <c r="K32" s="15">
        <f>output_transition_aggregates!AL32</f>
        <v>-2.0577902033259043</v>
      </c>
      <c r="L32" s="12">
        <v>0</v>
      </c>
    </row>
    <row r="33" spans="1:12" x14ac:dyDescent="0.35">
      <c r="A33" s="12">
        <f t="shared" si="0"/>
        <v>2015.5</v>
      </c>
      <c r="B33" s="14">
        <f>aggregates_normalized!B33</f>
        <v>0.74818999999999303</v>
      </c>
      <c r="C33" s="15">
        <f>aggregates_normalized!R33</f>
        <v>-0.62209381370136319</v>
      </c>
      <c r="D33" s="12">
        <f>aggregates_normalized!K33</f>
        <v>1.6740000000003974E-2</v>
      </c>
      <c r="E33" s="15">
        <f>aggregates_normalized!AA33</f>
        <v>-11.340615629026995</v>
      </c>
      <c r="F33" s="16">
        <f>100*(output_transition_aggregates!AM33-output_transition_aggregates!AM$2)</f>
        <v>0.10558956197082719</v>
      </c>
      <c r="G33" s="12">
        <f>100*(output_transition_firms_age!II39-output_transition_firms_age!II$8)</f>
        <v>-0.19144516047593096</v>
      </c>
      <c r="H33" s="15">
        <f>aggregates_normalized!J33</f>
        <v>-0.61778033301198576</v>
      </c>
      <c r="I33" s="15">
        <f>aggregates_normalized!S33</f>
        <v>0.92833009027193381</v>
      </c>
      <c r="J33" s="15">
        <f>aggregates_normalized!D33</f>
        <v>-7.8086137301970222</v>
      </c>
      <c r="K33" s="15">
        <f>output_transition_aggregates!AL33</f>
        <v>-1.9790806623301016</v>
      </c>
      <c r="L33" s="12">
        <v>0</v>
      </c>
    </row>
    <row r="34" spans="1:12" x14ac:dyDescent="0.35">
      <c r="A34" s="12">
        <f t="shared" si="0"/>
        <v>2015.75</v>
      </c>
      <c r="B34" s="14">
        <f>aggregates_normalized!B34</f>
        <v>-5.110000000000392E-2</v>
      </c>
      <c r="C34" s="15">
        <f>aggregates_normalized!R34</f>
        <v>-1.328437384592962</v>
      </c>
      <c r="D34" s="12">
        <f>aggregates_normalized!K34</f>
        <v>-0.35122999999999127</v>
      </c>
      <c r="E34" s="15">
        <f>aggregates_normalized!AA34</f>
        <v>-11.154450393044202</v>
      </c>
      <c r="F34" s="16">
        <f>100*(output_transition_aggregates!AM34-output_transition_aggregates!AM$2)</f>
        <v>9.1430828992883351E-2</v>
      </c>
      <c r="G34" s="12">
        <f>100*(output_transition_firms_age!II40-output_transition_firms_age!II$8)</f>
        <v>-0.18142166062376924</v>
      </c>
      <c r="H34" s="15">
        <f>aggregates_normalized!J34</f>
        <v>-0.62526649429119896</v>
      </c>
      <c r="I34" s="15">
        <f>aggregates_normalized!S34</f>
        <v>-2.9831345143306209</v>
      </c>
      <c r="J34" s="15">
        <f>aggregates_normalized!D34</f>
        <v>-7.6254615047029572</v>
      </c>
      <c r="K34" s="15">
        <f>output_transition_aggregates!AL34</f>
        <v>-3.0356780242124515</v>
      </c>
      <c r="L34" s="12">
        <v>0</v>
      </c>
    </row>
    <row r="35" spans="1:12" x14ac:dyDescent="0.35">
      <c r="A35" s="12">
        <f t="shared" si="0"/>
        <v>2016</v>
      </c>
      <c r="B35" s="14">
        <f>aggregates_normalized!B35</f>
        <v>-7.0199999999998042E-2</v>
      </c>
      <c r="C35" s="15">
        <f>aggregates_normalized!R35</f>
        <v>-1.3296474698185623</v>
      </c>
      <c r="D35" s="12">
        <f>aggregates_normalized!K35</f>
        <v>-0.33450999999999897</v>
      </c>
      <c r="E35" s="15">
        <f>aggregates_normalized!AA35</f>
        <v>-10.973753392362562</v>
      </c>
      <c r="F35" s="16">
        <f>100*(output_transition_aggregates!AM35-output_transition_aggregates!AM$2)</f>
        <v>8.5318700436191885E-2</v>
      </c>
      <c r="G35" s="12">
        <f>100*(output_transition_firms_age!II41-output_transition_firms_age!II$8)</f>
        <v>-0.13820371287824734</v>
      </c>
      <c r="H35" s="15">
        <f>aggregates_normalized!J35</f>
        <v>-0.62988553093888955</v>
      </c>
      <c r="I35" s="15">
        <f>aggregates_normalized!S35</f>
        <v>-2.9687838320948567</v>
      </c>
      <c r="J35" s="15">
        <f>aggregates_normalized!D35</f>
        <v>-7.4466210756147895</v>
      </c>
      <c r="K35" s="15">
        <f>output_transition_aggregates!AL35</f>
        <v>-3.0910344256817712</v>
      </c>
      <c r="L35" s="12">
        <v>0</v>
      </c>
    </row>
    <row r="36" spans="1:12" x14ac:dyDescent="0.35">
      <c r="A36" s="12">
        <f t="shared" si="0"/>
        <v>2016.25</v>
      </c>
      <c r="B36" s="14">
        <f>aggregates_normalized!B36</f>
        <v>-0.36022999999999472</v>
      </c>
      <c r="C36" s="15">
        <f>aggregates_normalized!R36</f>
        <v>-1.5885442331770694</v>
      </c>
      <c r="D36" s="12">
        <f>aggregates_normalized!K36</f>
        <v>-0.45733999999999497</v>
      </c>
      <c r="E36" s="15">
        <f>aggregates_normalized!AA36</f>
        <v>-10.829354760235377</v>
      </c>
      <c r="F36" s="16">
        <f>100*(output_transition_aggregates!AM36-output_transition_aggregates!AM$2)</f>
        <v>8.3159590493805946E-2</v>
      </c>
      <c r="G36" s="12">
        <f>100*(output_transition_firms_age!II42-output_transition_firms_age!II$8)</f>
        <v>-0.12095700988118685</v>
      </c>
      <c r="H36" s="15">
        <f>aggregates_normalized!J36</f>
        <v>-0.64526122827304189</v>
      </c>
      <c r="I36" s="15">
        <f>aggregates_normalized!S36</f>
        <v>-4.3447323055545777</v>
      </c>
      <c r="J36" s="15">
        <f>aggregates_normalized!D36</f>
        <v>-7.271968540736939</v>
      </c>
      <c r="K36" s="15">
        <f>output_transition_aggregates!AL36</f>
        <v>-3.517433870659703</v>
      </c>
      <c r="L36" s="12">
        <v>0</v>
      </c>
    </row>
    <row r="37" spans="1:12" x14ac:dyDescent="0.35">
      <c r="A37" s="12">
        <f t="shared" si="0"/>
        <v>2016.5</v>
      </c>
      <c r="B37" s="14">
        <f>aggregates_normalized!B37</f>
        <v>-0.32347000000000348</v>
      </c>
      <c r="C37" s="15">
        <f>aggregates_normalized!R37</f>
        <v>-1.5460035900057845</v>
      </c>
      <c r="D37" s="12">
        <f>aggregates_normalized!K37</f>
        <v>-0.41021999999999448</v>
      </c>
      <c r="E37" s="15">
        <f>aggregates_normalized!AA37</f>
        <v>-10.695113409965273</v>
      </c>
      <c r="F37" s="16">
        <f>100*(output_transition_aggregates!AM37-output_transition_aggregates!AM$2)</f>
        <v>0.10589147473014787</v>
      </c>
      <c r="G37" s="12">
        <f>100*(output_transition_firms_age!II43-output_transition_firms_age!II$8)</f>
        <v>-0.14032990851134963</v>
      </c>
      <c r="H37" s="15">
        <f>aggregates_normalized!J37</f>
        <v>-0.65501736132944632</v>
      </c>
      <c r="I37" s="15">
        <f>aggregates_normalized!S37</f>
        <v>-4.0625082462201085</v>
      </c>
      <c r="J37" s="15">
        <f>aggregates_normalized!D37</f>
        <v>-7.1014295587520699</v>
      </c>
      <c r="K37" s="15">
        <f>output_transition_aggregates!AL37</f>
        <v>-3.5303721274355215</v>
      </c>
      <c r="L37" s="12">
        <v>0</v>
      </c>
    </row>
    <row r="38" spans="1:12" x14ac:dyDescent="0.35">
      <c r="A38" s="12">
        <f t="shared" si="0"/>
        <v>2016.75</v>
      </c>
      <c r="B38" s="14">
        <f>aggregates_normalized!B38</f>
        <v>6.2900000000087886E-3</v>
      </c>
      <c r="C38" s="15">
        <f>aggregates_normalized!R38</f>
        <v>-1.2393602285883265</v>
      </c>
      <c r="D38" s="12">
        <f>aggregates_normalized!K38</f>
        <v>-0.23691999999999602</v>
      </c>
      <c r="E38" s="15">
        <f>aggregates_normalized!AA38</f>
        <v>-10.552996687734739</v>
      </c>
      <c r="F38" s="16">
        <f>100*(output_transition_aggregates!AM38-output_transition_aggregates!AM$2)</f>
        <v>9.7775187581533585E-2</v>
      </c>
      <c r="G38" s="12">
        <f>100*(output_transition_firms_age!II44-output_transition_firms_age!II$8)</f>
        <v>-0.13922707573945925</v>
      </c>
      <c r="H38" s="15">
        <f>aggregates_normalized!J38</f>
        <v>-0.65501340667478702</v>
      </c>
      <c r="I38" s="15">
        <f>aggregates_normalized!S38</f>
        <v>-2.3495898488262168</v>
      </c>
      <c r="J38" s="15">
        <f>aggregates_normalized!D38</f>
        <v>-6.9348802274646015</v>
      </c>
      <c r="K38" s="15">
        <f>output_transition_aggregates!AL38</f>
        <v>-3.1114271975913876</v>
      </c>
      <c r="L38" s="12">
        <v>0</v>
      </c>
    </row>
    <row r="39" spans="1:12" x14ac:dyDescent="0.35">
      <c r="A39" s="12">
        <f t="shared" si="0"/>
        <v>2017</v>
      </c>
      <c r="B39" s="14">
        <f>aggregates_normalized!B39</f>
        <v>-3.3199999999999896E-2</v>
      </c>
      <c r="C39" s="15">
        <f>aggregates_normalized!R39</f>
        <v>-1.2579191827433722</v>
      </c>
      <c r="D39" s="12">
        <f>aggregates_normalized!K39</f>
        <v>-0.23199999999999887</v>
      </c>
      <c r="E39" s="15">
        <f>aggregates_normalized!AA39</f>
        <v>-10.403505500594246</v>
      </c>
      <c r="F39" s="16">
        <f>100*(output_transition_aggregates!AM39-output_transition_aggregates!AM$2)</f>
        <v>9.0868957491239966E-2</v>
      </c>
      <c r="G39" s="12">
        <f>100*(output_transition_firms_age!II45-output_transition_firms_age!II$8)</f>
        <v>-0.14518161434664556</v>
      </c>
      <c r="H39" s="15">
        <f>aggregates_normalized!J39</f>
        <v>-0.66283175894576996</v>
      </c>
      <c r="I39" s="15">
        <f>aggregates_normalized!S39</f>
        <v>-2.4175115917003165</v>
      </c>
      <c r="J39" s="15">
        <f>aggregates_normalized!D39</f>
        <v>-6.7722214251180972</v>
      </c>
      <c r="K39" s="15">
        <f>output_transition_aggregates!AL39</f>
        <v>-3.184224820336734</v>
      </c>
      <c r="L39" s="12">
        <v>0</v>
      </c>
    </row>
    <row r="40" spans="1:12" x14ac:dyDescent="0.35">
      <c r="A40" s="12">
        <f t="shared" si="0"/>
        <v>2017.25</v>
      </c>
      <c r="B40" s="14">
        <f>aggregates_normalized!B40</f>
        <v>-0.37042000000000463</v>
      </c>
      <c r="C40" s="15">
        <f>aggregates_normalized!R40</f>
        <v>-1.5633362813252671</v>
      </c>
      <c r="D40" s="12">
        <f>aggregates_normalized!K40</f>
        <v>-0.39180999999999244</v>
      </c>
      <c r="E40" s="15">
        <f>aggregates_normalized!AA40</f>
        <v>-10.255414418230291</v>
      </c>
      <c r="F40" s="16">
        <f>100*(output_transition_aggregates!AM40-output_transition_aggregates!AM$2)</f>
        <v>8.2310032566022817E-2</v>
      </c>
      <c r="G40" s="12">
        <f>100*(output_transition_firms_age!II46-output_transition_firms_age!II$8)</f>
        <v>-0.10304801044037498</v>
      </c>
      <c r="H40" s="15">
        <f>aggregates_normalized!J40</f>
        <v>-0.66943603223488246</v>
      </c>
      <c r="I40" s="15">
        <f>aggregates_normalized!S40</f>
        <v>-4.0934327012646987</v>
      </c>
      <c r="J40" s="15">
        <f>aggregates_normalized!D40</f>
        <v>-6.6133788103952096</v>
      </c>
      <c r="K40" s="15">
        <f>output_transition_aggregates!AL40</f>
        <v>-3.6410361125501556</v>
      </c>
      <c r="L40" s="12">
        <v>0</v>
      </c>
    </row>
    <row r="41" spans="1:12" x14ac:dyDescent="0.35">
      <c r="A41" s="12">
        <f t="shared" si="0"/>
        <v>2017.5</v>
      </c>
      <c r="B41" s="14">
        <f>aggregates_normalized!B41</f>
        <v>-7.0380000000003218E-2</v>
      </c>
      <c r="C41" s="15">
        <f>aggregates_normalized!R41</f>
        <v>-1.2855278919144064</v>
      </c>
      <c r="D41" s="12">
        <f>aggregates_normalized!K41</f>
        <v>-0.23898999999999448</v>
      </c>
      <c r="E41" s="15">
        <f>aggregates_normalized!AA41</f>
        <v>-10.088763686089418</v>
      </c>
      <c r="F41" s="16">
        <f>100*(output_transition_aggregates!AM41-output_transition_aggregates!AM$2)</f>
        <v>7.857539903476235E-2</v>
      </c>
      <c r="G41" s="12">
        <f>100*(output_transition_firms_age!II47-output_transition_firms_age!II$8)</f>
        <v>-3.467467722636508E-2</v>
      </c>
      <c r="H41" s="15">
        <f>aggregates_normalized!J41</f>
        <v>-0.66824568118097893</v>
      </c>
      <c r="I41" s="15">
        <f>aggregates_normalized!S41</f>
        <v>-2.5469930621500159</v>
      </c>
      <c r="J41" s="15">
        <f>aggregates_normalized!D41</f>
        <v>-6.4582780419785717</v>
      </c>
      <c r="K41" s="15">
        <f>output_transition_aggregates!AL41</f>
        <v>-3.2484311146818712</v>
      </c>
      <c r="L41" s="12">
        <v>0</v>
      </c>
    </row>
    <row r="42" spans="1:12" x14ac:dyDescent="0.35">
      <c r="A42" s="12">
        <f t="shared" si="0"/>
        <v>2017.75</v>
      </c>
      <c r="B42" s="14">
        <f>aggregates_normalized!B42</f>
        <v>0</v>
      </c>
      <c r="C42" s="15">
        <f>aggregates_normalized!R42</f>
        <v>-1.2852916988088769</v>
      </c>
      <c r="D42" s="12">
        <f>aggregates_normalized!K42</f>
        <v>-0.2363799999999916</v>
      </c>
      <c r="E42" s="15">
        <f>aggregates_normalized!AA42</f>
        <v>-9.944380707307543</v>
      </c>
      <c r="F42" s="16">
        <f>100*(output_transition_aggregates!AM42-output_transition_aggregates!AM$2)</f>
        <v>6.6012952150806825E-2</v>
      </c>
      <c r="G42" s="12">
        <f>100*(output_transition_firms_age!II48-output_transition_firms_age!II$8)</f>
        <v>-2.9802313993540497E-2</v>
      </c>
      <c r="H42" s="15">
        <f>aggregates_normalized!J42</f>
        <v>-0.66396674483437668</v>
      </c>
      <c r="I42" s="15">
        <f>aggregates_normalized!S42</f>
        <v>-2.5652477083189407</v>
      </c>
      <c r="J42" s="15">
        <f>aggregates_normalized!D42</f>
        <v>-6.3068199981117345</v>
      </c>
      <c r="K42" s="15">
        <f>output_transition_aggregates!AL42</f>
        <v>-3.2557380056477569</v>
      </c>
      <c r="L42" s="12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output_transition_aggregates</vt:lpstr>
      <vt:lpstr>aggregates_normalized</vt:lpstr>
      <vt:lpstr>output_transition_firms_age</vt:lpstr>
      <vt:lpstr>decomposition_aggregates</vt:lpstr>
      <vt:lpstr>for_matlab_figures_8_12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2021-11-25T15:25:11Z</dcterms:modified>
</cp:coreProperties>
</file>